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D:\working\waccache\SG2PEPF000ECAB9\EXCELCNV\93e139ae-3371-4f3f-8cf9-946a1b33a8af\"/>
    </mc:Choice>
  </mc:AlternateContent>
  <xr:revisionPtr revIDLastSave="0" documentId="8_{4FB73FB8-23AA-4051-9F77-32D112B99FC5}" xr6:coauthVersionLast="47" xr6:coauthVersionMax="47" xr10:uidLastSave="{00000000-0000-0000-0000-000000000000}"/>
  <bookViews>
    <workbookView xWindow="-60" yWindow="-60" windowWidth="15480" windowHeight="11640" tabRatio="839" firstSheet="4" activeTab="4" xr2:uid="{91880A30-4740-48FE-BD9B-8D7BDD7B5667}"/>
  </bookViews>
  <sheets>
    <sheet name="แฟ้บ" sheetId="49" r:id="rId1"/>
    <sheet name="มุก,ผงติ่งฟง," sheetId="47" r:id="rId2"/>
    <sheet name="กาแฟ" sheetId="35" r:id="rId3"/>
    <sheet name="ชา,กาแฟโบราณ,น้ำตาล" sheetId="50" r:id="rId4"/>
    <sheet name="ราคานมข้น" sheetId="11" r:id="rId5"/>
    <sheet name="ผงปรุงรส" sheetId="38" r:id="rId6"/>
    <sheet name="ครัว" sheetId="45" r:id="rId7"/>
    <sheet name="น้ำมัน,พริกเผา" sheetId="42" r:id="rId8"/>
    <sheet name="กะทิ,กป,เครื่องเทศ" sheetId="32" r:id="rId9"/>
    <sheet name="ซอส,กป" sheetId="33" r:id="rId10"/>
    <sheet name="น้ำปลา " sheetId="40" r:id="rId11"/>
    <sheet name="จังกิมง้วน" sheetId="31" r:id="rId12"/>
    <sheet name="วุ้นเส้น,หมี่,กระเพาะปลา" sheetId="39" r:id="rId13"/>
    <sheet name="ถั่ว" sheetId="37" r:id="rId14"/>
    <sheet name="แบรนด์,เครื่องดื่ม,น้ำตาล" sheetId="36" r:id="rId15"/>
    <sheet name="ขนม" sheetId="21" r:id="rId16"/>
    <sheet name="ต้นทุนนมผง" sheetId="18" r:id="rId17"/>
    <sheet name="Sheet2" sheetId="44" r:id="rId18"/>
    <sheet name="ฟรอมต้นทุนขาย" sheetId="1" r:id="rId19"/>
    <sheet name="Sheet3" sheetId="41" r:id="rId20"/>
    <sheet name="สต๊อกาด KLH" sheetId="4" r:id="rId21"/>
    <sheet name="Sheet1" sheetId="43" r:id="rId22"/>
    <sheet name="Sheet5" sheetId="51" r:id="rId23"/>
  </sheets>
  <definedNames>
    <definedName name="_xlnm.Print_Area" localSheetId="14">'แบรนด์,เครื่องดื่ม,น้ำตาล'!$A$1:$P$430</definedName>
    <definedName name="_xlnm.Print_Area" localSheetId="2">กาแฟ!$A$1:$L$543</definedName>
    <definedName name="_xlnm.Print_Area" localSheetId="15">ขนม!$A$1:$K$535</definedName>
    <definedName name="_xlnm.Print_Area" localSheetId="11">จังกิมง้วน!$A$1:$K$595</definedName>
    <definedName name="_xlnm.Print_Area" localSheetId="16">ต้นทุนนมผง!$A$1:$Q$566</definedName>
    <definedName name="_xlnm.Print_Area" localSheetId="5">ผงปรุงรส!$A$1:$S$287</definedName>
    <definedName name="_xlnm.Print_Area" localSheetId="18">ฟรอมต้นทุนขาย!$A$1:$G$24</definedName>
    <definedName name="_xlnm.Print_Area" localSheetId="1">'มุก,ผงติ่งฟง,'!$A$1:$Y$504</definedName>
    <definedName name="_xlnm.Print_Area" localSheetId="4">ราคานมข้น!$A$1:$T$409</definedName>
    <definedName name="_xlnm.Print_Area" localSheetId="12">'วุ้นเส้น,หมี่,กระเพาะปลา'!$A$1:$AG$288</definedName>
    <definedName name="_xlnm.Print_Area" localSheetId="20">'สต๊อกาด KLH'!$A$1:$AE$1634</definedName>
    <definedName name="_xlnm.Print_Titles" localSheetId="20">'สต๊อกาด KLH'!$73:$74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1" i="45" l="1"/>
  <c r="K117" i="35"/>
  <c r="K116" i="35"/>
  <c r="K152" i="42"/>
  <c r="K302" i="45"/>
  <c r="K299" i="45"/>
  <c r="K312" i="45"/>
  <c r="K311" i="45"/>
  <c r="K191" i="45"/>
  <c r="K188" i="45"/>
  <c r="K168" i="45"/>
  <c r="K164" i="45"/>
  <c r="K28" i="45"/>
  <c r="K25" i="45"/>
  <c r="K19" i="45"/>
  <c r="K18" i="45"/>
  <c r="K27" i="42"/>
  <c r="B73" i="42"/>
  <c r="L70" i="42"/>
  <c r="K81" i="11"/>
  <c r="K80" i="11"/>
  <c r="K19" i="42"/>
  <c r="A194" i="11"/>
  <c r="A193" i="11"/>
  <c r="A257" i="36"/>
  <c r="K108" i="33"/>
  <c r="K104" i="33"/>
  <c r="K160" i="31"/>
  <c r="K161" i="31"/>
  <c r="K170" i="31"/>
  <c r="K88" i="31"/>
  <c r="K85" i="31"/>
  <c r="J63" i="40"/>
  <c r="K63" i="40"/>
  <c r="K29" i="33"/>
  <c r="K28" i="33"/>
  <c r="K26" i="33"/>
  <c r="K18" i="33"/>
  <c r="K17" i="33"/>
  <c r="K16" i="33"/>
  <c r="K15" i="33"/>
  <c r="L18" i="33"/>
  <c r="L17" i="33"/>
  <c r="L16" i="33"/>
  <c r="L15" i="33"/>
  <c r="K190" i="33"/>
  <c r="K102" i="11"/>
  <c r="K101" i="11"/>
  <c r="K97" i="11"/>
  <c r="J249" i="11"/>
  <c r="K58" i="40"/>
  <c r="K59" i="40"/>
  <c r="K66" i="18"/>
  <c r="K19" i="18"/>
  <c r="K201" i="18"/>
  <c r="K199" i="18"/>
  <c r="K197" i="18"/>
  <c r="K195" i="18"/>
  <c r="K353" i="18"/>
  <c r="K352" i="18"/>
  <c r="K351" i="18"/>
  <c r="K350" i="18"/>
  <c r="K349" i="18"/>
  <c r="K348" i="18"/>
  <c r="K346" i="18"/>
  <c r="K343" i="18"/>
  <c r="K335" i="18"/>
  <c r="B335" i="18"/>
  <c r="K334" i="18"/>
  <c r="K333" i="18"/>
  <c r="K46" i="35"/>
  <c r="J45" i="35"/>
  <c r="K45" i="35"/>
  <c r="K44" i="35"/>
  <c r="K240" i="38"/>
  <c r="K239" i="38"/>
  <c r="K238" i="38"/>
  <c r="K236" i="38"/>
  <c r="K235" i="38"/>
  <c r="K234" i="38"/>
  <c r="K233" i="38"/>
  <c r="K232" i="38"/>
  <c r="K231" i="38"/>
  <c r="K230" i="38"/>
  <c r="K229" i="38"/>
  <c r="K223" i="38"/>
  <c r="K222" i="38"/>
  <c r="L93" i="38"/>
  <c r="L92" i="38"/>
  <c r="N7" i="41"/>
  <c r="P7" i="41"/>
  <c r="N8" i="41"/>
  <c r="P8" i="41"/>
  <c r="N9" i="41"/>
  <c r="P9" i="41"/>
  <c r="N10" i="41"/>
  <c r="P10" i="41"/>
  <c r="N11" i="41"/>
  <c r="P11" i="41"/>
  <c r="N12" i="41"/>
  <c r="P12" i="41"/>
  <c r="N13" i="41"/>
  <c r="P13" i="41"/>
  <c r="N14" i="41"/>
  <c r="P14" i="41"/>
  <c r="N15" i="41"/>
  <c r="P15" i="41"/>
  <c r="N16" i="41"/>
  <c r="P16" i="41"/>
  <c r="N17" i="41"/>
  <c r="P17" i="41"/>
  <c r="N18" i="41"/>
  <c r="P18" i="41"/>
  <c r="N19" i="41"/>
  <c r="P19" i="41"/>
  <c r="N20" i="41"/>
  <c r="P20" i="41"/>
  <c r="N21" i="41"/>
  <c r="P21" i="41"/>
  <c r="N22" i="41"/>
  <c r="P22" i="41"/>
  <c r="N23" i="41"/>
  <c r="P23" i="41"/>
  <c r="N24" i="41"/>
  <c r="P24" i="41"/>
  <c r="N25" i="41"/>
  <c r="P25" i="41"/>
  <c r="N26" i="41"/>
  <c r="P26" i="41"/>
  <c r="N27" i="41"/>
  <c r="P27" i="41"/>
  <c r="N28" i="41"/>
  <c r="P28" i="41"/>
  <c r="N29" i="41"/>
  <c r="P29" i="41"/>
  <c r="N30" i="41"/>
  <c r="P30" i="41"/>
  <c r="N31" i="41"/>
  <c r="P31" i="41"/>
  <c r="N32" i="41"/>
  <c r="P32" i="41"/>
  <c r="N38" i="41"/>
  <c r="P38" i="41"/>
  <c r="N49" i="41"/>
  <c r="P49" i="41"/>
  <c r="N50" i="41"/>
  <c r="P50" i="41"/>
  <c r="N51" i="41"/>
  <c r="P51" i="41"/>
  <c r="N52" i="41"/>
  <c r="P52" i="41"/>
  <c r="N53" i="41"/>
  <c r="P53" i="41"/>
  <c r="N54" i="41"/>
  <c r="P54" i="41"/>
  <c r="N55" i="41"/>
  <c r="P55" i="41"/>
  <c r="N56" i="41"/>
  <c r="P56" i="41"/>
  <c r="N57" i="41"/>
  <c r="P57" i="41"/>
  <c r="N58" i="41"/>
  <c r="P58" i="41"/>
  <c r="N59" i="41"/>
  <c r="P59" i="41"/>
  <c r="N60" i="41"/>
  <c r="P60" i="41"/>
  <c r="N61" i="41"/>
  <c r="P61" i="41"/>
  <c r="N62" i="41"/>
  <c r="P62" i="41"/>
  <c r="N63" i="41"/>
  <c r="P63" i="41"/>
  <c r="N64" i="41"/>
  <c r="P64" i="41"/>
  <c r="N65" i="41"/>
  <c r="P65" i="41"/>
  <c r="N66" i="41"/>
  <c r="P66" i="41"/>
  <c r="N67" i="41"/>
  <c r="P67" i="41"/>
  <c r="N68" i="41"/>
  <c r="P68" i="41"/>
  <c r="N69" i="41"/>
  <c r="P69" i="41"/>
  <c r="N70" i="41"/>
  <c r="P70" i="41"/>
  <c r="N71" i="41"/>
  <c r="P71" i="41"/>
  <c r="N72" i="41"/>
  <c r="P72" i="41"/>
  <c r="N73" i="41"/>
  <c r="P73" i="41"/>
  <c r="N74" i="41"/>
  <c r="P74" i="41"/>
  <c r="N91" i="41"/>
  <c r="P91" i="41"/>
  <c r="N92" i="41"/>
  <c r="P92" i="41"/>
  <c r="N93" i="41"/>
  <c r="P93" i="41"/>
  <c r="N94" i="41"/>
  <c r="P94" i="41"/>
  <c r="N95" i="41"/>
  <c r="P95" i="41"/>
  <c r="N96" i="41"/>
  <c r="P96" i="41"/>
  <c r="N97" i="41"/>
  <c r="P97" i="41"/>
  <c r="N98" i="41"/>
  <c r="P98" i="41"/>
  <c r="N99" i="41"/>
  <c r="P99" i="41"/>
  <c r="N100" i="41"/>
  <c r="P100" i="41"/>
  <c r="N101" i="41"/>
  <c r="P101" i="41"/>
  <c r="N102" i="41"/>
  <c r="P102" i="41"/>
  <c r="N103" i="41"/>
  <c r="P103" i="41"/>
  <c r="N104" i="41"/>
  <c r="P104" i="41"/>
  <c r="N105" i="41"/>
  <c r="P105" i="41"/>
  <c r="N106" i="41"/>
  <c r="P106" i="41"/>
  <c r="N107" i="41"/>
  <c r="P107" i="41"/>
  <c r="N108" i="41"/>
  <c r="P108" i="41"/>
  <c r="N109" i="41"/>
  <c r="P109" i="41"/>
  <c r="N110" i="41"/>
  <c r="P110" i="41"/>
  <c r="N111" i="41"/>
  <c r="P111" i="41"/>
  <c r="N112" i="41"/>
  <c r="P112" i="41"/>
  <c r="N113" i="41"/>
  <c r="P113" i="41"/>
  <c r="N114" i="41"/>
  <c r="P114" i="41"/>
  <c r="N115" i="41"/>
  <c r="P115" i="41"/>
  <c r="N116" i="41"/>
  <c r="P116" i="41"/>
  <c r="N120" i="41"/>
  <c r="P120" i="41"/>
  <c r="N132" i="41"/>
  <c r="P132" i="41"/>
  <c r="N133" i="41"/>
  <c r="P133" i="41"/>
  <c r="N134" i="41"/>
  <c r="P134" i="41"/>
  <c r="N135" i="41"/>
  <c r="P135" i="41"/>
  <c r="N136" i="41"/>
  <c r="P136" i="41"/>
  <c r="N137" i="41"/>
  <c r="P137" i="41"/>
  <c r="N138" i="41"/>
  <c r="P138" i="41"/>
  <c r="N139" i="41"/>
  <c r="P139" i="41"/>
  <c r="N140" i="41"/>
  <c r="P140" i="41"/>
  <c r="N141" i="41"/>
  <c r="P141" i="41"/>
  <c r="N142" i="41"/>
  <c r="P142" i="41"/>
  <c r="N143" i="41"/>
  <c r="P143" i="41"/>
  <c r="N144" i="41"/>
  <c r="P144" i="41"/>
  <c r="N145" i="41"/>
  <c r="P145" i="41"/>
  <c r="N146" i="41"/>
  <c r="P146" i="41"/>
  <c r="N147" i="41"/>
  <c r="P147" i="41"/>
  <c r="N148" i="41"/>
  <c r="P148" i="41"/>
  <c r="N149" i="41"/>
  <c r="P149" i="41"/>
  <c r="N150" i="41"/>
  <c r="P150" i="41"/>
  <c r="N151" i="41"/>
  <c r="P151" i="41"/>
  <c r="N152" i="41"/>
  <c r="P152" i="41"/>
  <c r="N153" i="41"/>
  <c r="P153" i="41"/>
  <c r="N154" i="41"/>
  <c r="P154" i="41"/>
  <c r="N155" i="41"/>
  <c r="P155" i="41"/>
  <c r="N156" i="41"/>
  <c r="P156" i="41"/>
  <c r="N157" i="41"/>
  <c r="P157" i="41"/>
  <c r="N162" i="41"/>
  <c r="P162" i="41"/>
  <c r="N174" i="41"/>
  <c r="P174" i="41"/>
  <c r="N175" i="41"/>
  <c r="P175" i="41"/>
  <c r="N176" i="41"/>
  <c r="P176" i="41"/>
  <c r="N177" i="41"/>
  <c r="P177" i="41"/>
  <c r="N178" i="41"/>
  <c r="P178" i="41"/>
  <c r="N179" i="41"/>
  <c r="P179" i="41"/>
  <c r="N180" i="41"/>
  <c r="P180" i="41"/>
  <c r="N181" i="41"/>
  <c r="P181" i="41"/>
  <c r="N182" i="41"/>
  <c r="P182" i="41"/>
  <c r="N183" i="41"/>
  <c r="P183" i="41"/>
  <c r="N184" i="41"/>
  <c r="P184" i="41"/>
  <c r="N185" i="41"/>
  <c r="P185" i="41"/>
  <c r="N186" i="41"/>
  <c r="P186" i="41"/>
  <c r="N187" i="41"/>
  <c r="P187" i="41"/>
  <c r="N188" i="41"/>
  <c r="P188" i="41"/>
  <c r="Q188" i="41"/>
  <c r="N189" i="41"/>
  <c r="P189" i="41"/>
  <c r="Q189" i="41"/>
  <c r="N190" i="41"/>
  <c r="P190" i="41"/>
  <c r="N191" i="41"/>
  <c r="P191" i="41"/>
  <c r="N192" i="41"/>
  <c r="P192" i="41"/>
  <c r="N193" i="41"/>
  <c r="P193" i="41"/>
  <c r="N194" i="41"/>
  <c r="P194" i="41"/>
  <c r="N195" i="41"/>
  <c r="P195" i="41"/>
  <c r="N196" i="41"/>
  <c r="P196" i="41"/>
  <c r="N197" i="41"/>
  <c r="P197" i="41"/>
  <c r="N198" i="41"/>
  <c r="P198" i="41"/>
  <c r="N199" i="41"/>
  <c r="P199" i="41"/>
  <c r="N207" i="41"/>
  <c r="P207" i="41"/>
  <c r="N216" i="41"/>
  <c r="P216" i="41"/>
  <c r="N217" i="41"/>
  <c r="P217" i="41"/>
  <c r="N218" i="41"/>
  <c r="P218" i="41"/>
  <c r="N219" i="41"/>
  <c r="P219" i="41"/>
  <c r="N220" i="41"/>
  <c r="P220" i="41"/>
  <c r="N221" i="41"/>
  <c r="P221" i="41"/>
  <c r="N222" i="41"/>
  <c r="P222" i="41"/>
  <c r="N223" i="41"/>
  <c r="P223" i="41"/>
  <c r="N224" i="41"/>
  <c r="P224" i="41"/>
  <c r="N225" i="41"/>
  <c r="P225" i="41"/>
  <c r="N226" i="41"/>
  <c r="P226" i="41"/>
  <c r="N227" i="41"/>
  <c r="P227" i="41"/>
  <c r="N228" i="41"/>
  <c r="P228" i="41"/>
  <c r="N229" i="41"/>
  <c r="P229" i="41"/>
  <c r="N230" i="41"/>
  <c r="P230" i="41"/>
  <c r="N231" i="41"/>
  <c r="P231" i="41"/>
  <c r="N232" i="41"/>
  <c r="P232" i="41"/>
  <c r="N233" i="41"/>
  <c r="P233" i="41"/>
  <c r="N234" i="41"/>
  <c r="P234" i="41"/>
  <c r="N235" i="41"/>
  <c r="P235" i="41"/>
  <c r="N236" i="41"/>
  <c r="P236" i="41"/>
  <c r="N237" i="41"/>
  <c r="P237" i="41"/>
  <c r="N238" i="41"/>
  <c r="P238" i="41"/>
  <c r="N239" i="41"/>
  <c r="P239" i="41"/>
  <c r="N240" i="41"/>
  <c r="P240" i="41"/>
  <c r="N241" i="41"/>
  <c r="P241" i="41"/>
  <c r="N246" i="41"/>
  <c r="P246" i="41"/>
  <c r="N258" i="41"/>
  <c r="P258" i="41"/>
  <c r="N259" i="41"/>
  <c r="P259" i="41"/>
  <c r="N260" i="41"/>
  <c r="P260" i="41"/>
  <c r="N261" i="41"/>
  <c r="P261" i="41"/>
  <c r="N262" i="41"/>
  <c r="P262" i="41"/>
  <c r="N263" i="41"/>
  <c r="P263" i="41"/>
  <c r="N264" i="41"/>
  <c r="P264" i="41"/>
  <c r="N265" i="41"/>
  <c r="P265" i="41"/>
  <c r="N266" i="41"/>
  <c r="P266" i="41"/>
  <c r="N267" i="41"/>
  <c r="P267" i="41"/>
  <c r="N268" i="41"/>
  <c r="P268" i="41"/>
  <c r="N269" i="41"/>
  <c r="P269" i="41"/>
  <c r="N270" i="41"/>
  <c r="P270" i="41"/>
  <c r="N271" i="41"/>
  <c r="P271" i="41"/>
  <c r="N272" i="41"/>
  <c r="P272" i="41"/>
  <c r="N273" i="41"/>
  <c r="P273" i="41"/>
  <c r="N274" i="41"/>
  <c r="P274" i="41"/>
  <c r="N275" i="41"/>
  <c r="P275" i="41"/>
  <c r="N276" i="41"/>
  <c r="P276" i="41"/>
  <c r="N277" i="41"/>
  <c r="P277" i="41"/>
  <c r="N278" i="41"/>
  <c r="P278" i="41"/>
  <c r="N279" i="41"/>
  <c r="P279" i="41"/>
  <c r="N280" i="41"/>
  <c r="P280" i="41"/>
  <c r="N281" i="41"/>
  <c r="P281" i="41"/>
  <c r="N282" i="41"/>
  <c r="P282" i="41"/>
  <c r="N283" i="41"/>
  <c r="P283" i="41"/>
  <c r="N289" i="41"/>
  <c r="P289" i="41"/>
  <c r="N300" i="41"/>
  <c r="P300" i="41"/>
  <c r="N301" i="41"/>
  <c r="P301" i="41"/>
  <c r="N302" i="41"/>
  <c r="P302" i="41"/>
  <c r="N303" i="41"/>
  <c r="P303" i="41"/>
  <c r="N304" i="41"/>
  <c r="P304" i="41"/>
  <c r="N305" i="41"/>
  <c r="P305" i="41"/>
  <c r="N306" i="41"/>
  <c r="P306" i="41"/>
  <c r="N307" i="41"/>
  <c r="P307" i="41"/>
  <c r="N308" i="41"/>
  <c r="P308" i="41"/>
  <c r="N309" i="41"/>
  <c r="P309" i="41"/>
  <c r="N310" i="41"/>
  <c r="P310" i="41"/>
  <c r="N311" i="41"/>
  <c r="P311" i="41"/>
  <c r="N312" i="41"/>
  <c r="P312" i="41"/>
  <c r="N313" i="41"/>
  <c r="P313" i="41"/>
  <c r="N314" i="41"/>
  <c r="P314" i="41"/>
  <c r="N315" i="41"/>
  <c r="P315" i="41"/>
  <c r="N316" i="41"/>
  <c r="P316" i="41"/>
  <c r="N317" i="41"/>
  <c r="P317" i="41"/>
  <c r="N318" i="41"/>
  <c r="P318" i="41"/>
  <c r="N319" i="41"/>
  <c r="P319" i="41"/>
  <c r="N320" i="41"/>
  <c r="P320" i="41"/>
  <c r="N321" i="41"/>
  <c r="P321" i="41"/>
  <c r="N322" i="41"/>
  <c r="P322" i="41"/>
  <c r="N323" i="41"/>
  <c r="P323" i="41"/>
  <c r="N324" i="41"/>
  <c r="P324" i="41"/>
  <c r="N325" i="41"/>
  <c r="P325" i="41"/>
  <c r="N334" i="41"/>
  <c r="P334" i="41"/>
  <c r="N342" i="41"/>
  <c r="P342" i="41"/>
  <c r="N343" i="41"/>
  <c r="P343" i="41"/>
  <c r="N344" i="41"/>
  <c r="P344" i="41"/>
  <c r="N345" i="41"/>
  <c r="P345" i="41"/>
  <c r="N346" i="41"/>
  <c r="P346" i="41"/>
  <c r="N347" i="41"/>
  <c r="P347" i="41"/>
  <c r="N348" i="41"/>
  <c r="P348" i="41"/>
  <c r="N349" i="41"/>
  <c r="P349" i="41"/>
  <c r="N350" i="41"/>
  <c r="P350" i="41"/>
  <c r="N351" i="41"/>
  <c r="P351" i="41"/>
  <c r="N352" i="41"/>
  <c r="P352" i="41"/>
  <c r="N353" i="41"/>
  <c r="P353" i="41"/>
  <c r="N354" i="41"/>
  <c r="P354" i="41"/>
  <c r="N355" i="41"/>
  <c r="P355" i="41"/>
  <c r="N356" i="41"/>
  <c r="P356" i="41"/>
  <c r="N357" i="41"/>
  <c r="P357" i="41"/>
  <c r="N358" i="41"/>
  <c r="P358" i="41"/>
  <c r="N359" i="41"/>
  <c r="P359" i="41"/>
  <c r="N360" i="41"/>
  <c r="P360" i="41"/>
  <c r="N361" i="41"/>
  <c r="P361" i="41"/>
  <c r="N362" i="41"/>
  <c r="P362" i="41"/>
  <c r="N363" i="41"/>
  <c r="P363" i="41"/>
  <c r="N364" i="41"/>
  <c r="P364" i="41"/>
  <c r="N365" i="41"/>
  <c r="P365" i="41"/>
  <c r="N366" i="41"/>
  <c r="P366" i="41"/>
  <c r="N367" i="41"/>
  <c r="P367" i="41"/>
  <c r="N373" i="41"/>
  <c r="P373" i="41"/>
  <c r="N384" i="41"/>
  <c r="P384" i="41"/>
  <c r="N385" i="41"/>
  <c r="P385" i="41"/>
  <c r="N386" i="41"/>
  <c r="P386" i="41"/>
  <c r="N387" i="41"/>
  <c r="P387" i="41"/>
  <c r="N388" i="41"/>
  <c r="P388" i="41"/>
  <c r="N389" i="41"/>
  <c r="P389" i="41"/>
  <c r="N390" i="41"/>
  <c r="P390" i="41"/>
  <c r="N391" i="41"/>
  <c r="P391" i="41"/>
  <c r="N392" i="41"/>
  <c r="P392" i="41"/>
  <c r="N393" i="41"/>
  <c r="P393" i="41"/>
  <c r="N394" i="41"/>
  <c r="P394" i="41"/>
  <c r="N395" i="41"/>
  <c r="P395" i="41"/>
  <c r="N396" i="41"/>
  <c r="P396" i="41"/>
  <c r="N397" i="41"/>
  <c r="P397" i="41"/>
  <c r="N398" i="41"/>
  <c r="P398" i="41"/>
  <c r="N399" i="41"/>
  <c r="P399" i="41"/>
  <c r="N400" i="41"/>
  <c r="P400" i="41"/>
  <c r="N401" i="41"/>
  <c r="P401" i="41"/>
  <c r="N402" i="41"/>
  <c r="P402" i="41"/>
  <c r="N403" i="41"/>
  <c r="P403" i="41"/>
  <c r="N404" i="41"/>
  <c r="P404" i="41"/>
  <c r="N405" i="41"/>
  <c r="P405" i="41"/>
  <c r="N406" i="41"/>
  <c r="P406" i="41"/>
  <c r="N407" i="41"/>
  <c r="P407" i="41"/>
  <c r="N408" i="41"/>
  <c r="P408" i="41"/>
  <c r="N409" i="41"/>
  <c r="P409" i="41"/>
  <c r="N416" i="41"/>
  <c r="P416" i="41"/>
  <c r="N426" i="41"/>
  <c r="P426" i="41"/>
  <c r="N427" i="41"/>
  <c r="P427" i="41"/>
  <c r="N428" i="41"/>
  <c r="P428" i="41"/>
  <c r="N429" i="41"/>
  <c r="P429" i="41"/>
  <c r="N430" i="41"/>
  <c r="P430" i="41"/>
  <c r="N431" i="41"/>
  <c r="P431" i="41"/>
  <c r="N432" i="41"/>
  <c r="P432" i="41"/>
  <c r="N433" i="41"/>
  <c r="P433" i="41"/>
  <c r="N434" i="41"/>
  <c r="P434" i="41"/>
  <c r="N435" i="41"/>
  <c r="P435" i="41"/>
  <c r="N436" i="41"/>
  <c r="P436" i="41"/>
  <c r="N437" i="41"/>
  <c r="P437" i="41"/>
  <c r="N438" i="41"/>
  <c r="P438" i="41"/>
  <c r="N439" i="41"/>
  <c r="P439" i="41"/>
  <c r="N440" i="41"/>
  <c r="P440" i="41"/>
  <c r="N441" i="41"/>
  <c r="P441" i="41"/>
  <c r="N442" i="41"/>
  <c r="P442" i="41"/>
  <c r="N443" i="41"/>
  <c r="P443" i="41"/>
  <c r="N444" i="41"/>
  <c r="P444" i="41"/>
  <c r="N445" i="41"/>
  <c r="P445" i="41"/>
  <c r="N446" i="41"/>
  <c r="P446" i="41"/>
  <c r="N447" i="41"/>
  <c r="P447" i="41"/>
  <c r="N448" i="41"/>
  <c r="P448" i="41"/>
  <c r="N449" i="41"/>
  <c r="P449" i="41"/>
  <c r="N450" i="41"/>
  <c r="P450" i="41"/>
  <c r="N451" i="41"/>
  <c r="P451" i="41"/>
  <c r="N459" i="41"/>
  <c r="P459" i="41"/>
  <c r="N468" i="41"/>
  <c r="P468" i="41"/>
  <c r="N469" i="41"/>
  <c r="P469" i="41"/>
  <c r="N470" i="41"/>
  <c r="P470" i="41"/>
  <c r="N471" i="41"/>
  <c r="P471" i="41"/>
  <c r="N472" i="41"/>
  <c r="P472" i="41"/>
  <c r="N473" i="41"/>
  <c r="P473" i="41"/>
  <c r="N474" i="41"/>
  <c r="P474" i="41"/>
  <c r="N475" i="41"/>
  <c r="P475" i="41"/>
  <c r="N476" i="41"/>
  <c r="P476" i="41"/>
  <c r="N477" i="41"/>
  <c r="P477" i="41"/>
  <c r="N478" i="41"/>
  <c r="P478" i="41"/>
  <c r="N479" i="41"/>
  <c r="P479" i="41"/>
  <c r="N480" i="41"/>
  <c r="P480" i="41"/>
  <c r="N481" i="41"/>
  <c r="P481" i="41"/>
  <c r="N482" i="41"/>
  <c r="P482" i="41"/>
  <c r="N483" i="41"/>
  <c r="P483" i="41"/>
  <c r="N484" i="41"/>
  <c r="P484" i="41"/>
  <c r="N485" i="41"/>
  <c r="P485" i="41"/>
  <c r="N486" i="41"/>
  <c r="P486" i="41"/>
  <c r="N487" i="41"/>
  <c r="P487" i="41"/>
  <c r="N488" i="41"/>
  <c r="P488" i="41"/>
  <c r="N489" i="41"/>
  <c r="P489" i="41"/>
  <c r="N490" i="41"/>
  <c r="P490" i="41"/>
  <c r="N491" i="41"/>
  <c r="P491" i="41"/>
  <c r="N492" i="41"/>
  <c r="P492" i="41"/>
  <c r="N493" i="41"/>
  <c r="P493" i="41"/>
  <c r="N501" i="41"/>
  <c r="P501" i="41"/>
  <c r="N510" i="41"/>
  <c r="P510" i="41"/>
  <c r="N511" i="41"/>
  <c r="P511" i="41"/>
  <c r="N512" i="41"/>
  <c r="P512" i="41"/>
  <c r="N513" i="41"/>
  <c r="P513" i="41"/>
  <c r="N514" i="41"/>
  <c r="P514" i="41"/>
  <c r="N515" i="41"/>
  <c r="P515" i="41"/>
  <c r="N516" i="41"/>
  <c r="P516" i="41"/>
  <c r="N517" i="41"/>
  <c r="P517" i="41"/>
  <c r="N518" i="41"/>
  <c r="P518" i="41"/>
  <c r="N519" i="41"/>
  <c r="P519" i="41"/>
  <c r="N520" i="41"/>
  <c r="P520" i="41"/>
  <c r="N521" i="41"/>
  <c r="P521" i="41"/>
  <c r="N522" i="41"/>
  <c r="P522" i="41"/>
  <c r="N523" i="41"/>
  <c r="P523" i="41"/>
  <c r="N524" i="41"/>
  <c r="P524" i="41"/>
  <c r="N525" i="41"/>
  <c r="P525" i="41"/>
  <c r="N526" i="41"/>
  <c r="P526" i="41"/>
  <c r="N527" i="41"/>
  <c r="P527" i="41"/>
  <c r="N528" i="41"/>
  <c r="P528" i="41"/>
  <c r="N529" i="41"/>
  <c r="P529" i="41"/>
  <c r="N530" i="41"/>
  <c r="P530" i="41"/>
  <c r="N531" i="41"/>
  <c r="P531" i="41"/>
  <c r="N532" i="41"/>
  <c r="P532" i="41"/>
  <c r="N533" i="41"/>
  <c r="P533" i="41"/>
  <c r="N534" i="41"/>
  <c r="P534" i="41"/>
  <c r="N535" i="41"/>
  <c r="P535" i="41"/>
  <c r="N543" i="41"/>
  <c r="P543" i="41"/>
  <c r="N552" i="41"/>
  <c r="P552" i="41"/>
  <c r="N553" i="41"/>
  <c r="P553" i="41"/>
  <c r="N554" i="41"/>
  <c r="P554" i="41"/>
  <c r="N555" i="41"/>
  <c r="P555" i="41"/>
  <c r="N556" i="41"/>
  <c r="P556" i="41"/>
  <c r="N557" i="41"/>
  <c r="P557" i="41"/>
  <c r="N558" i="41"/>
  <c r="P558" i="41"/>
  <c r="N559" i="41"/>
  <c r="P559" i="41"/>
  <c r="N560" i="41"/>
  <c r="P560" i="41"/>
  <c r="N561" i="41"/>
  <c r="P561" i="41"/>
  <c r="N562" i="41"/>
  <c r="P562" i="41"/>
  <c r="N563" i="41"/>
  <c r="P563" i="41"/>
  <c r="N564" i="41"/>
  <c r="P564" i="41"/>
  <c r="N565" i="41"/>
  <c r="P565" i="41"/>
  <c r="N566" i="41"/>
  <c r="P566" i="41"/>
  <c r="N567" i="41"/>
  <c r="P567" i="41"/>
  <c r="N568" i="41"/>
  <c r="P568" i="41"/>
  <c r="N569" i="41"/>
  <c r="P569" i="41"/>
  <c r="N570" i="41"/>
  <c r="P570" i="41"/>
  <c r="N571" i="41"/>
  <c r="P571" i="41"/>
  <c r="N572" i="41"/>
  <c r="P572" i="41"/>
  <c r="N573" i="41"/>
  <c r="P573" i="41"/>
  <c r="N574" i="41"/>
  <c r="P574" i="41"/>
  <c r="N575" i="41"/>
  <c r="P575" i="41"/>
  <c r="N576" i="41"/>
  <c r="P576" i="41"/>
  <c r="N577" i="41"/>
  <c r="P577" i="41"/>
  <c r="N583" i="41"/>
  <c r="P583" i="41"/>
  <c r="N594" i="41"/>
  <c r="P594" i="41"/>
  <c r="N595" i="41"/>
  <c r="P595" i="41"/>
  <c r="N596" i="41"/>
  <c r="P596" i="41"/>
  <c r="N597" i="41"/>
  <c r="P597" i="41"/>
  <c r="N598" i="41"/>
  <c r="P598" i="41"/>
  <c r="N599" i="41"/>
  <c r="P599" i="41"/>
  <c r="N600" i="41"/>
  <c r="P600" i="41"/>
  <c r="N601" i="41"/>
  <c r="P601" i="41"/>
  <c r="N602" i="41"/>
  <c r="P602" i="41"/>
  <c r="N603" i="41"/>
  <c r="P603" i="41"/>
  <c r="N604" i="41"/>
  <c r="P604" i="41"/>
  <c r="N605" i="41"/>
  <c r="P605" i="41"/>
  <c r="N606" i="41"/>
  <c r="P606" i="41"/>
  <c r="N607" i="41"/>
  <c r="P607" i="41"/>
  <c r="N608" i="41"/>
  <c r="P608" i="41"/>
  <c r="N609" i="41"/>
  <c r="P609" i="41"/>
  <c r="N610" i="41"/>
  <c r="P610" i="41"/>
  <c r="N611" i="41"/>
  <c r="P611" i="41"/>
  <c r="N612" i="41"/>
  <c r="P612" i="41"/>
  <c r="N613" i="41"/>
  <c r="P613" i="41"/>
  <c r="N614" i="41"/>
  <c r="P614" i="41"/>
  <c r="N615" i="41"/>
  <c r="P615" i="41"/>
  <c r="N616" i="41"/>
  <c r="P616" i="41"/>
  <c r="N617" i="41"/>
  <c r="P617" i="41"/>
  <c r="N618" i="41"/>
  <c r="P618" i="41"/>
  <c r="N619" i="41"/>
  <c r="P619" i="41"/>
  <c r="N624" i="41"/>
  <c r="P624" i="41"/>
  <c r="L202" i="31"/>
  <c r="L203" i="31"/>
  <c r="N7" i="37"/>
  <c r="P7" i="37"/>
  <c r="N8" i="37"/>
  <c r="P8" i="37"/>
  <c r="N9" i="37"/>
  <c r="P9" i="37"/>
  <c r="N10" i="37"/>
  <c r="P10" i="37"/>
  <c r="N11" i="37"/>
  <c r="P11" i="37"/>
  <c r="N12" i="37"/>
  <c r="P12" i="37"/>
  <c r="N13" i="37"/>
  <c r="P13" i="37"/>
  <c r="N14" i="37"/>
  <c r="P14" i="37"/>
  <c r="N15" i="37"/>
  <c r="P15" i="37"/>
  <c r="N16" i="37"/>
  <c r="P16" i="37"/>
  <c r="N17" i="37"/>
  <c r="P17" i="37"/>
  <c r="N18" i="37"/>
  <c r="P18" i="37"/>
  <c r="N19" i="37"/>
  <c r="P19" i="37"/>
  <c r="N20" i="37"/>
  <c r="P20" i="37"/>
  <c r="N21" i="37"/>
  <c r="P21" i="37"/>
  <c r="N22" i="37"/>
  <c r="P22" i="37"/>
  <c r="N23" i="37"/>
  <c r="P23" i="37"/>
  <c r="N24" i="37"/>
  <c r="P24" i="37"/>
  <c r="N25" i="37"/>
  <c r="P25" i="37"/>
  <c r="N26" i="37"/>
  <c r="P26" i="37"/>
  <c r="N27" i="37"/>
  <c r="P27" i="37"/>
  <c r="N28" i="37"/>
  <c r="P28" i="37"/>
  <c r="N29" i="37"/>
  <c r="P29" i="37"/>
  <c r="N30" i="37"/>
  <c r="P30" i="37"/>
  <c r="N31" i="37"/>
  <c r="P31" i="37"/>
  <c r="N32" i="37"/>
  <c r="P32" i="37"/>
  <c r="N37" i="37"/>
  <c r="P37" i="37"/>
  <c r="N48" i="37"/>
  <c r="P48" i="37"/>
  <c r="N49" i="37"/>
  <c r="P49" i="37"/>
  <c r="N50" i="37"/>
  <c r="P50" i="37"/>
  <c r="N51" i="37"/>
  <c r="P51" i="37"/>
  <c r="N52" i="37"/>
  <c r="P52" i="37"/>
  <c r="N53" i="37"/>
  <c r="P53" i="37"/>
  <c r="N54" i="37"/>
  <c r="P54" i="37"/>
  <c r="N55" i="37"/>
  <c r="P55" i="37"/>
  <c r="N56" i="37"/>
  <c r="P56" i="37"/>
  <c r="N57" i="37"/>
  <c r="P57" i="37"/>
  <c r="N58" i="37"/>
  <c r="P58" i="37"/>
  <c r="N59" i="37"/>
  <c r="P59" i="37"/>
  <c r="N60" i="37"/>
  <c r="P60" i="37"/>
  <c r="N61" i="37"/>
  <c r="P61" i="37"/>
  <c r="N62" i="37"/>
  <c r="P62" i="37"/>
  <c r="N63" i="37"/>
  <c r="P63" i="37"/>
  <c r="N64" i="37"/>
  <c r="P64" i="37"/>
  <c r="N65" i="37"/>
  <c r="P65" i="37"/>
  <c r="N66" i="37"/>
  <c r="P66" i="37"/>
  <c r="N67" i="37"/>
  <c r="P67" i="37"/>
  <c r="N68" i="37"/>
  <c r="P68" i="37"/>
  <c r="N69" i="37"/>
  <c r="P69" i="37"/>
  <c r="N70" i="37"/>
  <c r="P70" i="37"/>
  <c r="N71" i="37"/>
  <c r="P71" i="37"/>
  <c r="N72" i="37"/>
  <c r="P72" i="37"/>
  <c r="N73" i="37"/>
  <c r="P73" i="37"/>
  <c r="N84" i="37"/>
  <c r="O84" i="37"/>
  <c r="N89" i="37"/>
  <c r="P89" i="37"/>
  <c r="N90" i="37"/>
  <c r="P90" i="37"/>
  <c r="N91" i="37"/>
  <c r="P91" i="37"/>
  <c r="N92" i="37"/>
  <c r="P92" i="37"/>
  <c r="N93" i="37"/>
  <c r="P93" i="37"/>
  <c r="N94" i="37"/>
  <c r="P94" i="37"/>
  <c r="N95" i="37"/>
  <c r="P95" i="37"/>
  <c r="N96" i="37"/>
  <c r="P96" i="37"/>
  <c r="N97" i="37"/>
  <c r="P97" i="37"/>
  <c r="N98" i="37"/>
  <c r="P98" i="37"/>
  <c r="N99" i="37"/>
  <c r="P99" i="37"/>
  <c r="N100" i="37"/>
  <c r="P100" i="37"/>
  <c r="N101" i="37"/>
  <c r="P101" i="37"/>
  <c r="N102" i="37"/>
  <c r="P102" i="37"/>
  <c r="N103" i="37"/>
  <c r="P103" i="37"/>
  <c r="N104" i="37"/>
  <c r="P104" i="37"/>
  <c r="N105" i="37"/>
  <c r="P105" i="37"/>
  <c r="N106" i="37"/>
  <c r="P106" i="37"/>
  <c r="N107" i="37"/>
  <c r="P107" i="37"/>
  <c r="N108" i="37"/>
  <c r="P108" i="37"/>
  <c r="N109" i="37"/>
  <c r="P109" i="37"/>
  <c r="N110" i="37"/>
  <c r="P110" i="37"/>
  <c r="N111" i="37"/>
  <c r="P111" i="37"/>
  <c r="N112" i="37"/>
  <c r="P112" i="37"/>
  <c r="N113" i="37"/>
  <c r="P113" i="37"/>
  <c r="N114" i="37"/>
  <c r="P114" i="37"/>
  <c r="N118" i="37"/>
  <c r="P118" i="37"/>
  <c r="N129" i="37"/>
  <c r="P129" i="37"/>
  <c r="N130" i="37"/>
  <c r="P130" i="37"/>
  <c r="N131" i="37"/>
  <c r="P131" i="37"/>
  <c r="N132" i="37"/>
  <c r="P132" i="37"/>
  <c r="N133" i="37"/>
  <c r="P133" i="37"/>
  <c r="N134" i="37"/>
  <c r="P134" i="37"/>
  <c r="N135" i="37"/>
  <c r="P135" i="37"/>
  <c r="N136" i="37"/>
  <c r="P136" i="37"/>
  <c r="N137" i="37"/>
  <c r="P137" i="37"/>
  <c r="N138" i="37"/>
  <c r="P138" i="37"/>
  <c r="N139" i="37"/>
  <c r="P139" i="37"/>
  <c r="N140" i="37"/>
  <c r="P140" i="37"/>
  <c r="N141" i="37"/>
  <c r="P141" i="37"/>
  <c r="N142" i="37"/>
  <c r="P142" i="37"/>
  <c r="N143" i="37"/>
  <c r="P143" i="37"/>
  <c r="N144" i="37"/>
  <c r="P144" i="37"/>
  <c r="N145" i="37"/>
  <c r="P145" i="37"/>
  <c r="N146" i="37"/>
  <c r="P146" i="37"/>
  <c r="N147" i="37"/>
  <c r="P147" i="37"/>
  <c r="N148" i="37"/>
  <c r="P148" i="37"/>
  <c r="N149" i="37"/>
  <c r="P149" i="37"/>
  <c r="N150" i="37"/>
  <c r="P150" i="37"/>
  <c r="N151" i="37"/>
  <c r="P151" i="37"/>
  <c r="N152" i="37"/>
  <c r="P152" i="37"/>
  <c r="N153" i="37"/>
  <c r="P153" i="37"/>
  <c r="N154" i="37"/>
  <c r="P154" i="37"/>
  <c r="N159" i="37"/>
  <c r="P159" i="37"/>
  <c r="N170" i="37"/>
  <c r="P170" i="37"/>
  <c r="N171" i="37"/>
  <c r="P171" i="37"/>
  <c r="N172" i="37"/>
  <c r="P172" i="37"/>
  <c r="N173" i="37"/>
  <c r="P173" i="37"/>
  <c r="N174" i="37"/>
  <c r="P174" i="37"/>
  <c r="N175" i="37"/>
  <c r="P175" i="37"/>
  <c r="N176" i="37"/>
  <c r="P176" i="37"/>
  <c r="N177" i="37"/>
  <c r="P177" i="37"/>
  <c r="N178" i="37"/>
  <c r="P178" i="37"/>
  <c r="N179" i="37"/>
  <c r="P179" i="37"/>
  <c r="N180" i="37"/>
  <c r="P180" i="37"/>
  <c r="N181" i="37"/>
  <c r="P181" i="37"/>
  <c r="N182" i="37"/>
  <c r="P182" i="37"/>
  <c r="N183" i="37"/>
  <c r="P183" i="37"/>
  <c r="N184" i="37"/>
  <c r="P184" i="37"/>
  <c r="Q184" i="37"/>
  <c r="N185" i="37"/>
  <c r="P185" i="37"/>
  <c r="Q185" i="37"/>
  <c r="N186" i="37"/>
  <c r="P186" i="37"/>
  <c r="N187" i="37"/>
  <c r="P187" i="37"/>
  <c r="N188" i="37"/>
  <c r="P188" i="37"/>
  <c r="N189" i="37"/>
  <c r="P189" i="37"/>
  <c r="N190" i="37"/>
  <c r="P190" i="37"/>
  <c r="N191" i="37"/>
  <c r="P191" i="37"/>
  <c r="N192" i="37"/>
  <c r="P192" i="37"/>
  <c r="N193" i="37"/>
  <c r="P193" i="37"/>
  <c r="N194" i="37"/>
  <c r="P194" i="37"/>
  <c r="N195" i="37"/>
  <c r="P195" i="37"/>
  <c r="N203" i="37"/>
  <c r="P203" i="37"/>
  <c r="N211" i="37"/>
  <c r="P211" i="37"/>
  <c r="N212" i="37"/>
  <c r="P212" i="37"/>
  <c r="N213" i="37"/>
  <c r="P213" i="37"/>
  <c r="N214" i="37"/>
  <c r="P214" i="37"/>
  <c r="N215" i="37"/>
  <c r="P215" i="37"/>
  <c r="N216" i="37"/>
  <c r="P216" i="37"/>
  <c r="N217" i="37"/>
  <c r="P217" i="37"/>
  <c r="N218" i="37"/>
  <c r="P218" i="37"/>
  <c r="N219" i="37"/>
  <c r="P219" i="37"/>
  <c r="N220" i="37"/>
  <c r="P220" i="37"/>
  <c r="N221" i="37"/>
  <c r="P221" i="37"/>
  <c r="N222" i="37"/>
  <c r="P222" i="37"/>
  <c r="N223" i="37"/>
  <c r="P223" i="37"/>
  <c r="N224" i="37"/>
  <c r="P224" i="37"/>
  <c r="N225" i="37"/>
  <c r="P225" i="37"/>
  <c r="N226" i="37"/>
  <c r="P226" i="37"/>
  <c r="N227" i="37"/>
  <c r="P227" i="37"/>
  <c r="N228" i="37"/>
  <c r="P228" i="37"/>
  <c r="N229" i="37"/>
  <c r="P229" i="37"/>
  <c r="N230" i="37"/>
  <c r="P230" i="37"/>
  <c r="N231" i="37"/>
  <c r="P231" i="37"/>
  <c r="N232" i="37"/>
  <c r="P232" i="37"/>
  <c r="N233" i="37"/>
  <c r="P233" i="37"/>
  <c r="N234" i="37"/>
  <c r="P234" i="37"/>
  <c r="N235" i="37"/>
  <c r="P235" i="37"/>
  <c r="N236" i="37"/>
  <c r="P236" i="37"/>
  <c r="N241" i="37"/>
  <c r="P241" i="37"/>
  <c r="N252" i="37"/>
  <c r="P252" i="37"/>
  <c r="N253" i="37"/>
  <c r="P253" i="37"/>
  <c r="N254" i="37"/>
  <c r="P254" i="37"/>
  <c r="N255" i="37"/>
  <c r="P255" i="37"/>
  <c r="N256" i="37"/>
  <c r="P256" i="37"/>
  <c r="N257" i="37"/>
  <c r="P257" i="37"/>
  <c r="N258" i="37"/>
  <c r="P258" i="37"/>
  <c r="N259" i="37"/>
  <c r="P259" i="37"/>
  <c r="N260" i="37"/>
  <c r="P260" i="37"/>
  <c r="N261" i="37"/>
  <c r="P261" i="37"/>
  <c r="N262" i="37"/>
  <c r="P262" i="37"/>
  <c r="N263" i="37"/>
  <c r="P263" i="37"/>
  <c r="N264" i="37"/>
  <c r="P264" i="37"/>
  <c r="N265" i="37"/>
  <c r="P265" i="37"/>
  <c r="N266" i="37"/>
  <c r="P266" i="37"/>
  <c r="N267" i="37"/>
  <c r="P267" i="37"/>
  <c r="N268" i="37"/>
  <c r="P268" i="37"/>
  <c r="N269" i="37"/>
  <c r="P269" i="37"/>
  <c r="N270" i="37"/>
  <c r="P270" i="37"/>
  <c r="N271" i="37"/>
  <c r="P271" i="37"/>
  <c r="N272" i="37"/>
  <c r="P272" i="37"/>
  <c r="N273" i="37"/>
  <c r="P273" i="37"/>
  <c r="N274" i="37"/>
  <c r="P274" i="37"/>
  <c r="N275" i="37"/>
  <c r="P275" i="37"/>
  <c r="N276" i="37"/>
  <c r="P276" i="37"/>
  <c r="N277" i="37"/>
  <c r="P277" i="37"/>
  <c r="N283" i="37"/>
  <c r="P283" i="37"/>
  <c r="N293" i="37"/>
  <c r="P293" i="37"/>
  <c r="N294" i="37"/>
  <c r="P294" i="37"/>
  <c r="N295" i="37"/>
  <c r="P295" i="37"/>
  <c r="N296" i="37"/>
  <c r="P296" i="37"/>
  <c r="N297" i="37"/>
  <c r="P297" i="37"/>
  <c r="N298" i="37"/>
  <c r="P298" i="37"/>
  <c r="N299" i="37"/>
  <c r="P299" i="37"/>
  <c r="N300" i="37"/>
  <c r="P300" i="37"/>
  <c r="N301" i="37"/>
  <c r="P301" i="37"/>
  <c r="N302" i="37"/>
  <c r="P302" i="37"/>
  <c r="N303" i="37"/>
  <c r="P303" i="37"/>
  <c r="N304" i="37"/>
  <c r="P304" i="37"/>
  <c r="N305" i="37"/>
  <c r="P305" i="37"/>
  <c r="N306" i="37"/>
  <c r="P306" i="37"/>
  <c r="N307" i="37"/>
  <c r="P307" i="37"/>
  <c r="N308" i="37"/>
  <c r="P308" i="37"/>
  <c r="N309" i="37"/>
  <c r="P309" i="37"/>
  <c r="N310" i="37"/>
  <c r="P310" i="37"/>
  <c r="N311" i="37"/>
  <c r="P311" i="37"/>
  <c r="N312" i="37"/>
  <c r="P312" i="37"/>
  <c r="N313" i="37"/>
  <c r="P313" i="37"/>
  <c r="N314" i="37"/>
  <c r="P314" i="37"/>
  <c r="N315" i="37"/>
  <c r="P315" i="37"/>
  <c r="N316" i="37"/>
  <c r="P316" i="37"/>
  <c r="N317" i="37"/>
  <c r="P317" i="37"/>
  <c r="N318" i="37"/>
  <c r="P318" i="37"/>
  <c r="N326" i="37"/>
  <c r="P326" i="37"/>
  <c r="N334" i="37"/>
  <c r="P334" i="37"/>
  <c r="N335" i="37"/>
  <c r="P335" i="37"/>
  <c r="N336" i="37"/>
  <c r="P336" i="37"/>
  <c r="N337" i="37"/>
  <c r="P337" i="37"/>
  <c r="N338" i="37"/>
  <c r="P338" i="37"/>
  <c r="N339" i="37"/>
  <c r="P339" i="37"/>
  <c r="N340" i="37"/>
  <c r="P340" i="37"/>
  <c r="N341" i="37"/>
  <c r="P341" i="37"/>
  <c r="N342" i="37"/>
  <c r="P342" i="37"/>
  <c r="N343" i="37"/>
  <c r="P343" i="37"/>
  <c r="N344" i="37"/>
  <c r="P344" i="37"/>
  <c r="N345" i="37"/>
  <c r="P345" i="37"/>
  <c r="N346" i="37"/>
  <c r="P346" i="37"/>
  <c r="N347" i="37"/>
  <c r="P347" i="37"/>
  <c r="N348" i="37"/>
  <c r="P348" i="37"/>
  <c r="N349" i="37"/>
  <c r="P349" i="37"/>
  <c r="N350" i="37"/>
  <c r="P350" i="37"/>
  <c r="N351" i="37"/>
  <c r="P351" i="37"/>
  <c r="N352" i="37"/>
  <c r="P352" i="37"/>
  <c r="N353" i="37"/>
  <c r="P353" i="37"/>
  <c r="N354" i="37"/>
  <c r="P354" i="37"/>
  <c r="N355" i="37"/>
  <c r="P355" i="37"/>
  <c r="N356" i="37"/>
  <c r="P356" i="37"/>
  <c r="N357" i="37"/>
  <c r="P357" i="37"/>
  <c r="N358" i="37"/>
  <c r="P358" i="37"/>
  <c r="N359" i="37"/>
  <c r="P359" i="37"/>
  <c r="N365" i="37"/>
  <c r="P365" i="37"/>
  <c r="N375" i="37"/>
  <c r="P375" i="37"/>
  <c r="N376" i="37"/>
  <c r="P376" i="37"/>
  <c r="N377" i="37"/>
  <c r="P377" i="37"/>
  <c r="N378" i="37"/>
  <c r="P378" i="37"/>
  <c r="N379" i="37"/>
  <c r="P379" i="37"/>
  <c r="N380" i="37"/>
  <c r="P380" i="37"/>
  <c r="N381" i="37"/>
  <c r="P381" i="37"/>
  <c r="N382" i="37"/>
  <c r="P382" i="37"/>
  <c r="N383" i="37"/>
  <c r="P383" i="37"/>
  <c r="N384" i="37"/>
  <c r="P384" i="37"/>
  <c r="N385" i="37"/>
  <c r="P385" i="37"/>
  <c r="N386" i="37"/>
  <c r="P386" i="37"/>
  <c r="N387" i="37"/>
  <c r="P387" i="37"/>
  <c r="N388" i="37"/>
  <c r="P388" i="37"/>
  <c r="N389" i="37"/>
  <c r="P389" i="37"/>
  <c r="N390" i="37"/>
  <c r="P390" i="37"/>
  <c r="N391" i="37"/>
  <c r="P391" i="37"/>
  <c r="N392" i="37"/>
  <c r="P392" i="37"/>
  <c r="N393" i="37"/>
  <c r="P393" i="37"/>
  <c r="N394" i="37"/>
  <c r="P394" i="37"/>
  <c r="N395" i="37"/>
  <c r="P395" i="37"/>
  <c r="N396" i="37"/>
  <c r="P396" i="37"/>
  <c r="N397" i="37"/>
  <c r="P397" i="37"/>
  <c r="N398" i="37"/>
  <c r="P398" i="37"/>
  <c r="N399" i="37"/>
  <c r="P399" i="37"/>
  <c r="N400" i="37"/>
  <c r="P400" i="37"/>
  <c r="N407" i="37"/>
  <c r="P407" i="37"/>
  <c r="N416" i="37"/>
  <c r="P416" i="37"/>
  <c r="N417" i="37"/>
  <c r="P417" i="37"/>
  <c r="N418" i="37"/>
  <c r="P418" i="37"/>
  <c r="N419" i="37"/>
  <c r="P419" i="37"/>
  <c r="N420" i="37"/>
  <c r="P420" i="37"/>
  <c r="N421" i="37"/>
  <c r="P421" i="37"/>
  <c r="N422" i="37"/>
  <c r="P422" i="37"/>
  <c r="N423" i="37"/>
  <c r="P423" i="37"/>
  <c r="N424" i="37"/>
  <c r="P424" i="37"/>
  <c r="N425" i="37"/>
  <c r="P425" i="37"/>
  <c r="N426" i="37"/>
  <c r="P426" i="37"/>
  <c r="N427" i="37"/>
  <c r="P427" i="37"/>
  <c r="N428" i="37"/>
  <c r="P428" i="37"/>
  <c r="N429" i="37"/>
  <c r="P429" i="37"/>
  <c r="N430" i="37"/>
  <c r="P430" i="37"/>
  <c r="N431" i="37"/>
  <c r="P431" i="37"/>
  <c r="N432" i="37"/>
  <c r="P432" i="37"/>
  <c r="N433" i="37"/>
  <c r="P433" i="37"/>
  <c r="N434" i="37"/>
  <c r="P434" i="37"/>
  <c r="N435" i="37"/>
  <c r="P435" i="37"/>
  <c r="N436" i="37"/>
  <c r="P436" i="37"/>
  <c r="N437" i="37"/>
  <c r="P437" i="37"/>
  <c r="N438" i="37"/>
  <c r="P438" i="37"/>
  <c r="N439" i="37"/>
  <c r="P439" i="37"/>
  <c r="N440" i="37"/>
  <c r="P440" i="37"/>
  <c r="N441" i="37"/>
  <c r="P441" i="37"/>
  <c r="N449" i="37"/>
  <c r="P449" i="37"/>
  <c r="N457" i="37"/>
  <c r="P457" i="37"/>
  <c r="N458" i="37"/>
  <c r="P458" i="37"/>
  <c r="N459" i="37"/>
  <c r="P459" i="37"/>
  <c r="N460" i="37"/>
  <c r="P460" i="37"/>
  <c r="N461" i="37"/>
  <c r="P461" i="37"/>
  <c r="N462" i="37"/>
  <c r="P462" i="37"/>
  <c r="N463" i="37"/>
  <c r="P463" i="37"/>
  <c r="N464" i="37"/>
  <c r="P464" i="37"/>
  <c r="N465" i="37"/>
  <c r="P465" i="37"/>
  <c r="N466" i="37"/>
  <c r="P466" i="37"/>
  <c r="N467" i="37"/>
  <c r="P467" i="37"/>
  <c r="N468" i="37"/>
  <c r="P468" i="37"/>
  <c r="N469" i="37"/>
  <c r="P469" i="37"/>
  <c r="N470" i="37"/>
  <c r="P470" i="37"/>
  <c r="N471" i="37"/>
  <c r="P471" i="37"/>
  <c r="N472" i="37"/>
  <c r="P472" i="37"/>
  <c r="N473" i="37"/>
  <c r="P473" i="37"/>
  <c r="N474" i="37"/>
  <c r="P474" i="37"/>
  <c r="N475" i="37"/>
  <c r="P475" i="37"/>
  <c r="N476" i="37"/>
  <c r="P476" i="37"/>
  <c r="N477" i="37"/>
  <c r="P477" i="37"/>
  <c r="N478" i="37"/>
  <c r="P478" i="37"/>
  <c r="N479" i="37"/>
  <c r="P479" i="37"/>
  <c r="N480" i="37"/>
  <c r="P480" i="37"/>
  <c r="N481" i="37"/>
  <c r="P481" i="37"/>
  <c r="N482" i="37"/>
  <c r="P482" i="37"/>
  <c r="N490" i="37"/>
  <c r="P490" i="37"/>
  <c r="N498" i="37"/>
  <c r="P498" i="37"/>
  <c r="N499" i="37"/>
  <c r="P499" i="37"/>
  <c r="N500" i="37"/>
  <c r="P500" i="37"/>
  <c r="N501" i="37"/>
  <c r="P501" i="37"/>
  <c r="N502" i="37"/>
  <c r="P502" i="37"/>
  <c r="N503" i="37"/>
  <c r="P503" i="37"/>
  <c r="N504" i="37"/>
  <c r="P504" i="37"/>
  <c r="N505" i="37"/>
  <c r="P505" i="37"/>
  <c r="N506" i="37"/>
  <c r="P506" i="37"/>
  <c r="N507" i="37"/>
  <c r="P507" i="37"/>
  <c r="N508" i="37"/>
  <c r="P508" i="37"/>
  <c r="N509" i="37"/>
  <c r="P509" i="37"/>
  <c r="N510" i="37"/>
  <c r="P510" i="37"/>
  <c r="N511" i="37"/>
  <c r="P511" i="37"/>
  <c r="N512" i="37"/>
  <c r="P512" i="37"/>
  <c r="N513" i="37"/>
  <c r="P513" i="37"/>
  <c r="N514" i="37"/>
  <c r="P514" i="37"/>
  <c r="N515" i="37"/>
  <c r="P515" i="37"/>
  <c r="N516" i="37"/>
  <c r="P516" i="37"/>
  <c r="N517" i="37"/>
  <c r="P517" i="37"/>
  <c r="N518" i="37"/>
  <c r="P518" i="37"/>
  <c r="N519" i="37"/>
  <c r="P519" i="37"/>
  <c r="N520" i="37"/>
  <c r="P520" i="37"/>
  <c r="N521" i="37"/>
  <c r="P521" i="37"/>
  <c r="N522" i="37"/>
  <c r="P522" i="37"/>
  <c r="N523" i="37"/>
  <c r="P523" i="37"/>
  <c r="N531" i="37"/>
  <c r="P531" i="37"/>
  <c r="N540" i="37"/>
  <c r="P540" i="37"/>
  <c r="N541" i="37"/>
  <c r="P541" i="37"/>
  <c r="N542" i="37"/>
  <c r="P542" i="37"/>
  <c r="N543" i="37"/>
  <c r="P543" i="37"/>
  <c r="N544" i="37"/>
  <c r="P544" i="37"/>
  <c r="N545" i="37"/>
  <c r="P545" i="37"/>
  <c r="N546" i="37"/>
  <c r="P546" i="37"/>
  <c r="N547" i="37"/>
  <c r="P547" i="37"/>
  <c r="N548" i="37"/>
  <c r="P548" i="37"/>
  <c r="N549" i="37"/>
  <c r="P549" i="37"/>
  <c r="N550" i="37"/>
  <c r="P550" i="37"/>
  <c r="N551" i="37"/>
  <c r="P551" i="37"/>
  <c r="N552" i="37"/>
  <c r="P552" i="37"/>
  <c r="N553" i="37"/>
  <c r="P553" i="37"/>
  <c r="N554" i="37"/>
  <c r="P554" i="37"/>
  <c r="N555" i="37"/>
  <c r="P555" i="37"/>
  <c r="N556" i="37"/>
  <c r="P556" i="37"/>
  <c r="N557" i="37"/>
  <c r="P557" i="37"/>
  <c r="N558" i="37"/>
  <c r="P558" i="37"/>
  <c r="N559" i="37"/>
  <c r="P559" i="37"/>
  <c r="N560" i="37"/>
  <c r="P560" i="37"/>
  <c r="N561" i="37"/>
  <c r="P561" i="37"/>
  <c r="N562" i="37"/>
  <c r="P562" i="37"/>
  <c r="N563" i="37"/>
  <c r="P563" i="37"/>
  <c r="N564" i="37"/>
  <c r="P564" i="37"/>
  <c r="N565" i="37"/>
  <c r="P565" i="37"/>
  <c r="N571" i="37"/>
  <c r="P571" i="37"/>
  <c r="N582" i="37"/>
  <c r="P582" i="37"/>
  <c r="N583" i="37"/>
  <c r="P583" i="37"/>
  <c r="N584" i="37"/>
  <c r="P584" i="37"/>
  <c r="N585" i="37"/>
  <c r="P585" i="37"/>
  <c r="N586" i="37"/>
  <c r="P586" i="37"/>
  <c r="N587" i="37"/>
  <c r="P587" i="37"/>
  <c r="N588" i="37"/>
  <c r="P588" i="37"/>
  <c r="N589" i="37"/>
  <c r="P589" i="37"/>
  <c r="N590" i="37"/>
  <c r="P590" i="37"/>
  <c r="N591" i="37"/>
  <c r="P591" i="37"/>
  <c r="N592" i="37"/>
  <c r="P592" i="37"/>
  <c r="N593" i="37"/>
  <c r="P593" i="37"/>
  <c r="N594" i="37"/>
  <c r="P594" i="37"/>
  <c r="N595" i="37"/>
  <c r="P595" i="37"/>
  <c r="N596" i="37"/>
  <c r="P596" i="37"/>
  <c r="N597" i="37"/>
  <c r="P597" i="37"/>
  <c r="N598" i="37"/>
  <c r="P598" i="37"/>
  <c r="N599" i="37"/>
  <c r="P599" i="37"/>
  <c r="N600" i="37"/>
  <c r="P600" i="37"/>
  <c r="N601" i="37"/>
  <c r="P601" i="37"/>
  <c r="N602" i="37"/>
  <c r="P602" i="37"/>
  <c r="N603" i="37"/>
  <c r="P603" i="37"/>
  <c r="N604" i="37"/>
  <c r="P604" i="37"/>
  <c r="N605" i="37"/>
  <c r="P605" i="37"/>
  <c r="N606" i="37"/>
  <c r="P606" i="37"/>
  <c r="N607" i="37"/>
  <c r="P607" i="37"/>
  <c r="N612" i="37"/>
  <c r="P612" i="37"/>
  <c r="K83" i="21"/>
  <c r="K128" i="21"/>
  <c r="K67" i="39"/>
  <c r="N7" i="42"/>
  <c r="P7" i="42"/>
  <c r="N8" i="42"/>
  <c r="P8" i="42"/>
  <c r="N9" i="42"/>
  <c r="P9" i="42"/>
  <c r="N10" i="42"/>
  <c r="P10" i="42"/>
  <c r="N11" i="42"/>
  <c r="P11" i="42"/>
  <c r="N12" i="42"/>
  <c r="P12" i="42"/>
  <c r="N13" i="42"/>
  <c r="P13" i="42"/>
  <c r="N14" i="42"/>
  <c r="P14" i="42"/>
  <c r="N15" i="42"/>
  <c r="P15" i="42"/>
  <c r="N16" i="42"/>
  <c r="P16" i="42"/>
  <c r="N17" i="42"/>
  <c r="P17" i="42"/>
  <c r="N18" i="42"/>
  <c r="P18" i="42"/>
  <c r="N19" i="42"/>
  <c r="P19" i="42"/>
  <c r="N20" i="42"/>
  <c r="P20" i="42"/>
  <c r="N21" i="42"/>
  <c r="P21" i="42"/>
  <c r="N22" i="42"/>
  <c r="P22" i="42"/>
  <c r="N23" i="42"/>
  <c r="P23" i="42"/>
  <c r="N24" i="42"/>
  <c r="P24" i="42"/>
  <c r="N25" i="42"/>
  <c r="P25" i="42"/>
  <c r="N26" i="42"/>
  <c r="P26" i="42"/>
  <c r="N27" i="42"/>
  <c r="P27" i="42"/>
  <c r="N28" i="42"/>
  <c r="P28" i="42"/>
  <c r="N29" i="42"/>
  <c r="P29" i="42"/>
  <c r="N30" i="42"/>
  <c r="P30" i="42"/>
  <c r="N31" i="42"/>
  <c r="P31" i="42"/>
  <c r="N32" i="42"/>
  <c r="P32" i="42"/>
  <c r="K33" i="42"/>
  <c r="K38" i="42"/>
  <c r="N38" i="42"/>
  <c r="P38" i="42"/>
  <c r="N49" i="42"/>
  <c r="P49" i="42"/>
  <c r="K50" i="42"/>
  <c r="N50" i="42"/>
  <c r="P50" i="42"/>
  <c r="N51" i="42"/>
  <c r="P51" i="42"/>
  <c r="N52" i="42"/>
  <c r="P52" i="42"/>
  <c r="N53" i="42"/>
  <c r="P53" i="42"/>
  <c r="N54" i="42"/>
  <c r="P54" i="42"/>
  <c r="N55" i="42"/>
  <c r="P55" i="42"/>
  <c r="N56" i="42"/>
  <c r="P56" i="42"/>
  <c r="N57" i="42"/>
  <c r="P57" i="42"/>
  <c r="N58" i="42"/>
  <c r="P58" i="42"/>
  <c r="N59" i="42"/>
  <c r="P59" i="42"/>
  <c r="N60" i="42"/>
  <c r="P60" i="42"/>
  <c r="N61" i="42"/>
  <c r="P61" i="42"/>
  <c r="N62" i="42"/>
  <c r="P62" i="42"/>
  <c r="N63" i="42"/>
  <c r="P63" i="42"/>
  <c r="N64" i="42"/>
  <c r="P64" i="42"/>
  <c r="N65" i="42"/>
  <c r="P65" i="42"/>
  <c r="N66" i="42"/>
  <c r="P66" i="42"/>
  <c r="N67" i="42"/>
  <c r="P67" i="42"/>
  <c r="N68" i="42"/>
  <c r="P68" i="42"/>
  <c r="N69" i="42"/>
  <c r="P69" i="42"/>
  <c r="N70" i="42"/>
  <c r="P70" i="42"/>
  <c r="N71" i="42"/>
  <c r="P71" i="42"/>
  <c r="N72" i="42"/>
  <c r="P72" i="42"/>
  <c r="N73" i="42"/>
  <c r="P73" i="42"/>
  <c r="N74" i="42"/>
  <c r="P74" i="42"/>
  <c r="N91" i="42"/>
  <c r="P91" i="42"/>
  <c r="N92" i="42"/>
  <c r="P92" i="42"/>
  <c r="N93" i="42"/>
  <c r="P93" i="42"/>
  <c r="N94" i="42"/>
  <c r="P94" i="42"/>
  <c r="N95" i="42"/>
  <c r="P95" i="42"/>
  <c r="N96" i="42"/>
  <c r="P96" i="42"/>
  <c r="N97" i="42"/>
  <c r="P97" i="42"/>
  <c r="N98" i="42"/>
  <c r="P98" i="42"/>
  <c r="N99" i="42"/>
  <c r="P99" i="42"/>
  <c r="N100" i="42"/>
  <c r="P100" i="42"/>
  <c r="N101" i="42"/>
  <c r="P101" i="42"/>
  <c r="N102" i="42"/>
  <c r="P102" i="42"/>
  <c r="N103" i="42"/>
  <c r="P103" i="42"/>
  <c r="N104" i="42"/>
  <c r="P104" i="42"/>
  <c r="N105" i="42"/>
  <c r="P105" i="42"/>
  <c r="N106" i="42"/>
  <c r="P106" i="42"/>
  <c r="N107" i="42"/>
  <c r="P107" i="42"/>
  <c r="N108" i="42"/>
  <c r="P108" i="42"/>
  <c r="N109" i="42"/>
  <c r="P109" i="42"/>
  <c r="N110" i="42"/>
  <c r="P110" i="42"/>
  <c r="N111" i="42"/>
  <c r="P111" i="42"/>
  <c r="N112" i="42"/>
  <c r="P112" i="42"/>
  <c r="N113" i="42"/>
  <c r="P113" i="42"/>
  <c r="N114" i="42"/>
  <c r="P114" i="42"/>
  <c r="N115" i="42"/>
  <c r="P115" i="42"/>
  <c r="N116" i="42"/>
  <c r="P116" i="42"/>
  <c r="N120" i="42"/>
  <c r="P120" i="42"/>
  <c r="N132" i="42"/>
  <c r="P132" i="42"/>
  <c r="N133" i="42"/>
  <c r="P133" i="42"/>
  <c r="N134" i="42"/>
  <c r="P134" i="42"/>
  <c r="N135" i="42"/>
  <c r="P135" i="42"/>
  <c r="N136" i="42"/>
  <c r="P136" i="42"/>
  <c r="N137" i="42"/>
  <c r="P137" i="42"/>
  <c r="N138" i="42"/>
  <c r="P138" i="42"/>
  <c r="N139" i="42"/>
  <c r="P139" i="42"/>
  <c r="N140" i="42"/>
  <c r="P140" i="42"/>
  <c r="N141" i="42"/>
  <c r="P141" i="42"/>
  <c r="N142" i="42"/>
  <c r="P142" i="42"/>
  <c r="N143" i="42"/>
  <c r="P143" i="42"/>
  <c r="N144" i="42"/>
  <c r="P144" i="42"/>
  <c r="N145" i="42"/>
  <c r="P145" i="42"/>
  <c r="N146" i="42"/>
  <c r="P146" i="42"/>
  <c r="N147" i="42"/>
  <c r="P147" i="42"/>
  <c r="N148" i="42"/>
  <c r="P148" i="42"/>
  <c r="N149" i="42"/>
  <c r="P149" i="42"/>
  <c r="N150" i="42"/>
  <c r="P150" i="42"/>
  <c r="N151" i="42"/>
  <c r="P151" i="42"/>
  <c r="N152" i="42"/>
  <c r="P152" i="42"/>
  <c r="N153" i="42"/>
  <c r="P153" i="42"/>
  <c r="N154" i="42"/>
  <c r="P154" i="42"/>
  <c r="N155" i="42"/>
  <c r="P155" i="42"/>
  <c r="N156" i="42"/>
  <c r="P156" i="42"/>
  <c r="N157" i="42"/>
  <c r="P157" i="42"/>
  <c r="N162" i="42"/>
  <c r="P162" i="42"/>
  <c r="N174" i="42"/>
  <c r="P174" i="42"/>
  <c r="N175" i="42"/>
  <c r="P175" i="42"/>
  <c r="N176" i="42"/>
  <c r="P176" i="42"/>
  <c r="N177" i="42"/>
  <c r="P177" i="42"/>
  <c r="N178" i="42"/>
  <c r="P178" i="42"/>
  <c r="N179" i="42"/>
  <c r="P179" i="42"/>
  <c r="N180" i="42"/>
  <c r="P180" i="42"/>
  <c r="N181" i="42"/>
  <c r="P181" i="42"/>
  <c r="N182" i="42"/>
  <c r="P182" i="42"/>
  <c r="N183" i="42"/>
  <c r="P183" i="42"/>
  <c r="N184" i="42"/>
  <c r="P184" i="42"/>
  <c r="N185" i="42"/>
  <c r="P185" i="42"/>
  <c r="N186" i="42"/>
  <c r="P186" i="42"/>
  <c r="N187" i="42"/>
  <c r="P187" i="42"/>
  <c r="N188" i="42"/>
  <c r="P188" i="42"/>
  <c r="Q188" i="42"/>
  <c r="N189" i="42"/>
  <c r="P189" i="42"/>
  <c r="Q189" i="42"/>
  <c r="N190" i="42"/>
  <c r="P190" i="42"/>
  <c r="N191" i="42"/>
  <c r="P191" i="42"/>
  <c r="N192" i="42"/>
  <c r="P192" i="42"/>
  <c r="N193" i="42"/>
  <c r="P193" i="42"/>
  <c r="N194" i="42"/>
  <c r="P194" i="42"/>
  <c r="N195" i="42"/>
  <c r="P195" i="42"/>
  <c r="N196" i="42"/>
  <c r="P196" i="42"/>
  <c r="N197" i="42"/>
  <c r="P197" i="42"/>
  <c r="N198" i="42"/>
  <c r="P198" i="42"/>
  <c r="N199" i="42"/>
  <c r="P199" i="42"/>
  <c r="N207" i="42"/>
  <c r="P207" i="42"/>
  <c r="N216" i="42"/>
  <c r="P216" i="42"/>
  <c r="N217" i="42"/>
  <c r="P217" i="42"/>
  <c r="N218" i="42"/>
  <c r="P218" i="42"/>
  <c r="N219" i="42"/>
  <c r="P219" i="42"/>
  <c r="N220" i="42"/>
  <c r="P220" i="42"/>
  <c r="N221" i="42"/>
  <c r="P221" i="42"/>
  <c r="N222" i="42"/>
  <c r="P222" i="42"/>
  <c r="N223" i="42"/>
  <c r="P223" i="42"/>
  <c r="N224" i="42"/>
  <c r="P224" i="42"/>
  <c r="N225" i="42"/>
  <c r="P225" i="42"/>
  <c r="N226" i="42"/>
  <c r="P226" i="42"/>
  <c r="N227" i="42"/>
  <c r="P227" i="42"/>
  <c r="N228" i="42"/>
  <c r="P228" i="42"/>
  <c r="N229" i="42"/>
  <c r="P229" i="42"/>
  <c r="N230" i="42"/>
  <c r="P230" i="42"/>
  <c r="N231" i="42"/>
  <c r="P231" i="42"/>
  <c r="N232" i="42"/>
  <c r="P232" i="42"/>
  <c r="N233" i="42"/>
  <c r="P233" i="42"/>
  <c r="N234" i="42"/>
  <c r="P234" i="42"/>
  <c r="N235" i="42"/>
  <c r="P235" i="42"/>
  <c r="N236" i="42"/>
  <c r="P236" i="42"/>
  <c r="N237" i="42"/>
  <c r="P237" i="42"/>
  <c r="N238" i="42"/>
  <c r="P238" i="42"/>
  <c r="N239" i="42"/>
  <c r="P239" i="42"/>
  <c r="N240" i="42"/>
  <c r="P240" i="42"/>
  <c r="N241" i="42"/>
  <c r="P241" i="42"/>
  <c r="N246" i="42"/>
  <c r="P246" i="42"/>
  <c r="N258" i="42"/>
  <c r="P258" i="42"/>
  <c r="N259" i="42"/>
  <c r="P259" i="42"/>
  <c r="N260" i="42"/>
  <c r="P260" i="42"/>
  <c r="N261" i="42"/>
  <c r="P261" i="42"/>
  <c r="N262" i="42"/>
  <c r="P262" i="42"/>
  <c r="N263" i="42"/>
  <c r="P263" i="42"/>
  <c r="N264" i="42"/>
  <c r="P264" i="42"/>
  <c r="N265" i="42"/>
  <c r="P265" i="42"/>
  <c r="N266" i="42"/>
  <c r="P266" i="42"/>
  <c r="N267" i="42"/>
  <c r="P267" i="42"/>
  <c r="N268" i="42"/>
  <c r="P268" i="42"/>
  <c r="N269" i="42"/>
  <c r="P269" i="42"/>
  <c r="N270" i="42"/>
  <c r="P270" i="42"/>
  <c r="N271" i="42"/>
  <c r="P271" i="42"/>
  <c r="N272" i="42"/>
  <c r="P272" i="42"/>
  <c r="N273" i="42"/>
  <c r="P273" i="42"/>
  <c r="N274" i="42"/>
  <c r="P274" i="42"/>
  <c r="N275" i="42"/>
  <c r="P275" i="42"/>
  <c r="N276" i="42"/>
  <c r="P276" i="42"/>
  <c r="N277" i="42"/>
  <c r="P277" i="42"/>
  <c r="N278" i="42"/>
  <c r="P278" i="42"/>
  <c r="N279" i="42"/>
  <c r="P279" i="42"/>
  <c r="N280" i="42"/>
  <c r="P280" i="42"/>
  <c r="N281" i="42"/>
  <c r="P281" i="42"/>
  <c r="N282" i="42"/>
  <c r="P282" i="42"/>
  <c r="N283" i="42"/>
  <c r="P283" i="42"/>
  <c r="N289" i="42"/>
  <c r="P289" i="42"/>
  <c r="N300" i="42"/>
  <c r="P300" i="42"/>
  <c r="N301" i="42"/>
  <c r="P301" i="42"/>
  <c r="N302" i="42"/>
  <c r="P302" i="42"/>
  <c r="N303" i="42"/>
  <c r="P303" i="42"/>
  <c r="N304" i="42"/>
  <c r="P304" i="42"/>
  <c r="N305" i="42"/>
  <c r="P305" i="42"/>
  <c r="N306" i="42"/>
  <c r="P306" i="42"/>
  <c r="N307" i="42"/>
  <c r="P307" i="42"/>
  <c r="N308" i="42"/>
  <c r="P308" i="42"/>
  <c r="N309" i="42"/>
  <c r="P309" i="42"/>
  <c r="N310" i="42"/>
  <c r="P310" i="42"/>
  <c r="N311" i="42"/>
  <c r="P311" i="42"/>
  <c r="N312" i="42"/>
  <c r="P312" i="42"/>
  <c r="N313" i="42"/>
  <c r="P313" i="42"/>
  <c r="N314" i="42"/>
  <c r="P314" i="42"/>
  <c r="N315" i="42"/>
  <c r="P315" i="42"/>
  <c r="N316" i="42"/>
  <c r="P316" i="42"/>
  <c r="N317" i="42"/>
  <c r="P317" i="42"/>
  <c r="N318" i="42"/>
  <c r="P318" i="42"/>
  <c r="N319" i="42"/>
  <c r="P319" i="42"/>
  <c r="N320" i="42"/>
  <c r="P320" i="42"/>
  <c r="N321" i="42"/>
  <c r="P321" i="42"/>
  <c r="N322" i="42"/>
  <c r="P322" i="42"/>
  <c r="N323" i="42"/>
  <c r="P323" i="42"/>
  <c r="N324" i="42"/>
  <c r="P324" i="42"/>
  <c r="N325" i="42"/>
  <c r="P325" i="42"/>
  <c r="N334" i="42"/>
  <c r="P334" i="42"/>
  <c r="N342" i="42"/>
  <c r="P342" i="42"/>
  <c r="N343" i="42"/>
  <c r="P343" i="42"/>
  <c r="N344" i="42"/>
  <c r="P344" i="42"/>
  <c r="N345" i="42"/>
  <c r="P345" i="42"/>
  <c r="N346" i="42"/>
  <c r="P346" i="42"/>
  <c r="N347" i="42"/>
  <c r="P347" i="42"/>
  <c r="N348" i="42"/>
  <c r="P348" i="42"/>
  <c r="N349" i="42"/>
  <c r="P349" i="42"/>
  <c r="N350" i="42"/>
  <c r="P350" i="42"/>
  <c r="N351" i="42"/>
  <c r="P351" i="42"/>
  <c r="N352" i="42"/>
  <c r="P352" i="42"/>
  <c r="N353" i="42"/>
  <c r="P353" i="42"/>
  <c r="N354" i="42"/>
  <c r="P354" i="42"/>
  <c r="N355" i="42"/>
  <c r="P355" i="42"/>
  <c r="N356" i="42"/>
  <c r="P356" i="42"/>
  <c r="N357" i="42"/>
  <c r="P357" i="42"/>
  <c r="N358" i="42"/>
  <c r="P358" i="42"/>
  <c r="N359" i="42"/>
  <c r="P359" i="42"/>
  <c r="N360" i="42"/>
  <c r="P360" i="42"/>
  <c r="N361" i="42"/>
  <c r="P361" i="42"/>
  <c r="N362" i="42"/>
  <c r="P362" i="42"/>
  <c r="N363" i="42"/>
  <c r="P363" i="42"/>
  <c r="N364" i="42"/>
  <c r="P364" i="42"/>
  <c r="N365" i="42"/>
  <c r="P365" i="42"/>
  <c r="N366" i="42"/>
  <c r="P366" i="42"/>
  <c r="N367" i="42"/>
  <c r="P367" i="42"/>
  <c r="N373" i="42"/>
  <c r="P373" i="42"/>
  <c r="N384" i="42"/>
  <c r="P384" i="42"/>
  <c r="N385" i="42"/>
  <c r="P385" i="42"/>
  <c r="N386" i="42"/>
  <c r="P386" i="42"/>
  <c r="N387" i="42"/>
  <c r="P387" i="42"/>
  <c r="N388" i="42"/>
  <c r="P388" i="42"/>
  <c r="N389" i="42"/>
  <c r="P389" i="42"/>
  <c r="N390" i="42"/>
  <c r="P390" i="42"/>
  <c r="N391" i="42"/>
  <c r="P391" i="42"/>
  <c r="N392" i="42"/>
  <c r="P392" i="42"/>
  <c r="N393" i="42"/>
  <c r="P393" i="42"/>
  <c r="N394" i="42"/>
  <c r="P394" i="42"/>
  <c r="N395" i="42"/>
  <c r="P395" i="42"/>
  <c r="N396" i="42"/>
  <c r="P396" i="42"/>
  <c r="N397" i="42"/>
  <c r="P397" i="42"/>
  <c r="N398" i="42"/>
  <c r="P398" i="42"/>
  <c r="N399" i="42"/>
  <c r="P399" i="42"/>
  <c r="N400" i="42"/>
  <c r="P400" i="42"/>
  <c r="N401" i="42"/>
  <c r="P401" i="42"/>
  <c r="N402" i="42"/>
  <c r="P402" i="42"/>
  <c r="N403" i="42"/>
  <c r="P403" i="42"/>
  <c r="N404" i="42"/>
  <c r="P404" i="42"/>
  <c r="N405" i="42"/>
  <c r="P405" i="42"/>
  <c r="N406" i="42"/>
  <c r="P406" i="42"/>
  <c r="N407" i="42"/>
  <c r="P407" i="42"/>
  <c r="N408" i="42"/>
  <c r="P408" i="42"/>
  <c r="N409" i="42"/>
  <c r="P409" i="42"/>
  <c r="N416" i="42"/>
  <c r="P416" i="42"/>
  <c r="N426" i="42"/>
  <c r="P426" i="42"/>
  <c r="N427" i="42"/>
  <c r="P427" i="42"/>
  <c r="N428" i="42"/>
  <c r="P428" i="42"/>
  <c r="N429" i="42"/>
  <c r="P429" i="42"/>
  <c r="N430" i="42"/>
  <c r="P430" i="42"/>
  <c r="N431" i="42"/>
  <c r="P431" i="42"/>
  <c r="N432" i="42"/>
  <c r="P432" i="42"/>
  <c r="N433" i="42"/>
  <c r="P433" i="42"/>
  <c r="N434" i="42"/>
  <c r="P434" i="42"/>
  <c r="N435" i="42"/>
  <c r="P435" i="42"/>
  <c r="N436" i="42"/>
  <c r="P436" i="42"/>
  <c r="N437" i="42"/>
  <c r="P437" i="42"/>
  <c r="N438" i="42"/>
  <c r="P438" i="42"/>
  <c r="N439" i="42"/>
  <c r="P439" i="42"/>
  <c r="N440" i="42"/>
  <c r="P440" i="42"/>
  <c r="N441" i="42"/>
  <c r="P441" i="42"/>
  <c r="N442" i="42"/>
  <c r="P442" i="42"/>
  <c r="N443" i="42"/>
  <c r="P443" i="42"/>
  <c r="N444" i="42"/>
  <c r="P444" i="42"/>
  <c r="N445" i="42"/>
  <c r="P445" i="42"/>
  <c r="N446" i="42"/>
  <c r="P446" i="42"/>
  <c r="N447" i="42"/>
  <c r="P447" i="42"/>
  <c r="N448" i="42"/>
  <c r="P448" i="42"/>
  <c r="N449" i="42"/>
  <c r="P449" i="42"/>
  <c r="N450" i="42"/>
  <c r="P450" i="42"/>
  <c r="N451" i="42"/>
  <c r="P451" i="42"/>
  <c r="N459" i="42"/>
  <c r="P459" i="42"/>
  <c r="N468" i="42"/>
  <c r="P468" i="42"/>
  <c r="N469" i="42"/>
  <c r="P469" i="42"/>
  <c r="N470" i="42"/>
  <c r="P470" i="42"/>
  <c r="N471" i="42"/>
  <c r="P471" i="42"/>
  <c r="N472" i="42"/>
  <c r="P472" i="42"/>
  <c r="N473" i="42"/>
  <c r="P473" i="42"/>
  <c r="N474" i="42"/>
  <c r="P474" i="42"/>
  <c r="N475" i="42"/>
  <c r="P475" i="42"/>
  <c r="N476" i="42"/>
  <c r="P476" i="42"/>
  <c r="N477" i="42"/>
  <c r="P477" i="42"/>
  <c r="N478" i="42"/>
  <c r="P478" i="42"/>
  <c r="N479" i="42"/>
  <c r="P479" i="42"/>
  <c r="N480" i="42"/>
  <c r="P480" i="42"/>
  <c r="N481" i="42"/>
  <c r="P481" i="42"/>
  <c r="N482" i="42"/>
  <c r="P482" i="42"/>
  <c r="N483" i="42"/>
  <c r="P483" i="42"/>
  <c r="N484" i="42"/>
  <c r="P484" i="42"/>
  <c r="N485" i="42"/>
  <c r="P485" i="42"/>
  <c r="N486" i="42"/>
  <c r="P486" i="42"/>
  <c r="N487" i="42"/>
  <c r="P487" i="42"/>
  <c r="N488" i="42"/>
  <c r="P488" i="42"/>
  <c r="N489" i="42"/>
  <c r="P489" i="42"/>
  <c r="N490" i="42"/>
  <c r="P490" i="42"/>
  <c r="N491" i="42"/>
  <c r="P491" i="42"/>
  <c r="N492" i="42"/>
  <c r="P492" i="42"/>
  <c r="N493" i="42"/>
  <c r="P493" i="42"/>
  <c r="N501" i="42"/>
  <c r="P501" i="42"/>
  <c r="N510" i="42"/>
  <c r="P510" i="42"/>
  <c r="N511" i="42"/>
  <c r="P511" i="42"/>
  <c r="N512" i="42"/>
  <c r="P512" i="42"/>
  <c r="N513" i="42"/>
  <c r="P513" i="42"/>
  <c r="N514" i="42"/>
  <c r="P514" i="42"/>
  <c r="N515" i="42"/>
  <c r="P515" i="42"/>
  <c r="N516" i="42"/>
  <c r="P516" i="42"/>
  <c r="N517" i="42"/>
  <c r="P517" i="42"/>
  <c r="N518" i="42"/>
  <c r="P518" i="42"/>
  <c r="N519" i="42"/>
  <c r="P519" i="42"/>
  <c r="N520" i="42"/>
  <c r="P520" i="42"/>
  <c r="N521" i="42"/>
  <c r="P521" i="42"/>
  <c r="N522" i="42"/>
  <c r="P522" i="42"/>
  <c r="N523" i="42"/>
  <c r="P523" i="42"/>
  <c r="N524" i="42"/>
  <c r="P524" i="42"/>
  <c r="N525" i="42"/>
  <c r="P525" i="42"/>
  <c r="N526" i="42"/>
  <c r="P526" i="42"/>
  <c r="N527" i="42"/>
  <c r="P527" i="42"/>
  <c r="N528" i="42"/>
  <c r="P528" i="42"/>
  <c r="N529" i="42"/>
  <c r="P529" i="42"/>
  <c r="N530" i="42"/>
  <c r="P530" i="42"/>
  <c r="N531" i="42"/>
  <c r="P531" i="42"/>
  <c r="N532" i="42"/>
  <c r="P532" i="42"/>
  <c r="N533" i="42"/>
  <c r="P533" i="42"/>
  <c r="N534" i="42"/>
  <c r="P534" i="42"/>
  <c r="N535" i="42"/>
  <c r="P535" i="42"/>
  <c r="N543" i="42"/>
  <c r="P543" i="42"/>
  <c r="N552" i="42"/>
  <c r="P552" i="42"/>
  <c r="N553" i="42"/>
  <c r="P553" i="42"/>
  <c r="N554" i="42"/>
  <c r="P554" i="42"/>
  <c r="N555" i="42"/>
  <c r="P555" i="42"/>
  <c r="N556" i="42"/>
  <c r="P556" i="42"/>
  <c r="N557" i="42"/>
  <c r="P557" i="42"/>
  <c r="N558" i="42"/>
  <c r="P558" i="42"/>
  <c r="N559" i="42"/>
  <c r="P559" i="42"/>
  <c r="N560" i="42"/>
  <c r="P560" i="42"/>
  <c r="N561" i="42"/>
  <c r="P561" i="42"/>
  <c r="N562" i="42"/>
  <c r="P562" i="42"/>
  <c r="N563" i="42"/>
  <c r="P563" i="42"/>
  <c r="N564" i="42"/>
  <c r="P564" i="42"/>
  <c r="N565" i="42"/>
  <c r="P565" i="42"/>
  <c r="N566" i="42"/>
  <c r="P566" i="42"/>
  <c r="N567" i="42"/>
  <c r="P567" i="42"/>
  <c r="N568" i="42"/>
  <c r="P568" i="42"/>
  <c r="N569" i="42"/>
  <c r="P569" i="42"/>
  <c r="N570" i="42"/>
  <c r="P570" i="42"/>
  <c r="N571" i="42"/>
  <c r="P571" i="42"/>
  <c r="N572" i="42"/>
  <c r="P572" i="42"/>
  <c r="N573" i="42"/>
  <c r="P573" i="42"/>
  <c r="N574" i="42"/>
  <c r="P574" i="42"/>
  <c r="N575" i="42"/>
  <c r="P575" i="42"/>
  <c r="N576" i="42"/>
  <c r="P576" i="42"/>
  <c r="N577" i="42"/>
  <c r="P577" i="42"/>
  <c r="N583" i="42"/>
  <c r="P583" i="42"/>
  <c r="N594" i="42"/>
  <c r="P594" i="42"/>
  <c r="N595" i="42"/>
  <c r="P595" i="42"/>
  <c r="N596" i="42"/>
  <c r="P596" i="42"/>
  <c r="N597" i="42"/>
  <c r="P597" i="42"/>
  <c r="N598" i="42"/>
  <c r="P598" i="42"/>
  <c r="N599" i="42"/>
  <c r="P599" i="42"/>
  <c r="N600" i="42"/>
  <c r="P600" i="42"/>
  <c r="N601" i="42"/>
  <c r="P601" i="42"/>
  <c r="N602" i="42"/>
  <c r="P602" i="42"/>
  <c r="N603" i="42"/>
  <c r="P603" i="42"/>
  <c r="N604" i="42"/>
  <c r="P604" i="42"/>
  <c r="N605" i="42"/>
  <c r="P605" i="42"/>
  <c r="N606" i="42"/>
  <c r="P606" i="42"/>
  <c r="N607" i="42"/>
  <c r="P607" i="42"/>
  <c r="N608" i="42"/>
  <c r="P608" i="42"/>
  <c r="N609" i="42"/>
  <c r="P609" i="42"/>
  <c r="N610" i="42"/>
  <c r="P610" i="42"/>
  <c r="N611" i="42"/>
  <c r="P611" i="42"/>
  <c r="N612" i="42"/>
  <c r="P612" i="42"/>
  <c r="N613" i="42"/>
  <c r="P613" i="42"/>
  <c r="N614" i="42"/>
  <c r="P614" i="42"/>
  <c r="N615" i="42"/>
  <c r="P615" i="42"/>
  <c r="N616" i="42"/>
  <c r="P616" i="42"/>
  <c r="N617" i="42"/>
  <c r="P617" i="42"/>
  <c r="N618" i="42"/>
  <c r="P618" i="42"/>
  <c r="N619" i="42"/>
  <c r="P619" i="42"/>
  <c r="N624" i="42"/>
  <c r="P624" i="42"/>
  <c r="N7" i="40"/>
  <c r="P7" i="40"/>
  <c r="K8" i="40"/>
  <c r="N8" i="40"/>
  <c r="P8" i="40"/>
  <c r="N9" i="40"/>
  <c r="P9" i="40"/>
  <c r="N10" i="40"/>
  <c r="P10" i="40"/>
  <c r="K11" i="40"/>
  <c r="N11" i="40"/>
  <c r="P11" i="40"/>
  <c r="N12" i="40"/>
  <c r="P12" i="40"/>
  <c r="N13" i="40"/>
  <c r="P13" i="40"/>
  <c r="N14" i="40"/>
  <c r="P14" i="40"/>
  <c r="N15" i="40"/>
  <c r="P15" i="40"/>
  <c r="K16" i="40"/>
  <c r="N16" i="40"/>
  <c r="P16" i="40"/>
  <c r="K17" i="40"/>
  <c r="N17" i="40"/>
  <c r="P17" i="40"/>
  <c r="N18" i="40"/>
  <c r="P18" i="40"/>
  <c r="K19" i="40"/>
  <c r="N19" i="40"/>
  <c r="P19" i="40"/>
  <c r="N20" i="40"/>
  <c r="P20" i="40"/>
  <c r="K21" i="40"/>
  <c r="N21" i="40"/>
  <c r="P21" i="40"/>
  <c r="K22" i="40"/>
  <c r="N22" i="40"/>
  <c r="P22" i="40"/>
  <c r="N23" i="40"/>
  <c r="P23" i="40"/>
  <c r="N24" i="40"/>
  <c r="P24" i="40"/>
  <c r="N25" i="40"/>
  <c r="P25" i="40"/>
  <c r="N26" i="40"/>
  <c r="P26" i="40"/>
  <c r="N27" i="40"/>
  <c r="P27" i="40"/>
  <c r="N28" i="40"/>
  <c r="P28" i="40"/>
  <c r="N29" i="40"/>
  <c r="P29" i="40"/>
  <c r="N30" i="40"/>
  <c r="P30" i="40"/>
  <c r="N31" i="40"/>
  <c r="P31" i="40"/>
  <c r="N32" i="40"/>
  <c r="P32" i="40"/>
  <c r="N38" i="40"/>
  <c r="P38" i="40"/>
  <c r="N49" i="40"/>
  <c r="P49" i="40"/>
  <c r="N50" i="40"/>
  <c r="P50" i="40"/>
  <c r="N51" i="40"/>
  <c r="P51" i="40"/>
  <c r="N52" i="40"/>
  <c r="P52" i="40"/>
  <c r="N53" i="40"/>
  <c r="P53" i="40"/>
  <c r="N54" i="40"/>
  <c r="P54" i="40"/>
  <c r="N55" i="40"/>
  <c r="P55" i="40"/>
  <c r="N56" i="40"/>
  <c r="P56" i="40"/>
  <c r="N57" i="40"/>
  <c r="P57" i="40"/>
  <c r="N58" i="40"/>
  <c r="P58" i="40"/>
  <c r="N59" i="40"/>
  <c r="P59" i="40"/>
  <c r="N60" i="40"/>
  <c r="P60" i="40"/>
  <c r="N61" i="40"/>
  <c r="P61" i="40"/>
  <c r="N62" i="40"/>
  <c r="P62" i="40"/>
  <c r="N63" i="40"/>
  <c r="P63" i="40"/>
  <c r="N64" i="40"/>
  <c r="P64" i="40"/>
  <c r="N65" i="40"/>
  <c r="P65" i="40"/>
  <c r="N66" i="40"/>
  <c r="P66" i="40"/>
  <c r="N67" i="40"/>
  <c r="P67" i="40"/>
  <c r="N68" i="40"/>
  <c r="P68" i="40"/>
  <c r="N69" i="40"/>
  <c r="P69" i="40"/>
  <c r="N70" i="40"/>
  <c r="P70" i="40"/>
  <c r="N71" i="40"/>
  <c r="P71" i="40"/>
  <c r="N72" i="40"/>
  <c r="P72" i="40"/>
  <c r="N73" i="40"/>
  <c r="P73" i="40"/>
  <c r="N74" i="40"/>
  <c r="P74" i="40"/>
  <c r="N91" i="40"/>
  <c r="P91" i="40"/>
  <c r="N92" i="40"/>
  <c r="P92" i="40"/>
  <c r="N93" i="40"/>
  <c r="P93" i="40"/>
  <c r="N94" i="40"/>
  <c r="P94" i="40"/>
  <c r="N95" i="40"/>
  <c r="P95" i="40"/>
  <c r="N96" i="40"/>
  <c r="P96" i="40"/>
  <c r="N97" i="40"/>
  <c r="P97" i="40"/>
  <c r="N98" i="40"/>
  <c r="P98" i="40"/>
  <c r="N99" i="40"/>
  <c r="P99" i="40"/>
  <c r="N100" i="40"/>
  <c r="P100" i="40"/>
  <c r="N101" i="40"/>
  <c r="P101" i="40"/>
  <c r="N102" i="40"/>
  <c r="P102" i="40"/>
  <c r="N103" i="40"/>
  <c r="P103" i="40"/>
  <c r="N104" i="40"/>
  <c r="P104" i="40"/>
  <c r="N105" i="40"/>
  <c r="P105" i="40"/>
  <c r="N106" i="40"/>
  <c r="P106" i="40"/>
  <c r="N107" i="40"/>
  <c r="P107" i="40"/>
  <c r="N108" i="40"/>
  <c r="P108" i="40"/>
  <c r="N109" i="40"/>
  <c r="P109" i="40"/>
  <c r="N110" i="40"/>
  <c r="P110" i="40"/>
  <c r="N111" i="40"/>
  <c r="P111" i="40"/>
  <c r="N112" i="40"/>
  <c r="P112" i="40"/>
  <c r="N113" i="40"/>
  <c r="P113" i="40"/>
  <c r="N114" i="40"/>
  <c r="P114" i="40"/>
  <c r="N115" i="40"/>
  <c r="P115" i="40"/>
  <c r="N116" i="40"/>
  <c r="P116" i="40"/>
  <c r="N120" i="40"/>
  <c r="P120" i="40"/>
  <c r="N132" i="40"/>
  <c r="P132" i="40"/>
  <c r="N133" i="40"/>
  <c r="P133" i="40"/>
  <c r="N134" i="40"/>
  <c r="P134" i="40"/>
  <c r="N135" i="40"/>
  <c r="P135" i="40"/>
  <c r="N136" i="40"/>
  <c r="P136" i="40"/>
  <c r="N137" i="40"/>
  <c r="P137" i="40"/>
  <c r="N138" i="40"/>
  <c r="P138" i="40"/>
  <c r="N139" i="40"/>
  <c r="P139" i="40"/>
  <c r="N140" i="40"/>
  <c r="P140" i="40"/>
  <c r="N141" i="40"/>
  <c r="P141" i="40"/>
  <c r="N142" i="40"/>
  <c r="P142" i="40"/>
  <c r="N143" i="40"/>
  <c r="P143" i="40"/>
  <c r="N144" i="40"/>
  <c r="P144" i="40"/>
  <c r="N145" i="40"/>
  <c r="P145" i="40"/>
  <c r="N146" i="40"/>
  <c r="P146" i="40"/>
  <c r="N147" i="40"/>
  <c r="P147" i="40"/>
  <c r="N148" i="40"/>
  <c r="P148" i="40"/>
  <c r="N149" i="40"/>
  <c r="P149" i="40"/>
  <c r="N150" i="40"/>
  <c r="P150" i="40"/>
  <c r="N151" i="40"/>
  <c r="P151" i="40"/>
  <c r="N152" i="40"/>
  <c r="P152" i="40"/>
  <c r="N153" i="40"/>
  <c r="P153" i="40"/>
  <c r="N154" i="40"/>
  <c r="P154" i="40"/>
  <c r="N155" i="40"/>
  <c r="P155" i="40"/>
  <c r="N156" i="40"/>
  <c r="P156" i="40"/>
  <c r="N157" i="40"/>
  <c r="P157" i="40"/>
  <c r="N162" i="40"/>
  <c r="P162" i="40"/>
  <c r="N174" i="40"/>
  <c r="P174" i="40"/>
  <c r="N175" i="40"/>
  <c r="P175" i="40"/>
  <c r="N176" i="40"/>
  <c r="P176" i="40"/>
  <c r="N177" i="40"/>
  <c r="P177" i="40"/>
  <c r="N178" i="40"/>
  <c r="P178" i="40"/>
  <c r="N179" i="40"/>
  <c r="P179" i="40"/>
  <c r="N180" i="40"/>
  <c r="P180" i="40"/>
  <c r="N181" i="40"/>
  <c r="P181" i="40"/>
  <c r="N182" i="40"/>
  <c r="P182" i="40"/>
  <c r="N183" i="40"/>
  <c r="P183" i="40"/>
  <c r="N184" i="40"/>
  <c r="P184" i="40"/>
  <c r="N185" i="40"/>
  <c r="P185" i="40"/>
  <c r="N186" i="40"/>
  <c r="P186" i="40"/>
  <c r="N187" i="40"/>
  <c r="P187" i="40"/>
  <c r="N188" i="40"/>
  <c r="P188" i="40"/>
  <c r="Q188" i="40"/>
  <c r="N189" i="40"/>
  <c r="P189" i="40"/>
  <c r="Q189" i="40"/>
  <c r="N190" i="40"/>
  <c r="P190" i="40"/>
  <c r="N191" i="40"/>
  <c r="P191" i="40"/>
  <c r="N192" i="40"/>
  <c r="P192" i="40"/>
  <c r="N193" i="40"/>
  <c r="P193" i="40"/>
  <c r="N194" i="40"/>
  <c r="P194" i="40"/>
  <c r="N195" i="40"/>
  <c r="P195" i="40"/>
  <c r="N196" i="40"/>
  <c r="P196" i="40"/>
  <c r="N197" i="40"/>
  <c r="P197" i="40"/>
  <c r="N198" i="40"/>
  <c r="P198" i="40"/>
  <c r="N199" i="40"/>
  <c r="P199" i="40"/>
  <c r="N207" i="40"/>
  <c r="P207" i="40"/>
  <c r="N216" i="40"/>
  <c r="P216" i="40"/>
  <c r="N217" i="40"/>
  <c r="P217" i="40"/>
  <c r="N218" i="40"/>
  <c r="P218" i="40"/>
  <c r="N219" i="40"/>
  <c r="P219" i="40"/>
  <c r="N220" i="40"/>
  <c r="P220" i="40"/>
  <c r="N221" i="40"/>
  <c r="P221" i="40"/>
  <c r="N222" i="40"/>
  <c r="P222" i="40"/>
  <c r="N223" i="40"/>
  <c r="P223" i="40"/>
  <c r="N224" i="40"/>
  <c r="P224" i="40"/>
  <c r="N225" i="40"/>
  <c r="P225" i="40"/>
  <c r="N226" i="40"/>
  <c r="P226" i="40"/>
  <c r="N227" i="40"/>
  <c r="P227" i="40"/>
  <c r="N228" i="40"/>
  <c r="P228" i="40"/>
  <c r="N229" i="40"/>
  <c r="P229" i="40"/>
  <c r="N230" i="40"/>
  <c r="P230" i="40"/>
  <c r="N231" i="40"/>
  <c r="P231" i="40"/>
  <c r="N232" i="40"/>
  <c r="P232" i="40"/>
  <c r="N233" i="40"/>
  <c r="P233" i="40"/>
  <c r="N234" i="40"/>
  <c r="P234" i="40"/>
  <c r="N235" i="40"/>
  <c r="P235" i="40"/>
  <c r="N236" i="40"/>
  <c r="P236" i="40"/>
  <c r="N237" i="40"/>
  <c r="P237" i="40"/>
  <c r="N238" i="40"/>
  <c r="P238" i="40"/>
  <c r="N239" i="40"/>
  <c r="P239" i="40"/>
  <c r="N240" i="40"/>
  <c r="P240" i="40"/>
  <c r="N241" i="40"/>
  <c r="P241" i="40"/>
  <c r="N246" i="40"/>
  <c r="P246" i="40"/>
  <c r="N258" i="40"/>
  <c r="P258" i="40"/>
  <c r="N259" i="40"/>
  <c r="P259" i="40"/>
  <c r="N260" i="40"/>
  <c r="P260" i="40"/>
  <c r="N261" i="40"/>
  <c r="P261" i="40"/>
  <c r="N262" i="40"/>
  <c r="P262" i="40"/>
  <c r="N263" i="40"/>
  <c r="P263" i="40"/>
  <c r="N264" i="40"/>
  <c r="P264" i="40"/>
  <c r="N265" i="40"/>
  <c r="P265" i="40"/>
  <c r="N266" i="40"/>
  <c r="P266" i="40"/>
  <c r="N267" i="40"/>
  <c r="P267" i="40"/>
  <c r="N268" i="40"/>
  <c r="P268" i="40"/>
  <c r="N269" i="40"/>
  <c r="P269" i="40"/>
  <c r="N270" i="40"/>
  <c r="P270" i="40"/>
  <c r="N271" i="40"/>
  <c r="P271" i="40"/>
  <c r="N272" i="40"/>
  <c r="P272" i="40"/>
  <c r="N273" i="40"/>
  <c r="P273" i="40"/>
  <c r="N274" i="40"/>
  <c r="P274" i="40"/>
  <c r="N275" i="40"/>
  <c r="P275" i="40"/>
  <c r="N276" i="40"/>
  <c r="P276" i="40"/>
  <c r="N277" i="40"/>
  <c r="P277" i="40"/>
  <c r="N278" i="40"/>
  <c r="P278" i="40"/>
  <c r="N279" i="40"/>
  <c r="P279" i="40"/>
  <c r="N280" i="40"/>
  <c r="P280" i="40"/>
  <c r="N281" i="40"/>
  <c r="P281" i="40"/>
  <c r="N282" i="40"/>
  <c r="P282" i="40"/>
  <c r="N283" i="40"/>
  <c r="P283" i="40"/>
  <c r="N289" i="40"/>
  <c r="P289" i="40"/>
  <c r="N300" i="40"/>
  <c r="P300" i="40"/>
  <c r="N301" i="40"/>
  <c r="P301" i="40"/>
  <c r="N302" i="40"/>
  <c r="P302" i="40"/>
  <c r="N303" i="40"/>
  <c r="P303" i="40"/>
  <c r="N304" i="40"/>
  <c r="P304" i="40"/>
  <c r="N305" i="40"/>
  <c r="P305" i="40"/>
  <c r="N306" i="40"/>
  <c r="P306" i="40"/>
  <c r="N307" i="40"/>
  <c r="P307" i="40"/>
  <c r="N308" i="40"/>
  <c r="P308" i="40"/>
  <c r="N309" i="40"/>
  <c r="P309" i="40"/>
  <c r="N310" i="40"/>
  <c r="P310" i="40"/>
  <c r="N311" i="40"/>
  <c r="P311" i="40"/>
  <c r="N312" i="40"/>
  <c r="P312" i="40"/>
  <c r="N313" i="40"/>
  <c r="P313" i="40"/>
  <c r="N314" i="40"/>
  <c r="P314" i="40"/>
  <c r="N315" i="40"/>
  <c r="P315" i="40"/>
  <c r="N316" i="40"/>
  <c r="P316" i="40"/>
  <c r="N317" i="40"/>
  <c r="P317" i="40"/>
  <c r="N318" i="40"/>
  <c r="P318" i="40"/>
  <c r="N319" i="40"/>
  <c r="P319" i="40"/>
  <c r="N320" i="40"/>
  <c r="P320" i="40"/>
  <c r="N321" i="40"/>
  <c r="P321" i="40"/>
  <c r="N322" i="40"/>
  <c r="P322" i="40"/>
  <c r="N323" i="40"/>
  <c r="P323" i="40"/>
  <c r="N324" i="40"/>
  <c r="P324" i="40"/>
  <c r="N325" i="40"/>
  <c r="P325" i="40"/>
  <c r="N334" i="40"/>
  <c r="P334" i="40"/>
  <c r="N342" i="40"/>
  <c r="P342" i="40"/>
  <c r="N343" i="40"/>
  <c r="P343" i="40"/>
  <c r="N344" i="40"/>
  <c r="P344" i="40"/>
  <c r="N345" i="40"/>
  <c r="P345" i="40"/>
  <c r="N346" i="40"/>
  <c r="P346" i="40"/>
  <c r="N347" i="40"/>
  <c r="P347" i="40"/>
  <c r="N348" i="40"/>
  <c r="P348" i="40"/>
  <c r="N349" i="40"/>
  <c r="P349" i="40"/>
  <c r="N350" i="40"/>
  <c r="P350" i="40"/>
  <c r="N351" i="40"/>
  <c r="P351" i="40"/>
  <c r="N352" i="40"/>
  <c r="P352" i="40"/>
  <c r="N353" i="40"/>
  <c r="P353" i="40"/>
  <c r="N354" i="40"/>
  <c r="P354" i="40"/>
  <c r="N355" i="40"/>
  <c r="P355" i="40"/>
  <c r="N356" i="40"/>
  <c r="P356" i="40"/>
  <c r="N357" i="40"/>
  <c r="P357" i="40"/>
  <c r="N358" i="40"/>
  <c r="P358" i="40"/>
  <c r="N359" i="40"/>
  <c r="P359" i="40"/>
  <c r="N360" i="40"/>
  <c r="P360" i="40"/>
  <c r="N361" i="40"/>
  <c r="P361" i="40"/>
  <c r="N362" i="40"/>
  <c r="P362" i="40"/>
  <c r="N363" i="40"/>
  <c r="P363" i="40"/>
  <c r="N364" i="40"/>
  <c r="P364" i="40"/>
  <c r="N365" i="40"/>
  <c r="P365" i="40"/>
  <c r="N366" i="40"/>
  <c r="P366" i="40"/>
  <c r="N367" i="40"/>
  <c r="P367" i="40"/>
  <c r="N373" i="40"/>
  <c r="P373" i="40"/>
  <c r="N384" i="40"/>
  <c r="P384" i="40"/>
  <c r="N385" i="40"/>
  <c r="P385" i="40"/>
  <c r="N386" i="40"/>
  <c r="P386" i="40"/>
  <c r="N387" i="40"/>
  <c r="P387" i="40"/>
  <c r="N388" i="40"/>
  <c r="P388" i="40"/>
  <c r="N389" i="40"/>
  <c r="P389" i="40"/>
  <c r="N390" i="40"/>
  <c r="P390" i="40"/>
  <c r="N391" i="40"/>
  <c r="P391" i="40"/>
  <c r="N392" i="40"/>
  <c r="P392" i="40"/>
  <c r="N393" i="40"/>
  <c r="P393" i="40"/>
  <c r="N394" i="40"/>
  <c r="P394" i="40"/>
  <c r="N395" i="40"/>
  <c r="P395" i="40"/>
  <c r="N396" i="40"/>
  <c r="P396" i="40"/>
  <c r="N397" i="40"/>
  <c r="P397" i="40"/>
  <c r="N398" i="40"/>
  <c r="P398" i="40"/>
  <c r="N399" i="40"/>
  <c r="P399" i="40"/>
  <c r="N400" i="40"/>
  <c r="P400" i="40"/>
  <c r="N401" i="40"/>
  <c r="P401" i="40"/>
  <c r="N402" i="40"/>
  <c r="P402" i="40"/>
  <c r="N403" i="40"/>
  <c r="P403" i="40"/>
  <c r="N404" i="40"/>
  <c r="P404" i="40"/>
  <c r="N405" i="40"/>
  <c r="P405" i="40"/>
  <c r="N406" i="40"/>
  <c r="P406" i="40"/>
  <c r="N407" i="40"/>
  <c r="P407" i="40"/>
  <c r="N408" i="40"/>
  <c r="P408" i="40"/>
  <c r="N409" i="40"/>
  <c r="P409" i="40"/>
  <c r="N416" i="40"/>
  <c r="P416" i="40"/>
  <c r="N426" i="40"/>
  <c r="P426" i="40"/>
  <c r="N427" i="40"/>
  <c r="P427" i="40"/>
  <c r="N428" i="40"/>
  <c r="P428" i="40"/>
  <c r="N429" i="40"/>
  <c r="P429" i="40"/>
  <c r="N430" i="40"/>
  <c r="P430" i="40"/>
  <c r="N431" i="40"/>
  <c r="P431" i="40"/>
  <c r="N432" i="40"/>
  <c r="P432" i="40"/>
  <c r="N433" i="40"/>
  <c r="P433" i="40"/>
  <c r="N434" i="40"/>
  <c r="P434" i="40"/>
  <c r="N435" i="40"/>
  <c r="P435" i="40"/>
  <c r="N436" i="40"/>
  <c r="P436" i="40"/>
  <c r="N437" i="40"/>
  <c r="P437" i="40"/>
  <c r="N438" i="40"/>
  <c r="P438" i="40"/>
  <c r="N439" i="40"/>
  <c r="P439" i="40"/>
  <c r="N440" i="40"/>
  <c r="P440" i="40"/>
  <c r="N441" i="40"/>
  <c r="P441" i="40"/>
  <c r="N442" i="40"/>
  <c r="P442" i="40"/>
  <c r="N443" i="40"/>
  <c r="P443" i="40"/>
  <c r="N444" i="40"/>
  <c r="P444" i="40"/>
  <c r="N445" i="40"/>
  <c r="P445" i="40"/>
  <c r="N446" i="40"/>
  <c r="P446" i="40"/>
  <c r="N447" i="40"/>
  <c r="P447" i="40"/>
  <c r="N448" i="40"/>
  <c r="P448" i="40"/>
  <c r="N449" i="40"/>
  <c r="P449" i="40"/>
  <c r="N450" i="40"/>
  <c r="P450" i="40"/>
  <c r="N451" i="40"/>
  <c r="P451" i="40"/>
  <c r="N459" i="40"/>
  <c r="P459" i="40"/>
  <c r="N468" i="40"/>
  <c r="P468" i="40"/>
  <c r="N469" i="40"/>
  <c r="P469" i="40"/>
  <c r="N470" i="40"/>
  <c r="P470" i="40"/>
  <c r="N471" i="40"/>
  <c r="P471" i="40"/>
  <c r="N472" i="40"/>
  <c r="P472" i="40"/>
  <c r="N473" i="40"/>
  <c r="P473" i="40"/>
  <c r="N474" i="40"/>
  <c r="P474" i="40"/>
  <c r="N475" i="40"/>
  <c r="P475" i="40"/>
  <c r="N476" i="40"/>
  <c r="P476" i="40"/>
  <c r="N477" i="40"/>
  <c r="P477" i="40"/>
  <c r="N478" i="40"/>
  <c r="P478" i="40"/>
  <c r="N479" i="40"/>
  <c r="P479" i="40"/>
  <c r="N480" i="40"/>
  <c r="P480" i="40"/>
  <c r="N481" i="40"/>
  <c r="P481" i="40"/>
  <c r="N482" i="40"/>
  <c r="P482" i="40"/>
  <c r="N483" i="40"/>
  <c r="P483" i="40"/>
  <c r="N484" i="40"/>
  <c r="P484" i="40"/>
  <c r="N485" i="40"/>
  <c r="P485" i="40"/>
  <c r="N486" i="40"/>
  <c r="P486" i="40"/>
  <c r="N487" i="40"/>
  <c r="P487" i="40"/>
  <c r="N488" i="40"/>
  <c r="P488" i="40"/>
  <c r="N489" i="40"/>
  <c r="P489" i="40"/>
  <c r="N490" i="40"/>
  <c r="P490" i="40"/>
  <c r="N491" i="40"/>
  <c r="P491" i="40"/>
  <c r="N492" i="40"/>
  <c r="P492" i="40"/>
  <c r="N493" i="40"/>
  <c r="P493" i="40"/>
  <c r="N501" i="40"/>
  <c r="P501" i="40"/>
  <c r="N510" i="40"/>
  <c r="P510" i="40"/>
  <c r="N511" i="40"/>
  <c r="P511" i="40"/>
  <c r="N512" i="40"/>
  <c r="P512" i="40"/>
  <c r="N513" i="40"/>
  <c r="P513" i="40"/>
  <c r="N514" i="40"/>
  <c r="P514" i="40"/>
  <c r="N515" i="40"/>
  <c r="P515" i="40"/>
  <c r="N516" i="40"/>
  <c r="P516" i="40"/>
  <c r="N517" i="40"/>
  <c r="P517" i="40"/>
  <c r="N518" i="40"/>
  <c r="P518" i="40"/>
  <c r="N519" i="40"/>
  <c r="P519" i="40"/>
  <c r="N520" i="40"/>
  <c r="P520" i="40"/>
  <c r="N521" i="40"/>
  <c r="P521" i="40"/>
  <c r="N522" i="40"/>
  <c r="P522" i="40"/>
  <c r="N523" i="40"/>
  <c r="P523" i="40"/>
  <c r="N524" i="40"/>
  <c r="P524" i="40"/>
  <c r="N525" i="40"/>
  <c r="P525" i="40"/>
  <c r="N526" i="40"/>
  <c r="P526" i="40"/>
  <c r="N527" i="40"/>
  <c r="P527" i="40"/>
  <c r="N528" i="40"/>
  <c r="P528" i="40"/>
  <c r="N529" i="40"/>
  <c r="P529" i="40"/>
  <c r="N530" i="40"/>
  <c r="P530" i="40"/>
  <c r="N531" i="40"/>
  <c r="P531" i="40"/>
  <c r="N532" i="40"/>
  <c r="P532" i="40"/>
  <c r="N533" i="40"/>
  <c r="P533" i="40"/>
  <c r="N534" i="40"/>
  <c r="P534" i="40"/>
  <c r="N535" i="40"/>
  <c r="P535" i="40"/>
  <c r="N543" i="40"/>
  <c r="P543" i="40"/>
  <c r="N552" i="40"/>
  <c r="P552" i="40"/>
  <c r="N553" i="40"/>
  <c r="P553" i="40"/>
  <c r="N554" i="40"/>
  <c r="P554" i="40"/>
  <c r="N555" i="40"/>
  <c r="P555" i="40"/>
  <c r="N556" i="40"/>
  <c r="P556" i="40"/>
  <c r="N557" i="40"/>
  <c r="P557" i="40"/>
  <c r="N558" i="40"/>
  <c r="P558" i="40"/>
  <c r="N559" i="40"/>
  <c r="P559" i="40"/>
  <c r="N560" i="40"/>
  <c r="P560" i="40"/>
  <c r="N561" i="40"/>
  <c r="P561" i="40"/>
  <c r="N562" i="40"/>
  <c r="P562" i="40"/>
  <c r="N563" i="40"/>
  <c r="P563" i="40"/>
  <c r="N564" i="40"/>
  <c r="P564" i="40"/>
  <c r="N565" i="40"/>
  <c r="P565" i="40"/>
  <c r="N566" i="40"/>
  <c r="P566" i="40"/>
  <c r="N567" i="40"/>
  <c r="P567" i="40"/>
  <c r="N568" i="40"/>
  <c r="P568" i="40"/>
  <c r="N569" i="40"/>
  <c r="P569" i="40"/>
  <c r="N570" i="40"/>
  <c r="P570" i="40"/>
  <c r="N571" i="40"/>
  <c r="P571" i="40"/>
  <c r="N572" i="40"/>
  <c r="P572" i="40"/>
  <c r="N573" i="40"/>
  <c r="P573" i="40"/>
  <c r="N574" i="40"/>
  <c r="P574" i="40"/>
  <c r="N575" i="40"/>
  <c r="P575" i="40"/>
  <c r="N576" i="40"/>
  <c r="P576" i="40"/>
  <c r="N577" i="40"/>
  <c r="P577" i="40"/>
  <c r="N583" i="40"/>
  <c r="P583" i="40"/>
  <c r="N594" i="40"/>
  <c r="P594" i="40"/>
  <c r="N595" i="40"/>
  <c r="P595" i="40"/>
  <c r="N596" i="40"/>
  <c r="P596" i="40"/>
  <c r="N597" i="40"/>
  <c r="P597" i="40"/>
  <c r="N598" i="40"/>
  <c r="P598" i="40"/>
  <c r="N599" i="40"/>
  <c r="P599" i="40"/>
  <c r="N600" i="40"/>
  <c r="P600" i="40"/>
  <c r="N601" i="40"/>
  <c r="P601" i="40"/>
  <c r="N602" i="40"/>
  <c r="P602" i="40"/>
  <c r="N603" i="40"/>
  <c r="P603" i="40"/>
  <c r="N604" i="40"/>
  <c r="P604" i="40"/>
  <c r="N605" i="40"/>
  <c r="P605" i="40"/>
  <c r="N606" i="40"/>
  <c r="P606" i="40"/>
  <c r="N607" i="40"/>
  <c r="P607" i="40"/>
  <c r="N608" i="40"/>
  <c r="P608" i="40"/>
  <c r="N609" i="40"/>
  <c r="P609" i="40"/>
  <c r="N610" i="40"/>
  <c r="P610" i="40"/>
  <c r="N611" i="40"/>
  <c r="P611" i="40"/>
  <c r="N612" i="40"/>
  <c r="P612" i="40"/>
  <c r="N613" i="40"/>
  <c r="P613" i="40"/>
  <c r="N614" i="40"/>
  <c r="P614" i="40"/>
  <c r="N615" i="40"/>
  <c r="P615" i="40"/>
  <c r="N616" i="40"/>
  <c r="P616" i="40"/>
  <c r="N617" i="40"/>
  <c r="P617" i="40"/>
  <c r="N618" i="40"/>
  <c r="P618" i="40"/>
  <c r="N619" i="40"/>
  <c r="P619" i="40"/>
  <c r="N624" i="40"/>
  <c r="P624" i="40"/>
  <c r="N7" i="33"/>
  <c r="P7" i="33"/>
  <c r="N8" i="33"/>
  <c r="P8" i="33"/>
  <c r="N9" i="33"/>
  <c r="P9" i="33"/>
  <c r="N10" i="33"/>
  <c r="P10" i="33"/>
  <c r="N11" i="33"/>
  <c r="P11" i="33"/>
  <c r="N12" i="33"/>
  <c r="P12" i="33"/>
  <c r="N13" i="33"/>
  <c r="P13" i="33"/>
  <c r="N14" i="33"/>
  <c r="P14" i="33"/>
  <c r="N15" i="33"/>
  <c r="P15" i="33"/>
  <c r="N16" i="33"/>
  <c r="P16" i="33"/>
  <c r="N17" i="33"/>
  <c r="P17" i="33"/>
  <c r="N18" i="33"/>
  <c r="P18" i="33"/>
  <c r="N19" i="33"/>
  <c r="P19" i="33"/>
  <c r="N20" i="33"/>
  <c r="P20" i="33"/>
  <c r="N21" i="33"/>
  <c r="P21" i="33"/>
  <c r="N22" i="33"/>
  <c r="P22" i="33"/>
  <c r="N23" i="33"/>
  <c r="P23" i="33"/>
  <c r="N24" i="33"/>
  <c r="P24" i="33"/>
  <c r="N25" i="33"/>
  <c r="P25" i="33"/>
  <c r="N26" i="33"/>
  <c r="P26" i="33"/>
  <c r="N27" i="33"/>
  <c r="P27" i="33"/>
  <c r="N28" i="33"/>
  <c r="P28" i="33"/>
  <c r="N29" i="33"/>
  <c r="P29" i="33"/>
  <c r="N30" i="33"/>
  <c r="P30" i="33"/>
  <c r="N31" i="33"/>
  <c r="P31" i="33"/>
  <c r="N32" i="33"/>
  <c r="P32" i="33"/>
  <c r="N38" i="33"/>
  <c r="P38" i="33"/>
  <c r="N49" i="33"/>
  <c r="P49" i="33"/>
  <c r="N50" i="33"/>
  <c r="P50" i="33"/>
  <c r="N51" i="33"/>
  <c r="P51" i="33"/>
  <c r="N52" i="33"/>
  <c r="P52" i="33"/>
  <c r="N53" i="33"/>
  <c r="P53" i="33"/>
  <c r="N54" i="33"/>
  <c r="P54" i="33"/>
  <c r="N55" i="33"/>
  <c r="P55" i="33"/>
  <c r="N56" i="33"/>
  <c r="P56" i="33"/>
  <c r="N57" i="33"/>
  <c r="P57" i="33"/>
  <c r="N58" i="33"/>
  <c r="P58" i="33"/>
  <c r="N59" i="33"/>
  <c r="P59" i="33"/>
  <c r="N60" i="33"/>
  <c r="P60" i="33"/>
  <c r="N61" i="33"/>
  <c r="P61" i="33"/>
  <c r="N62" i="33"/>
  <c r="P62" i="33"/>
  <c r="N63" i="33"/>
  <c r="P63" i="33"/>
  <c r="N64" i="33"/>
  <c r="P64" i="33"/>
  <c r="N65" i="33"/>
  <c r="P65" i="33"/>
  <c r="N66" i="33"/>
  <c r="P66" i="33"/>
  <c r="N67" i="33"/>
  <c r="P67" i="33"/>
  <c r="N68" i="33"/>
  <c r="P68" i="33"/>
  <c r="N69" i="33"/>
  <c r="P69" i="33"/>
  <c r="N70" i="33"/>
  <c r="P70" i="33"/>
  <c r="N71" i="33"/>
  <c r="P71" i="33"/>
  <c r="N72" i="33"/>
  <c r="P72" i="33"/>
  <c r="N73" i="33"/>
  <c r="P73" i="33"/>
  <c r="N74" i="33"/>
  <c r="P74" i="33"/>
  <c r="N91" i="33"/>
  <c r="P91" i="33"/>
  <c r="N92" i="33"/>
  <c r="P92" i="33"/>
  <c r="N93" i="33"/>
  <c r="P93" i="33"/>
  <c r="N94" i="33"/>
  <c r="P94" i="33"/>
  <c r="N95" i="33"/>
  <c r="P95" i="33"/>
  <c r="N96" i="33"/>
  <c r="P96" i="33"/>
  <c r="N97" i="33"/>
  <c r="P97" i="33"/>
  <c r="N98" i="33"/>
  <c r="P98" i="33"/>
  <c r="N99" i="33"/>
  <c r="P99" i="33"/>
  <c r="N100" i="33"/>
  <c r="P100" i="33"/>
  <c r="N101" i="33"/>
  <c r="P101" i="33"/>
  <c r="N102" i="33"/>
  <c r="P102" i="33"/>
  <c r="N103" i="33"/>
  <c r="P103" i="33"/>
  <c r="N104" i="33"/>
  <c r="P104" i="33"/>
  <c r="N105" i="33"/>
  <c r="P105" i="33"/>
  <c r="N106" i="33"/>
  <c r="P106" i="33"/>
  <c r="N107" i="33"/>
  <c r="P107" i="33"/>
  <c r="N108" i="33"/>
  <c r="P108" i="33"/>
  <c r="N109" i="33"/>
  <c r="P109" i="33"/>
  <c r="N110" i="33"/>
  <c r="P110" i="33"/>
  <c r="N111" i="33"/>
  <c r="P111" i="33"/>
  <c r="N112" i="33"/>
  <c r="P112" i="33"/>
  <c r="N113" i="33"/>
  <c r="P113" i="33"/>
  <c r="N114" i="33"/>
  <c r="P114" i="33"/>
  <c r="N115" i="33"/>
  <c r="P115" i="33"/>
  <c r="N116" i="33"/>
  <c r="P116" i="33"/>
  <c r="N120" i="33"/>
  <c r="P120" i="33"/>
  <c r="N132" i="33"/>
  <c r="P132" i="33"/>
  <c r="N133" i="33"/>
  <c r="P133" i="33"/>
  <c r="N134" i="33"/>
  <c r="P134" i="33"/>
  <c r="N135" i="33"/>
  <c r="P135" i="33"/>
  <c r="N136" i="33"/>
  <c r="P136" i="33"/>
  <c r="N137" i="33"/>
  <c r="P137" i="33"/>
  <c r="N138" i="33"/>
  <c r="P138" i="33"/>
  <c r="N139" i="33"/>
  <c r="P139" i="33"/>
  <c r="N140" i="33"/>
  <c r="P140" i="33"/>
  <c r="N141" i="33"/>
  <c r="P141" i="33"/>
  <c r="N142" i="33"/>
  <c r="P142" i="33"/>
  <c r="N143" i="33"/>
  <c r="P143" i="33"/>
  <c r="N144" i="33"/>
  <c r="P144" i="33"/>
  <c r="N145" i="33"/>
  <c r="P145" i="33"/>
  <c r="N146" i="33"/>
  <c r="P146" i="33"/>
  <c r="N147" i="33"/>
  <c r="P147" i="33"/>
  <c r="N148" i="33"/>
  <c r="P148" i="33"/>
  <c r="N149" i="33"/>
  <c r="P149" i="33"/>
  <c r="N150" i="33"/>
  <c r="P150" i="33"/>
  <c r="N151" i="33"/>
  <c r="P151" i="33"/>
  <c r="N152" i="33"/>
  <c r="P152" i="33"/>
  <c r="N153" i="33"/>
  <c r="P153" i="33"/>
  <c r="N154" i="33"/>
  <c r="P154" i="33"/>
  <c r="N155" i="33"/>
  <c r="P155" i="33"/>
  <c r="N156" i="33"/>
  <c r="P156" i="33"/>
  <c r="N157" i="33"/>
  <c r="P157" i="33"/>
  <c r="N162" i="33"/>
  <c r="P162" i="33"/>
  <c r="N174" i="33"/>
  <c r="P174" i="33"/>
  <c r="N175" i="33"/>
  <c r="P175" i="33"/>
  <c r="N176" i="33"/>
  <c r="P176" i="33"/>
  <c r="N177" i="33"/>
  <c r="P177" i="33"/>
  <c r="N178" i="33"/>
  <c r="P178" i="33"/>
  <c r="N179" i="33"/>
  <c r="P179" i="33"/>
  <c r="N180" i="33"/>
  <c r="P180" i="33"/>
  <c r="N181" i="33"/>
  <c r="P181" i="33"/>
  <c r="N182" i="33"/>
  <c r="P182" i="33"/>
  <c r="N183" i="33"/>
  <c r="P183" i="33"/>
  <c r="N184" i="33"/>
  <c r="P184" i="33"/>
  <c r="N185" i="33"/>
  <c r="P185" i="33"/>
  <c r="N186" i="33"/>
  <c r="P186" i="33"/>
  <c r="N187" i="33"/>
  <c r="P187" i="33"/>
  <c r="N188" i="33"/>
  <c r="P188" i="33"/>
  <c r="Q188" i="33"/>
  <c r="N189" i="33"/>
  <c r="P189" i="33"/>
  <c r="Q189" i="33"/>
  <c r="N190" i="33"/>
  <c r="P190" i="33"/>
  <c r="N191" i="33"/>
  <c r="P191" i="33"/>
  <c r="N192" i="33"/>
  <c r="P192" i="33"/>
  <c r="N193" i="33"/>
  <c r="P193" i="33"/>
  <c r="N194" i="33"/>
  <c r="P194" i="33"/>
  <c r="N195" i="33"/>
  <c r="P195" i="33"/>
  <c r="N196" i="33"/>
  <c r="P196" i="33"/>
  <c r="N197" i="33"/>
  <c r="P197" i="33"/>
  <c r="N198" i="33"/>
  <c r="P198" i="33"/>
  <c r="N199" i="33"/>
  <c r="P199" i="33"/>
  <c r="N207" i="33"/>
  <c r="P207" i="33"/>
  <c r="N215" i="33"/>
  <c r="P215" i="33"/>
  <c r="N216" i="33"/>
  <c r="P216" i="33"/>
  <c r="N217" i="33"/>
  <c r="P217" i="33"/>
  <c r="N218" i="33"/>
  <c r="P218" i="33"/>
  <c r="N219" i="33"/>
  <c r="P219" i="33"/>
  <c r="N220" i="33"/>
  <c r="P220" i="33"/>
  <c r="N221" i="33"/>
  <c r="P221" i="33"/>
  <c r="N222" i="33"/>
  <c r="P222" i="33"/>
  <c r="N223" i="33"/>
  <c r="P223" i="33"/>
  <c r="N224" i="33"/>
  <c r="P224" i="33"/>
  <c r="N225" i="33"/>
  <c r="P225" i="33"/>
  <c r="N226" i="33"/>
  <c r="P226" i="33"/>
  <c r="N227" i="33"/>
  <c r="P227" i="33"/>
  <c r="N228" i="33"/>
  <c r="P228" i="33"/>
  <c r="N229" i="33"/>
  <c r="P229" i="33"/>
  <c r="N230" i="33"/>
  <c r="P230" i="33"/>
  <c r="N231" i="33"/>
  <c r="P231" i="33"/>
  <c r="N232" i="33"/>
  <c r="P232" i="33"/>
  <c r="N233" i="33"/>
  <c r="P233" i="33"/>
  <c r="N234" i="33"/>
  <c r="P234" i="33"/>
  <c r="N235" i="33"/>
  <c r="P235" i="33"/>
  <c r="N236" i="33"/>
  <c r="P236" i="33"/>
  <c r="N237" i="33"/>
  <c r="P237" i="33"/>
  <c r="N238" i="33"/>
  <c r="P238" i="33"/>
  <c r="N239" i="33"/>
  <c r="P239" i="33"/>
  <c r="N240" i="33"/>
  <c r="P240" i="33"/>
  <c r="N245" i="33"/>
  <c r="P245" i="33"/>
  <c r="N257" i="33"/>
  <c r="P257" i="33"/>
  <c r="N258" i="33"/>
  <c r="P258" i="33"/>
  <c r="N259" i="33"/>
  <c r="P259" i="33"/>
  <c r="N260" i="33"/>
  <c r="P260" i="33"/>
  <c r="N261" i="33"/>
  <c r="P261" i="33"/>
  <c r="N262" i="33"/>
  <c r="P262" i="33"/>
  <c r="N263" i="33"/>
  <c r="P263" i="33"/>
  <c r="N264" i="33"/>
  <c r="P264" i="33"/>
  <c r="N265" i="33"/>
  <c r="P265" i="33"/>
  <c r="N266" i="33"/>
  <c r="P266" i="33"/>
  <c r="N267" i="33"/>
  <c r="P267" i="33"/>
  <c r="N268" i="33"/>
  <c r="P268" i="33"/>
  <c r="N269" i="33"/>
  <c r="P269" i="33"/>
  <c r="N270" i="33"/>
  <c r="P270" i="33"/>
  <c r="N271" i="33"/>
  <c r="P271" i="33"/>
  <c r="N272" i="33"/>
  <c r="P272" i="33"/>
  <c r="N273" i="33"/>
  <c r="P273" i="33"/>
  <c r="N274" i="33"/>
  <c r="P274" i="33"/>
  <c r="N275" i="33"/>
  <c r="P275" i="33"/>
  <c r="N276" i="33"/>
  <c r="P276" i="33"/>
  <c r="N277" i="33"/>
  <c r="P277" i="33"/>
  <c r="N278" i="33"/>
  <c r="P278" i="33"/>
  <c r="N279" i="33"/>
  <c r="P279" i="33"/>
  <c r="N280" i="33"/>
  <c r="P280" i="33"/>
  <c r="N281" i="33"/>
  <c r="P281" i="33"/>
  <c r="N282" i="33"/>
  <c r="P282" i="33"/>
  <c r="N288" i="33"/>
  <c r="P288" i="33"/>
  <c r="N299" i="33"/>
  <c r="P299" i="33"/>
  <c r="N300" i="33"/>
  <c r="P300" i="33"/>
  <c r="N301" i="33"/>
  <c r="P301" i="33"/>
  <c r="N302" i="33"/>
  <c r="P302" i="33"/>
  <c r="N303" i="33"/>
  <c r="P303" i="33"/>
  <c r="N304" i="33"/>
  <c r="P304" i="33"/>
  <c r="N305" i="33"/>
  <c r="P305" i="33"/>
  <c r="N306" i="33"/>
  <c r="P306" i="33"/>
  <c r="N307" i="33"/>
  <c r="P307" i="33"/>
  <c r="N308" i="33"/>
  <c r="P308" i="33"/>
  <c r="N309" i="33"/>
  <c r="P309" i="33"/>
  <c r="N310" i="33"/>
  <c r="P310" i="33"/>
  <c r="N311" i="33"/>
  <c r="P311" i="33"/>
  <c r="N312" i="33"/>
  <c r="P312" i="33"/>
  <c r="N313" i="33"/>
  <c r="P313" i="33"/>
  <c r="N314" i="33"/>
  <c r="P314" i="33"/>
  <c r="N315" i="33"/>
  <c r="P315" i="33"/>
  <c r="N316" i="33"/>
  <c r="P316" i="33"/>
  <c r="N317" i="33"/>
  <c r="P317" i="33"/>
  <c r="N318" i="33"/>
  <c r="P318" i="33"/>
  <c r="N319" i="33"/>
  <c r="P319" i="33"/>
  <c r="N320" i="33"/>
  <c r="P320" i="33"/>
  <c r="N321" i="33"/>
  <c r="P321" i="33"/>
  <c r="N322" i="33"/>
  <c r="P322" i="33"/>
  <c r="N323" i="33"/>
  <c r="P323" i="33"/>
  <c r="N324" i="33"/>
  <c r="P324" i="33"/>
  <c r="N333" i="33"/>
  <c r="P333" i="33"/>
  <c r="N341" i="33"/>
  <c r="P341" i="33"/>
  <c r="N342" i="33"/>
  <c r="P342" i="33"/>
  <c r="N343" i="33"/>
  <c r="P343" i="33"/>
  <c r="N344" i="33"/>
  <c r="P344" i="33"/>
  <c r="N345" i="33"/>
  <c r="P345" i="33"/>
  <c r="N346" i="33"/>
  <c r="P346" i="33"/>
  <c r="N347" i="33"/>
  <c r="P347" i="33"/>
  <c r="N348" i="33"/>
  <c r="P348" i="33"/>
  <c r="N349" i="33"/>
  <c r="P349" i="33"/>
  <c r="N350" i="33"/>
  <c r="P350" i="33"/>
  <c r="N351" i="33"/>
  <c r="P351" i="33"/>
  <c r="N352" i="33"/>
  <c r="P352" i="33"/>
  <c r="N353" i="33"/>
  <c r="P353" i="33"/>
  <c r="N354" i="33"/>
  <c r="P354" i="33"/>
  <c r="N355" i="33"/>
  <c r="P355" i="33"/>
  <c r="N356" i="33"/>
  <c r="P356" i="33"/>
  <c r="N357" i="33"/>
  <c r="P357" i="33"/>
  <c r="N358" i="33"/>
  <c r="P358" i="33"/>
  <c r="N359" i="33"/>
  <c r="P359" i="33"/>
  <c r="N360" i="33"/>
  <c r="P360" i="33"/>
  <c r="N361" i="33"/>
  <c r="P361" i="33"/>
  <c r="N362" i="33"/>
  <c r="P362" i="33"/>
  <c r="N363" i="33"/>
  <c r="P363" i="33"/>
  <c r="N364" i="33"/>
  <c r="P364" i="33"/>
  <c r="N365" i="33"/>
  <c r="P365" i="33"/>
  <c r="N366" i="33"/>
  <c r="P366" i="33"/>
  <c r="N372" i="33"/>
  <c r="P372" i="33"/>
  <c r="N383" i="33"/>
  <c r="P383" i="33"/>
  <c r="N384" i="33"/>
  <c r="P384" i="33"/>
  <c r="N385" i="33"/>
  <c r="P385" i="33"/>
  <c r="N386" i="33"/>
  <c r="P386" i="33"/>
  <c r="N387" i="33"/>
  <c r="P387" i="33"/>
  <c r="N388" i="33"/>
  <c r="P388" i="33"/>
  <c r="N389" i="33"/>
  <c r="P389" i="33"/>
  <c r="N390" i="33"/>
  <c r="P390" i="33"/>
  <c r="N391" i="33"/>
  <c r="P391" i="33"/>
  <c r="N392" i="33"/>
  <c r="P392" i="33"/>
  <c r="N393" i="33"/>
  <c r="P393" i="33"/>
  <c r="N394" i="33"/>
  <c r="P394" i="33"/>
  <c r="N395" i="33"/>
  <c r="P395" i="33"/>
  <c r="N396" i="33"/>
  <c r="P396" i="33"/>
  <c r="N397" i="33"/>
  <c r="P397" i="33"/>
  <c r="N398" i="33"/>
  <c r="P398" i="33"/>
  <c r="N399" i="33"/>
  <c r="P399" i="33"/>
  <c r="N400" i="33"/>
  <c r="P400" i="33"/>
  <c r="N401" i="33"/>
  <c r="P401" i="33"/>
  <c r="N402" i="33"/>
  <c r="P402" i="33"/>
  <c r="N403" i="33"/>
  <c r="P403" i="33"/>
  <c r="N404" i="33"/>
  <c r="P404" i="33"/>
  <c r="N405" i="33"/>
  <c r="P405" i="33"/>
  <c r="N406" i="33"/>
  <c r="P406" i="33"/>
  <c r="N407" i="33"/>
  <c r="P407" i="33"/>
  <c r="N408" i="33"/>
  <c r="P408" i="33"/>
  <c r="N415" i="33"/>
  <c r="P415" i="33"/>
  <c r="N425" i="33"/>
  <c r="P425" i="33"/>
  <c r="N426" i="33"/>
  <c r="P426" i="33"/>
  <c r="N427" i="33"/>
  <c r="P427" i="33"/>
  <c r="N428" i="33"/>
  <c r="P428" i="33"/>
  <c r="N429" i="33"/>
  <c r="P429" i="33"/>
  <c r="N430" i="33"/>
  <c r="P430" i="33"/>
  <c r="N431" i="33"/>
  <c r="P431" i="33"/>
  <c r="N432" i="33"/>
  <c r="P432" i="33"/>
  <c r="N433" i="33"/>
  <c r="P433" i="33"/>
  <c r="N434" i="33"/>
  <c r="P434" i="33"/>
  <c r="N435" i="33"/>
  <c r="P435" i="33"/>
  <c r="N436" i="33"/>
  <c r="P436" i="33"/>
  <c r="N437" i="33"/>
  <c r="P437" i="33"/>
  <c r="N438" i="33"/>
  <c r="P438" i="33"/>
  <c r="N439" i="33"/>
  <c r="P439" i="33"/>
  <c r="N440" i="33"/>
  <c r="P440" i="33"/>
  <c r="N441" i="33"/>
  <c r="P441" i="33"/>
  <c r="N442" i="33"/>
  <c r="P442" i="33"/>
  <c r="N443" i="33"/>
  <c r="P443" i="33"/>
  <c r="N444" i="33"/>
  <c r="P444" i="33"/>
  <c r="N445" i="33"/>
  <c r="P445" i="33"/>
  <c r="N446" i="33"/>
  <c r="P446" i="33"/>
  <c r="N447" i="33"/>
  <c r="P447" i="33"/>
  <c r="N448" i="33"/>
  <c r="P448" i="33"/>
  <c r="N449" i="33"/>
  <c r="P449" i="33"/>
  <c r="N450" i="33"/>
  <c r="P450" i="33"/>
  <c r="N458" i="33"/>
  <c r="P458" i="33"/>
  <c r="N467" i="33"/>
  <c r="P467" i="33"/>
  <c r="N468" i="33"/>
  <c r="P468" i="33"/>
  <c r="N469" i="33"/>
  <c r="P469" i="33"/>
  <c r="N470" i="33"/>
  <c r="P470" i="33"/>
  <c r="N471" i="33"/>
  <c r="P471" i="33"/>
  <c r="N472" i="33"/>
  <c r="P472" i="33"/>
  <c r="N473" i="33"/>
  <c r="P473" i="33"/>
  <c r="N474" i="33"/>
  <c r="P474" i="33"/>
  <c r="N475" i="33"/>
  <c r="P475" i="33"/>
  <c r="N476" i="33"/>
  <c r="P476" i="33"/>
  <c r="N477" i="33"/>
  <c r="P477" i="33"/>
  <c r="N478" i="33"/>
  <c r="P478" i="33"/>
  <c r="N479" i="33"/>
  <c r="P479" i="33"/>
  <c r="N480" i="33"/>
  <c r="P480" i="33"/>
  <c r="N481" i="33"/>
  <c r="P481" i="33"/>
  <c r="N482" i="33"/>
  <c r="P482" i="33"/>
  <c r="N483" i="33"/>
  <c r="P483" i="33"/>
  <c r="N484" i="33"/>
  <c r="P484" i="33"/>
  <c r="N485" i="33"/>
  <c r="P485" i="33"/>
  <c r="N486" i="33"/>
  <c r="P486" i="33"/>
  <c r="N487" i="33"/>
  <c r="P487" i="33"/>
  <c r="N488" i="33"/>
  <c r="P488" i="33"/>
  <c r="N489" i="33"/>
  <c r="P489" i="33"/>
  <c r="N490" i="33"/>
  <c r="P490" i="33"/>
  <c r="N491" i="33"/>
  <c r="P491" i="33"/>
  <c r="N492" i="33"/>
  <c r="P492" i="33"/>
  <c r="N500" i="33"/>
  <c r="P500" i="33"/>
  <c r="N509" i="33"/>
  <c r="P509" i="33"/>
  <c r="N510" i="33"/>
  <c r="P510" i="33"/>
  <c r="N511" i="33"/>
  <c r="P511" i="33"/>
  <c r="N512" i="33"/>
  <c r="P512" i="33"/>
  <c r="N513" i="33"/>
  <c r="P513" i="33"/>
  <c r="N514" i="33"/>
  <c r="P514" i="33"/>
  <c r="N515" i="33"/>
  <c r="P515" i="33"/>
  <c r="N516" i="33"/>
  <c r="P516" i="33"/>
  <c r="N517" i="33"/>
  <c r="P517" i="33"/>
  <c r="N518" i="33"/>
  <c r="P518" i="33"/>
  <c r="N519" i="33"/>
  <c r="P519" i="33"/>
  <c r="N520" i="33"/>
  <c r="P520" i="33"/>
  <c r="N521" i="33"/>
  <c r="P521" i="33"/>
  <c r="N522" i="33"/>
  <c r="P522" i="33"/>
  <c r="N523" i="33"/>
  <c r="P523" i="33"/>
  <c r="N524" i="33"/>
  <c r="P524" i="33"/>
  <c r="N525" i="33"/>
  <c r="P525" i="33"/>
  <c r="N526" i="33"/>
  <c r="P526" i="33"/>
  <c r="N527" i="33"/>
  <c r="P527" i="33"/>
  <c r="N528" i="33"/>
  <c r="P528" i="33"/>
  <c r="N529" i="33"/>
  <c r="P529" i="33"/>
  <c r="N530" i="33"/>
  <c r="P530" i="33"/>
  <c r="N531" i="33"/>
  <c r="P531" i="33"/>
  <c r="N532" i="33"/>
  <c r="P532" i="33"/>
  <c r="N533" i="33"/>
  <c r="P533" i="33"/>
  <c r="N534" i="33"/>
  <c r="P534" i="33"/>
  <c r="N542" i="33"/>
  <c r="P542" i="33"/>
  <c r="N551" i="33"/>
  <c r="P551" i="33"/>
  <c r="N552" i="33"/>
  <c r="P552" i="33"/>
  <c r="N553" i="33"/>
  <c r="P553" i="33"/>
  <c r="N554" i="33"/>
  <c r="P554" i="33"/>
  <c r="N555" i="33"/>
  <c r="P555" i="33"/>
  <c r="N556" i="33"/>
  <c r="P556" i="33"/>
  <c r="N557" i="33"/>
  <c r="P557" i="33"/>
  <c r="N558" i="33"/>
  <c r="P558" i="33"/>
  <c r="N559" i="33"/>
  <c r="P559" i="33"/>
  <c r="N560" i="33"/>
  <c r="P560" i="33"/>
  <c r="N561" i="33"/>
  <c r="P561" i="33"/>
  <c r="N562" i="33"/>
  <c r="P562" i="33"/>
  <c r="N563" i="33"/>
  <c r="P563" i="33"/>
  <c r="N564" i="33"/>
  <c r="P564" i="33"/>
  <c r="N565" i="33"/>
  <c r="P565" i="33"/>
  <c r="N566" i="33"/>
  <c r="P566" i="33"/>
  <c r="N567" i="33"/>
  <c r="P567" i="33"/>
  <c r="N568" i="33"/>
  <c r="P568" i="33"/>
  <c r="N569" i="33"/>
  <c r="P569" i="33"/>
  <c r="N570" i="33"/>
  <c r="P570" i="33"/>
  <c r="N571" i="33"/>
  <c r="P571" i="33"/>
  <c r="N572" i="33"/>
  <c r="P572" i="33"/>
  <c r="N573" i="33"/>
  <c r="P573" i="33"/>
  <c r="N574" i="33"/>
  <c r="P574" i="33"/>
  <c r="N575" i="33"/>
  <c r="P575" i="33"/>
  <c r="N576" i="33"/>
  <c r="P576" i="33"/>
  <c r="N582" i="33"/>
  <c r="P582" i="33"/>
  <c r="N593" i="33"/>
  <c r="P593" i="33"/>
  <c r="N594" i="33"/>
  <c r="P594" i="33"/>
  <c r="N595" i="33"/>
  <c r="P595" i="33"/>
  <c r="N596" i="33"/>
  <c r="P596" i="33"/>
  <c r="N597" i="33"/>
  <c r="P597" i="33"/>
  <c r="N598" i="33"/>
  <c r="P598" i="33"/>
  <c r="N599" i="33"/>
  <c r="P599" i="33"/>
  <c r="N600" i="33"/>
  <c r="P600" i="33"/>
  <c r="N601" i="33"/>
  <c r="P601" i="33"/>
  <c r="N602" i="33"/>
  <c r="P602" i="33"/>
  <c r="N603" i="33"/>
  <c r="P603" i="33"/>
  <c r="N604" i="33"/>
  <c r="P604" i="33"/>
  <c r="N605" i="33"/>
  <c r="P605" i="33"/>
  <c r="N606" i="33"/>
  <c r="P606" i="33"/>
  <c r="N607" i="33"/>
  <c r="P607" i="33"/>
  <c r="N608" i="33"/>
  <c r="P608" i="33"/>
  <c r="N609" i="33"/>
  <c r="P609" i="33"/>
  <c r="N610" i="33"/>
  <c r="P610" i="33"/>
  <c r="N611" i="33"/>
  <c r="P611" i="33"/>
  <c r="N612" i="33"/>
  <c r="P612" i="33"/>
  <c r="N613" i="33"/>
  <c r="P613" i="33"/>
  <c r="N614" i="33"/>
  <c r="P614" i="33"/>
  <c r="N615" i="33"/>
  <c r="P615" i="33"/>
  <c r="N616" i="33"/>
  <c r="P616" i="33"/>
  <c r="N617" i="33"/>
  <c r="P617" i="33"/>
  <c r="N618" i="33"/>
  <c r="P618" i="33"/>
  <c r="N623" i="33"/>
  <c r="P623" i="33"/>
  <c r="N8" i="38"/>
  <c r="O8" i="38"/>
  <c r="Q8" i="38"/>
  <c r="N11" i="38"/>
  <c r="O11" i="38"/>
  <c r="Q11" i="38"/>
  <c r="N22" i="38"/>
  <c r="O22" i="38"/>
  <c r="Q22" i="38"/>
  <c r="K26" i="38"/>
  <c r="N43" i="38"/>
  <c r="Q43" i="38"/>
  <c r="N45" i="38"/>
  <c r="Q45" i="38"/>
  <c r="N49" i="38"/>
  <c r="Q49" i="38"/>
  <c r="N50" i="38"/>
  <c r="Q50" i="38"/>
  <c r="N51" i="38"/>
  <c r="Q51" i="38"/>
  <c r="N52" i="38"/>
  <c r="Q52" i="38"/>
  <c r="N53" i="38"/>
  <c r="Q53" i="38"/>
  <c r="N54" i="38"/>
  <c r="Q54" i="38"/>
  <c r="N55" i="38"/>
  <c r="Q55" i="38"/>
  <c r="N57" i="38"/>
  <c r="Q57" i="38"/>
  <c r="N59" i="38"/>
  <c r="Q59" i="38"/>
  <c r="N60" i="38"/>
  <c r="Q60" i="38"/>
  <c r="N61" i="38"/>
  <c r="Q61" i="38"/>
  <c r="N62" i="38"/>
  <c r="Q62" i="38"/>
  <c r="N63" i="38"/>
  <c r="Q63" i="38"/>
  <c r="N66" i="38"/>
  <c r="Q66" i="38"/>
  <c r="N67" i="38"/>
  <c r="Q67" i="38"/>
  <c r="N68" i="38"/>
  <c r="Q68" i="38"/>
  <c r="N69" i="38"/>
  <c r="Q69" i="38"/>
  <c r="N70" i="38"/>
  <c r="Q70" i="38"/>
  <c r="N71" i="38"/>
  <c r="Q71" i="38"/>
  <c r="P127" i="38"/>
  <c r="R127" i="38"/>
  <c r="S127" i="38"/>
  <c r="P128" i="38"/>
  <c r="R128" i="38"/>
  <c r="S128" i="38"/>
  <c r="P129" i="38"/>
  <c r="R129" i="38"/>
  <c r="S129" i="38"/>
  <c r="P130" i="38"/>
  <c r="R130" i="38"/>
  <c r="S130" i="38"/>
  <c r="P131" i="38"/>
  <c r="R131" i="38"/>
  <c r="S131" i="38"/>
  <c r="P132" i="38"/>
  <c r="R132" i="38"/>
  <c r="S132" i="38"/>
  <c r="P133" i="38"/>
  <c r="R133" i="38"/>
  <c r="S133" i="38"/>
  <c r="L54" i="32"/>
  <c r="M54" i="32"/>
  <c r="L56" i="32"/>
  <c r="M56" i="32"/>
  <c r="L58" i="32"/>
  <c r="M58" i="32"/>
  <c r="L59" i="32"/>
  <c r="M59" i="32"/>
  <c r="L92" i="32"/>
  <c r="K124" i="32"/>
  <c r="K127" i="32"/>
  <c r="K132" i="32"/>
  <c r="K138" i="32"/>
  <c r="L207" i="32"/>
  <c r="L394" i="32"/>
  <c r="L431" i="32"/>
  <c r="N7" i="36"/>
  <c r="P7" i="36"/>
  <c r="N8" i="36"/>
  <c r="P8" i="36"/>
  <c r="N9" i="36"/>
  <c r="P9" i="36"/>
  <c r="N10" i="36"/>
  <c r="P10" i="36"/>
  <c r="N11" i="36"/>
  <c r="P11" i="36"/>
  <c r="N12" i="36"/>
  <c r="P12" i="36"/>
  <c r="N13" i="36"/>
  <c r="P13" i="36"/>
  <c r="N14" i="36"/>
  <c r="P14" i="36"/>
  <c r="N15" i="36"/>
  <c r="P15" i="36"/>
  <c r="N16" i="36"/>
  <c r="P16" i="36"/>
  <c r="N17" i="36"/>
  <c r="P17" i="36"/>
  <c r="N18" i="36"/>
  <c r="P18" i="36"/>
  <c r="N19" i="36"/>
  <c r="P19" i="36"/>
  <c r="N20" i="36"/>
  <c r="P20" i="36"/>
  <c r="N21" i="36"/>
  <c r="P21" i="36"/>
  <c r="N22" i="36"/>
  <c r="P22" i="36"/>
  <c r="N23" i="36"/>
  <c r="P23" i="36"/>
  <c r="N24" i="36"/>
  <c r="P24" i="36"/>
  <c r="M25" i="36"/>
  <c r="P25" i="36"/>
  <c r="N26" i="36"/>
  <c r="P26" i="36"/>
  <c r="N27" i="36"/>
  <c r="P27" i="36"/>
  <c r="N28" i="36"/>
  <c r="P28" i="36"/>
  <c r="N43" i="36"/>
  <c r="P43" i="36"/>
  <c r="N44" i="36"/>
  <c r="P44" i="36"/>
  <c r="N45" i="36"/>
  <c r="P45" i="36"/>
  <c r="N46" i="36"/>
  <c r="P46" i="36"/>
  <c r="N47" i="36"/>
  <c r="P47" i="36"/>
  <c r="N48" i="36"/>
  <c r="P48" i="36"/>
  <c r="N49" i="36"/>
  <c r="P49" i="36"/>
  <c r="N50" i="36"/>
  <c r="P50" i="36"/>
  <c r="N51" i="36"/>
  <c r="P51" i="36"/>
  <c r="N53" i="36"/>
  <c r="P53" i="36"/>
  <c r="N54" i="36"/>
  <c r="P54" i="36"/>
  <c r="N55" i="36"/>
  <c r="P55" i="36"/>
  <c r="N56" i="36"/>
  <c r="P56" i="36"/>
  <c r="N57" i="36"/>
  <c r="P57" i="36"/>
  <c r="N58" i="36"/>
  <c r="P58" i="36"/>
  <c r="N59" i="36"/>
  <c r="P59" i="36"/>
  <c r="N61" i="36"/>
  <c r="P61" i="36"/>
  <c r="N64" i="36"/>
  <c r="P64" i="36"/>
  <c r="N79" i="36"/>
  <c r="P79" i="36"/>
  <c r="N80" i="36"/>
  <c r="P80" i="36"/>
  <c r="N81" i="36"/>
  <c r="P81" i="36"/>
  <c r="N82" i="36"/>
  <c r="P82" i="36"/>
  <c r="J83" i="36"/>
  <c r="K83" i="36"/>
  <c r="N83" i="36"/>
  <c r="P83" i="36"/>
  <c r="N84" i="36"/>
  <c r="P84" i="36"/>
  <c r="N114" i="36"/>
  <c r="P114" i="36"/>
  <c r="N115" i="36"/>
  <c r="P115" i="36"/>
  <c r="N116" i="36"/>
  <c r="P116" i="36"/>
  <c r="N117" i="36"/>
  <c r="P117" i="36"/>
  <c r="N118" i="36"/>
  <c r="P118" i="36"/>
  <c r="N121" i="36"/>
  <c r="P121" i="36"/>
  <c r="N122" i="36"/>
  <c r="P122" i="36"/>
  <c r="N123" i="36"/>
  <c r="P123" i="36"/>
  <c r="N124" i="36"/>
  <c r="P124" i="36"/>
  <c r="N125" i="36"/>
  <c r="P125" i="36"/>
  <c r="N126" i="36"/>
  <c r="P126" i="36"/>
  <c r="N127" i="36"/>
  <c r="P127" i="36"/>
  <c r="N150" i="36"/>
  <c r="P150" i="36"/>
  <c r="N151" i="36"/>
  <c r="P151" i="36"/>
  <c r="N152" i="36"/>
  <c r="P152" i="36"/>
  <c r="N153" i="36"/>
  <c r="P153" i="36"/>
  <c r="N154" i="36"/>
  <c r="P154" i="36"/>
  <c r="N155" i="36"/>
  <c r="P155" i="36"/>
  <c r="N156" i="36"/>
  <c r="P156" i="36"/>
  <c r="N157" i="36"/>
  <c r="P157" i="36"/>
  <c r="N158" i="36"/>
  <c r="P158" i="36"/>
  <c r="N160" i="36"/>
  <c r="P160" i="36"/>
  <c r="N161" i="36"/>
  <c r="P161" i="36"/>
  <c r="N162" i="36"/>
  <c r="P162" i="36"/>
  <c r="N163" i="36"/>
  <c r="P163" i="36"/>
  <c r="N164" i="36"/>
  <c r="P164" i="36"/>
  <c r="N165" i="36"/>
  <c r="P165" i="36"/>
  <c r="N166" i="36"/>
  <c r="P166" i="36"/>
  <c r="N167" i="36"/>
  <c r="P167" i="36"/>
  <c r="N170" i="36"/>
  <c r="P170" i="36"/>
  <c r="N179" i="36"/>
  <c r="P179" i="36"/>
  <c r="N186" i="36"/>
  <c r="P186" i="36"/>
  <c r="N187" i="36"/>
  <c r="P187" i="36"/>
  <c r="N188" i="36"/>
  <c r="P188" i="36"/>
  <c r="N189" i="36"/>
  <c r="P189" i="36"/>
  <c r="N190" i="36"/>
  <c r="P190" i="36"/>
  <c r="N191" i="36"/>
  <c r="P191" i="36"/>
  <c r="N192" i="36"/>
  <c r="P192" i="36"/>
  <c r="N193" i="36"/>
  <c r="P193" i="36"/>
  <c r="N194" i="36"/>
  <c r="P194" i="36"/>
  <c r="N196" i="36"/>
  <c r="P196" i="36"/>
  <c r="N197" i="36"/>
  <c r="P197" i="36"/>
  <c r="N198" i="36"/>
  <c r="P198" i="36"/>
  <c r="N199" i="36"/>
  <c r="P199" i="36"/>
  <c r="N200" i="36"/>
  <c r="P200" i="36"/>
  <c r="N201" i="36"/>
  <c r="P201" i="36"/>
  <c r="N202" i="36"/>
  <c r="P202" i="36"/>
  <c r="N203" i="36"/>
  <c r="P203" i="36"/>
  <c r="N206" i="36"/>
  <c r="P206" i="36"/>
  <c r="K372" i="36"/>
  <c r="N6" i="18"/>
  <c r="P6" i="18"/>
  <c r="N7" i="18"/>
  <c r="P7" i="18"/>
  <c r="K8" i="18"/>
  <c r="N8" i="18"/>
  <c r="P8" i="18"/>
  <c r="N9" i="18"/>
  <c r="P9" i="18"/>
  <c r="N10" i="18"/>
  <c r="P10" i="18"/>
  <c r="N11" i="18"/>
  <c r="P11" i="18"/>
  <c r="N12" i="18"/>
  <c r="P12" i="18"/>
  <c r="N13" i="18"/>
  <c r="P13" i="18"/>
  <c r="N14" i="18"/>
  <c r="P14" i="18"/>
  <c r="N15" i="18"/>
  <c r="P15" i="18"/>
  <c r="N16" i="18"/>
  <c r="P16" i="18"/>
  <c r="N17" i="18"/>
  <c r="P17" i="18"/>
  <c r="N18" i="18"/>
  <c r="P18" i="18"/>
  <c r="N19" i="18"/>
  <c r="P19" i="18"/>
  <c r="N20" i="18"/>
  <c r="P20" i="18"/>
  <c r="N21" i="18"/>
  <c r="P21" i="18"/>
  <c r="N22" i="18"/>
  <c r="P22" i="18"/>
  <c r="N27" i="18"/>
  <c r="P27" i="18"/>
  <c r="N28" i="18"/>
  <c r="P28" i="18"/>
  <c r="N29" i="18"/>
  <c r="P29" i="18"/>
  <c r="N30" i="18"/>
  <c r="P30" i="18"/>
  <c r="N31" i="18"/>
  <c r="P31" i="18"/>
  <c r="N32" i="18"/>
  <c r="P32" i="18"/>
  <c r="N33" i="18"/>
  <c r="P33" i="18"/>
  <c r="N34" i="18"/>
  <c r="P34" i="18"/>
  <c r="N46" i="18"/>
  <c r="P46" i="18"/>
  <c r="N47" i="18"/>
  <c r="P47" i="18"/>
  <c r="N48" i="18"/>
  <c r="P48" i="18"/>
  <c r="N49" i="18"/>
  <c r="P49" i="18"/>
  <c r="N50" i="18"/>
  <c r="P50" i="18"/>
  <c r="N51" i="18"/>
  <c r="P51" i="18"/>
  <c r="N52" i="18"/>
  <c r="P52" i="18"/>
  <c r="N53" i="18"/>
  <c r="P53" i="18"/>
  <c r="N54" i="18"/>
  <c r="P54" i="18"/>
  <c r="N55" i="18"/>
  <c r="P55" i="18"/>
  <c r="N56" i="18"/>
  <c r="P56" i="18"/>
  <c r="N57" i="18"/>
  <c r="P57" i="18"/>
  <c r="N58" i="18"/>
  <c r="P58" i="18"/>
  <c r="N59" i="18"/>
  <c r="P59" i="18"/>
  <c r="N61" i="18"/>
  <c r="P61" i="18"/>
  <c r="N67" i="18"/>
  <c r="P67" i="18"/>
  <c r="N68" i="18"/>
  <c r="P68" i="18"/>
  <c r="N69" i="18"/>
  <c r="P69" i="18"/>
  <c r="N70" i="18"/>
  <c r="P70" i="18"/>
  <c r="N71" i="18"/>
  <c r="P71" i="18"/>
  <c r="N72" i="18"/>
  <c r="P72" i="18"/>
  <c r="K75" i="18"/>
  <c r="J76" i="18"/>
  <c r="K77" i="18"/>
  <c r="J78" i="18"/>
  <c r="N86" i="18"/>
  <c r="P86" i="18"/>
  <c r="N87" i="18"/>
  <c r="P87" i="18"/>
  <c r="P88" i="18"/>
  <c r="N89" i="18"/>
  <c r="P89" i="18"/>
  <c r="N90" i="18"/>
  <c r="P90" i="18"/>
  <c r="N91" i="18"/>
  <c r="P91" i="18"/>
  <c r="N92" i="18"/>
  <c r="P92" i="18"/>
  <c r="N93" i="18"/>
  <c r="P93" i="18"/>
  <c r="N94" i="18"/>
  <c r="P94" i="18"/>
  <c r="N95" i="18"/>
  <c r="P95" i="18"/>
  <c r="N96" i="18"/>
  <c r="P96" i="18"/>
  <c r="N97" i="18"/>
  <c r="P97" i="18"/>
  <c r="N99" i="18"/>
  <c r="P99" i="18"/>
  <c r="N100" i="18"/>
  <c r="P100" i="18"/>
  <c r="N101" i="18"/>
  <c r="P101" i="18"/>
  <c r="N102" i="18"/>
  <c r="P102" i="18"/>
  <c r="N103" i="18"/>
  <c r="P103" i="18"/>
  <c r="N104" i="18"/>
  <c r="P104" i="18"/>
  <c r="N105" i="18"/>
  <c r="P105" i="18"/>
  <c r="N106" i="18"/>
  <c r="P106" i="18"/>
  <c r="N107" i="18"/>
  <c r="P107" i="18"/>
  <c r="N108" i="18"/>
  <c r="P108" i="18"/>
  <c r="N109" i="18"/>
  <c r="P109" i="18"/>
  <c r="N110" i="18"/>
  <c r="P110" i="18"/>
  <c r="N111" i="18"/>
  <c r="P111" i="18"/>
  <c r="N112" i="18"/>
  <c r="P112" i="18"/>
  <c r="N113" i="18"/>
  <c r="P113" i="18"/>
  <c r="P126" i="18"/>
  <c r="P127" i="18"/>
  <c r="P128" i="18"/>
  <c r="P129" i="18"/>
  <c r="P130" i="18"/>
  <c r="P131" i="18"/>
  <c r="P132" i="18"/>
  <c r="P133" i="18"/>
  <c r="P134" i="18"/>
  <c r="P136" i="18"/>
  <c r="P138" i="18"/>
  <c r="P139" i="18"/>
  <c r="P142" i="18"/>
  <c r="P145" i="18"/>
  <c r="P146" i="18"/>
  <c r="P147" i="18"/>
  <c r="P148" i="18"/>
  <c r="P149" i="18"/>
  <c r="P150" i="18"/>
  <c r="P151" i="18"/>
  <c r="P152" i="18"/>
  <c r="P153" i="18"/>
  <c r="P154" i="18"/>
  <c r="P156" i="18"/>
  <c r="P157" i="18"/>
  <c r="P167" i="18"/>
  <c r="P168" i="18"/>
  <c r="P169" i="18"/>
  <c r="P170" i="18"/>
  <c r="P171" i="18"/>
  <c r="P173" i="18"/>
  <c r="P175" i="18"/>
  <c r="P176" i="18"/>
  <c r="P177" i="18"/>
  <c r="P178" i="18"/>
  <c r="P179" i="18"/>
  <c r="P180" i="18"/>
  <c r="P181" i="18"/>
  <c r="P182" i="18"/>
  <c r="P183" i="18"/>
  <c r="P191" i="18"/>
  <c r="P192" i="18"/>
  <c r="Q193" i="18"/>
  <c r="P194" i="18"/>
  <c r="Q194" i="18"/>
  <c r="P195" i="18"/>
  <c r="P247" i="18"/>
  <c r="P248" i="18"/>
  <c r="P249" i="18"/>
  <c r="P250" i="18"/>
  <c r="P251" i="18"/>
  <c r="P252" i="18"/>
  <c r="P254" i="18"/>
  <c r="P255" i="18"/>
  <c r="P256" i="18"/>
  <c r="P257" i="18"/>
  <c r="P258" i="18"/>
  <c r="P259" i="18"/>
  <c r="P260" i="18"/>
  <c r="P261" i="18"/>
  <c r="P262" i="18"/>
  <c r="P263" i="18"/>
  <c r="P264" i="18"/>
  <c r="P265" i="18"/>
  <c r="P266" i="18"/>
  <c r="P267" i="18"/>
  <c r="P268" i="18"/>
  <c r="P269" i="18"/>
  <c r="P270" i="18"/>
  <c r="P271" i="18"/>
  <c r="P272" i="18"/>
  <c r="P273" i="18"/>
  <c r="P274" i="18"/>
  <c r="K284" i="18"/>
  <c r="P284" i="18"/>
  <c r="K285" i="18"/>
  <c r="P285" i="18"/>
  <c r="K286" i="18"/>
  <c r="P286" i="18"/>
  <c r="K287" i="18"/>
  <c r="P287" i="18"/>
  <c r="K288" i="18"/>
  <c r="P288" i="18"/>
  <c r="K289" i="18"/>
  <c r="P289" i="18"/>
  <c r="K290" i="18"/>
  <c r="P290" i="18"/>
  <c r="K291" i="18"/>
  <c r="P291" i="18"/>
  <c r="K292" i="18"/>
  <c r="P292" i="18"/>
  <c r="K293" i="18"/>
  <c r="P293" i="18"/>
  <c r="K298" i="18"/>
  <c r="P324" i="18"/>
  <c r="P325" i="18"/>
  <c r="P326" i="18"/>
  <c r="P327" i="18"/>
  <c r="P328" i="18"/>
  <c r="P329" i="18"/>
  <c r="P331" i="18"/>
  <c r="P332" i="18"/>
  <c r="P333" i="18"/>
  <c r="P334" i="18"/>
  <c r="P335" i="18"/>
  <c r="P336" i="18"/>
  <c r="P337" i="18"/>
  <c r="P338" i="18"/>
  <c r="P339" i="18"/>
  <c r="P340" i="18"/>
  <c r="P341" i="18"/>
  <c r="P342" i="18"/>
  <c r="P343" i="18"/>
  <c r="P344" i="18"/>
  <c r="P345" i="18"/>
  <c r="P346" i="18"/>
  <c r="P347" i="18"/>
  <c r="P348" i="18"/>
  <c r="P349" i="18"/>
  <c r="P350" i="18"/>
  <c r="P351" i="18"/>
  <c r="P356" i="18"/>
  <c r="P357" i="18"/>
  <c r="L9" i="11"/>
  <c r="M9" i="11"/>
  <c r="L14" i="11"/>
  <c r="M14" i="11"/>
  <c r="L20" i="11"/>
  <c r="M20" i="11"/>
  <c r="N27" i="11"/>
  <c r="P27" i="11"/>
  <c r="N28" i="11"/>
  <c r="P28" i="11"/>
  <c r="N29" i="11"/>
  <c r="P29" i="11"/>
  <c r="N30" i="11"/>
  <c r="P30" i="11"/>
  <c r="N31" i="11"/>
  <c r="P31" i="11"/>
  <c r="O151" i="11"/>
  <c r="P151" i="11"/>
  <c r="O152" i="11"/>
  <c r="P152" i="11"/>
  <c r="O153" i="11"/>
  <c r="P153" i="11"/>
  <c r="O156" i="11"/>
  <c r="O157" i="11"/>
  <c r="O162" i="11"/>
  <c r="O163" i="11"/>
  <c r="O164" i="11"/>
  <c r="P164" i="11"/>
  <c r="O199" i="11"/>
  <c r="O200" i="11"/>
  <c r="O201" i="11"/>
  <c r="K257" i="11"/>
</calcChain>
</file>

<file path=xl/sharedStrings.xml><?xml version="1.0" encoding="utf-8"?>
<sst xmlns="http://schemas.openxmlformats.org/spreadsheetml/2006/main" count="21912" uniqueCount="6320">
  <si>
    <t>ราคาขาย-ต้นทุน</t>
  </si>
  <si>
    <t>แผนก.......ชา-กาแฟ................</t>
  </si>
  <si>
    <t>รายการ</t>
  </si>
  <si>
    <t>ขนาด</t>
  </si>
  <si>
    <t>บรรจุ</t>
  </si>
  <si>
    <t>ราคา</t>
  </si>
  <si>
    <t>วันที่</t>
  </si>
  <si>
    <t>ราคาไม่</t>
  </si>
  <si>
    <t>ส่วนลด-แถม</t>
  </si>
  <si>
    <t>ทุน</t>
  </si>
  <si>
    <t>/หีบ</t>
  </si>
  <si>
    <t>ปลีก</t>
  </si>
  <si>
    <t>ส่ง</t>
  </si>
  <si>
    <t>vat</t>
  </si>
  <si>
    <t>หีบ</t>
  </si>
  <si>
    <t>หน่วย</t>
  </si>
  <si>
    <t>โอโม พิเศษ  25 บาท</t>
  </si>
  <si>
    <t>450 ก.</t>
  </si>
  <si>
    <t>1*24</t>
  </si>
  <si>
    <t>19-9-59</t>
  </si>
  <si>
    <t>.</t>
  </si>
  <si>
    <t>โอโม พิเศษ  40 บาท</t>
  </si>
  <si>
    <t>650 ก.</t>
  </si>
  <si>
    <t>1*12</t>
  </si>
  <si>
    <t>13-11-67</t>
  </si>
  <si>
    <t>ลัง 417.87</t>
  </si>
  <si>
    <t>1000 ก.</t>
  </si>
  <si>
    <t>1*8</t>
  </si>
  <si>
    <t>22-2-55</t>
  </si>
  <si>
    <t>3000ก.</t>
  </si>
  <si>
    <t>1*4</t>
  </si>
  <si>
    <t>14-5-55</t>
  </si>
  <si>
    <t>โอโมซันชาย  40 บาท</t>
  </si>
  <si>
    <t>850 ก.</t>
  </si>
  <si>
    <t>28-2-68</t>
  </si>
  <si>
    <t>บรีสเอกเซล</t>
  </si>
  <si>
    <t>800 ก.</t>
  </si>
  <si>
    <t>25-2-62</t>
  </si>
  <si>
    <t>ลด274.5  ปกติ92.14</t>
  </si>
  <si>
    <t>2000ก.</t>
  </si>
  <si>
    <t>1*6</t>
  </si>
  <si>
    <t>ลด287.01</t>
  </si>
  <si>
    <t>บรีสเอกเซลคอมฟอร์ท</t>
  </si>
  <si>
    <t>780 ก.</t>
  </si>
  <si>
    <t>1900ก.</t>
  </si>
  <si>
    <t>บรีสเอกเซลน้ำ</t>
  </si>
  <si>
    <t>ข. 525มล.</t>
  </si>
  <si>
    <t>29-10-54</t>
  </si>
  <si>
    <t>บรีสเอกเซลลิควิด</t>
  </si>
  <si>
    <t>ข. 1050มล.</t>
  </si>
  <si>
    <t>14-10-54</t>
  </si>
  <si>
    <t>ซอง 580มล.</t>
  </si>
  <si>
    <t>2ซอง*1*12</t>
  </si>
  <si>
    <t>27-4-66</t>
  </si>
  <si>
    <t>ลด212.66</t>
  </si>
  <si>
    <t>ปรับผ้านุ่มคอมฟอร์ทอโรมา</t>
  </si>
  <si>
    <t>350มล.</t>
  </si>
  <si>
    <t>16-9-55</t>
  </si>
  <si>
    <t>ลด371       ปกติ37</t>
  </si>
  <si>
    <t>ปรับผ้านุ่มคอมฟอร์ท</t>
  </si>
  <si>
    <t>600มล.</t>
  </si>
  <si>
    <t>แพค 43</t>
  </si>
  <si>
    <t>ปกติ 13.12</t>
  </si>
  <si>
    <t>ลัง299.01</t>
  </si>
  <si>
    <t>คอมฟอร์ทอัลตัราน้ำเดียว</t>
  </si>
  <si>
    <t>24 มล.</t>
  </si>
  <si>
    <t>1*288</t>
  </si>
  <si>
    <t>โหล 90</t>
  </si>
  <si>
    <t>22-2-54</t>
  </si>
  <si>
    <t>170มล</t>
  </si>
  <si>
    <t>1*48</t>
  </si>
  <si>
    <t>15-7-54</t>
  </si>
  <si>
    <t>13.9-54</t>
  </si>
  <si>
    <t>ซันไลต์เทอร์โบ       ขวด</t>
  </si>
  <si>
    <t>170มล.</t>
  </si>
  <si>
    <t>7-2-55</t>
  </si>
  <si>
    <t>ซันไลต์                      ขวด</t>
  </si>
  <si>
    <t>485มล.</t>
  </si>
  <si>
    <t>ซันไลต์              ขวดหัวปั้ม</t>
  </si>
  <si>
    <t>750 มล</t>
  </si>
  <si>
    <t>1*18</t>
  </si>
  <si>
    <t>ซันไลต์                แกลลอน</t>
  </si>
  <si>
    <t>3200มล.</t>
  </si>
  <si>
    <t>ซันไลต์เทอร์โบ  27.-  ซอง</t>
  </si>
  <si>
    <t xml:space="preserve"> 550มล</t>
  </si>
  <si>
    <t>แพค 70</t>
  </si>
  <si>
    <t>20-5-69</t>
  </si>
  <si>
    <t>1ลัง+4ซองปกติ25.63</t>
  </si>
  <si>
    <t>ลัง 502.64</t>
  </si>
  <si>
    <t>ซอง20.94</t>
  </si>
  <si>
    <t>น้ำยาล้างห้องน้ำโปรแมกซ์</t>
  </si>
  <si>
    <t>450มล.</t>
  </si>
  <si>
    <t xml:space="preserve">                               </t>
  </si>
  <si>
    <t>504</t>
  </si>
  <si>
    <t>ด44.04</t>
  </si>
  <si>
    <t>438.36</t>
  </si>
  <si>
    <t>เปาซอฟท์ นาโน</t>
  </si>
  <si>
    <t>16-12-55</t>
  </si>
  <si>
    <t>ลด 45</t>
  </si>
  <si>
    <t>เปายูวีคัลเลอร์</t>
  </si>
  <si>
    <t>1000ก.</t>
  </si>
  <si>
    <t>23-10-52</t>
  </si>
  <si>
    <t>เปาไวท์นาโน</t>
  </si>
  <si>
    <t>900ก.</t>
  </si>
  <si>
    <t>16-11-55</t>
  </si>
  <si>
    <t>ลด 100</t>
  </si>
  <si>
    <t>ผงซักผ้า 108 Shop</t>
  </si>
  <si>
    <t>300 ก.</t>
  </si>
  <si>
    <t>1*36</t>
  </si>
  <si>
    <t>โหล 220</t>
  </si>
  <si>
    <t>17-3-66</t>
  </si>
  <si>
    <t>โหล 530</t>
  </si>
  <si>
    <t>19-12-65</t>
  </si>
  <si>
    <t>ลด 80</t>
  </si>
  <si>
    <t>3200 ก.</t>
  </si>
  <si>
    <t>ลด 215</t>
  </si>
  <si>
    <t>โปร(บลูพลัส)</t>
  </si>
  <si>
    <t>2500ก.</t>
  </si>
  <si>
    <t>ถัง</t>
  </si>
  <si>
    <t>22-5-56</t>
  </si>
  <si>
    <t>ลด55</t>
  </si>
  <si>
    <t>บจก. แมสมาร์เก็ตติ้ง</t>
  </si>
  <si>
    <t>วิมล้างห้องน้ำ ผง</t>
  </si>
  <si>
    <t>600ก.</t>
  </si>
  <si>
    <t>1*24กป</t>
  </si>
  <si>
    <t>ลัง 620</t>
  </si>
  <si>
    <t>22-4-66</t>
  </si>
  <si>
    <t>-3%</t>
  </si>
  <si>
    <t>สบู่ซันไลต์         70ก.</t>
  </si>
  <si>
    <t>1*6ก้อน</t>
  </si>
  <si>
    <t>1*24ห่อ</t>
  </si>
  <si>
    <t>พ.75</t>
  </si>
  <si>
    <t>ลัง1622.42</t>
  </si>
  <si>
    <t>แพค67.58</t>
  </si>
  <si>
    <t>ก้อน11.26</t>
  </si>
  <si>
    <t>วินโป                  130ก.</t>
  </si>
  <si>
    <t>1*12ก้อน</t>
  </si>
  <si>
    <t>1*12โหล</t>
  </si>
  <si>
    <t>โหล350</t>
  </si>
  <si>
    <t>322@26.81</t>
  </si>
  <si>
    <t>บ.ดีเคเอสเฮช(ประเทศไทย) จก</t>
  </si>
  <si>
    <t>3เอ็ม-ฝอย 14ก.(2แผง/เซท)</t>
  </si>
  <si>
    <t>24ชิ้น+3</t>
  </si>
  <si>
    <t>1*5แพค</t>
  </si>
  <si>
    <t>แพค 260</t>
  </si>
  <si>
    <t>27-4-62</t>
  </si>
  <si>
    <t>ลด120.01ลัง1187.32</t>
  </si>
  <si>
    <t>แพค237.46</t>
  </si>
  <si>
    <t>สก็อตไบรต์แผ่นเดี่ยว(4*6)</t>
  </si>
  <si>
    <t>20แผ่น+5</t>
  </si>
  <si>
    <t>1*10แผง</t>
  </si>
  <si>
    <t>แผง 250</t>
  </si>
  <si>
    <t xml:space="preserve">ลด259.06ลัง2298.94   </t>
  </si>
  <si>
    <t>แผง229</t>
  </si>
  <si>
    <t>สก็อตไบรต์ฟองน้ำเล็ก (3*4)</t>
  </si>
  <si>
    <t>24แผ่น+5</t>
  </si>
  <si>
    <t>แผง 310</t>
  </si>
  <si>
    <t>ลด484.37ลัง2847.12</t>
  </si>
  <si>
    <t>แผง 284.71</t>
  </si>
  <si>
    <t>สก็อตไบรต์ฟองน้ำใหญ่(3.5*6)</t>
  </si>
  <si>
    <t>1*24แผ่น</t>
  </si>
  <si>
    <t>1* 6แผง</t>
  </si>
  <si>
    <t>แผง 380</t>
  </si>
  <si>
    <t>17-9-58</t>
  </si>
  <si>
    <t>ลด125.69ลัง2106.97</t>
  </si>
  <si>
    <t>แผง351.17</t>
  </si>
  <si>
    <t>3เอ็มฟองน้ำตาข่ายผ2แผง/เซท)</t>
  </si>
  <si>
    <t>1*  6แผง</t>
  </si>
  <si>
    <t>แพค 270</t>
  </si>
  <si>
    <t>ลด44.08ลัง738.90</t>
  </si>
  <si>
    <t>แผง246.30</t>
  </si>
  <si>
    <t>ปู ธารทิพย์</t>
  </si>
  <si>
    <t>ถุงมือยาง(หมอ-ขาว)</t>
  </si>
  <si>
    <t>12คู่*1ห่อ</t>
  </si>
  <si>
    <t>1*30ห่อ</t>
  </si>
  <si>
    <t>8-3-66</t>
  </si>
  <si>
    <t>รถ 30    ลัง  4830</t>
  </si>
  <si>
    <t>โหล 161.33</t>
  </si>
  <si>
    <t>บ.อินทิพร(ประเทศไทย)</t>
  </si>
  <si>
    <t>เจลแอลกอฮอล้างมือ</t>
  </si>
  <si>
    <t>1000มล.</t>
  </si>
  <si>
    <t>1*24แกลอน</t>
  </si>
  <si>
    <t>19-9-64</t>
  </si>
  <si>
    <t>ลัง 2019</t>
  </si>
  <si>
    <t>แอลกอฮอถ้วย-เพาเวอร์</t>
  </si>
  <si>
    <t>1*10*50</t>
  </si>
  <si>
    <t>1*10กล่อง</t>
  </si>
  <si>
    <t>21-11-68</t>
  </si>
  <si>
    <t>ลัง 940</t>
  </si>
  <si>
    <t>กล่อง 94</t>
  </si>
  <si>
    <t>บ.เต็กเส็ง</t>
  </si>
  <si>
    <t>โซดาไฟ</t>
  </si>
  <si>
    <t>1กก.</t>
  </si>
  <si>
    <t>1*20ถุง</t>
  </si>
  <si>
    <t>7-5-69</t>
  </si>
  <si>
    <t>ลัง 900</t>
  </si>
  <si>
    <t>รถ 25(ราคาใหม่48)</t>
  </si>
  <si>
    <t>ลัง 925</t>
  </si>
  <si>
    <t>กก. 46.25</t>
  </si>
  <si>
    <t>ข้าวหมาก</t>
  </si>
  <si>
    <t>แป้งข้าวหมาก</t>
  </si>
  <si>
    <t>1*100เม็ด</t>
  </si>
  <si>
    <t>30-12-69</t>
  </si>
  <si>
    <t>ห่อ 350</t>
  </si>
  <si>
    <t>รถ15</t>
  </si>
  <si>
    <t>ห่อ 365</t>
  </si>
  <si>
    <t>เม็ด 3.65</t>
  </si>
  <si>
    <t>แป้งสาโท</t>
  </si>
  <si>
    <t>แป้งสาโทดั้งเดิม (3ลิตร)</t>
  </si>
  <si>
    <t>60.-</t>
  </si>
  <si>
    <t>24-3-69</t>
  </si>
  <si>
    <t>ซอง 40.-</t>
  </si>
  <si>
    <t>แป้งสาโทละมุน (3ลิตร)</t>
  </si>
  <si>
    <t>แป้งสาโทดั้งเดิม (5ลิตร)</t>
  </si>
  <si>
    <t>80.-</t>
  </si>
  <si>
    <t>ซอง 60.-</t>
  </si>
  <si>
    <t>แป้งสาโทละมุน (5ลิตร)</t>
  </si>
  <si>
    <t>80-</t>
  </si>
  <si>
    <t>บ. หว่าเซียง</t>
  </si>
  <si>
    <t>WS</t>
  </si>
  <si>
    <t>ชาตราหมาแดง</t>
  </si>
  <si>
    <t>400 ก.</t>
  </si>
  <si>
    <t>โหล690</t>
  </si>
  <si>
    <t>1-2-60</t>
  </si>
  <si>
    <t>ลด2%ด8/55ลัง642@53.47</t>
  </si>
  <si>
    <t>บ. ชาตรามือ</t>
  </si>
  <si>
    <t>02-0899833-5</t>
  </si>
  <si>
    <t>ชาตรามือแดงเล็ก</t>
  </si>
  <si>
    <t>190 ก.</t>
  </si>
  <si>
    <t>30-1-67</t>
  </si>
  <si>
    <t>ลัง750(100ลังแถมแดงใหญ่4ลัง)</t>
  </si>
  <si>
    <t>ชาตรามือแดงใหญ่</t>
  </si>
  <si>
    <t>ชาตรามือทองใหญ่</t>
  </si>
  <si>
    <t>26-9-67</t>
  </si>
  <si>
    <t>ลัง970(20.5ลังแถม 0.5ลัง)</t>
  </si>
  <si>
    <t>ชาเขียวตรามือ</t>
  </si>
  <si>
    <t>200 ก.</t>
  </si>
  <si>
    <t>ชาเขียวนม(เอ็กตร้ากรีน)ตรามือ</t>
  </si>
  <si>
    <t>26-9-66</t>
  </si>
  <si>
    <t>กาแฟตรามือ</t>
  </si>
  <si>
    <t>21โหลแถม6ซอง580(24.16)</t>
  </si>
  <si>
    <t>15-3-54</t>
  </si>
  <si>
    <t>ชาผง(ชาเขียว)สำเร็จตรามือ</t>
  </si>
  <si>
    <t>50 ซอง</t>
  </si>
  <si>
    <t>1*24กป.</t>
  </si>
  <si>
    <t>15-12-55</t>
  </si>
  <si>
    <t>ชาเขียวญี่ปุ่นMatcha GTD AA</t>
  </si>
  <si>
    <t>100ก.</t>
  </si>
  <si>
    <t>1*20ซอง</t>
  </si>
  <si>
    <t>15-10-58</t>
  </si>
  <si>
    <t>เจียวกู่หลาน</t>
  </si>
  <si>
    <t>20-12-66</t>
  </si>
  <si>
    <t>ชาอู่หลงสิบสองหอม</t>
  </si>
  <si>
    <t>1*6กป.</t>
  </si>
  <si>
    <t>17-11-58</t>
  </si>
  <si>
    <t>ชาอู่หลงก้านอ่อน</t>
  </si>
  <si>
    <t>200ก.</t>
  </si>
  <si>
    <t>ชาอู่หลงซองเยื่อ</t>
  </si>
  <si>
    <t>12.5ก</t>
  </si>
  <si>
    <t>1*48กล่อง</t>
  </si>
  <si>
    <t>ลัง1520</t>
  </si>
  <si>
    <t>ชาแดงอัสสัม(ชานมไข่มุก)</t>
  </si>
  <si>
    <t>250ก</t>
  </si>
  <si>
    <t>ถุงชงกาแฟ</t>
  </si>
  <si>
    <t>1*12*6</t>
  </si>
  <si>
    <t>12-5-66</t>
  </si>
  <si>
    <t>ลัง1530</t>
  </si>
  <si>
    <t>โหล 255</t>
  </si>
  <si>
    <t>กาแฟโบราณ ตรามังกรบิน</t>
  </si>
  <si>
    <t>ส1-004</t>
  </si>
  <si>
    <t>กาแฟโบราณ สูตร 1</t>
  </si>
  <si>
    <t>10-1-67</t>
  </si>
  <si>
    <t>ค่ารถต้นทาง</t>
  </si>
  <si>
    <t>กาแฟโบราณ สูตร 2</t>
  </si>
  <si>
    <t xml:space="preserve">กาแฟโบราณ </t>
  </si>
  <si>
    <t>กาแฟโรบัสต้าบด</t>
  </si>
  <si>
    <t>400ก.</t>
  </si>
  <si>
    <t>8-12-55</t>
  </si>
  <si>
    <t>ถุง130</t>
  </si>
  <si>
    <t>ชามังกรบิน</t>
  </si>
  <si>
    <t>500 ก.</t>
  </si>
  <si>
    <t>ชาเขียวมังกรบิน</t>
  </si>
  <si>
    <t xml:space="preserve">  หจก.  โคแฟโฮ</t>
  </si>
  <si>
    <t>กาแฟโคแฟโฮ</t>
  </si>
  <si>
    <t>500ก.</t>
  </si>
  <si>
    <t>1*4โหล</t>
  </si>
  <si>
    <t>โหล220</t>
  </si>
  <si>
    <t>22-4-62</t>
  </si>
  <si>
    <t>ค่ารถ 30    ลัง830</t>
  </si>
  <si>
    <t>โหล207.50</t>
  </si>
  <si>
    <t>ลัง840</t>
  </si>
  <si>
    <t>26-11-55</t>
  </si>
  <si>
    <t>25ลังลด3%แถม2กล่อง</t>
  </si>
  <si>
    <t>สุทธิ760.78</t>
  </si>
  <si>
    <t>โหล191@15.85</t>
  </si>
  <si>
    <t>NK  กาแฟงูเห่า</t>
  </si>
  <si>
    <t>กาแฟโบราณงูเห่า(น้ำเงิน)</t>
  </si>
  <si>
    <t>350ก.</t>
  </si>
  <si>
    <t>1*24ซอง</t>
  </si>
  <si>
    <t>ลัง 780</t>
  </si>
  <si>
    <t>23-1-67</t>
  </si>
  <si>
    <t>ค่ารถ30</t>
  </si>
  <si>
    <t>ชาโบราณแดงฉลากทอง</t>
  </si>
  <si>
    <t>1*25ซอง</t>
  </si>
  <si>
    <t>ลัง 870</t>
  </si>
  <si>
    <t>ชาเขียวซุปเปอร์</t>
  </si>
  <si>
    <t>ลัง 1450</t>
  </si>
  <si>
    <t>ชา 3 ม้า</t>
  </si>
  <si>
    <t>ชา 3 ม้า เบอร์ 1</t>
  </si>
  <si>
    <t>1*10</t>
  </si>
  <si>
    <t>19-12-54</t>
  </si>
  <si>
    <t>ลด1.5%</t>
  </si>
  <si>
    <t>ชา 3 ม้า เบอร์ 3</t>
  </si>
  <si>
    <t>จิ๋ว</t>
  </si>
  <si>
    <t>1*50</t>
  </si>
  <si>
    <t>21-3-56</t>
  </si>
  <si>
    <t>กลาง</t>
  </si>
  <si>
    <t>1*20</t>
  </si>
  <si>
    <t>30-7-64</t>
  </si>
  <si>
    <t>ลด1.5%รถ  2.-</t>
  </si>
  <si>
    <t>ใหญ่</t>
  </si>
  <si>
    <t>ลด1.5% รถ 2.-</t>
  </si>
  <si>
    <t>ชา 3 ม้า ตั่วอั้งเพ้าทิกวนอิม</t>
  </si>
  <si>
    <t>10-12-64</t>
  </si>
  <si>
    <t>มั่งท้อจุ้ยเซียน</t>
  </si>
  <si>
    <t>24-7-55</t>
  </si>
  <si>
    <t>แปะเปาจุ้ยเซียน</t>
  </si>
  <si>
    <t>2-2-64</t>
  </si>
  <si>
    <t>สมเกรียรติ</t>
  </si>
  <si>
    <t>เห็ดหลินจือ</t>
  </si>
  <si>
    <t>120 ก.</t>
  </si>
  <si>
    <t>17-8-58</t>
  </si>
  <si>
    <t>บ.แมสมาเก็ตติ้ง จก.</t>
  </si>
  <si>
    <t>ขมิ้นชันแหลมทองการแพทย์</t>
  </si>
  <si>
    <t>1*20แคปซูล</t>
  </si>
  <si>
    <t>14-4-56</t>
  </si>
  <si>
    <t>ลด10%ลด3%</t>
  </si>
  <si>
    <t>ฟ้าทะลายโจร</t>
  </si>
  <si>
    <t>ชาจีนอบมะลิ</t>
  </si>
  <si>
    <t>70ก.</t>
  </si>
  <si>
    <t>โหล 500</t>
  </si>
  <si>
    <t>22-7-64</t>
  </si>
  <si>
    <t>โหล439</t>
  </si>
  <si>
    <t>ลัง 1822.55</t>
  </si>
  <si>
    <t>โหล455.64</t>
  </si>
  <si>
    <t>ชาอู่หลง-ระมิงค์</t>
  </si>
  <si>
    <t>25ซอง</t>
  </si>
  <si>
    <t>21-12-58</t>
  </si>
  <si>
    <t>ลด3%ลัง 2769.12</t>
  </si>
  <si>
    <t>โหล 692.28</t>
  </si>
  <si>
    <t xml:space="preserve">       JP   จิตตราพงค์</t>
  </si>
  <si>
    <t>ชาแดงเชอร์รี่</t>
  </si>
  <si>
    <t>500ก</t>
  </si>
  <si>
    <t>1*20ห่อ</t>
  </si>
  <si>
    <t>ชาเขียวไต้หวัน</t>
  </si>
  <si>
    <t>ม้วนซีล</t>
  </si>
  <si>
    <t>1*6 ม้วน</t>
  </si>
  <si>
    <t>ดนัย</t>
  </si>
  <si>
    <t>มุกสลัดพาราไดซ์ ขาว/แดง/ดำ</t>
  </si>
  <si>
    <t>ลัง 750</t>
  </si>
  <si>
    <t>7-4-68</t>
  </si>
  <si>
    <t>ค่ารถ 20</t>
  </si>
  <si>
    <t>มุกเยอรมัน  ขาว-แดง-เหลือง</t>
  </si>
  <si>
    <t>12-3-69</t>
  </si>
  <si>
    <t>มุกแพนด้า  (กลมดำ-ขาว)</t>
  </si>
  <si>
    <t>มุกดำ</t>
  </si>
  <si>
    <t>บุกบราวซูก้า</t>
  </si>
  <si>
    <t>ลัง 840</t>
  </si>
  <si>
    <t>ค่ารถ 30</t>
  </si>
  <si>
    <t>ดาวระยิบ</t>
  </si>
  <si>
    <t>หัวใจสามสี(ขาว-แดง-เหลือง)</t>
  </si>
  <si>
    <t>มุกแอปเปื้ล  (กลมขาว-เขียว)</t>
  </si>
  <si>
    <t>มุกสตรอเบอรี่(กลมขาว-แดง)</t>
  </si>
  <si>
    <t>ฟุตสลัดตุ๊กตาแดง  2สี</t>
  </si>
  <si>
    <t>ลัง 660</t>
  </si>
  <si>
    <t xml:space="preserve">ฟุตสลัดตุ๊กตาบูลเลมอน(ฟ้า)  </t>
  </si>
  <si>
    <t xml:space="preserve">ฟุตสลัดตุ๊กตาแคนตาลูป(เขียว)  </t>
  </si>
  <si>
    <t xml:space="preserve">ฟุตสลัดตุ๊กตาสตรอเบอรี่(แดง)  </t>
  </si>
  <si>
    <t>วุ้นมะพร้าวคุณจาเขียว</t>
  </si>
  <si>
    <t>ลัง 590</t>
  </si>
  <si>
    <t>1-6-67</t>
  </si>
  <si>
    <t>ค่ารถ 35</t>
  </si>
  <si>
    <t>วุ้นมะพร้าวคุณจาขาว</t>
  </si>
  <si>
    <t>วุ้นลูกตาลคุณจา</t>
  </si>
  <si>
    <t>ลัง 690</t>
  </si>
  <si>
    <t>ลูกชิด(คุณจา)</t>
  </si>
  <si>
    <t>1*16ถุง</t>
  </si>
  <si>
    <t>ลัง 1090</t>
  </si>
  <si>
    <t>27-4-69</t>
  </si>
  <si>
    <t>บุกเฉาก๊วยเฉากี๊เฉากี๊</t>
  </si>
  <si>
    <t>1*12ถุง</t>
  </si>
  <si>
    <t>ลัง 670</t>
  </si>
  <si>
    <t>8-4-68</t>
  </si>
  <si>
    <t>รถ 30</t>
  </si>
  <si>
    <t>ปู</t>
  </si>
  <si>
    <t>21-4-68</t>
  </si>
  <si>
    <t>หมาล่าโอเค สูตรน้ำ</t>
  </si>
  <si>
    <t>1*50ซอง</t>
  </si>
  <si>
    <t>13-5-68</t>
  </si>
  <si>
    <t>คาลาเมลเซนจูลี(บัตเตอร์)</t>
  </si>
  <si>
    <t>567ก.</t>
  </si>
  <si>
    <t>คาลาเมลตราบ้าน</t>
  </si>
  <si>
    <t>570ก.</t>
  </si>
  <si>
    <t>แก๊สโมซ่า</t>
  </si>
  <si>
    <t>1*30 ห่อ</t>
  </si>
  <si>
    <t>13-3-64</t>
  </si>
  <si>
    <t>ลัง 3780</t>
  </si>
  <si>
    <t>ค่ารถ20</t>
  </si>
  <si>
    <t>ลัง 868</t>
  </si>
  <si>
    <t>ผงเฉาก๊วย</t>
  </si>
  <si>
    <t>ลัง 384</t>
  </si>
  <si>
    <t>ค่ารถ10</t>
  </si>
  <si>
    <t>ลัง 394</t>
  </si>
  <si>
    <t>มุกตราเรือ</t>
  </si>
  <si>
    <t>1*18ถุง</t>
  </si>
  <si>
    <t>9-9-61</t>
  </si>
  <si>
    <t>505+30</t>
  </si>
  <si>
    <t>วาณี (ติ่งฟง)เต้ย-อิษฎ์สนันทน์</t>
  </si>
  <si>
    <t>ผงติ่งฟงเผือก</t>
  </si>
  <si>
    <t>150 ก.</t>
  </si>
  <si>
    <t>1*12 ห่อ</t>
  </si>
  <si>
    <t>ลัง 460</t>
  </si>
  <si>
    <t>22-12-68</t>
  </si>
  <si>
    <t>ลัง 425(402)</t>
  </si>
  <si>
    <t>รถ 18</t>
  </si>
  <si>
    <t>ลัง 443</t>
  </si>
  <si>
    <t>ผงติ่งฟงแคนตาลูป</t>
  </si>
  <si>
    <t>ผงติ่งฟงนมเย็น</t>
  </si>
  <si>
    <t>ผงติ่งฟงกล้วยหอม</t>
  </si>
  <si>
    <t>ผงติ่งฟงชาเขียว</t>
  </si>
  <si>
    <t>ผงติ่งฟงนมสด</t>
  </si>
  <si>
    <t>1*32 ห่อ</t>
  </si>
  <si>
    <t>ผงติ่งฟงสตรอเบอรี่</t>
  </si>
  <si>
    <t>ผงติ่งฟงชานม</t>
  </si>
  <si>
    <t>ผงติ่งฟงชาเย็น</t>
  </si>
  <si>
    <t>ผงติ่งฟงโกโก้</t>
  </si>
  <si>
    <t>4-12-68</t>
  </si>
  <si>
    <t>ลัง740(405)</t>
  </si>
  <si>
    <t>ลัง 758</t>
  </si>
  <si>
    <t>ผงติ่งฟงช็อคโกแล็ต</t>
  </si>
  <si>
    <t>ผงติ่งฟงช็อคชิพ</t>
  </si>
  <si>
    <t>ซอง 45</t>
  </si>
  <si>
    <t>4-11-60</t>
  </si>
  <si>
    <t>ถุง    40</t>
  </si>
  <si>
    <t>ผงติ่งฟงกาแฟคาปูชิโน่</t>
  </si>
  <si>
    <t>ลัง 645</t>
  </si>
  <si>
    <t>17-11-68</t>
  </si>
  <si>
    <t>ลัง608 (585)</t>
  </si>
  <si>
    <t>ลัง 626</t>
  </si>
  <si>
    <t>ติ่งฟงกาแฟมอคค่า,ลาเต้</t>
  </si>
  <si>
    <t>ผงติ่งฟงผลไม้ เผือก</t>
  </si>
  <si>
    <t>900 ก.</t>
  </si>
  <si>
    <t>ซอง145</t>
  </si>
  <si>
    <t>โหล 1735</t>
  </si>
  <si>
    <t>14-7-68</t>
  </si>
  <si>
    <t>1625(1602)</t>
  </si>
  <si>
    <t>รถ40</t>
  </si>
  <si>
    <t>ผงติ่งฟงกล้วย, แคนตาลูป</t>
  </si>
  <si>
    <t>ผงติ่งฟงชาเขียว,สตรอ</t>
  </si>
  <si>
    <t>ติ่งฟงนมเย็น,นมสด</t>
  </si>
  <si>
    <t>ผงติ่งฟงชาเย็น,ชานม</t>
  </si>
  <si>
    <t>ผงติ่งฟงช็อคชิพ,ชอคโกแลค</t>
  </si>
  <si>
    <t>1*20 ห่อ</t>
  </si>
  <si>
    <t>ซอง299</t>
  </si>
  <si>
    <t>ลัง 3585</t>
  </si>
  <si>
    <t>3386(3363</t>
  </si>
  <si>
    <t xml:space="preserve">  </t>
  </si>
  <si>
    <t>ติ่งฟงโกโก้</t>
  </si>
  <si>
    <t>ซอง225</t>
  </si>
  <si>
    <t>ลัง 2700</t>
  </si>
  <si>
    <t>3-2-69</t>
  </si>
  <si>
    <t>2543(2520</t>
  </si>
  <si>
    <t>ผงเฉาก้วย</t>
  </si>
  <si>
    <t>12ซอง</t>
  </si>
  <si>
    <t>โหล 550</t>
  </si>
  <si>
    <t>รถ 10</t>
  </si>
  <si>
    <t>ครีมหอมนมสด</t>
  </si>
  <si>
    <t>ลัง1990</t>
  </si>
  <si>
    <t>1-3-67</t>
  </si>
  <si>
    <t>ลัง 1860</t>
  </si>
  <si>
    <t>ใบชาแดงโยกุ</t>
  </si>
  <si>
    <t>1*42ถุง</t>
  </si>
  <si>
    <t xml:space="preserve">รถ30 </t>
  </si>
  <si>
    <t>ผงชาเขียวมัทฉะ</t>
  </si>
  <si>
    <t>1*12ซอง</t>
  </si>
  <si>
    <t>ลัง 1150</t>
  </si>
  <si>
    <t>30-3-69</t>
  </si>
  <si>
    <t>โฮจิฉะ(ผงชาเขียวคั่ว)</t>
  </si>
  <si>
    <t>100ก</t>
  </si>
  <si>
    <t>27-3-69</t>
  </si>
  <si>
    <t>ลัง 2518.25</t>
  </si>
  <si>
    <t>บุกไข่มุกบราวซูก้าร์</t>
  </si>
  <si>
    <t>ลัง 790</t>
  </si>
  <si>
    <t>ค่ารถ 40</t>
  </si>
  <si>
    <t>บุกไข่มุกบราวซูก้าร์(เต๋า7มิล)</t>
  </si>
  <si>
    <t>1*24ถุง</t>
  </si>
  <si>
    <t>15-6-66</t>
  </si>
  <si>
    <t>บุกไข่มุกน้ำตาล</t>
  </si>
  <si>
    <t>26-2-68</t>
  </si>
  <si>
    <t>บุกไข่มุกน้ำผึ้ง</t>
  </si>
  <si>
    <t>27-9-64</t>
  </si>
  <si>
    <t>น้ำติ่งฟงสตรอเบอรี่</t>
  </si>
  <si>
    <t>28-5-68</t>
  </si>
  <si>
    <t>รถ25</t>
  </si>
  <si>
    <t>71.92(69)</t>
  </si>
  <si>
    <t>น้ำติ่งฟงบลูเบอรี่</t>
  </si>
  <si>
    <t>น้ำติ่งฟงลิ้นจี่</t>
  </si>
  <si>
    <t>น้ำติ่งฟงราสเบอรี่</t>
  </si>
  <si>
    <t>น้ำติ่งฟงบลูเลมอน</t>
  </si>
  <si>
    <t>น้ำติ่งฟงบลูฮาย</t>
  </si>
  <si>
    <t>น้ำติ่งฟงองุ่น</t>
  </si>
  <si>
    <t>น้ำติ่งฟงแคนตาลูป</t>
  </si>
  <si>
    <t xml:space="preserve">น้ำติ่งฟงกีวี </t>
  </si>
  <si>
    <t>น้ำติ่งฟงส้ม</t>
  </si>
  <si>
    <t>น้ำติ่งฟงสับปะรด</t>
  </si>
  <si>
    <t>น้ำติ่งน้ำผึ้งมะนาว</t>
  </si>
  <si>
    <t>น้ำติ่งฟงเสาวรส</t>
  </si>
  <si>
    <t>น้ำติ่งฟงมะพร้าว</t>
  </si>
  <si>
    <t xml:space="preserve">น้ำติ่งฟงแตงโม </t>
  </si>
  <si>
    <t>น้ำติ่งฟงมะม่วง</t>
  </si>
  <si>
    <t>น้ำติ่งฟงแอปเปื้ลเขียว</t>
  </si>
  <si>
    <t>น้ำติ่งฟงมะนาว</t>
  </si>
  <si>
    <t>น้ำติ่งฟงพันซ์แดง</t>
  </si>
  <si>
    <t xml:space="preserve">น้ำติ่งฟงโคล่า </t>
  </si>
  <si>
    <t>11-2-66</t>
  </si>
  <si>
    <t>66(63.25)</t>
  </si>
  <si>
    <t>น้ำติ่งฟงโยเกิร์ต</t>
  </si>
  <si>
    <t>82.30(79.3)</t>
  </si>
  <si>
    <t xml:space="preserve">น้ำติ่งฟงบราวซูกา </t>
  </si>
  <si>
    <t>6-8-66</t>
  </si>
  <si>
    <t>74(71.42)</t>
  </si>
  <si>
    <t>น้ำติ่งฟงคาราเมล</t>
  </si>
  <si>
    <t>ประสิทธิ์</t>
  </si>
  <si>
    <t>847</t>
  </si>
  <si>
    <t>22-11-68</t>
  </si>
  <si>
    <t>ส่วนลด5.-รถ20</t>
  </si>
  <si>
    <t>ปู (ธารทิพย์)</t>
  </si>
  <si>
    <t>ไข่มุกดำตรากวาง</t>
  </si>
  <si>
    <t>ลัง600</t>
  </si>
  <si>
    <t>536</t>
  </si>
  <si>
    <t>รถ35</t>
  </si>
  <si>
    <t>บุกเฉาก๊วยเฉากี๊ เฉากี๊</t>
  </si>
  <si>
    <t>17-9-65</t>
  </si>
  <si>
    <t>คอนเฟล็คซันเกรท</t>
  </si>
  <si>
    <t>ลัง 1685</t>
  </si>
  <si>
    <t>บิสกิตแผ่นดำ(โอรีโอ)</t>
  </si>
  <si>
    <t>460ก.</t>
  </si>
  <si>
    <t>1*16</t>
  </si>
  <si>
    <t>31-8-65</t>
  </si>
  <si>
    <t>หีบ 35</t>
  </si>
  <si>
    <t>ลัง935</t>
  </si>
  <si>
    <t>ผงเฟรปเป้The Frappe</t>
  </si>
  <si>
    <t>ลัง 2990</t>
  </si>
  <si>
    <t>3-10-66</t>
  </si>
  <si>
    <t>รถ30</t>
  </si>
  <si>
    <t>ลัง 2790</t>
  </si>
  <si>
    <t>มุกตรากวาง</t>
  </si>
  <si>
    <t>ลัง 600</t>
  </si>
  <si>
    <t>2-4-68</t>
  </si>
  <si>
    <t>จำเป็นขายราคาใหม่</t>
  </si>
  <si>
    <t>ลัง  520</t>
  </si>
  <si>
    <t>6-68</t>
  </si>
  <si>
    <t>50ลัง 465/100ลัง460</t>
  </si>
  <si>
    <t>(50)ลัง495</t>
  </si>
  <si>
    <t>เฉาก๊วย(ไทยเชฟ)</t>
  </si>
  <si>
    <t>1กก</t>
  </si>
  <si>
    <t>ลัง 860</t>
  </si>
  <si>
    <t>2-3-69</t>
  </si>
  <si>
    <t>รถ30(ด3รถต้นทาง)</t>
  </si>
  <si>
    <t>ห่อ 41.50</t>
  </si>
  <si>
    <t>ลูกตาล(ไทยเชฟ)</t>
  </si>
  <si>
    <t>7-4-69</t>
  </si>
  <si>
    <t>(ด3รถต้นทาง)20+1</t>
  </si>
  <si>
    <t>ห่อ 32</t>
  </si>
  <si>
    <t>วุ้นมะพร้าวขาว(ไทยเชฟ)</t>
  </si>
  <si>
    <t>ลัง 660(740)</t>
  </si>
  <si>
    <t>7-4--69</t>
  </si>
  <si>
    <t>640(ใหม่680</t>
  </si>
  <si>
    <t>รถ 35</t>
  </si>
  <si>
    <t>640(ใหม่715)</t>
  </si>
  <si>
    <t>ห่อ 32(35.75</t>
  </si>
  <si>
    <t>วุ้นมะพร้าวใบเตย(ไทยเชฟ)</t>
  </si>
  <si>
    <t>(ด3รถต้นทาง)</t>
  </si>
  <si>
    <t>วุ้นมะพร้าวตุ๊กตา-ขาว</t>
  </si>
  <si>
    <t>ห่อ 32.50</t>
  </si>
  <si>
    <t>วุ้นมะพร้าวตุ๊กตา-สตรอ</t>
  </si>
  <si>
    <t>วุ้นมะพร้าวตุ๊กตา-แคนตาลูป</t>
  </si>
  <si>
    <t>เฮียซ้ง</t>
  </si>
  <si>
    <t>ซ้ง</t>
  </si>
  <si>
    <t>ลูกตาล(หทัยฟู้ด061-4294561</t>
  </si>
  <si>
    <t>1*15ถุง</t>
  </si>
  <si>
    <t>ลัง 530</t>
  </si>
  <si>
    <t>29-9-68</t>
  </si>
  <si>
    <t>ห่อ 34</t>
  </si>
  <si>
    <t>วุ้นมะพร้าวขาวหทัย</t>
  </si>
  <si>
    <t>ลัง 500</t>
  </si>
  <si>
    <t>วุ้นมะพร้าวกลิ่นใบเตย</t>
  </si>
  <si>
    <t>ไข่มุกดำ</t>
  </si>
  <si>
    <t>14-11-66</t>
  </si>
  <si>
    <t>รถ31</t>
  </si>
  <si>
    <t>J P จิตราพงค์</t>
  </si>
  <si>
    <t>สมศักดิ์</t>
  </si>
  <si>
    <t>บ๊วยเจริญ(เล็ก) 083-4609080</t>
  </si>
  <si>
    <t>032-2403479</t>
  </si>
  <si>
    <t>ไข่มุกดำตราเชอรี่</t>
  </si>
  <si>
    <t>460</t>
  </si>
  <si>
    <t>บุกฟรุตสลัด 3 สี</t>
  </si>
  <si>
    <t>6-5-58</t>
  </si>
  <si>
    <t>15ลังแถม1</t>
  </si>
  <si>
    <t>ม้วนซีลส้มลาย 3</t>
  </si>
  <si>
    <t>ม้วน</t>
  </si>
  <si>
    <t>1*6ม้วน</t>
  </si>
  <si>
    <t>21-8-58</t>
  </si>
  <si>
    <t>1*36กล่อง</t>
  </si>
  <si>
    <t>ลัง 4280</t>
  </si>
  <si>
    <t>30-11-66</t>
  </si>
  <si>
    <t>ผงเผือกหอม</t>
  </si>
  <si>
    <t>150ก.</t>
  </si>
  <si>
    <t>1*48ถุง</t>
  </si>
  <si>
    <t>โหล 375</t>
  </si>
  <si>
    <t>1320</t>
  </si>
  <si>
    <t>ผงนมสด</t>
  </si>
  <si>
    <t>1300</t>
  </si>
  <si>
    <t>ผงชาหอม</t>
  </si>
  <si>
    <t>180ก.</t>
  </si>
  <si>
    <t>1*60ถุง</t>
  </si>
  <si>
    <t>ผงสตรอเบอรี่</t>
  </si>
  <si>
    <t>ผงแคนตาลูป</t>
  </si>
  <si>
    <t>โหล 360</t>
  </si>
  <si>
    <t>ผงชาเขียว</t>
  </si>
  <si>
    <t>ผงชามะนาว</t>
  </si>
  <si>
    <t>ผงชาเย็น</t>
  </si>
  <si>
    <t>ผงนมเย็น</t>
  </si>
  <si>
    <t>ผงนมสดน้ำผึ้ง</t>
  </si>
  <si>
    <t>120ก.</t>
  </si>
  <si>
    <t>โหล 240</t>
  </si>
  <si>
    <t>1080</t>
  </si>
  <si>
    <t>ผงโกโก้</t>
  </si>
  <si>
    <t>โหล 380</t>
  </si>
  <si>
    <t>ค่ารถ35</t>
  </si>
  <si>
    <t>ผงโกโก้ชิพ</t>
  </si>
  <si>
    <t>โหล 300</t>
  </si>
  <si>
    <t>16-10-59</t>
  </si>
  <si>
    <t>ผงชอคโกแลค</t>
  </si>
  <si>
    <t>โหล 385</t>
  </si>
  <si>
    <t>8-4-66</t>
  </si>
  <si>
    <t>ผงคาปูชิโนA</t>
  </si>
  <si>
    <t>โหล 370</t>
  </si>
  <si>
    <t>ผงเอสเปรสโซA</t>
  </si>
  <si>
    <t>ผงมอคค่าA</t>
  </si>
  <si>
    <t>23-2-62</t>
  </si>
  <si>
    <t>โหล845</t>
  </si>
  <si>
    <t>ลัง 4200</t>
  </si>
  <si>
    <t>28-4-66</t>
  </si>
  <si>
    <t>เฉาก้วย</t>
  </si>
  <si>
    <t>1*36 ซอง</t>
  </si>
  <si>
    <t>ลัง 1050</t>
  </si>
  <si>
    <t>22-5-64</t>
  </si>
  <si>
    <t>ผงโฟมครีมชีส</t>
  </si>
  <si>
    <t>180ก</t>
  </si>
  <si>
    <t>โหล 450</t>
  </si>
  <si>
    <t>15-7-64</t>
  </si>
  <si>
    <t>โหล 400</t>
  </si>
  <si>
    <t>โหล 410</t>
  </si>
  <si>
    <t>ผงโฟมครีมชีสกลิ่นวานิลา</t>
  </si>
  <si>
    <t>ผงสมูตตี้</t>
  </si>
  <si>
    <t>ผงพุดดิ้ง</t>
  </si>
  <si>
    <t>น้ำผึ้งฮันนี่ควีน</t>
  </si>
  <si>
    <t>ฮันนี่ควีน ฟาร์มผึ้ง</t>
  </si>
  <si>
    <t>กาญจนบุรี</t>
  </si>
  <si>
    <t>น้ำผึ้งฮันนี่ควีน(ขวดแก้ว)</t>
  </si>
  <si>
    <t>1000ก</t>
  </si>
  <si>
    <t>น้ำผึ้งฮันนี่โกลด</t>
  </si>
  <si>
    <t>10-4-69</t>
  </si>
  <si>
    <t>400ก</t>
  </si>
  <si>
    <t>10-4--69</t>
  </si>
  <si>
    <t>บ. มินทนา</t>
  </si>
  <si>
    <t>ครีมเทียมบี วัน</t>
  </si>
  <si>
    <t xml:space="preserve">1กก. </t>
  </si>
  <si>
    <t>50ลังแถม 1</t>
  </si>
  <si>
    <t>บ. พรีเซิร์ฟ ฟู้ด สเปเชียลตี้ จำกัด</t>
  </si>
  <si>
    <t>100ลัง/893.58</t>
  </si>
  <si>
    <t>ครีมเทียมดรีมมี่</t>
  </si>
  <si>
    <t>1*12แพค</t>
  </si>
  <si>
    <t>ห่อ 74</t>
  </si>
  <si>
    <t>15-3-68</t>
  </si>
  <si>
    <r>
      <rPr>
        <sz val="20"/>
        <color indexed="10"/>
        <rFont val="Angsana New"/>
        <family val="1"/>
      </rPr>
      <t>(50ลัง/854)</t>
    </r>
    <r>
      <rPr>
        <sz val="20"/>
        <rFont val="Angsana New"/>
        <family val="1"/>
      </rPr>
      <t>(100/836)</t>
    </r>
  </si>
  <si>
    <t>ลัง 854.04</t>
  </si>
  <si>
    <t>ครีมเทียมปรุงแต่งดรีมมี่(แดง)</t>
  </si>
  <si>
    <t>ห่อ 64</t>
  </si>
  <si>
    <t>ลัง 760</t>
  </si>
  <si>
    <r>
      <t>(10ลัง/728)</t>
    </r>
    <r>
      <rPr>
        <sz val="20"/>
        <color indexed="10"/>
        <rFont val="Angsana New"/>
        <family val="1"/>
      </rPr>
      <t>(20/741)</t>
    </r>
  </si>
  <si>
    <t>ลัง 741</t>
  </si>
  <si>
    <t>( 40ลัง/735)</t>
  </si>
  <si>
    <t>11-11-68</t>
  </si>
  <si>
    <t>(20ลัง)รถ 25</t>
  </si>
  <si>
    <t>ลัง751</t>
  </si>
  <si>
    <t>นมผงดรีมมี่</t>
  </si>
  <si>
    <t>ห่อ 110</t>
  </si>
  <si>
    <t>ลัง 1250</t>
  </si>
  <si>
    <t>26-1-69</t>
  </si>
  <si>
    <r>
      <t>บ.ส่ง(รถ15)</t>
    </r>
    <r>
      <rPr>
        <sz val="20"/>
        <color indexed="10"/>
        <rFont val="Angsana New"/>
        <family val="1"/>
      </rPr>
      <t>(10ลัง)</t>
    </r>
  </si>
  <si>
    <t>ลัง 1191</t>
  </si>
  <si>
    <t>วิปปิ้งผงดรีมมี่(หวาน)</t>
  </si>
  <si>
    <t>ลัง 2920</t>
  </si>
  <si>
    <t>ลัง 2855.03</t>
  </si>
  <si>
    <t>วิปปิ้งผงดรีมมี่(จืด)</t>
  </si>
  <si>
    <t>ลัง 2847</t>
  </si>
  <si>
    <t>ผงครีมชีทดรีมมี่</t>
  </si>
  <si>
    <t>1*12ห่อ</t>
  </si>
  <si>
    <t>ลัง 1380</t>
  </si>
  <si>
    <r>
      <t>บ.ส่ง(รถ15)</t>
    </r>
    <r>
      <rPr>
        <sz val="20"/>
        <color indexed="10"/>
        <rFont val="Angsana New"/>
        <family val="1"/>
      </rPr>
      <t>(20ลัง)</t>
    </r>
  </si>
  <si>
    <t>ลัง 1326</t>
  </si>
  <si>
    <t>โกโก้ดรีมมี่</t>
  </si>
  <si>
    <t>ลัง 2220</t>
  </si>
  <si>
    <t>21-6-68</t>
  </si>
  <si>
    <t>ลัง 2115</t>
  </si>
  <si>
    <t>160ก.</t>
  </si>
  <si>
    <t>เม็ดกาแฟROSTED</t>
  </si>
  <si>
    <t>1*6ห่อ</t>
  </si>
  <si>
    <t>ลัง1202.68</t>
  </si>
  <si>
    <t>วี เอส เทรด</t>
  </si>
  <si>
    <t>ลัง 920</t>
  </si>
  <si>
    <t>14-2-66</t>
  </si>
  <si>
    <t>รถ20</t>
  </si>
  <si>
    <t xml:space="preserve"> ลัง 865</t>
  </si>
  <si>
    <t>แพค 72</t>
  </si>
  <si>
    <t>ครีมหัวนมผงดรีมมี่</t>
  </si>
  <si>
    <t>ลัง 1360</t>
  </si>
  <si>
    <t>9-5-66</t>
  </si>
  <si>
    <t xml:space="preserve"> ลัง1285</t>
  </si>
  <si>
    <t>แพค 107.08</t>
  </si>
  <si>
    <t>8-12-66</t>
  </si>
  <si>
    <t>ลัง 3015</t>
  </si>
  <si>
    <t>ห่อ 125.63</t>
  </si>
  <si>
    <t>โกโก้ผงดรีมมี่</t>
  </si>
  <si>
    <t>บ. มาตรฐานการโยธา</t>
  </si>
  <si>
    <t>กาแฟทรีโอ แอคทีฟ  (แดง)</t>
  </si>
  <si>
    <t>18ก.*28 ซอง</t>
  </si>
  <si>
    <t>26-1-59</t>
  </si>
  <si>
    <t>ลด 4+15%</t>
  </si>
  <si>
    <t>ลัง1414.45</t>
  </si>
  <si>
    <t xml:space="preserve"> กาแฟทรีโอเอสเปรสโซ่(ข)</t>
  </si>
  <si>
    <t>18ก.*27ซอง</t>
  </si>
  <si>
    <t>กาแฟทรีโอ ออริจินัล  (ดำ)</t>
  </si>
  <si>
    <t>กาแฟทรีโอโกลด์      (ทอง)</t>
  </si>
  <si>
    <t>18 ก.*60ซอง</t>
  </si>
  <si>
    <t>20-7-61</t>
  </si>
  <si>
    <t>ลัง 2123</t>
  </si>
  <si>
    <t>ขวด190ก</t>
  </si>
  <si>
    <t>1*12ชุด</t>
  </si>
  <si>
    <t>23-11-58</t>
  </si>
  <si>
    <t>ลด4+4%</t>
  </si>
  <si>
    <t>ลัง 1365</t>
  </si>
  <si>
    <t xml:space="preserve">    บ. ซีโน่-แปซิฟิค เทรดดิ้ง(ไทยแลนด์)จก</t>
  </si>
  <si>
    <t>กาแฟบอน อโรมา โกลด์</t>
  </si>
  <si>
    <t>โหล 1480</t>
  </si>
  <si>
    <t>ลด5%</t>
  </si>
  <si>
    <t>โหล1357.53</t>
  </si>
  <si>
    <t>โหล 2680</t>
  </si>
  <si>
    <t>20-12-68</t>
  </si>
  <si>
    <t>โหล 2597.45</t>
  </si>
  <si>
    <t>โกโก้ทิวลิป</t>
  </si>
  <si>
    <t>440ก.</t>
  </si>
  <si>
    <t>10-11-60</t>
  </si>
  <si>
    <t>ลด250</t>
  </si>
  <si>
    <t>อิควล</t>
  </si>
  <si>
    <t>50ซอง</t>
  </si>
  <si>
    <t>21-7-58</t>
  </si>
  <si>
    <t>100ซอง</t>
  </si>
  <si>
    <t>15-8-58</t>
  </si>
  <si>
    <t>103ก.แถม5กล่อง@141.33</t>
  </si>
  <si>
    <t xml:space="preserve">    บ. พิริยะพลู</t>
  </si>
  <si>
    <t>02-2465501</t>
  </si>
  <si>
    <t>ชาลิปตันซอง</t>
  </si>
  <si>
    <t>1*100ซอง</t>
  </si>
  <si>
    <t>2640ลดพิเศษ840/1800 @150</t>
  </si>
  <si>
    <t>ลัง2670</t>
  </si>
  <si>
    <t>ชาผงเนสที</t>
  </si>
  <si>
    <t>3 ออนซ์</t>
  </si>
  <si>
    <t>11-12-55</t>
  </si>
  <si>
    <t>ลัง1926</t>
  </si>
  <si>
    <t>เนสกาแฟ โกลด์</t>
  </si>
  <si>
    <t>17-3-69</t>
  </si>
  <si>
    <t>กาแฟลิโก โกลด์</t>
  </si>
  <si>
    <t>15-9-68</t>
  </si>
  <si>
    <t>1แถม1</t>
  </si>
  <si>
    <t>บ.  สุขเกษม อินเตอร์เนชั่นแนล จก</t>
  </si>
  <si>
    <t>โกโก้ดัทช์</t>
  </si>
  <si>
    <t>4-5-66</t>
  </si>
  <si>
    <t>6-11-60</t>
  </si>
  <si>
    <t>450ก.</t>
  </si>
  <si>
    <t>ศิลาโคราช</t>
  </si>
  <si>
    <t>เนสกาแฟ 3 in 1 สีแดง</t>
  </si>
  <si>
    <t>60 ซอง</t>
  </si>
  <si>
    <t>5-6-55</t>
  </si>
  <si>
    <t>ลด 500</t>
  </si>
  <si>
    <t>เนสกาแฟ 3 in 1 สีเขียว</t>
  </si>
  <si>
    <t>27 ซอง</t>
  </si>
  <si>
    <t>คอฟฟี่เมตโกลด์</t>
  </si>
  <si>
    <t>10-4-55</t>
  </si>
  <si>
    <t xml:space="preserve">โอวัลติน 3 in 1 </t>
  </si>
  <si>
    <t>16 ซอง</t>
  </si>
  <si>
    <t>ลัง 1220</t>
  </si>
  <si>
    <t>2-11-65</t>
  </si>
  <si>
    <t>ลดลัง30</t>
  </si>
  <si>
    <t>33 ซอง</t>
  </si>
  <si>
    <t>ลัง 2780</t>
  </si>
  <si>
    <t>โอวัลตินช็อคโก</t>
  </si>
  <si>
    <t>13-5-66</t>
  </si>
  <si>
    <t xml:space="preserve">โอวัลติน </t>
  </si>
  <si>
    <t>280 ก.</t>
  </si>
  <si>
    <t>1*30</t>
  </si>
  <si>
    <t>2-5-66</t>
  </si>
  <si>
    <t>1*72</t>
  </si>
  <si>
    <t>19-12-55</t>
  </si>
  <si>
    <t>ลด 75</t>
  </si>
  <si>
    <t>กาแฟเรดคัพ</t>
  </si>
  <si>
    <t>45 ก.</t>
  </si>
  <si>
    <t>1*24 ซอง</t>
  </si>
  <si>
    <t>18ก.</t>
  </si>
  <si>
    <t xml:space="preserve">เนสกาแฟ 3 in 1แดง </t>
  </si>
  <si>
    <t>1*27 ซอง</t>
  </si>
  <si>
    <t>1*60 ซอง</t>
  </si>
  <si>
    <t>เนสกาแฟ 3 in 1 เขียว</t>
  </si>
  <si>
    <t>โอวัลตินครั้นชี 3 in1</t>
  </si>
  <si>
    <t>1*18 ซอง</t>
  </si>
  <si>
    <t>โอวัลติน SOY 3 in1</t>
  </si>
  <si>
    <t>1*14 ซอง</t>
  </si>
  <si>
    <t>100 ก.</t>
  </si>
  <si>
    <t>1*2</t>
  </si>
  <si>
    <t>28-2-69</t>
  </si>
  <si>
    <t>ลัง 742.20</t>
  </si>
  <si>
    <t>รถ 25(สั่ง30ลัง</t>
  </si>
  <si>
    <t>ลัง 819.15</t>
  </si>
  <si>
    <t>(50ลังแถม 1)</t>
  </si>
  <si>
    <t>25-2-69</t>
  </si>
  <si>
    <t>บ.วินเนอร์กรุ๊ป เอ็นเตอร์ไพรซ์  จก.</t>
  </si>
  <si>
    <t>จิรัชยา</t>
  </si>
  <si>
    <t>0-26756525-31</t>
  </si>
  <si>
    <t xml:space="preserve"> ผงโกโก้เข้มใบเฟริน</t>
  </si>
  <si>
    <t>ลัง 2100</t>
  </si>
  <si>
    <t>18-7-66</t>
  </si>
  <si>
    <t>ลัง 1961</t>
  </si>
  <si>
    <t>บ.ไอ เอส เอ็ม ฟูดส์ โปรดักส์จก.</t>
  </si>
  <si>
    <t>นมผงเดลี่ฟราม</t>
  </si>
  <si>
    <t>ซอง 220</t>
  </si>
  <si>
    <t>ลัง 2640</t>
  </si>
  <si>
    <t>2-6-99</t>
  </si>
  <si>
    <t>ลัง 2555</t>
  </si>
  <si>
    <t xml:space="preserve"> ผงโกโก้ริชเข้ม</t>
  </si>
  <si>
    <t>ซอง 105</t>
  </si>
  <si>
    <t>ลัง 2480</t>
  </si>
  <si>
    <t>2-6-66</t>
  </si>
  <si>
    <t>ลัง 2315</t>
  </si>
  <si>
    <t xml:space="preserve"> ผงโกโก้ริชสูตรมาตรฐาน</t>
  </si>
  <si>
    <t xml:space="preserve">   บจก. นิวคอนเซฟท์  โปรดักส์</t>
  </si>
  <si>
    <t>กาแฟฟิตเน่-ไฟเบอร์</t>
  </si>
  <si>
    <t>160 ก.</t>
  </si>
  <si>
    <t>8-3-56</t>
  </si>
  <si>
    <t>กาแฟฟิตเน่-แอปเปิ้ล</t>
  </si>
  <si>
    <t>กาแฟฟิตเน่-แบงคคอฟฟี่</t>
  </si>
  <si>
    <t>24-2-69</t>
  </si>
  <si>
    <t>กาแฟฟิตเน่-เซฟดอกคำฝอย</t>
  </si>
  <si>
    <t>กาแฟฟิตเน่-เซฟ</t>
  </si>
  <si>
    <t>110 ก.</t>
  </si>
  <si>
    <t>7-11-60</t>
  </si>
  <si>
    <t>กาแฟฟิตเน่-คอลลาเจน</t>
  </si>
  <si>
    <t>ฟิตเน่ยาชงสมุนไพร(8ซอง)</t>
  </si>
  <si>
    <t>16 ก.</t>
  </si>
  <si>
    <t>8-7-58</t>
  </si>
  <si>
    <t>โหล 384</t>
  </si>
  <si>
    <t>ฟิตเน่ยาชงสมุนไพร(20ซอง)</t>
  </si>
  <si>
    <t xml:space="preserve"> 40ก.</t>
  </si>
  <si>
    <t>โหล 942</t>
  </si>
  <si>
    <t>ฟิตเน่สมุนไพรชาเขียว(8ซอง)</t>
  </si>
  <si>
    <t>ฟิตเน่สมุนไพรชาเขียว(20ซอง)</t>
  </si>
  <si>
    <t>35.25 ก.</t>
  </si>
  <si>
    <t>โหล855.33</t>
  </si>
  <si>
    <t>ฟิตเน่สมุนไพรเก็กฮวย(8ซอง)</t>
  </si>
  <si>
    <t>ฟิตเน่สมุนไพรเก็กฮวย(20ซอง)</t>
  </si>
  <si>
    <t>42ก.</t>
  </si>
  <si>
    <t>8-12-58</t>
  </si>
  <si>
    <t>ขิงผงฮอตต้ารสต้นตำหรับ</t>
  </si>
  <si>
    <t>252ก.</t>
  </si>
  <si>
    <t>โหล1128</t>
  </si>
  <si>
    <t>ขิงผงฮอตต้าเข้มข้น</t>
  </si>
  <si>
    <t>210ก.</t>
  </si>
  <si>
    <t>โหล1198</t>
  </si>
  <si>
    <t>ขิงผงฮอตต้า100%</t>
  </si>
  <si>
    <t>โหล932.04</t>
  </si>
  <si>
    <t>บจก. จินเจนฟู้ด โปรดักค์</t>
  </si>
  <si>
    <t>02-440-0310-6</t>
  </si>
  <si>
    <t>ขิงผงจินเจน รสรสยอดนิยม</t>
  </si>
  <si>
    <t>28-2-56</t>
  </si>
  <si>
    <t>ขิงผงจินเจน รสขิงสด</t>
  </si>
  <si>
    <t>ขิงผงจินเจน รสยอดนิยม</t>
  </si>
  <si>
    <t>180 ก.</t>
  </si>
  <si>
    <t>28-9-54</t>
  </si>
  <si>
    <t>ขิง</t>
  </si>
  <si>
    <t>4-12-60</t>
  </si>
  <si>
    <t>เก็กฮวย</t>
  </si>
  <si>
    <t>ดอกคำฝอย</t>
  </si>
  <si>
    <t>มะตูม</t>
  </si>
  <si>
    <t>กระชายดำ</t>
  </si>
  <si>
    <t>ว่านชักมดลูก</t>
  </si>
  <si>
    <t>แห้มผสมโสม</t>
  </si>
  <si>
    <t>มะรุมผสมแห้ม</t>
  </si>
  <si>
    <t>เห็ดหลินจือ 3in 1</t>
  </si>
  <si>
    <t>โรงงานงาดำแม่อุษา</t>
  </si>
  <si>
    <t>งาดำรสจืด</t>
  </si>
  <si>
    <t>4-2-61</t>
  </si>
  <si>
    <t>1ลัง(100ซอง)</t>
  </si>
  <si>
    <t>352ก.</t>
  </si>
  <si>
    <t>3ลัง(300ซอง)แถม10ห่อ</t>
  </si>
  <si>
    <t>งาดำหวานน้อยชนิดซอง</t>
  </si>
  <si>
    <t>ข้าวกล้องหอมมะลิงอก</t>
  </si>
  <si>
    <t>22*16ซอง</t>
  </si>
  <si>
    <t>5ลัง(500ซอง)แถม20ห่อ</t>
  </si>
  <si>
    <t>ข้าวฮาง</t>
  </si>
  <si>
    <t>ลูกเดือย</t>
  </si>
  <si>
    <t>ถั่วเหลืองผสมงาดำ</t>
  </si>
  <si>
    <t>ถั่ว 5 สี</t>
  </si>
  <si>
    <t>กาแฟสลิ่ม</t>
  </si>
  <si>
    <t>1*7ซอง</t>
  </si>
  <si>
    <t>จมูกข้าว</t>
  </si>
  <si>
    <t>รำข้าวสาลีผสมงาดำ</t>
  </si>
  <si>
    <t>รางจืด</t>
  </si>
  <si>
    <t>ขิงผงผสมน้ำผึ้ง</t>
  </si>
  <si>
    <t>น้ำมันงาสกัดเย็น</t>
  </si>
  <si>
    <t>90ซซ.</t>
  </si>
  <si>
    <t>น้ำมันว่านฤาษี</t>
  </si>
  <si>
    <t>สีแดง</t>
  </si>
  <si>
    <t>26-11-58</t>
  </si>
  <si>
    <t>37(35)</t>
  </si>
  <si>
    <t>ลัง810(100ลังแถมแดงใหญ่4ลัง)4%รถ10</t>
  </si>
  <si>
    <t>73(69)</t>
  </si>
  <si>
    <t>93(89)</t>
  </si>
  <si>
    <t>2-10-68</t>
  </si>
  <si>
    <t>ลัง970(20.5ลังแถม 0.5ลัง)รถ10</t>
  </si>
  <si>
    <t>ชาเขียวนมตรามือ</t>
  </si>
  <si>
    <t>80(76)</t>
  </si>
  <si>
    <t>รถ 20</t>
  </si>
  <si>
    <t>14-8-67</t>
  </si>
  <si>
    <t>21โหลแถม6ซอง580(24.16)รถ 10</t>
  </si>
  <si>
    <t>ชากุหลาบ</t>
  </si>
  <si>
    <t>ซอง185</t>
  </si>
  <si>
    <t>โหล2160</t>
  </si>
  <si>
    <t>9-10-68</t>
  </si>
  <si>
    <t>10-9-68</t>
  </si>
  <si>
    <t>ชาไทยปรุงสำเร็จ(ผงชาเบเกอรี่)</t>
  </si>
  <si>
    <t>100กง</t>
  </si>
  <si>
    <t>ลัง 1910</t>
  </si>
  <si>
    <t>รถ 15</t>
  </si>
  <si>
    <t>ซอง 154.25</t>
  </si>
  <si>
    <t>ชาเย็น3in1</t>
  </si>
  <si>
    <t>20ก*5ซอง</t>
  </si>
  <si>
    <t>1*40ซอง</t>
  </si>
  <si>
    <t>ซอง 36</t>
  </si>
  <si>
    <t>ลัง 1325</t>
  </si>
  <si>
    <t>ชาเขียวนม3in1</t>
  </si>
  <si>
    <t>ชาเขียวมัทฉะลาเต้ 3in1</t>
  </si>
  <si>
    <t>ซอง 118</t>
  </si>
  <si>
    <t>ลัง4400</t>
  </si>
  <si>
    <t>ลัง 4270</t>
  </si>
  <si>
    <t>รถ10</t>
  </si>
  <si>
    <t>5-7-67</t>
  </si>
  <si>
    <t>630(620)</t>
  </si>
  <si>
    <t>8-10-68</t>
  </si>
  <si>
    <t>760(740)</t>
  </si>
  <si>
    <t>550(540)</t>
  </si>
  <si>
    <t>ชาแดงมังกรบิน</t>
  </si>
  <si>
    <t>1010(990)</t>
  </si>
  <si>
    <t>690(680)</t>
  </si>
  <si>
    <t>081-8751729</t>
  </si>
  <si>
    <t>โหล240ลัง 895</t>
  </si>
  <si>
    <t>31-3-68</t>
  </si>
  <si>
    <t>(10ลังลด3% ลัง838+30)</t>
  </si>
  <si>
    <t>โหล 217.03</t>
  </si>
  <si>
    <t>ซอง 18.01</t>
  </si>
  <si>
    <t>เล็ก</t>
  </si>
  <si>
    <t>6-12-68</t>
  </si>
  <si>
    <t>ห่อ 240</t>
  </si>
  <si>
    <t>9-8-68</t>
  </si>
  <si>
    <t>โหล</t>
  </si>
  <si>
    <t>บ.นิวคอนเซพท์ โปรดัคท์ จก.</t>
  </si>
  <si>
    <t>สมุนไพรฟิตเน่</t>
  </si>
  <si>
    <t>40ก.</t>
  </si>
  <si>
    <t>25-11-68</t>
  </si>
  <si>
    <t>โหล 946.56</t>
  </si>
  <si>
    <t xml:space="preserve"> ซอง 78.88</t>
  </si>
  <si>
    <t>สมุนไพรฟิตเน่-เก็กฮวย</t>
  </si>
  <si>
    <t>37.5ก.</t>
  </si>
  <si>
    <t>ขิงฮอทต้า100%</t>
  </si>
  <si>
    <t>ซอง 86</t>
  </si>
  <si>
    <t>โหล 936.65</t>
  </si>
  <si>
    <t>ซอง 78.05</t>
  </si>
  <si>
    <t>ขิงฮอทต้าต้นตำหรับ</t>
  </si>
  <si>
    <t>126ก.</t>
  </si>
  <si>
    <t>โหล 1054</t>
  </si>
  <si>
    <t>ซอง 94.46</t>
  </si>
  <si>
    <t>ขิงฮอทต้าเข้มข้น</t>
  </si>
  <si>
    <t>ซอง 110</t>
  </si>
  <si>
    <t xml:space="preserve">โหล </t>
  </si>
  <si>
    <t xml:space="preserve">ซอง </t>
  </si>
  <si>
    <t>ฟิตเน่คอฟฟี่เซฟ-ดอกคำฝอย</t>
  </si>
  <si>
    <t>ซอง 85</t>
  </si>
  <si>
    <t>โหล 904.39</t>
  </si>
  <si>
    <t>ซอง 75.37</t>
  </si>
  <si>
    <t>ฟิตเน่คอฟฟี่เซฟ-</t>
  </si>
  <si>
    <t>บ.เซลเก่าโรซ่า</t>
  </si>
  <si>
    <t>เนสกาแฟ 3 in 1 สีขียว</t>
  </si>
  <si>
    <t>เนสกาแฟ</t>
  </si>
  <si>
    <t>ชอคต็นทิวลิป(ดำ)</t>
  </si>
  <si>
    <t>18-11-60</t>
  </si>
  <si>
    <t>ลด145</t>
  </si>
  <si>
    <t>ชอคต็นทิวลิป(ขาว)</t>
  </si>
  <si>
    <t>สุขเกษม อนเตอรเนชั่นแนล</t>
  </si>
  <si>
    <t xml:space="preserve"> ผงโกโก้ดัทช์</t>
  </si>
  <si>
    <t>8-1-67</t>
  </si>
  <si>
    <t>380ก</t>
  </si>
  <si>
    <t>น้ำตาลปี้บบ้านตาลปึก</t>
  </si>
  <si>
    <t>27-11-60</t>
  </si>
  <si>
    <t>(50แถม1)ลัง274.5+10</t>
  </si>
  <si>
    <t>น้ำตาลปี้บโชคเสกสรร</t>
  </si>
  <si>
    <t>น้ำตาลปี้บบ้านตาลปึ้บแท้</t>
  </si>
  <si>
    <t>23-4-61</t>
  </si>
  <si>
    <t>น้ำตาลปี้บบ้านตาลปึ้บถ้วย</t>
  </si>
  <si>
    <t>สวนจินดา</t>
  </si>
  <si>
    <t>น้ำตาลปี๊บสวนจินดา</t>
  </si>
  <si>
    <t>กก.  32</t>
  </si>
  <si>
    <t>ลัง 310</t>
  </si>
  <si>
    <t>10-9-65</t>
  </si>
  <si>
    <t>(100แถม 2ลัง)รถ12</t>
  </si>
  <si>
    <t>1/2กก.</t>
  </si>
  <si>
    <t>ถุง   16</t>
  </si>
  <si>
    <t>ลัง 300</t>
  </si>
  <si>
    <t>15-10-64</t>
  </si>
  <si>
    <t>บ้านตาลปึก</t>
  </si>
  <si>
    <t>02-9217047-8</t>
  </si>
  <si>
    <t>ชาตรี</t>
  </si>
  <si>
    <t>น้ำตาลกวด</t>
  </si>
  <si>
    <t>1*10กก*3มัด</t>
  </si>
  <si>
    <t>ห่อ22</t>
  </si>
  <si>
    <t>มัด 420ลูก1220</t>
  </si>
  <si>
    <t>23-10-66</t>
  </si>
  <si>
    <t>ลูก1160มัด387</t>
  </si>
  <si>
    <t>มัด 387</t>
  </si>
  <si>
    <t>ห่อ 19.33</t>
  </si>
  <si>
    <t>บ. แมส มาร์เก็ตติ้ง จก .</t>
  </si>
  <si>
    <t>น้ำตาลทรายขาวลิน</t>
  </si>
  <si>
    <t>1*25กก.</t>
  </si>
  <si>
    <t>กก. 29</t>
  </si>
  <si>
    <t>กส. 710</t>
  </si>
  <si>
    <t>กส.</t>
  </si>
  <si>
    <t>น้ำตาลอ้อยธรรมชาติลิน(แดง)</t>
  </si>
  <si>
    <t>กก. 30</t>
  </si>
  <si>
    <t>กส. 720</t>
  </si>
  <si>
    <t>24-10-67</t>
  </si>
  <si>
    <t>กส. 698</t>
  </si>
  <si>
    <t>ลด6.3%</t>
  </si>
  <si>
    <t>กส.699.81</t>
  </si>
  <si>
    <t>น้ำตาลเบเกอรี่ลิน</t>
  </si>
  <si>
    <t>1*20กก.</t>
  </si>
  <si>
    <t>กก. 39</t>
  </si>
  <si>
    <t>ลัง   750</t>
  </si>
  <si>
    <t>ลัง 661</t>
  </si>
  <si>
    <t>ลัง 707.27</t>
  </si>
  <si>
    <t xml:space="preserve">น้ำตาลไอซิ่ง  </t>
  </si>
  <si>
    <t>1*12กก.</t>
  </si>
  <si>
    <t>กก. 40</t>
  </si>
  <si>
    <t>ลัง   440</t>
  </si>
  <si>
    <t>ลัง 392</t>
  </si>
  <si>
    <t>ลัง 419.44</t>
  </si>
  <si>
    <t>กก  34.95</t>
  </si>
  <si>
    <t xml:space="preserve">น้ำตาลป่น  </t>
  </si>
  <si>
    <t>กก. 42</t>
  </si>
  <si>
    <t>ลัง   470</t>
  </si>
  <si>
    <t>ลัง 416</t>
  </si>
  <si>
    <t>ลัง 445.12</t>
  </si>
  <si>
    <t>กก  37.09</t>
  </si>
  <si>
    <t xml:space="preserve">น้ำตาลทรายแดง(โอวทึ้ง) </t>
  </si>
  <si>
    <t>กก. 45</t>
  </si>
  <si>
    <t>ลัง   530</t>
  </si>
  <si>
    <t>ลัง 474</t>
  </si>
  <si>
    <t>5ลัง</t>
  </si>
  <si>
    <t>ลัง 507</t>
  </si>
  <si>
    <t>กก  42.25</t>
  </si>
  <si>
    <t>น้ำตาลทรายแดงเบเกอรี่ลิน</t>
  </si>
  <si>
    <t>ลัง 562</t>
  </si>
  <si>
    <t>กก  46.83</t>
  </si>
  <si>
    <t>น้ำตาลเคลือบคาราเมล</t>
  </si>
  <si>
    <t>กก. 36</t>
  </si>
  <si>
    <t>ลัง  690</t>
  </si>
  <si>
    <t>ลัง 653</t>
  </si>
  <si>
    <t>กก  32.65</t>
  </si>
  <si>
    <t>น้ำตาลมะพร้าว</t>
  </si>
  <si>
    <t>ลัง 578</t>
  </si>
  <si>
    <t>กก  48.17</t>
  </si>
  <si>
    <t>สบู่ซันไลต์70ก.</t>
  </si>
  <si>
    <t>24*6ก้อน</t>
  </si>
  <si>
    <t>ลัง 1637</t>
  </si>
  <si>
    <t>ลด3%</t>
  </si>
  <si>
    <t>ลัง 1699</t>
  </si>
  <si>
    <t>แพค70.79ก้อน11.9</t>
  </si>
  <si>
    <t>บ.สหพัฒนพิบูล จก</t>
  </si>
  <si>
    <t>น้ำตาลมิตรผลบีคริสตัล(ขาว)</t>
  </si>
  <si>
    <t>กส. 580</t>
  </si>
  <si>
    <t>22-9-64</t>
  </si>
  <si>
    <t>น้ำตาลมิตรผลอ้อยธรรมชาติ(แดง)</t>
  </si>
  <si>
    <t>น้ำตาลมิตรผลบีคริสตัล(แดง)</t>
  </si>
  <si>
    <t>1*24กก.</t>
  </si>
  <si>
    <t>25-8-64</t>
  </si>
  <si>
    <t>น้ำตาลมิตรผลแคลอรี่</t>
  </si>
  <si>
    <t>6-3-56</t>
  </si>
  <si>
    <t>น้ำเชื่อมมิตรผล</t>
  </si>
  <si>
    <t>ลัง 375</t>
  </si>
  <si>
    <t>ถุง 31.30</t>
  </si>
  <si>
    <t>บ. วินเนอร์กรุ๊ป เอ็นเตอร์ไพรซ์ จำกัด</t>
  </si>
  <si>
    <t>1 กก.</t>
  </si>
  <si>
    <t>1*40กก.</t>
  </si>
  <si>
    <t>9-12-58</t>
  </si>
  <si>
    <t>กส.1040</t>
  </si>
  <si>
    <t>กส.1080</t>
  </si>
  <si>
    <t>กก.  27</t>
  </si>
  <si>
    <t>บ.ดีไทย จก.</t>
  </si>
  <si>
    <t>สุราจีนเสี่ยวเฮงเจดีย์น้ำเงิน(เหล้าอาหาร)</t>
  </si>
  <si>
    <t>640ซซ.</t>
  </si>
  <si>
    <t>17-7-68</t>
  </si>
  <si>
    <t>โหล2311+30(60ขวดแถม12ขวด)</t>
  </si>
  <si>
    <t>โหล 1951</t>
  </si>
  <si>
    <t>สุราจีนเชียงชุนซัวเถา</t>
  </si>
  <si>
    <t>680ซซ.</t>
  </si>
  <si>
    <t>24ขวดแถม</t>
  </si>
  <si>
    <t>กุ้ยฮวยเฉิน 12ขวด</t>
  </si>
  <si>
    <t>ไชน่สพลับไวน์6ขวด</t>
  </si>
  <si>
    <t>ข้าวเหนียวคุ้กกิ้ง6ขวด</t>
  </si>
  <si>
    <t>ปีใหม่สมนาคุณ</t>
  </si>
  <si>
    <t>เสี่ยวเฮงน้ำเงิน6ขวด</t>
  </si>
  <si>
    <t>สุราจีน เฟินจิ่ว  70ดีกรี</t>
  </si>
  <si>
    <t>500ซซ.</t>
  </si>
  <si>
    <t>1*12ขวด</t>
  </si>
  <si>
    <t>31-5-56</t>
  </si>
  <si>
    <t>สุราเกยพวยระฆังใหญ่+กล่อง</t>
  </si>
  <si>
    <t>560ซซ.</t>
  </si>
  <si>
    <t>19-10-62</t>
  </si>
  <si>
    <t>4920+50</t>
  </si>
  <si>
    <t>สุราซาปีน้ำเต้า</t>
  </si>
  <si>
    <t>750ซซ.</t>
  </si>
  <si>
    <t>4320+50</t>
  </si>
  <si>
    <t>แผนก.......นมข้น................</t>
  </si>
  <si>
    <t xml:space="preserve">   บ. เอฟแอนด์เอ็น แดรี่</t>
  </si>
  <si>
    <t>ราคานม</t>
  </si>
  <si>
    <t>เอฟ</t>
  </si>
  <si>
    <t>นมข้นหวานคาร์เนชั่น</t>
  </si>
  <si>
    <t>2กก.</t>
  </si>
  <si>
    <t>1*8ถุง</t>
  </si>
  <si>
    <t>ลัง750</t>
  </si>
  <si>
    <t>2-9-64</t>
  </si>
  <si>
    <t>ลด20/ลัง</t>
  </si>
  <si>
    <t>ลัง726.53</t>
  </si>
  <si>
    <t xml:space="preserve">ข้นหวาน ทีพอท      </t>
  </si>
  <si>
    <t>อาเอส</t>
  </si>
  <si>
    <t>นมข้นหวานนกเหยี่ยว</t>
  </si>
  <si>
    <t>ลัง 705</t>
  </si>
  <si>
    <t>25ลัง</t>
  </si>
  <si>
    <t>ปรุงอาหาร</t>
  </si>
  <si>
    <t>ศิลา</t>
  </si>
  <si>
    <t>ครีมเทียมข้นหวานตราเบริดวิงค์</t>
  </si>
  <si>
    <t>1*10ถุง</t>
  </si>
  <si>
    <t>ลัง 835</t>
  </si>
  <si>
    <t>21-8-64</t>
  </si>
  <si>
    <t>ลัง  770</t>
  </si>
  <si>
    <t>พร่องมันเนย</t>
  </si>
  <si>
    <t>388 ก.</t>
  </si>
  <si>
    <t>10-7-60</t>
  </si>
  <si>
    <t>380ก.</t>
  </si>
  <si>
    <t>นมสดคาร์เนชั่น</t>
  </si>
  <si>
    <t>385 ก.</t>
  </si>
  <si>
    <t>กป 20</t>
  </si>
  <si>
    <t>24-8-64</t>
  </si>
  <si>
    <t>ลด  40</t>
  </si>
  <si>
    <t>สดคาร์เนชั่นเอ็กตร้า (ครีมเทีมพร่องไขมัน)</t>
  </si>
  <si>
    <t>385ก.</t>
  </si>
  <si>
    <t>9-10-58</t>
  </si>
  <si>
    <t>40หีบแถมแก้ว1ลัง</t>
  </si>
  <si>
    <t>ถุง  52</t>
  </si>
  <si>
    <t>ลัง 960</t>
  </si>
  <si>
    <t>ลด7/ลัง</t>
  </si>
  <si>
    <t>สดคาร์ไข่เจียว (นมปรุงอาหาร)เล็ก</t>
  </si>
  <si>
    <t>140มล.</t>
  </si>
  <si>
    <t xml:space="preserve"> กป 14</t>
  </si>
  <si>
    <t>ถาด 320</t>
  </si>
  <si>
    <t>สดคาร์เนชั่นไข่เจียว (นมปรุงอาหาร)</t>
  </si>
  <si>
    <t>กป 22</t>
  </si>
  <si>
    <t>ลัง 990</t>
  </si>
  <si>
    <t xml:space="preserve">สดทีพอท(พร่องไขมัน)         </t>
  </si>
  <si>
    <t>ส่วนลด55/หีบ</t>
  </si>
  <si>
    <t>สดสเตอรไลส์ตราหมี</t>
  </si>
  <si>
    <t>140 มล.</t>
  </si>
  <si>
    <t>1*16พ*6กป</t>
  </si>
  <si>
    <t>โหล122</t>
  </si>
  <si>
    <t>7-7-60</t>
  </si>
  <si>
    <t>ลัง 910</t>
  </si>
  <si>
    <t>โหล113.71</t>
  </si>
  <si>
    <t>สดสเตอรไลส์ตราหมีไขมันต่ำ</t>
  </si>
  <si>
    <t xml:space="preserve">นมสดตราหมีโกลด์ </t>
  </si>
  <si>
    <t>1*4*6แพค</t>
  </si>
  <si>
    <t>แพค 50</t>
  </si>
  <si>
    <t>3-10-55</t>
  </si>
  <si>
    <t>ลด 13.80 ด.6/55@49</t>
  </si>
  <si>
    <t>บ. อาร์ เอส เอ็ม (2001)</t>
  </si>
  <si>
    <t>17-3-55</t>
  </si>
  <si>
    <t>สิน</t>
  </si>
  <si>
    <t>นมสดนกเหยี่ยว</t>
  </si>
  <si>
    <t>368มล.</t>
  </si>
  <si>
    <t>ลัง</t>
  </si>
  <si>
    <t>1-11-68</t>
  </si>
  <si>
    <t>RS</t>
  </si>
  <si>
    <t>1 ลิตร</t>
  </si>
  <si>
    <t>ลัง 585</t>
  </si>
  <si>
    <t>14-10-68</t>
  </si>
  <si>
    <t>ลด26.40(60แถม5ลัง)</t>
  </si>
  <si>
    <t>ครีมเทียมนกเหยี่ยวเอ็กตร้า</t>
  </si>
  <si>
    <t>แผนก.......นมข้น.......</t>
  </si>
  <si>
    <t>7-4-66</t>
  </si>
  <si>
    <t>ลัง 888.</t>
  </si>
  <si>
    <t>ลัง 827.11</t>
  </si>
  <si>
    <t>นมสดทรีพอทเอ็กตร้า</t>
  </si>
  <si>
    <t>3885ก</t>
  </si>
  <si>
    <t>405ก.</t>
  </si>
  <si>
    <t>กป 25</t>
  </si>
  <si>
    <t>1097.82(46หีบแถมกระติก)</t>
  </si>
  <si>
    <t>นมสดนกเหยี่ยวเอ็กตร้า</t>
  </si>
  <si>
    <t>บ.อุตสาหกรรมนมไทย จก</t>
  </si>
  <si>
    <t>ครีมเทียม้นหวานตราเบริดวิงค์</t>
  </si>
  <si>
    <t>30-4-62</t>
  </si>
  <si>
    <t>ลด40.25</t>
  </si>
  <si>
    <t>ลัง  785.11</t>
  </si>
  <si>
    <t>นมข้นเบริดวิงซ์</t>
  </si>
  <si>
    <t>27-6-54</t>
  </si>
  <si>
    <t>นมข้นตรามะลิ</t>
  </si>
  <si>
    <t>กป 23</t>
  </si>
  <si>
    <t>16-11-58</t>
  </si>
  <si>
    <t>17-5-64</t>
  </si>
  <si>
    <t>นมสดคาร์เนชั่น(รุ่นเก่า)</t>
  </si>
  <si>
    <t>405 ก.</t>
  </si>
  <si>
    <t>18-4-55</t>
  </si>
  <si>
    <t>นมข้นตราพีพอท</t>
  </si>
  <si>
    <t>17-4-55</t>
  </si>
  <si>
    <t>ลด 6.25%</t>
  </si>
  <si>
    <t>กป 27</t>
  </si>
  <si>
    <t>15-8-65</t>
  </si>
  <si>
    <t>ครีมเทียม้นหวานตรามะลิ</t>
  </si>
  <si>
    <t xml:space="preserve">ลัง </t>
  </si>
  <si>
    <t>ลัง  1235</t>
  </si>
  <si>
    <t>ถุง 123.50</t>
  </si>
  <si>
    <t>ลัง  1040</t>
  </si>
  <si>
    <t>ถุง 104</t>
  </si>
  <si>
    <t>นมสดทีพอท</t>
  </si>
  <si>
    <t>21-3-54</t>
  </si>
  <si>
    <t>แผนก........นมข้น............</t>
  </si>
  <si>
    <t>วัวแดงนมเปรี้ยว</t>
  </si>
  <si>
    <t>200มล.</t>
  </si>
  <si>
    <t>1*6*6</t>
  </si>
  <si>
    <t>22-1-61</t>
  </si>
  <si>
    <t>ลด10</t>
  </si>
  <si>
    <r>
      <t>แพค</t>
    </r>
    <r>
      <rPr>
        <b/>
        <sz val="24"/>
        <color indexed="10"/>
        <rFont val="Angsana New"/>
        <family val="1"/>
      </rPr>
      <t xml:space="preserve"> 48.32</t>
    </r>
  </si>
  <si>
    <t>วัวแดงหวาน</t>
  </si>
  <si>
    <t>8-5-68</t>
  </si>
  <si>
    <r>
      <t>แพค</t>
    </r>
    <r>
      <rPr>
        <b/>
        <sz val="24"/>
        <color indexed="10"/>
        <rFont val="Angsana New"/>
        <family val="1"/>
      </rPr>
      <t xml:space="preserve"> 63.33</t>
    </r>
  </si>
  <si>
    <t>วัวแดงจืด</t>
  </si>
  <si>
    <t>26-5-68</t>
  </si>
  <si>
    <t>ลด</t>
  </si>
  <si>
    <r>
      <t>แพค</t>
    </r>
    <r>
      <rPr>
        <b/>
        <sz val="24"/>
        <color indexed="10"/>
        <rFont val="Angsana New"/>
        <family val="1"/>
      </rPr>
      <t xml:space="preserve"> 59.17</t>
    </r>
  </si>
  <si>
    <t>250มล.</t>
  </si>
  <si>
    <t>15-9-58</t>
  </si>
  <si>
    <t>7-2-60</t>
  </si>
  <si>
    <t>ไวตามิลค์สูตรหวานน้อย</t>
  </si>
  <si>
    <r>
      <t>แพค</t>
    </r>
    <r>
      <rPr>
        <b/>
        <sz val="24"/>
        <color indexed="10"/>
        <rFont val="Angsana New"/>
        <family val="1"/>
      </rPr>
      <t xml:space="preserve"> 44.17</t>
    </r>
  </si>
  <si>
    <t>ไวตามิลค์ออริจินอล</t>
  </si>
  <si>
    <t>ลัง 360</t>
  </si>
  <si>
    <t>7-1-69</t>
  </si>
  <si>
    <t>ลดสด 4%</t>
  </si>
  <si>
    <r>
      <t>แพค</t>
    </r>
    <r>
      <rPr>
        <b/>
        <sz val="24"/>
        <color indexed="10"/>
        <rFont val="Angsana New"/>
        <family val="1"/>
      </rPr>
      <t xml:space="preserve"> 56</t>
    </r>
  </si>
  <si>
    <t>ไวตามิลค์ข้าวบาเล่ย์</t>
  </si>
  <si>
    <t>330ก.</t>
  </si>
  <si>
    <t>1*3*12</t>
  </si>
  <si>
    <t>ลัง 365</t>
  </si>
  <si>
    <r>
      <t>แพค</t>
    </r>
    <r>
      <rPr>
        <b/>
        <sz val="24"/>
        <color indexed="10"/>
        <rFont val="Angsana New"/>
        <family val="1"/>
      </rPr>
      <t xml:space="preserve"> 29.16</t>
    </r>
  </si>
  <si>
    <t>ไวตามิลค์งาดำ</t>
  </si>
  <si>
    <t>300มล.</t>
  </si>
  <si>
    <t>6-1-69</t>
  </si>
  <si>
    <t>ลด4%</t>
  </si>
  <si>
    <r>
      <t>แพค</t>
    </r>
    <r>
      <rPr>
        <b/>
        <sz val="24"/>
        <color indexed="10"/>
        <rFont val="Angsana New"/>
        <family val="1"/>
      </rPr>
      <t xml:space="preserve"> 28</t>
    </r>
  </si>
  <si>
    <t>ดัชมิลค์</t>
  </si>
  <si>
    <t>180มล.</t>
  </si>
  <si>
    <t>1*4*12</t>
  </si>
  <si>
    <t>ลัง 400</t>
  </si>
  <si>
    <t>29-11-68</t>
  </si>
  <si>
    <r>
      <t>แพค</t>
    </r>
    <r>
      <rPr>
        <b/>
        <sz val="24"/>
        <color indexed="10"/>
        <rFont val="Angsana New"/>
        <family val="1"/>
      </rPr>
      <t xml:space="preserve"> 31.20</t>
    </r>
  </si>
  <si>
    <t>90มล.</t>
  </si>
  <si>
    <t>11-10-59</t>
  </si>
  <si>
    <r>
      <t>แพค</t>
    </r>
    <r>
      <rPr>
        <b/>
        <sz val="24"/>
        <color indexed="10"/>
        <rFont val="Angsana New"/>
        <family val="1"/>
      </rPr>
      <t xml:space="preserve"> 30.83</t>
    </r>
  </si>
  <si>
    <t>นมดีน่างาดำหวานน้อย</t>
  </si>
  <si>
    <t>นมดีน่างาดำ</t>
  </si>
  <si>
    <t>นมดีน่าไบโอกาบา</t>
  </si>
  <si>
    <r>
      <t>แพค</t>
    </r>
    <r>
      <rPr>
        <b/>
        <sz val="24"/>
        <color indexed="10"/>
        <rFont val="Angsana New"/>
        <family val="1"/>
      </rPr>
      <t xml:space="preserve"> 32.50</t>
    </r>
  </si>
  <si>
    <t>ดีน่าไบโอกาบ่า หวานน้อย</t>
  </si>
  <si>
    <t>ลัง 390</t>
  </si>
  <si>
    <t>9-4-62</t>
  </si>
  <si>
    <t>ลด 10</t>
  </si>
  <si>
    <r>
      <t>แพค</t>
    </r>
    <r>
      <rPr>
        <b/>
        <sz val="24"/>
        <color indexed="10"/>
        <rFont val="Angsana New"/>
        <family val="1"/>
      </rPr>
      <t xml:space="preserve"> 30.42</t>
    </r>
  </si>
  <si>
    <t>ไมโล  UHT10.-</t>
  </si>
  <si>
    <t>1*6แพค*8</t>
  </si>
  <si>
    <t>74.-</t>
  </si>
  <si>
    <t>ลัง 430</t>
  </si>
  <si>
    <t>ลดสด4%</t>
  </si>
  <si>
    <r>
      <t>แพค</t>
    </r>
    <r>
      <rPr>
        <b/>
        <sz val="24"/>
        <color indexed="10"/>
        <rFont val="Angsana New"/>
        <family val="1"/>
      </rPr>
      <t xml:space="preserve"> 67.17</t>
    </r>
  </si>
  <si>
    <t>โอวัลติน  UHT10.-</t>
  </si>
  <si>
    <t>ลัง 330</t>
  </si>
  <si>
    <r>
      <t>แพค</t>
    </r>
    <r>
      <rPr>
        <b/>
        <sz val="24"/>
        <color indexed="10"/>
        <rFont val="Angsana New"/>
        <family val="1"/>
      </rPr>
      <t xml:space="preserve"> 34.14</t>
    </r>
  </si>
  <si>
    <t>โอวัลติน  UHT</t>
  </si>
  <si>
    <r>
      <t>แพค</t>
    </r>
    <r>
      <rPr>
        <b/>
        <sz val="24"/>
        <color indexed="10"/>
        <rFont val="Angsana New"/>
        <family val="1"/>
      </rPr>
      <t xml:space="preserve"> 31.25</t>
    </r>
  </si>
  <si>
    <t>โอวัลตินดีมอลต์</t>
  </si>
  <si>
    <t>11-10-66</t>
  </si>
  <si>
    <r>
      <t>แพค</t>
    </r>
    <r>
      <rPr>
        <b/>
        <sz val="24"/>
        <color indexed="10"/>
        <rFont val="Angsana New"/>
        <family val="1"/>
      </rPr>
      <t xml:space="preserve"> 36.67</t>
    </r>
  </si>
  <si>
    <t>อิชิตันเย็นเย็น</t>
  </si>
  <si>
    <t>315มล.</t>
  </si>
  <si>
    <t>10.-</t>
  </si>
  <si>
    <t>ลัง200</t>
  </si>
  <si>
    <t>ลัง 185.28</t>
  </si>
  <si>
    <t>ขวด 7.72</t>
  </si>
  <si>
    <t>อิชิตันน้ำผึ้งมะนาว</t>
  </si>
  <si>
    <t>280มล.</t>
  </si>
  <si>
    <t>1*6*4แพค</t>
  </si>
  <si>
    <t>อิชิตันองุ่นเคียวโฮ</t>
  </si>
  <si>
    <t>อิชิตันต้นตำหรับ+ดอกชา</t>
  </si>
  <si>
    <t>โอวัลตินคลาสสิค</t>
  </si>
  <si>
    <t>280ก.</t>
  </si>
  <si>
    <t>1*30ซอง</t>
  </si>
  <si>
    <t>ลัง 1740</t>
  </si>
  <si>
    <t>1-11-67</t>
  </si>
  <si>
    <t>ซอง 56.16</t>
  </si>
  <si>
    <t>โฟร์โมสต์โอเมก้าจืด</t>
  </si>
  <si>
    <t>1*6*9</t>
  </si>
  <si>
    <t>15-11-67</t>
  </si>
  <si>
    <t>50ลัง</t>
  </si>
  <si>
    <r>
      <t>แพค</t>
    </r>
    <r>
      <rPr>
        <b/>
        <sz val="24"/>
        <color indexed="10"/>
        <rFont val="Angsana New"/>
        <family val="1"/>
      </rPr>
      <t xml:space="preserve"> 36.11</t>
    </r>
  </si>
  <si>
    <t>โฟร์โมสต์โอเมก้าชอค</t>
  </si>
  <si>
    <t>โฟร์โมสต์โอเมก้าหวาน</t>
  </si>
  <si>
    <t>โฟร์โมสต์จืด</t>
  </si>
  <si>
    <t>225มล.</t>
  </si>
  <si>
    <t>23-11-60</t>
  </si>
  <si>
    <t>แพค  61.99</t>
  </si>
  <si>
    <t>โฟร์โมสต์หวาน</t>
  </si>
  <si>
    <t>28-9-58</t>
  </si>
  <si>
    <t xml:space="preserve"> </t>
  </si>
  <si>
    <t>โฟร์โมสต์ชอค,สตรอ</t>
  </si>
  <si>
    <t>โฟร์โมสต์พร่อง</t>
  </si>
  <si>
    <t>โฟร์โมสต์โอเมก้าคิด</t>
  </si>
  <si>
    <t>110มล.</t>
  </si>
  <si>
    <t>18-6-55</t>
  </si>
  <si>
    <t>ลด 1%</t>
  </si>
  <si>
    <r>
      <t>แพค</t>
    </r>
    <r>
      <rPr>
        <b/>
        <sz val="24"/>
        <color indexed="10"/>
        <rFont val="Angsana New"/>
        <family val="1"/>
      </rPr>
      <t xml:space="preserve"> 21.81</t>
    </r>
  </si>
  <si>
    <t>น้ำผลไม้โยโมสต์</t>
  </si>
  <si>
    <t>บ. ยูนิ-เพรสซิเด้น มาร์เก็ตติ้ง จก</t>
  </si>
  <si>
    <t>ยูนิฟน้ำผัก 40%ผักผลไม้</t>
  </si>
  <si>
    <t>180มล*3</t>
  </si>
  <si>
    <t>แพค24</t>
  </si>
  <si>
    <t>ลัง 265</t>
  </si>
  <si>
    <t>7-10-67</t>
  </si>
  <si>
    <t>ลด 8%(รายการ25ลัง)</t>
  </si>
  <si>
    <t>แพค21.27</t>
  </si>
  <si>
    <t>ยูนิฟน้ำผัก 40%แครอท</t>
  </si>
  <si>
    <t>ยูนิฟน้ำผัก 40%แครอทม่วง</t>
  </si>
  <si>
    <t>ยูนิฟน้ำผัก 40%ผักใบเขียว</t>
  </si>
  <si>
    <t>ยูนิฟน้ำผัก 40%มิกซ์เบอรี่</t>
  </si>
  <si>
    <t>ยูนิฟน้ำผัก 40%องุ่นเคียวโฮ</t>
  </si>
  <si>
    <t>บ. แลคตาซอย</t>
  </si>
  <si>
    <t>ร้านหฤทัย</t>
  </si>
  <si>
    <t>แลคตาซอยงาดำ</t>
  </si>
  <si>
    <t>125มล</t>
  </si>
  <si>
    <t>1*6*12</t>
  </si>
  <si>
    <t>10-1-60</t>
  </si>
  <si>
    <t>แพค 24</t>
  </si>
  <si>
    <t>แลคตาซอยชอค</t>
  </si>
  <si>
    <t>แพค   24</t>
  </si>
  <si>
    <t>แลคตาซอย</t>
  </si>
  <si>
    <t>1*6*10</t>
  </si>
  <si>
    <t>14-12-66</t>
  </si>
  <si>
    <t>แพค   29.50</t>
  </si>
  <si>
    <t>300มล</t>
  </si>
  <si>
    <t>ลัง 270</t>
  </si>
  <si>
    <t>24-12-65</t>
  </si>
  <si>
    <t>แพค 40.83</t>
  </si>
  <si>
    <t>แลคตาซอยเจ</t>
  </si>
  <si>
    <t>บ.สิริโปร จำกัด</t>
  </si>
  <si>
    <t>เมจกฟาร์มเฟรชมะพร้าว</t>
  </si>
  <si>
    <t>6ขวด*6แพค</t>
  </si>
  <si>
    <t>แพค50.-</t>
  </si>
  <si>
    <t>22-7-68</t>
  </si>
  <si>
    <t>ลด3.66%</t>
  </si>
  <si>
    <t>7.63แพค45.76</t>
  </si>
  <si>
    <t>เมจกฟาร์มเฟรชเฉาก้วย</t>
  </si>
  <si>
    <t>เมจกฟาร์มเฟรชน้ำตาลสด</t>
  </si>
  <si>
    <t>MGFมะพร้าว90%</t>
  </si>
  <si>
    <t>แผนก.......นมข้น.- อื่น ๆ......</t>
  </si>
  <si>
    <t>บ.ดีเคเอสเอช(ประเทศไทย)จก.</t>
  </si>
  <si>
    <t>แอนลีนคอนเซนเทรด0%</t>
  </si>
  <si>
    <t>125มล.</t>
  </si>
  <si>
    <t>24-4-66</t>
  </si>
  <si>
    <r>
      <t xml:space="preserve">แพค </t>
    </r>
    <r>
      <rPr>
        <b/>
        <sz val="24"/>
        <color indexed="10"/>
        <rFont val="Angsana New"/>
        <family val="1"/>
      </rPr>
      <t>57.52</t>
    </r>
  </si>
  <si>
    <t>แอนลีนคอนเซนเทรดจืด</t>
  </si>
  <si>
    <t>แอนลีนคอนเซนเทรดหวาน</t>
  </si>
  <si>
    <t>แอนลีนคอนเซนเทรดงาดำ</t>
  </si>
  <si>
    <t>แอนลีนโกลด์0%</t>
  </si>
  <si>
    <t>16-5-69</t>
  </si>
  <si>
    <t>แพค 52.41</t>
  </si>
  <si>
    <t>แอนลีนโกลด์จืด</t>
  </si>
  <si>
    <t>แอนลีนโกลด์หวาน</t>
  </si>
  <si>
    <t>แอนลีนโกลด์งาดำ</t>
  </si>
  <si>
    <t>แอนลีนนมเปรี้ยวส้ม</t>
  </si>
  <si>
    <t>ลัง 610</t>
  </si>
  <si>
    <t>แพค 49.39</t>
  </si>
  <si>
    <t>แอนลีนนมเปรี้ยวผลไม้</t>
  </si>
  <si>
    <t>แอนมัมนมเปรี้ยวผลไม้</t>
  </si>
  <si>
    <t>4-3-66</t>
  </si>
  <si>
    <t>แพค 44.85</t>
  </si>
  <si>
    <t>แอนมัมยูเอสที(จืด)</t>
  </si>
  <si>
    <t>230มล.</t>
  </si>
  <si>
    <t>ลัง 770</t>
  </si>
  <si>
    <t>9-4-68</t>
  </si>
  <si>
    <t>ลัง 748</t>
  </si>
  <si>
    <t>แพค 62.32</t>
  </si>
  <si>
    <t>แอนมัมมคอลาเจนน้ำผึ้ง</t>
  </si>
  <si>
    <t>22-9-63</t>
  </si>
  <si>
    <t>ผงแอนมัม</t>
  </si>
  <si>
    <t>10-12-60</t>
  </si>
  <si>
    <t>23-10-56</t>
  </si>
  <si>
    <t>ผงแอนลีน</t>
  </si>
  <si>
    <t>325ก.</t>
  </si>
  <si>
    <t>8-4-69</t>
  </si>
  <si>
    <t>750ก.</t>
  </si>
  <si>
    <t>23-8-68</t>
  </si>
  <si>
    <t>แอนลีนโกลด์</t>
  </si>
  <si>
    <t>ผงแอนลีน (ชนิด16ซอง)325ก.</t>
  </si>
  <si>
    <t>25ก.*16ซอง</t>
  </si>
  <si>
    <t>ผงแอนลีน(ชนิด28ซอง)700ก</t>
  </si>
  <si>
    <t>25ก.*28ซอง</t>
  </si>
  <si>
    <t>ผงแอนลีน(ชนิด18ซอง)500ก</t>
  </si>
  <si>
    <t>25ก.*18ซอง*2</t>
  </si>
  <si>
    <t>แอนมัมมคอลาเจ+A193:Kนน้ำผึ้ง</t>
  </si>
  <si>
    <t>แผนก...........................................................</t>
  </si>
  <si>
    <t>บริษัท</t>
  </si>
  <si>
    <t>บ. เทพผดุงพรมะพร้าว</t>
  </si>
  <si>
    <t>นมข้าวกล้องง V-ฟิต</t>
  </si>
  <si>
    <r>
      <t>แพค</t>
    </r>
    <r>
      <rPr>
        <b/>
        <sz val="24"/>
        <rFont val="Angsana New"/>
        <family val="1"/>
      </rPr>
      <t xml:space="preserve"> 32</t>
    </r>
  </si>
  <si>
    <t>18-12-58</t>
  </si>
  <si>
    <t>แพค 30.52</t>
  </si>
  <si>
    <t>นมข้าวกล้องจืด V-ฟิต</t>
  </si>
  <si>
    <t>นมข้าวกล้องงอก 7ชนิดV-ฟิต</t>
  </si>
  <si>
    <r>
      <t>แพค</t>
    </r>
    <r>
      <rPr>
        <b/>
        <sz val="24"/>
        <rFont val="Angsana New"/>
        <family val="1"/>
      </rPr>
      <t xml:space="preserve"> 35</t>
    </r>
  </si>
  <si>
    <t>แพค 33.06</t>
  </si>
  <si>
    <t>นมธัญพืช 5ชนิด V-ฟิต</t>
  </si>
  <si>
    <r>
      <t>แพค</t>
    </r>
    <r>
      <rPr>
        <b/>
        <sz val="24"/>
        <rFont val="Angsana New"/>
        <family val="1"/>
      </rPr>
      <t xml:space="preserve"> 37</t>
    </r>
  </si>
  <si>
    <t>แพค 34.75</t>
  </si>
  <si>
    <t>นมข้าวไรซ์เบอรี่ V-ฟิต</t>
  </si>
  <si>
    <t>น้ำนมลูกเดือย-หวาน</t>
  </si>
  <si>
    <r>
      <t>แพค</t>
    </r>
    <r>
      <rPr>
        <b/>
        <sz val="24"/>
        <rFont val="Angsana New"/>
        <family val="1"/>
      </rPr>
      <t xml:space="preserve"> 53</t>
    </r>
  </si>
  <si>
    <t>5-9-54</t>
  </si>
  <si>
    <r>
      <t>แพค</t>
    </r>
    <r>
      <rPr>
        <b/>
        <sz val="24"/>
        <color indexed="10"/>
        <rFont val="Angsana New"/>
        <family val="1"/>
      </rPr>
      <t xml:space="preserve"> 49.00</t>
    </r>
  </si>
  <si>
    <t>น้ำนมลูกเดือย-จืด</t>
  </si>
  <si>
    <t>น้ำนมข้าวยาคูไม่มีน้ำตาล</t>
  </si>
  <si>
    <r>
      <t>แพค</t>
    </r>
    <r>
      <rPr>
        <b/>
        <sz val="24"/>
        <rFont val="Angsana New"/>
        <family val="1"/>
      </rPr>
      <t xml:space="preserve"> 52</t>
    </r>
  </si>
  <si>
    <t>21-9-55</t>
  </si>
  <si>
    <r>
      <t>แพค</t>
    </r>
    <r>
      <rPr>
        <b/>
        <sz val="24"/>
        <color indexed="10"/>
        <rFont val="Angsana New"/>
        <family val="1"/>
      </rPr>
      <t xml:space="preserve"> 48.50</t>
    </r>
  </si>
  <si>
    <t>น้ำนมข้าวยาคู</t>
  </si>
  <si>
    <t>บ.  ดี เค เอส เอช ประเทศไทย</t>
  </si>
  <si>
    <t>เอนฟาโกร A+  UHT จืด</t>
  </si>
  <si>
    <t>3ก*8แพค</t>
  </si>
  <si>
    <t>26-9-60</t>
  </si>
  <si>
    <t>เอนฟาโกร A+  UHT วานิลา</t>
  </si>
  <si>
    <t>บ.เอฟแอนด์เอ็น แดรี่(ประเทศไทย)จำกัด</t>
  </si>
  <si>
    <t>แมกโนเลียกิงโกะ   จืด</t>
  </si>
  <si>
    <t>180มล*4</t>
  </si>
  <si>
    <t>24-4-58</t>
  </si>
  <si>
    <t>แมกโนเลียกิงโกะ   ชอค</t>
  </si>
  <si>
    <t>แมกโนเลียกิงโกะ  มอลต์</t>
  </si>
  <si>
    <t>บ. ราชสีมาดีซี</t>
  </si>
  <si>
    <t>ดูโกรยูเอชที180มล.</t>
  </si>
  <si>
    <t>1*4กล่อง</t>
  </si>
  <si>
    <t>1*9แพค</t>
  </si>
  <si>
    <t>25-5-62</t>
  </si>
  <si>
    <t>5ลังแถม1ลัง</t>
  </si>
  <si>
    <r>
      <t>ไฮคิว 1</t>
    </r>
    <r>
      <rPr>
        <vertAlign val="superscript"/>
        <sz val="24"/>
        <rFont val="Angsana New"/>
        <family val="1"/>
      </rPr>
      <t>+</t>
    </r>
    <r>
      <rPr>
        <sz val="24"/>
        <rFont val="Angsana New"/>
        <family val="1"/>
      </rPr>
      <t>UHT จืด</t>
    </r>
  </si>
  <si>
    <t>19-1-60</t>
  </si>
  <si>
    <r>
      <t>ไฮคิว1</t>
    </r>
    <r>
      <rPr>
        <vertAlign val="superscript"/>
        <sz val="22"/>
        <rFont val="Angsana New"/>
        <family val="1"/>
      </rPr>
      <t>+</t>
    </r>
    <r>
      <rPr>
        <sz val="24"/>
        <rFont val="Angsana New"/>
        <family val="1"/>
      </rPr>
      <t>เอชที จืด</t>
    </r>
  </si>
  <si>
    <t>1*12กล่อง</t>
  </si>
  <si>
    <t>1*3แพค</t>
  </si>
  <si>
    <t>ลัง610</t>
  </si>
  <si>
    <t>18-9-58</t>
  </si>
  <si>
    <r>
      <t>ไฮคิว 3</t>
    </r>
    <r>
      <rPr>
        <vertAlign val="superscript"/>
        <sz val="24"/>
        <rFont val="Angsana New"/>
        <family val="1"/>
      </rPr>
      <t>+</t>
    </r>
    <r>
      <rPr>
        <sz val="24"/>
        <rFont val="Angsana New"/>
        <family val="1"/>
      </rPr>
      <t>UHT น้ำผึ้ง</t>
    </r>
  </si>
  <si>
    <t>14-6-55</t>
  </si>
  <si>
    <r>
      <t>ไฮคิว3</t>
    </r>
    <r>
      <rPr>
        <vertAlign val="superscript"/>
        <sz val="22"/>
        <rFont val="Angsana New"/>
        <family val="1"/>
      </rPr>
      <t>+</t>
    </r>
    <r>
      <rPr>
        <sz val="24"/>
        <rFont val="Angsana New"/>
        <family val="1"/>
      </rPr>
      <t>เอชที จืด</t>
    </r>
  </si>
  <si>
    <t>ตื้อ  คัมภีร์</t>
  </si>
  <si>
    <t>เฮลบลูบอย เขียว</t>
  </si>
  <si>
    <t>7-3-55</t>
  </si>
  <si>
    <t>คาร์เนชั่น น้ำผึ้ง 3</t>
  </si>
  <si>
    <t>1100ก.</t>
  </si>
  <si>
    <t>แผนก....ผงปรุงรส.......</t>
  </si>
  <si>
    <t>ส่วนลด</t>
  </si>
  <si>
    <t>แถม</t>
  </si>
  <si>
    <t>บจก. ชัยภูมิสินทวี</t>
  </si>
  <si>
    <t>คนอร์หมู             20ก.</t>
  </si>
  <si>
    <t>1*24ก้อน</t>
  </si>
  <si>
    <t>1* 6แพค</t>
  </si>
  <si>
    <t>กล่อง 125</t>
  </si>
  <si>
    <t>27-3-66</t>
  </si>
  <si>
    <t>ลัง 812.95</t>
  </si>
  <si>
    <t>พ  135.49</t>
  </si>
  <si>
    <t>คนอร์หมู            40ก.</t>
  </si>
  <si>
    <t>กล่อง 100-105</t>
  </si>
  <si>
    <t>ลัง 1151.44</t>
  </si>
  <si>
    <t>แพค 95.95</t>
  </si>
  <si>
    <t>คนอร์ไก่             20ก.</t>
  </si>
  <si>
    <t>คนอร์ไก่             40ก.</t>
  </si>
  <si>
    <t>คนอร์ เห็ดหอม     20ก.</t>
  </si>
  <si>
    <t>กล่อง 128</t>
  </si>
  <si>
    <t>22-10-64</t>
  </si>
  <si>
    <t>ลัง 726</t>
  </si>
  <si>
    <t>พ 120.94</t>
  </si>
  <si>
    <t>คนอร์ต้มยำ            20ก.</t>
  </si>
  <si>
    <t>กล่อง165</t>
  </si>
  <si>
    <t>ลัง 882.83</t>
  </si>
  <si>
    <t>พ 147.13</t>
  </si>
  <si>
    <t>คนอร์สำเร็จรูป รสแกง</t>
  </si>
  <si>
    <t>20 ก.</t>
  </si>
  <si>
    <t>7-4-55</t>
  </si>
  <si>
    <t xml:space="preserve">ลด 2%    </t>
  </si>
  <si>
    <t>30 ก.</t>
  </si>
  <si>
    <t>คนอร์อร่อยชัวร์</t>
  </si>
  <si>
    <t>80 ก.</t>
  </si>
  <si>
    <t>6ซอง*16แพค</t>
  </si>
  <si>
    <t>18-6-54</t>
  </si>
  <si>
    <t>ลด 2%     หีบ 868.54</t>
  </si>
  <si>
    <t>170 ก.</t>
  </si>
  <si>
    <t>6ซอง*12แพค</t>
  </si>
  <si>
    <t>13-12-55</t>
  </si>
  <si>
    <t>ลด 2%     หีบ 1288.73</t>
  </si>
  <si>
    <t>3ซอง*8แพค</t>
  </si>
  <si>
    <t>15-2-56</t>
  </si>
  <si>
    <t>ลด 2%     หีบ 1176.53</t>
  </si>
  <si>
    <t>คนอร์อร่อยชัวร์  10.-</t>
  </si>
  <si>
    <t>1*6*16ซ</t>
  </si>
  <si>
    <t>2-10-55</t>
  </si>
  <si>
    <t>ลด 2%    หีบ749.74</t>
  </si>
  <si>
    <t>แพค124.95</t>
  </si>
  <si>
    <t>1*12*6ซ</t>
  </si>
  <si>
    <t>ลด 2%    หีบ 1288.72</t>
  </si>
  <si>
    <t>1*8*3ซ</t>
  </si>
  <si>
    <t>ลด 2%    หีบ1176.52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</si>
  <si>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</si>
  <si>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</t>
  </si>
  <si>
    <t>ผงฟู</t>
  </si>
  <si>
    <t>1*12*24</t>
  </si>
  <si>
    <t>20-10-55</t>
  </si>
  <si>
    <t>ลด 2%</t>
  </si>
  <si>
    <t xml:space="preserve">                                       </t>
  </si>
  <si>
    <t xml:space="preserve">                                                                        </t>
  </si>
  <si>
    <t xml:space="preserve">                                  </t>
  </si>
  <si>
    <t xml:space="preserve">คนอร์โจ๊กต้ม </t>
  </si>
  <si>
    <t>28ก</t>
  </si>
  <si>
    <t>โหล 95</t>
  </si>
  <si>
    <t>ลด 2%     หีบ 536.88</t>
  </si>
  <si>
    <t xml:space="preserve">                                                                           </t>
  </si>
  <si>
    <t>คนอร์โจ๊กต้ม</t>
  </si>
  <si>
    <t>70 ก</t>
  </si>
  <si>
    <t>1*6ซ*12พ</t>
  </si>
  <si>
    <t>(6ซ) 95</t>
  </si>
  <si>
    <t>2-3-56</t>
  </si>
  <si>
    <t>ลด 2%     หีบ 1073.76</t>
  </si>
  <si>
    <t>โหล178.96</t>
  </si>
  <si>
    <t xml:space="preserve">                                                                                     </t>
  </si>
  <si>
    <t>คนอร์คัพโจ๊ก (10)</t>
  </si>
  <si>
    <t>28ก.</t>
  </si>
  <si>
    <t>1*12ซ*8พ</t>
  </si>
  <si>
    <t>โหล105</t>
  </si>
  <si>
    <t>ลัง 754.44</t>
  </si>
  <si>
    <t>แพค 94.31</t>
  </si>
  <si>
    <t>ซอง 7.86</t>
  </si>
  <si>
    <t xml:space="preserve">                                                       </t>
  </si>
  <si>
    <t>35ก.</t>
  </si>
  <si>
    <t>คนอร์คัพโจ๊กกุ้ง (10)</t>
  </si>
  <si>
    <t>คนอร์คัพโจ๊ก</t>
  </si>
  <si>
    <t>55ก.</t>
  </si>
  <si>
    <t>1*4ซ*18พ</t>
  </si>
  <si>
    <t>(4ซ)54</t>
  </si>
  <si>
    <t xml:space="preserve">             หีบ894</t>
  </si>
  <si>
    <t>โหล148.80</t>
  </si>
  <si>
    <t>คนอร์คัพโจ๊ก  ถ้วย</t>
  </si>
  <si>
    <t>35 ก.</t>
  </si>
  <si>
    <t>แพค 45</t>
  </si>
  <si>
    <t>ปกติ14-</t>
  </si>
  <si>
    <t>คนอร์คัพโจ๊ก  ถ้วยเจ</t>
  </si>
  <si>
    <t>จังกิมง้วน</t>
  </si>
  <si>
    <t>ชูรสเจ</t>
  </si>
  <si>
    <t>10ซx4ห่อ</t>
  </si>
  <si>
    <t>ห่อ490ลัง1920</t>
  </si>
  <si>
    <t>4-2-69</t>
  </si>
  <si>
    <t>ลัง1800</t>
  </si>
  <si>
    <t>ค่ารถ30       1830</t>
  </si>
  <si>
    <t>แพค 457.50</t>
  </si>
  <si>
    <t>ซอง 45.75</t>
  </si>
  <si>
    <t>93ก.</t>
  </si>
  <si>
    <t>20ซx8ห่อ</t>
  </si>
  <si>
    <t>ห่อ 185</t>
  </si>
  <si>
    <t>30-11-67</t>
  </si>
  <si>
    <t>ลัง1400</t>
  </si>
  <si>
    <t>ค่ารถ30       1430</t>
  </si>
  <si>
    <t>แพค178.75</t>
  </si>
  <si>
    <t>ซ.   8.94</t>
  </si>
  <si>
    <t>อายิโนะ</t>
  </si>
  <si>
    <t>5ซx4ห่อ</t>
  </si>
  <si>
    <t>ห่อ550ลัง2190</t>
  </si>
  <si>
    <t>20-3-69</t>
  </si>
  <si>
    <t>หีบ2120</t>
  </si>
  <si>
    <t>ค่ารถ30       2150</t>
  </si>
  <si>
    <t>แพค537.50</t>
  </si>
  <si>
    <t>ซอง 107.50</t>
  </si>
  <si>
    <t>ห่อ570ลัง2215</t>
  </si>
  <si>
    <t>หีบ 2140</t>
  </si>
  <si>
    <t>ค่ารถ30     2170</t>
  </si>
  <si>
    <t>แพค542.50</t>
  </si>
  <si>
    <t>ซอง 54.25</t>
  </si>
  <si>
    <t>250 ก.</t>
  </si>
  <si>
    <t>20ซx4ห่อ</t>
  </si>
  <si>
    <t>ห่อ 620ลัง2290</t>
  </si>
  <si>
    <t>20-4-69</t>
  </si>
  <si>
    <t>หีบ 2320</t>
  </si>
  <si>
    <t>ค่ารถ30     2250</t>
  </si>
  <si>
    <t>แพค 587.50</t>
  </si>
  <si>
    <t>ซอง 29.38</t>
  </si>
  <si>
    <t>72 ก.</t>
  </si>
  <si>
    <t>20ซx10ห่อ</t>
  </si>
  <si>
    <t>ห่อ185ลัง1790</t>
  </si>
  <si>
    <t>หีบ 1730</t>
  </si>
  <si>
    <t>ค่ารถ30    1760</t>
  </si>
  <si>
    <t>แพค 176</t>
  </si>
  <si>
    <t>ซอง   8.80</t>
  </si>
  <si>
    <t>อายิโนะพลัส</t>
  </si>
  <si>
    <t>840ก.</t>
  </si>
  <si>
    <t>1X12ซอง</t>
  </si>
  <si>
    <t>ซอง 134</t>
  </si>
  <si>
    <t>ซอง 130ลัง1510</t>
  </si>
  <si>
    <t>ค่ารถ30    1480</t>
  </si>
  <si>
    <t xml:space="preserve">แพค </t>
  </si>
  <si>
    <t xml:space="preserve">ซอง 123.33 </t>
  </si>
  <si>
    <t>420ก.</t>
  </si>
  <si>
    <t>12ซองX2ห่อ</t>
  </si>
  <si>
    <t>ซอง 65</t>
  </si>
  <si>
    <t>ซอง 64ลัง 1530</t>
  </si>
  <si>
    <t>ลัง 1470</t>
  </si>
  <si>
    <t>ค่ารถ30    1500</t>
  </si>
  <si>
    <t>แพค 370</t>
  </si>
  <si>
    <t>ซอง 62.50</t>
  </si>
  <si>
    <t>รสดีหมู 105 บาท</t>
  </si>
  <si>
    <t>5ซx2ห่อ</t>
  </si>
  <si>
    <t>ห่อ504ลัง980</t>
  </si>
  <si>
    <t>16-1-69</t>
  </si>
  <si>
    <t>หีบ930</t>
  </si>
  <si>
    <t>ค่ารถ 30   ลัง960</t>
  </si>
  <si>
    <t>แพค480</t>
  </si>
  <si>
    <t>ซอง 96</t>
  </si>
  <si>
    <t>รสดีหมู 63บาท</t>
  </si>
  <si>
    <t>5ซองx4ห่อ</t>
  </si>
  <si>
    <t>ห่อ295ลัง1140</t>
  </si>
  <si>
    <t>1-4-69</t>
  </si>
  <si>
    <t>หีบ 1090</t>
  </si>
  <si>
    <t>ค่ารถ 30  ลัง1120</t>
  </si>
  <si>
    <t>แพค 280</t>
  </si>
  <si>
    <t>ซอง 56</t>
  </si>
  <si>
    <t>รสดีหมู 27 บาท</t>
  </si>
  <si>
    <t>155ก.</t>
  </si>
  <si>
    <t>10ซx8ห่อ</t>
  </si>
  <si>
    <t>ห่อ245ลัง1890</t>
  </si>
  <si>
    <t>หีบ1840</t>
  </si>
  <si>
    <t>ค่ารถ 35  ลัง1875</t>
  </si>
  <si>
    <t xml:space="preserve">แพค 231.25 </t>
  </si>
  <si>
    <t>ซอง 23.13</t>
  </si>
  <si>
    <t>รสดีหมู 13 บาท</t>
  </si>
  <si>
    <t>70 ก.</t>
  </si>
  <si>
    <t>10ซ*16ห่อ</t>
  </si>
  <si>
    <t>ห่อ118ลัง1825</t>
  </si>
  <si>
    <t>หีบ 1760</t>
  </si>
  <si>
    <t>ค่ารถ 30    1790</t>
  </si>
  <si>
    <t>แพค111.87</t>
  </si>
  <si>
    <t>ซ 11.19</t>
  </si>
  <si>
    <t>รสดีไก่ 105 บาท</t>
  </si>
  <si>
    <t>ห่อ504ลัง990</t>
  </si>
  <si>
    <t>24-12-68</t>
  </si>
  <si>
    <t>รสดีไก่ 27 บาท</t>
  </si>
  <si>
    <t>13-9-67</t>
  </si>
  <si>
    <t>หีบ1820</t>
  </si>
  <si>
    <t>ค่ารถ 30  ลัง1850</t>
  </si>
  <si>
    <t>รสดีไก่ 13 บาท</t>
  </si>
  <si>
    <t>บ. เอฟพลัส</t>
  </si>
  <si>
    <t>ซุปผงฟ้าไทยหมู</t>
  </si>
  <si>
    <t>10ซอง*8แพค</t>
  </si>
  <si>
    <t xml:space="preserve">   แพค 105     </t>
  </si>
  <si>
    <t>8-6-56</t>
  </si>
  <si>
    <t>28หีบลด1%หีบ ลัง745</t>
  </si>
  <si>
    <t>แพค  93</t>
  </si>
  <si>
    <t>ซอง9.30</t>
  </si>
  <si>
    <t>165 ก.</t>
  </si>
  <si>
    <t>6ซอง*6แพค</t>
  </si>
  <si>
    <t>รถ 20 ลัง 740</t>
  </si>
  <si>
    <t>แพค123.33</t>
  </si>
  <si>
    <t>ซอง20.56</t>
  </si>
  <si>
    <t>21-8-67</t>
  </si>
  <si>
    <t>รถ 20 ลัง 780</t>
  </si>
  <si>
    <t>ซอง 80</t>
  </si>
  <si>
    <t>ซุปผงฟ้าไทยเจ  เห็ดหอม</t>
  </si>
  <si>
    <t>165ก.</t>
  </si>
  <si>
    <t>รถ 30 ลัง 750</t>
  </si>
  <si>
    <t>แพค125</t>
  </si>
  <si>
    <t>ซอง20.83</t>
  </si>
  <si>
    <t>รถ 30 ลัง 790</t>
  </si>
  <si>
    <t>แพค395</t>
  </si>
  <si>
    <t>ซอง 79</t>
  </si>
  <si>
    <t>ผงฟ้าไทยทำน้ำก๋วยเตี๋ยวน้ำใส</t>
  </si>
  <si>
    <t>1*6ซอง*6แพค</t>
  </si>
  <si>
    <t>15-6-64</t>
  </si>
  <si>
    <t>ลัง 720</t>
  </si>
  <si>
    <t>ลัง740</t>
  </si>
  <si>
    <t>แพค123ซอง20.5</t>
  </si>
  <si>
    <t>1*10ซอง</t>
  </si>
  <si>
    <t>19-5-68</t>
  </si>
  <si>
    <t>ซอง 78</t>
  </si>
  <si>
    <t>ผงฟ้าไทยก๋วยเตี๋ยวน้ำใสชนิดน้ำ</t>
  </si>
  <si>
    <t>350 ก.</t>
  </si>
  <si>
    <t>ซอง 28</t>
  </si>
  <si>
    <t>แพค 154ลัง 895</t>
  </si>
  <si>
    <t>รถ20  ลัง880</t>
  </si>
  <si>
    <t>แพค146.67</t>
  </si>
  <si>
    <t>ซอง 24.44</t>
  </si>
  <si>
    <t>ผงฟ้าไทยทำน้ำก๋วยเตี๋ยวน้ำข้น</t>
  </si>
  <si>
    <t>1*6ซอง</t>
  </si>
  <si>
    <t>4-4-62</t>
  </si>
  <si>
    <t>ลัง780</t>
  </si>
  <si>
    <t>ซอง130</t>
  </si>
  <si>
    <t>AM7AM70:AX72</t>
  </si>
  <si>
    <t>ผงฟ้าไทยก๋วยเตี๋ยวน้ำข้นชนดน้ำ</t>
  </si>
  <si>
    <t>ซอง 30</t>
  </si>
  <si>
    <t>แพค 165ลัง 950</t>
  </si>
  <si>
    <t>รถ 20 ลัง 920</t>
  </si>
  <si>
    <t>แพค 153.33</t>
  </si>
  <si>
    <t>ซอง 25.55</t>
  </si>
  <si>
    <t>ผงหมูแดง</t>
  </si>
  <si>
    <t>13-1-55</t>
  </si>
  <si>
    <t>ลด 3%</t>
  </si>
  <si>
    <t>ผงพะโล้</t>
  </si>
  <si>
    <t>กลิ่นแมงดา</t>
  </si>
  <si>
    <t>20มล.</t>
  </si>
  <si>
    <t>12*12แพค</t>
  </si>
  <si>
    <t>โหล190</t>
  </si>
  <si>
    <t>ลด2% ลัง2151.73</t>
  </si>
  <si>
    <t>โหล 179.31</t>
  </si>
  <si>
    <t>บ. ซีโน - แปซิคฟิค</t>
  </si>
  <si>
    <t>02-681-5081-96</t>
  </si>
  <si>
    <t>โลโบ น้ำพริกแกงพะแนง</t>
  </si>
  <si>
    <t>50 ก.</t>
  </si>
  <si>
    <t>1*20*12</t>
  </si>
  <si>
    <t>โหล180</t>
  </si>
  <si>
    <t>23-2-69</t>
  </si>
  <si>
    <t>ลด 5%</t>
  </si>
  <si>
    <t>โลโบ น้ำพริกแกงกะหรี่</t>
  </si>
  <si>
    <t>โลโบ เครื่องแกงส้ม</t>
  </si>
  <si>
    <t>โลโบ น้ำพริกแกงเผ็ด</t>
  </si>
  <si>
    <t>โลโบ เครื่องแกงมัสมั่น</t>
  </si>
  <si>
    <t>16-3-69</t>
  </si>
  <si>
    <t>โลโบเครื่องแกงเขียวหวาน</t>
  </si>
  <si>
    <t>โลโบ ผัดพริกขิง</t>
  </si>
  <si>
    <t>60 ก.</t>
  </si>
  <si>
    <t>โหล185</t>
  </si>
  <si>
    <t>16-3-62</t>
  </si>
  <si>
    <t>โลโบ เครื่องต้มข่า</t>
  </si>
  <si>
    <t>14-10-60</t>
  </si>
  <si>
    <t>โลโบ เครื่องต้มยำ</t>
  </si>
  <si>
    <t>โลโบ ผงปรุงแกงเลียง</t>
  </si>
  <si>
    <t>โหล 200</t>
  </si>
  <si>
    <t>โลโบ ผงผัดกระเพรา</t>
  </si>
  <si>
    <t>โลโบ เครื่องปรุงผัดฉ่า</t>
  </si>
  <si>
    <t>โลโบ ผงทอดกระเทียม</t>
  </si>
  <si>
    <t>30ก.</t>
  </si>
  <si>
    <t>โลโบ ผงหมักไก่สไบซี่</t>
  </si>
  <si>
    <t>โลโบ เครื่องปรุงอบหม้อดิน</t>
  </si>
  <si>
    <t>โลโบกุ้งทอดเกลือพริกไทย</t>
  </si>
  <si>
    <t>โลโบผัดผงกระหรี่</t>
  </si>
  <si>
    <t xml:space="preserve">โลโบผัดพริกไทยดำ </t>
  </si>
  <si>
    <t>25-4-68</t>
  </si>
  <si>
    <t>โลโบ ซอสผัดพริกเผา</t>
  </si>
  <si>
    <t>โลโบ  ผงปรุงลาบ</t>
  </si>
  <si>
    <t>โลโบพะโล้ไทยสำเร็จรูป</t>
  </si>
  <si>
    <t>65 ก.</t>
  </si>
  <si>
    <t>โลโบ ผงน้ำราดหมูแดง</t>
  </si>
  <si>
    <t>โลโบ  ผงบาบีคิว</t>
  </si>
  <si>
    <t>16-5-56</t>
  </si>
  <si>
    <t>โลโบ  ผงทำน้ำเกรวี่</t>
  </si>
  <si>
    <t>25 ก.</t>
  </si>
  <si>
    <t>1*10*12</t>
  </si>
  <si>
    <t>โลโบ  ผงหมูแดง</t>
  </si>
  <si>
    <t>โลโบ  ผงพะโล้</t>
  </si>
  <si>
    <t>โลโบ  ผงปรุง 3 รส</t>
  </si>
  <si>
    <t>โลโบ  ผงแหนม</t>
  </si>
  <si>
    <t>โลโบ  ผงหมักไก่</t>
  </si>
  <si>
    <t>โลโบ  ข้าวหมกไก่</t>
  </si>
  <si>
    <t>โลโบ  ผงสะเต๊ะ</t>
  </si>
  <si>
    <t>โลโบ  ผงทำเต้าฮวย</t>
  </si>
  <si>
    <t>130 ก.</t>
  </si>
  <si>
    <t>โหล 335</t>
  </si>
  <si>
    <t>19-3-68</t>
  </si>
  <si>
    <t>โลโบ  ผงวุ้นกะทิ</t>
  </si>
  <si>
    <t>โลโบ  ผงวุ้นกลิ่นผลไม้</t>
  </si>
  <si>
    <t>115 ก.</t>
  </si>
  <si>
    <t>ตะไคร้น้ำปลาหวาน</t>
  </si>
  <si>
    <t>สูตรดั้งเดิม</t>
  </si>
  <si>
    <t>สูตรเผ็ดน้อย</t>
  </si>
  <si>
    <t>ทิวลิปดารคชอคชิฟ</t>
  </si>
  <si>
    <t>550ก.</t>
  </si>
  <si>
    <t>ลัง 2820</t>
  </si>
  <si>
    <t>20-4-66</t>
  </si>
  <si>
    <t>ลดพิเศษ1357.53(113)</t>
  </si>
  <si>
    <t>กาแฟพรีเมี่ยม คอฟฟี่</t>
  </si>
  <si>
    <t>19-10-67</t>
  </si>
  <si>
    <t>ลดพิเศษ1008.4(84)</t>
  </si>
  <si>
    <t>อิควอ</t>
  </si>
  <si>
    <t>ไฮนซ์ซอสมะเขือเทศ</t>
  </si>
  <si>
    <t>300ก</t>
  </si>
  <si>
    <t>ไฮนซ์ซอสพริก</t>
  </si>
  <si>
    <t>ไฮนซ์ซอสพริกศรีราชา</t>
  </si>
  <si>
    <t>บ.แมสมาร์เกตติ้ง จำกัด</t>
  </si>
  <si>
    <t>ผงกะหรี่กุ๊กไก่</t>
  </si>
  <si>
    <t>12ก.</t>
  </si>
  <si>
    <t>1*20ซอง*12แพค</t>
  </si>
  <si>
    <t>แพค 120</t>
  </si>
  <si>
    <t>แพค112</t>
  </si>
  <si>
    <t>ซอง 5.60</t>
  </si>
  <si>
    <t>บ.โอเค ฟู้ดส์ มาร์เก็ตติ้ง จก</t>
  </si>
  <si>
    <t>ผงปรุงรสปาปริก้า</t>
  </si>
  <si>
    <t>ลัง1600</t>
  </si>
  <si>
    <t>16-4-69</t>
  </si>
  <si>
    <t>ผงปรุงรสบาร์บิวคิว</t>
  </si>
  <si>
    <t>13-3-68</t>
  </si>
  <si>
    <t>ผงปรุงรสชีท</t>
  </si>
  <si>
    <t>ผงปรุงรสฮอทแอนด์สไปซี่</t>
  </si>
  <si>
    <t>ผงปรุงรสแซ่บซี้ด</t>
  </si>
  <si>
    <t>29-6-64</t>
  </si>
  <si>
    <t>ผงปรุงรสวิงค์แซ่บ</t>
  </si>
  <si>
    <t>ผงปรุงรสต้มยำ</t>
  </si>
  <si>
    <t>ผงปรุงรสโนริ</t>
  </si>
  <si>
    <t>15-10-60</t>
  </si>
  <si>
    <t>ผงปรุงรสพิชซ่า</t>
  </si>
  <si>
    <t>ผงบ๊วยโอเค</t>
  </si>
  <si>
    <t>16-11-60</t>
  </si>
  <si>
    <t>น้ำพริกเผาโอเค</t>
  </si>
  <si>
    <t>1*40</t>
  </si>
  <si>
    <t>AP    ผงปรุงรสโดนัท</t>
  </si>
  <si>
    <t>จักกฤษณ์</t>
  </si>
  <si>
    <t>ผงปรุงรสปาปริก้าโดนัท</t>
  </si>
  <si>
    <t>ลัง 3520</t>
  </si>
  <si>
    <t>3-3-69</t>
  </si>
  <si>
    <t>(5ลังแถม10ซอง)สุทธิ81</t>
  </si>
  <si>
    <t>(5ลังแถม5ซอง)สุทธิ83.81</t>
  </si>
  <si>
    <t>ผงปรุงรสลาบ</t>
  </si>
  <si>
    <t>ผงปาปริก้า</t>
  </si>
  <si>
    <t>1*100</t>
  </si>
  <si>
    <t>12-12-68</t>
  </si>
  <si>
    <t>ซอง 40</t>
  </si>
  <si>
    <t>รถ 40</t>
  </si>
  <si>
    <t>ลัง 4040</t>
  </si>
  <si>
    <t>ผงบาร์บีคิว</t>
  </si>
  <si>
    <t>บ.ปรุงรสไทย</t>
  </si>
  <si>
    <t>หอมเจียวปรุงรสไทย</t>
  </si>
  <si>
    <t>ลัง 1650</t>
  </si>
  <si>
    <t>ชาตรี(เซลชามือ)</t>
  </si>
  <si>
    <t>พริกน้ำปลา</t>
  </si>
  <si>
    <t>1*8มัด</t>
  </si>
  <si>
    <t>26-11-68</t>
  </si>
  <si>
    <t>กส 1640</t>
  </si>
  <si>
    <t>รถ35 กส 1675มัด 209.38</t>
  </si>
  <si>
    <t>มัด209.38</t>
  </si>
  <si>
    <t>พริกน้ำตาล</t>
  </si>
  <si>
    <t>กส.1480</t>
  </si>
  <si>
    <t>รถ35 กส 1515</t>
  </si>
  <si>
    <t>มัด189.38</t>
  </si>
  <si>
    <t>พริกน้ำส้ม</t>
  </si>
  <si>
    <t>รถ35 กส 3317</t>
  </si>
  <si>
    <t>บ้านกระต่าย</t>
  </si>
  <si>
    <t>พงค์ศักดิ์</t>
  </si>
  <si>
    <t>089-7766349</t>
  </si>
  <si>
    <t>(ดนัย)</t>
  </si>
  <si>
    <t>เกลือทำแหนม</t>
  </si>
  <si>
    <t>17-10-56</t>
  </si>
  <si>
    <t>แป้งหวาน</t>
  </si>
  <si>
    <t>1ปอนด์</t>
  </si>
  <si>
    <t>24-11-60</t>
  </si>
  <si>
    <t>แป้งเหนียว</t>
  </si>
  <si>
    <t>1*25</t>
  </si>
  <si>
    <t>12-10-60</t>
  </si>
  <si>
    <t>โซดาเย็น</t>
  </si>
  <si>
    <t>25กก.</t>
  </si>
  <si>
    <t>1*60</t>
  </si>
  <si>
    <t>5-6-56</t>
  </si>
  <si>
    <t>กส.500</t>
  </si>
  <si>
    <t>กก 20</t>
  </si>
  <si>
    <t>ผงฟูตราบ้าน</t>
  </si>
  <si>
    <t>1*30ถุง</t>
  </si>
  <si>
    <t>หัวนมผงตราบ้าน</t>
  </si>
  <si>
    <t>30-6-64</t>
  </si>
  <si>
    <t>กส. 2250</t>
  </si>
  <si>
    <t>โกโก้</t>
  </si>
  <si>
    <t>1-11-53</t>
  </si>
  <si>
    <t>กรดมะนาว</t>
  </si>
  <si>
    <t>6-10-60</t>
  </si>
  <si>
    <t>แป้งข้าวโพด</t>
  </si>
  <si>
    <t>กันบูด</t>
  </si>
  <si>
    <t>กันรา</t>
  </si>
  <si>
    <t>11-6-53</t>
  </si>
  <si>
    <t>แอมโมเนีย</t>
  </si>
  <si>
    <t>แป้งหิน</t>
  </si>
  <si>
    <t>21-11-23</t>
  </si>
  <si>
    <t>สารส้ม</t>
  </si>
  <si>
    <t>14-5-53</t>
  </si>
  <si>
    <t>สับปะรดกวน</t>
  </si>
  <si>
    <t>4-11-54</t>
  </si>
  <si>
    <t>ครีมเทียมตราบ้าน</t>
  </si>
  <si>
    <t>7-5-54</t>
  </si>
  <si>
    <t>กระดาษห่อทุเรียน</t>
  </si>
  <si>
    <t>2-5-52</t>
  </si>
  <si>
    <t>เอส แอนด์ ดี บางกอก</t>
  </si>
  <si>
    <t>02-7526690-2  ,081-8091742</t>
  </si>
  <si>
    <t>ผงหมักเนื้อ</t>
  </si>
  <si>
    <t>1*30กล่อง</t>
  </si>
  <si>
    <t xml:space="preserve"> กล่อง 90</t>
  </si>
  <si>
    <t>5-10-58</t>
  </si>
  <si>
    <t>ลัง 1800</t>
  </si>
  <si>
    <t>กล่อง60</t>
  </si>
  <si>
    <t>ผงหมักเนื้อนิ่ม</t>
  </si>
  <si>
    <t>1*30 กก.</t>
  </si>
  <si>
    <t>กก. 100</t>
  </si>
  <si>
    <t>1-12-60</t>
  </si>
  <si>
    <t>ลัง2250</t>
  </si>
  <si>
    <t>ลัง 2250</t>
  </si>
  <si>
    <t>กก.   75</t>
  </si>
  <si>
    <t>ผงกรอบเกล็ด</t>
  </si>
  <si>
    <t>4-3-56</t>
  </si>
  <si>
    <t>ด3/55กก.76</t>
  </si>
  <si>
    <t>ลัง  2400</t>
  </si>
  <si>
    <t>กล่อง 80</t>
  </si>
  <si>
    <t>ผงกรอบเกล็ด-เบนเนต</t>
  </si>
  <si>
    <t>1 ก.ก.</t>
  </si>
  <si>
    <t>กก.150</t>
  </si>
  <si>
    <t>29-10-59</t>
  </si>
  <si>
    <t>ลัง 3450</t>
  </si>
  <si>
    <t>กก. 115</t>
  </si>
  <si>
    <t>ผงกันบูด</t>
  </si>
  <si>
    <t>กล่อง 70</t>
  </si>
  <si>
    <t>4-10-54</t>
  </si>
  <si>
    <r>
      <t>ห่อ       65</t>
    </r>
    <r>
      <rPr>
        <sz val="10"/>
        <rFont val="Arial"/>
        <family val="2"/>
      </rPr>
      <t/>
    </r>
  </si>
  <si>
    <t>สีผสมอาหาร ตราคนธนู</t>
  </si>
  <si>
    <t>6-12-55</t>
  </si>
  <si>
    <t>50กล่อง+6กล่อง</t>
  </si>
  <si>
    <t>กล่อง 112</t>
  </si>
  <si>
    <t>ผงหอมขวด</t>
  </si>
  <si>
    <t>1*30โหล</t>
  </si>
  <si>
    <t>ลัง 2040</t>
  </si>
  <si>
    <t>โหล 68</t>
  </si>
  <si>
    <t>เต้าฮู้ยี้</t>
  </si>
  <si>
    <t>โหล 325</t>
  </si>
  <si>
    <t>ลัง500</t>
  </si>
  <si>
    <t>กระปุก125</t>
  </si>
  <si>
    <t>พริกไทยปลาทอง</t>
  </si>
  <si>
    <t>โหล125</t>
  </si>
  <si>
    <t>ลัง1080</t>
  </si>
  <si>
    <t>โหล 86.30</t>
  </si>
  <si>
    <t>พริกไทยป่นขวด</t>
  </si>
  <si>
    <t>3-2-55</t>
  </si>
  <si>
    <t>น้ำมันไฟแชครอนสัน</t>
  </si>
  <si>
    <t>130 มล.</t>
  </si>
  <si>
    <t>ไม้จิ้มฟัน</t>
  </si>
  <si>
    <t>6-12-54</t>
  </si>
  <si>
    <t>ไม้จิ้มฟันห่อพลาสติก</t>
  </si>
  <si>
    <t>11-11-54</t>
  </si>
  <si>
    <t>ไม้จิ้มฟันกระปุก</t>
  </si>
  <si>
    <t>ตะเกียบ</t>
  </si>
  <si>
    <t>4-2-56</t>
  </si>
  <si>
    <t>ไฟแช็ค TOTO</t>
  </si>
  <si>
    <t>1*20กล่อง</t>
  </si>
  <si>
    <t>กล่อง 190</t>
  </si>
  <si>
    <t>ลัง 3480</t>
  </si>
  <si>
    <t>กล่อง 174</t>
  </si>
  <si>
    <t>ประเภทน้ำมัน</t>
  </si>
  <si>
    <t>บ.เหล่าธงสิงห์</t>
  </si>
  <si>
    <t>น้ำมันเพชรขวด</t>
  </si>
  <si>
    <t>1ลิตร</t>
  </si>
  <si>
    <t>โหล 555</t>
  </si>
  <si>
    <t>10-12-68</t>
  </si>
  <si>
    <t>ขวด 45</t>
  </si>
  <si>
    <t>น้ำมันเพชรถุง</t>
  </si>
  <si>
    <t>1x12</t>
  </si>
  <si>
    <t>ลัง 545</t>
  </si>
  <si>
    <t>รถ 20(6/12โหล545/50ก)</t>
  </si>
  <si>
    <t>ถุง  45</t>
  </si>
  <si>
    <t>น้ำมันเม็ดในปลามมะลิกลั่นถุง</t>
  </si>
  <si>
    <t>รถ 20(6/12โหล745/50ก)</t>
  </si>
  <si>
    <t>ลัง  760</t>
  </si>
  <si>
    <t>กก. 63.33</t>
  </si>
  <si>
    <t>น้ำมันเพชรปี๊ป</t>
  </si>
  <si>
    <t>13.75ลิตร</t>
  </si>
  <si>
    <t>1*1</t>
  </si>
  <si>
    <t>18-3-63</t>
  </si>
  <si>
    <t>ปี้บ  580</t>
  </si>
  <si>
    <t>น้ำมันตรามะลิกลั่น</t>
  </si>
  <si>
    <t>ปี๊บ</t>
  </si>
  <si>
    <t>บ. มรกต</t>
  </si>
  <si>
    <t>น้ำมันถั่วเหลืองมรกต</t>
  </si>
  <si>
    <t>โหล 660</t>
  </si>
  <si>
    <t>17-5-68</t>
  </si>
  <si>
    <t>น้ำมันมรกต</t>
  </si>
  <si>
    <t>1/4ลิตร</t>
  </si>
  <si>
    <t>1x48</t>
  </si>
  <si>
    <t>8-3-55</t>
  </si>
  <si>
    <t>น้ำมันมรกตขวด</t>
  </si>
  <si>
    <t>ด.3/68 @ 697</t>
  </si>
  <si>
    <t>23-7-88</t>
  </si>
  <si>
    <t>ด.11/54 @ 660</t>
  </si>
  <si>
    <t>น้ำมันมรกตถุง</t>
  </si>
  <si>
    <t>1/2ลิตร</t>
  </si>
  <si>
    <t>บ. ล็อกเลย์</t>
  </si>
  <si>
    <t>น้ำมันกุ๊ก</t>
  </si>
  <si>
    <t>1-12-54</t>
  </si>
  <si>
    <t>ด5/56 โหล577@48</t>
  </si>
  <si>
    <t>บ. โอลีน</t>
  </si>
  <si>
    <t>น้ำมันโอลีนถุง</t>
  </si>
  <si>
    <t>13-10-54</t>
  </si>
  <si>
    <t>+ ค่าขนส่ง 15</t>
  </si>
  <si>
    <t>น้ำมันโอลีนปี๊ป</t>
  </si>
  <si>
    <t>200ปี๊บ+4ปี๊บ(ค่ารถ15)</t>
  </si>
  <si>
    <t>เล่งฮะ</t>
  </si>
  <si>
    <t>น้ำมันจระเข้</t>
  </si>
  <si>
    <t>บี๊ป1100</t>
  </si>
  <si>
    <t>3-3-64</t>
  </si>
  <si>
    <t>บี๊ป 910</t>
  </si>
  <si>
    <t>น้ำมันไพ่ป็อกถุง</t>
  </si>
  <si>
    <t>30-3-58</t>
  </si>
  <si>
    <t>ลัง 550</t>
  </si>
  <si>
    <t>บ.วินเนอร์กรุ๊ป เอ็นเตอร์ไพรซ์ จก(มหาชน)</t>
  </si>
  <si>
    <t>น้ำมันงาตราโกลเด้นพอท</t>
  </si>
  <si>
    <t>640มล.</t>
  </si>
  <si>
    <t>9-5-56</t>
  </si>
  <si>
    <t>โหล1000</t>
  </si>
  <si>
    <t>ขวด83.33</t>
  </si>
  <si>
    <t>150 มล.</t>
  </si>
  <si>
    <t>โหล 321</t>
  </si>
  <si>
    <t>ขวด 26.75</t>
  </si>
  <si>
    <t>ประเภทน้ำมันหอย</t>
  </si>
  <si>
    <t>บจก ปรุงรสไทย</t>
  </si>
  <si>
    <t>น้ำมันหอยนกขั้วโลก</t>
  </si>
  <si>
    <t>3-3-56</t>
  </si>
  <si>
    <t>ลัง170</t>
  </si>
  <si>
    <t>กป14.16</t>
  </si>
  <si>
    <t>น้ำมะขาม</t>
  </si>
  <si>
    <t>น้ำมะขาม(เข้มข้น)</t>
  </si>
  <si>
    <t>710ก.</t>
  </si>
  <si>
    <t>โหล 341</t>
  </si>
  <si>
    <t>ขวด 28.42</t>
  </si>
  <si>
    <t>ลัง 1790</t>
  </si>
  <si>
    <t>ลัง 1628</t>
  </si>
  <si>
    <t>รถต้นทาง</t>
  </si>
  <si>
    <t>ห่อ 81.40</t>
  </si>
  <si>
    <t xml:space="preserve">    บ. ศิลา</t>
  </si>
  <si>
    <t>น้ำมันหอยแม่ครัว</t>
  </si>
  <si>
    <t>1x24</t>
  </si>
  <si>
    <t>โหล410</t>
  </si>
  <si>
    <t>20-12-54</t>
  </si>
  <si>
    <t>300 มล.</t>
  </si>
  <si>
    <t>27-2-55</t>
  </si>
  <si>
    <t>-50</t>
  </si>
  <si>
    <t>600 มล.</t>
  </si>
  <si>
    <t>บมจ. สหพัฒนพิบูล</t>
  </si>
  <si>
    <t>น้ำส้มอสร</t>
  </si>
  <si>
    <t>ลัง260</t>
  </si>
  <si>
    <t>ลด15</t>
  </si>
  <si>
    <t>ลัง 241</t>
  </si>
  <si>
    <t xml:space="preserve">น้ำส้มสายชู  อสร. </t>
  </si>
  <si>
    <t>700มล.</t>
  </si>
  <si>
    <t>18-5-56</t>
  </si>
  <si>
    <t>ลด 15</t>
  </si>
  <si>
    <t>บ. แมสมาร์เก็ตติ้ง</t>
  </si>
  <si>
    <t>ปลาล้าตำนัว</t>
  </si>
  <si>
    <t>350มล</t>
  </si>
  <si>
    <t>ลัง 680</t>
  </si>
  <si>
    <t>ลัง644</t>
  </si>
  <si>
    <t>ลัง 644</t>
  </si>
  <si>
    <t>ปลาร้าตำนัวดับเบีลโหน่ง</t>
  </si>
  <si>
    <t>390มล</t>
  </si>
  <si>
    <t>น้ำมะขามเปียกมอลคาม</t>
  </si>
  <si>
    <t>380มล</t>
  </si>
  <si>
    <t>ลัง 580</t>
  </si>
  <si>
    <t>1-12-68</t>
  </si>
  <si>
    <t>ลัง 276</t>
  </si>
  <si>
    <t>ลัง544.28</t>
  </si>
  <si>
    <t>ขวด22.68</t>
  </si>
  <si>
    <t>ซอสเปรี้ยวหัวกวาง</t>
  </si>
  <si>
    <t>1*ใหญ่</t>
  </si>
  <si>
    <t>โหล240</t>
  </si>
  <si>
    <t>21-8-68</t>
  </si>
  <si>
    <t>โหล225</t>
  </si>
  <si>
    <t>น้ำมันหอยราชารส</t>
  </si>
  <si>
    <t>9-12-62</t>
  </si>
  <si>
    <t>รถ 25</t>
  </si>
  <si>
    <t>โหล 195</t>
  </si>
  <si>
    <t>น้ำพริกเผาแม่ประนอม</t>
  </si>
  <si>
    <t>2ออนน์</t>
  </si>
  <si>
    <t>16-7-58</t>
  </si>
  <si>
    <t>ลัง  2592</t>
  </si>
  <si>
    <t>โหล 216</t>
  </si>
  <si>
    <t>น้ำพริกเผาแม่ประนอม228ก.</t>
  </si>
  <si>
    <t>114ก.</t>
  </si>
  <si>
    <t>ลัง 810</t>
  </si>
  <si>
    <t>ลัง759</t>
  </si>
  <si>
    <t>น้ำพริกเผาแม่ประนอม (เจ)</t>
  </si>
  <si>
    <t>8-3-58</t>
  </si>
  <si>
    <t>ลัง 672</t>
  </si>
  <si>
    <t>228ก.</t>
  </si>
  <si>
    <t>ลัง 1370</t>
  </si>
  <si>
    <t>ลัง 1287</t>
  </si>
  <si>
    <t>513ก.</t>
  </si>
  <si>
    <t>ลัง1360</t>
  </si>
  <si>
    <t>ลัง 1275</t>
  </si>
  <si>
    <t>น้ำจิ้มไก่</t>
  </si>
  <si>
    <t>11-12-68</t>
  </si>
  <si>
    <t>ลัง 615</t>
  </si>
  <si>
    <t>980มล.</t>
  </si>
  <si>
    <t>โหล 790</t>
  </si>
  <si>
    <t>ลัง 738</t>
  </si>
  <si>
    <t>น้ำจิ้มบ๊วย</t>
  </si>
  <si>
    <t>10-5-62</t>
  </si>
  <si>
    <t>ลัง 528</t>
  </si>
  <si>
    <t>น้ำมันพริกเผาฉั้วฮะเส็ง</t>
  </si>
  <si>
    <t>ขวด720มล</t>
  </si>
  <si>
    <t>ขวด 85</t>
  </si>
  <si>
    <t>โหล 990</t>
  </si>
  <si>
    <t>โหล 920</t>
  </si>
  <si>
    <t>ขวด76.67</t>
  </si>
  <si>
    <t>น้ำพริกเผาฉั้วฮะเส็ง</t>
  </si>
  <si>
    <t>2700 ก</t>
  </si>
  <si>
    <t>กป 290</t>
  </si>
  <si>
    <t>ลัง1700</t>
  </si>
  <si>
    <t>ลัง 1630</t>
  </si>
  <si>
    <t>กป 271.67</t>
  </si>
  <si>
    <t>900 ก</t>
  </si>
  <si>
    <t>โหล1280</t>
  </si>
  <si>
    <t>11-5-69</t>
  </si>
  <si>
    <t>โหล 1185</t>
  </si>
  <si>
    <t>กป 98.75</t>
  </si>
  <si>
    <t>450  ก.</t>
  </si>
  <si>
    <t>โหล 730</t>
  </si>
  <si>
    <t>โหล 680</t>
  </si>
  <si>
    <t>กป 56.67</t>
  </si>
  <si>
    <t>น้ำพริกเผาฉั้วฮะเส็ง   เจ</t>
  </si>
  <si>
    <t>228  ก.</t>
  </si>
  <si>
    <t>ลัง1120</t>
  </si>
  <si>
    <t>ขวด46.67</t>
  </si>
  <si>
    <t>น้ำพริกเผาฉั้วฮะเส็ง(ซอง)</t>
  </si>
  <si>
    <t>1 กก</t>
  </si>
  <si>
    <t xml:space="preserve">ลัง1260 </t>
  </si>
  <si>
    <t>7-5-694-5-69</t>
  </si>
  <si>
    <t>ลัง 1140</t>
  </si>
  <si>
    <t>ลัง 1175</t>
  </si>
  <si>
    <t>ซอง97.92</t>
  </si>
  <si>
    <t>น้ำพริกเผาสูตรเบเกอรีฉั้วฮะเส็ง</t>
  </si>
  <si>
    <t>ซอง47</t>
  </si>
  <si>
    <t>ลัง 480</t>
  </si>
  <si>
    <t>ค่ารถ 15</t>
  </si>
  <si>
    <t>ลัง 495</t>
  </si>
  <si>
    <t>ซอง 41.25</t>
  </si>
  <si>
    <t>น้ำมันงามังกร</t>
  </si>
  <si>
    <t>ลัง4060</t>
  </si>
  <si>
    <t xml:space="preserve">ค่ารถ 35 </t>
  </si>
  <si>
    <t>ขวด</t>
  </si>
  <si>
    <t>โหล1770</t>
  </si>
  <si>
    <t>โหล1595</t>
  </si>
  <si>
    <t>น้ำมันงามังกรขวดเล็ก</t>
  </si>
  <si>
    <t>1*12*10โหล</t>
  </si>
  <si>
    <t>โหล 470</t>
  </si>
  <si>
    <t>15-12-68</t>
  </si>
  <si>
    <t>ลัง4200</t>
  </si>
  <si>
    <t>ค่ารถ 45ลัง4245</t>
  </si>
  <si>
    <t>โหล424.5</t>
  </si>
  <si>
    <t>น้ำมันหอยปุ้ยเก่ง แกลลอน</t>
  </si>
  <si>
    <t>16-10-58</t>
  </si>
  <si>
    <t>น้ำมันหอยปุ้ยเก่ง (ล)</t>
  </si>
  <si>
    <t>11-10-5</t>
  </si>
  <si>
    <t>น้ำมันหอยปุ้ยเก่ง (ญ)</t>
  </si>
  <si>
    <t>11-10-55</t>
  </si>
  <si>
    <t>บ พี.คิว.มาร์เก็ตติ้ง จก</t>
  </si>
  <si>
    <t>มานพ   095-8634497</t>
  </si>
  <si>
    <t>ซีอิ้วขาวเด็กสูตร 1</t>
  </si>
  <si>
    <t>1X24</t>
  </si>
  <si>
    <t>โหล440</t>
  </si>
  <si>
    <t>ซีอิ้วขาวเด็ก สูตร 5</t>
  </si>
  <si>
    <t>500มล.</t>
  </si>
  <si>
    <t>1X12</t>
  </si>
  <si>
    <t>ซีอิ้วขาวเห็ดหอม</t>
  </si>
  <si>
    <t>บ.แมสมาร์เก็ตติ้ง จก</t>
  </si>
  <si>
    <t>ซอสมะเขือโรซ่า</t>
  </si>
  <si>
    <t>100มล</t>
  </si>
  <si>
    <t>ซอง 35</t>
  </si>
  <si>
    <t>16-9-67</t>
  </si>
  <si>
    <t>50แถม2</t>
  </si>
  <si>
    <t>โหล380.67</t>
  </si>
  <si>
    <t>ถุง 31.72</t>
  </si>
  <si>
    <t>ซอสปรุงรสโรซ่า1แถม1</t>
  </si>
  <si>
    <t>700มล</t>
  </si>
  <si>
    <t>ชุด32</t>
  </si>
  <si>
    <t>10-1-61</t>
  </si>
  <si>
    <t>โหล161.29</t>
  </si>
  <si>
    <t>ชุด26.88</t>
  </si>
  <si>
    <t>ซีอิ๋วขาวโรซ่า</t>
  </si>
  <si>
    <t>600มล</t>
  </si>
  <si>
    <t>โหล198.92</t>
  </si>
  <si>
    <t>บ. เอ็น ซี ไอ อินเตอรมารท จก.(ง่วนเชียง)</t>
  </si>
  <si>
    <t>ซีอิ้วขาวง่วนเชียง สูตร 1</t>
  </si>
  <si>
    <t>8-10-55</t>
  </si>
  <si>
    <t>-2%</t>
  </si>
  <si>
    <t>ซีอิ้วขาวง่วนเชียงเห็ดหอม</t>
  </si>
  <si>
    <t>22-4-58</t>
  </si>
  <si>
    <t>-2%       รุ่น1แถม1</t>
  </si>
  <si>
    <t>ซีอิ้วขาวง่วนเชียงเห็ดหอม+ซอส+ซอสหอย</t>
  </si>
  <si>
    <t>1*4ชุด</t>
  </si>
  <si>
    <t xml:space="preserve"> 4แถม1หีบ@87.49</t>
  </si>
  <si>
    <t>ซีอิ้วขาวง่วนเชียง สูตร3</t>
  </si>
  <si>
    <t>630มล.</t>
  </si>
  <si>
    <t>10-2-55</t>
  </si>
  <si>
    <t xml:space="preserve">ซีอิ้วขาวง่วนเชียง </t>
  </si>
  <si>
    <t>โหล 310</t>
  </si>
  <si>
    <t>14-2-63</t>
  </si>
  <si>
    <t>ลด 25%</t>
  </si>
  <si>
    <t xml:space="preserve">ซีอิ้วดำหวานง่วนเชียง </t>
  </si>
  <si>
    <t>950มล.</t>
  </si>
  <si>
    <t>โหล 280</t>
  </si>
  <si>
    <t>18-1-63</t>
  </si>
  <si>
    <t>ซีอิ้วหวานง่วนเชียง</t>
  </si>
  <si>
    <t>ซอสเขียวง่วนเชียง</t>
  </si>
  <si>
    <t>เต้าเจี้ยวกระปุก</t>
  </si>
  <si>
    <t>390ก.</t>
  </si>
  <si>
    <t>22-11-60</t>
  </si>
  <si>
    <t>เต้าเจี้ยวตราเรือสูตร2</t>
  </si>
  <si>
    <t>805ก.</t>
  </si>
  <si>
    <t>ลด2% 20แถม1</t>
  </si>
  <si>
    <t>น้ำปลา</t>
  </si>
  <si>
    <t>น้ำปลาปลาหมึก</t>
  </si>
  <si>
    <t>น้ำปลาทิพรสขวดเล็ก</t>
  </si>
  <si>
    <t>9-5-55</t>
  </si>
  <si>
    <t>ลด 12</t>
  </si>
  <si>
    <t>น้ำปลาทิพรสพลาสติก</t>
  </si>
  <si>
    <t>700ซีซี</t>
  </si>
  <si>
    <t>14-11-60</t>
  </si>
  <si>
    <t>ลด 20</t>
  </si>
  <si>
    <t>น้ำปลาทิพรสขวดแก้ว</t>
  </si>
  <si>
    <t>7-5-62</t>
  </si>
  <si>
    <t>ซอสภูเขาทองน้ำตาล</t>
  </si>
  <si>
    <t>600ซีซี</t>
  </si>
  <si>
    <t>ซอสภูเขาทองเขียว</t>
  </si>
  <si>
    <t>ลด5</t>
  </si>
  <si>
    <t>น้ำปลาเมกาเชฟ</t>
  </si>
  <si>
    <t>ลัง380</t>
  </si>
  <si>
    <t>18-12-60</t>
  </si>
  <si>
    <t>200มล</t>
  </si>
  <si>
    <t>ลัง 285</t>
  </si>
  <si>
    <t>23-3-66</t>
  </si>
  <si>
    <t>บ.ซี. พี. คอนซูเมอร์โพรดักส์</t>
  </si>
  <si>
    <t>น้ำปลาคนแบกกุ้ง</t>
  </si>
  <si>
    <t>750ซซ</t>
  </si>
  <si>
    <t>5-3-56</t>
  </si>
  <si>
    <t>ด1/56โหล260@21.61</t>
  </si>
  <si>
    <t>น้ำปลาคนแบกกุ้ง(พลาสติก)</t>
  </si>
  <si>
    <t>700ซซ</t>
  </si>
  <si>
    <t>พิเศษ22</t>
  </si>
  <si>
    <t>6-5-56</t>
  </si>
  <si>
    <t>น้ำปลาตราตาชั่งทอง</t>
  </si>
  <si>
    <t>750มล.</t>
  </si>
  <si>
    <t>โหล 425</t>
  </si>
  <si>
    <t>20-1-69</t>
  </si>
  <si>
    <t>ส่วนลด25%</t>
  </si>
  <si>
    <t>8มัด*1กส</t>
  </si>
  <si>
    <t>ห่อ25</t>
  </si>
  <si>
    <t>มัด 230</t>
  </si>
  <si>
    <t>8-12-68</t>
  </si>
  <si>
    <t>พริกป่นน้ำตาล</t>
  </si>
  <si>
    <t>20-5-64</t>
  </si>
  <si>
    <t>บ. สหพัฒนพิบูล จำกัด</t>
  </si>
  <si>
    <t>เกลือปรุงทิพย์</t>
  </si>
  <si>
    <t>ลัง 312</t>
  </si>
  <si>
    <t>8-8-64</t>
  </si>
  <si>
    <t>น้ำส้มอสร.</t>
  </si>
  <si>
    <t>โหล 230</t>
  </si>
  <si>
    <t>14-5-69</t>
  </si>
  <si>
    <t>บ. ดีเคเอสเอช (T103)</t>
  </si>
  <si>
    <t>น้ำจิ้มสุกี้กวางตุ้ง</t>
  </si>
  <si>
    <t>โหล550</t>
  </si>
  <si>
    <t>17-11-60</t>
  </si>
  <si>
    <t>1045ซื้อ15ลังลด.95%,5%</t>
  </si>
  <si>
    <t>830ก.</t>
  </si>
  <si>
    <t>โหล1040</t>
  </si>
  <si>
    <t>990ซื้อ15ลังลด.95%,5%</t>
  </si>
  <si>
    <t>น้ำจิ้มเนื้อย่างพันท้าย</t>
  </si>
  <si>
    <t>โหล480</t>
  </si>
  <si>
    <t>913ซื้อ15ลังลด.95%,5%</t>
  </si>
  <si>
    <t>800ก.</t>
  </si>
  <si>
    <t>โหล920</t>
  </si>
  <si>
    <t>869ซื้อ15ลังลด.95%,5%</t>
  </si>
  <si>
    <t>ซอสมะเขือเทศไฮน์</t>
  </si>
  <si>
    <t>300ก.</t>
  </si>
  <si>
    <t>ซอสพริกไฮน์</t>
  </si>
  <si>
    <t>บ.ทีอาร์อาร์ ฟู้ดโปรดักส์ จำกัด</t>
  </si>
  <si>
    <t>น้ำจิ้มสุกี้เอ็มเคสูตรเผ็ดร้อนจัดจ้าน</t>
  </si>
  <si>
    <t>350ก</t>
  </si>
  <si>
    <t>ลัง 1400</t>
  </si>
  <si>
    <t>ลัง 1297.10</t>
  </si>
  <si>
    <t>ขวด 54.05</t>
  </si>
  <si>
    <t>น้ำจิ้มสุกี้เอ็มเคสูตรต้นตำหรับ</t>
  </si>
  <si>
    <t>ลัง 1190</t>
  </si>
  <si>
    <t>ลัง 1196.82</t>
  </si>
  <si>
    <t>ขวด 49.87</t>
  </si>
  <si>
    <t>บ.ซอสพริกไทยรุ่งเรือง</t>
  </si>
  <si>
    <t>TRR</t>
  </si>
  <si>
    <t>ซอสเย็นตาโฟ</t>
  </si>
  <si>
    <t>โหล 390</t>
  </si>
  <si>
    <t>5-11-67</t>
  </si>
  <si>
    <t>ลด10%</t>
  </si>
  <si>
    <t>ซอสพริกม้าบิน</t>
  </si>
  <si>
    <t>640ก.</t>
  </si>
  <si>
    <t>โหล320</t>
  </si>
  <si>
    <t>4-5-64</t>
  </si>
  <si>
    <t>1070ก.</t>
  </si>
  <si>
    <t>ซอสพริกเรือหางยาว</t>
  </si>
  <si>
    <t>640ก</t>
  </si>
  <si>
    <t>6-4-61</t>
  </si>
  <si>
    <t>ลด5%(30+1ลัง)</t>
  </si>
  <si>
    <t>น้ำจิ้มซีฟู้ดม้าบิน</t>
  </si>
  <si>
    <t>300ซซ</t>
  </si>
  <si>
    <t>12-1-60</t>
  </si>
  <si>
    <t>ลด7%</t>
  </si>
  <si>
    <t>ลัง630</t>
  </si>
  <si>
    <t>9-8-67</t>
  </si>
  <si>
    <t>770 ก.</t>
  </si>
  <si>
    <t>น้ำจิ้มไก่ม้าบิน(ซอง)</t>
  </si>
  <si>
    <t>ลัง 440</t>
  </si>
  <si>
    <t>9-1-61</t>
  </si>
  <si>
    <t>ลด 4%</t>
  </si>
  <si>
    <t>น้ำจิ้มไก่ม้าบิน</t>
  </si>
  <si>
    <t>690 ก.</t>
  </si>
  <si>
    <t>โหล490</t>
  </si>
  <si>
    <t>340ซซ</t>
  </si>
  <si>
    <t>ลัง 560</t>
  </si>
  <si>
    <t>5-9-65</t>
  </si>
  <si>
    <t>น้ำจิ้มลูกชิ้นม้าบิน(ซอง)</t>
  </si>
  <si>
    <t>900ซซ</t>
  </si>
  <si>
    <t>ลัง 350</t>
  </si>
  <si>
    <t>ลัง 332.81</t>
  </si>
  <si>
    <t>ซอง 27.73</t>
  </si>
  <si>
    <t>น้ำจิ้มสุกี้เนื้อย่างตราคุณอร</t>
  </si>
  <si>
    <t>1120ก.</t>
  </si>
  <si>
    <t>ลัง 740</t>
  </si>
  <si>
    <t>25-12-68</t>
  </si>
  <si>
    <t>ลัง 685.01</t>
  </si>
  <si>
    <t>ขวด 57.08</t>
  </si>
  <si>
    <t>บ.ไฮคิว</t>
  </si>
  <si>
    <t>02-7500505</t>
  </si>
  <si>
    <t>ปลากระป๋องโรซ่าสูง</t>
  </si>
  <si>
    <t>1*10*10</t>
  </si>
  <si>
    <r>
      <t xml:space="preserve">20 </t>
    </r>
    <r>
      <rPr>
        <sz val="16"/>
        <rFont val="Angsana New"/>
        <family val="1"/>
      </rPr>
      <t>แพค</t>
    </r>
    <r>
      <rPr>
        <sz val="22"/>
        <rFont val="Angsana New"/>
        <family val="1"/>
      </rPr>
      <t>195</t>
    </r>
  </si>
  <si>
    <t>ลัง 1920</t>
  </si>
  <si>
    <t>22-6-66</t>
  </si>
  <si>
    <t>ลัง1840</t>
  </si>
  <si>
    <t>แพค 184</t>
  </si>
  <si>
    <t>ปลากระป๋องโรซ่าแบน</t>
  </si>
  <si>
    <t>185ก.</t>
  </si>
  <si>
    <t>1X48</t>
  </si>
  <si>
    <t>26(แพค4กป100)</t>
  </si>
  <si>
    <t>ลัง1090  (เดิม960)</t>
  </si>
  <si>
    <t>แพค90.83</t>
  </si>
  <si>
    <t>ปลากระป๋องไฮคิว</t>
  </si>
  <si>
    <t>15 พ.145</t>
  </si>
  <si>
    <t>30-3-55</t>
  </si>
  <si>
    <t>13 พ.128</t>
  </si>
  <si>
    <t>ผักกาดซองโรซ่าดองเค็ม</t>
  </si>
  <si>
    <t>145ก.</t>
  </si>
  <si>
    <t>1*6ซอง*8</t>
  </si>
  <si>
    <t>14 แพค 75</t>
  </si>
  <si>
    <t>ลัง 575</t>
  </si>
  <si>
    <t>15-5-68</t>
  </si>
  <si>
    <t>ลัง 540</t>
  </si>
  <si>
    <t>รายการ6ลัง(535)</t>
  </si>
  <si>
    <t>ลัง 535</t>
  </si>
  <si>
    <t>แพค66.88ซ 11.15</t>
  </si>
  <si>
    <t>ผักกาดซองโรซ่าดองหวาน</t>
  </si>
  <si>
    <t>ยำผักกาดซองโรซ่า</t>
  </si>
  <si>
    <t>ทูน่าแซนวิชน้ำเกลือ</t>
  </si>
  <si>
    <t>ทูน่าแซนวิชน้ำมัน</t>
  </si>
  <si>
    <t>1-10-61</t>
  </si>
  <si>
    <r>
      <t>(บัง</t>
    </r>
    <r>
      <rPr>
        <sz val="18"/>
        <rFont val="Angsana New"/>
        <family val="1"/>
      </rPr>
      <t>ลัง1600/33.33</t>
    </r>
    <r>
      <rPr>
        <sz val="22"/>
        <rFont val="Angsana New"/>
        <family val="1"/>
      </rPr>
      <t>)</t>
    </r>
  </si>
  <si>
    <t>17 พ.160</t>
  </si>
  <si>
    <t>ลัง 1600</t>
  </si>
  <si>
    <t>21-9-66</t>
  </si>
  <si>
    <t>แพค 152</t>
  </si>
  <si>
    <t>24 โหล 88</t>
  </si>
  <si>
    <t>ลัง 1000</t>
  </si>
  <si>
    <t>20-8-64</t>
  </si>
  <si>
    <t>ลัง 955</t>
  </si>
  <si>
    <t>แพค 79.58</t>
  </si>
  <si>
    <t>ผักกาดนกพิราบเดี่ยว</t>
  </si>
  <si>
    <t>1*6*8</t>
  </si>
  <si>
    <t>กป.15 พ.75</t>
  </si>
  <si>
    <t>17-9-55</t>
  </si>
  <si>
    <t>แพค76.25กป13</t>
  </si>
  <si>
    <t>ผักกาดนกพิราบคู่</t>
  </si>
  <si>
    <t>กป.15 พ.85</t>
  </si>
  <si>
    <t>ลัง 640</t>
  </si>
  <si>
    <t>ซีเช็กฉ่ายนกพิราบ</t>
  </si>
  <si>
    <t>9-4-56</t>
  </si>
  <si>
    <t>ลด10             ลัง650</t>
  </si>
  <si>
    <t>แพค81.25</t>
  </si>
  <si>
    <t>ปลาแมคเคอเรลปุ้มปุ๋ยในซอส</t>
  </si>
  <si>
    <t>1*10กป</t>
  </si>
  <si>
    <t>1*10แพค</t>
  </si>
  <si>
    <t>แพค 140</t>
  </si>
  <si>
    <t>7-7-63</t>
  </si>
  <si>
    <t xml:space="preserve"> หีบ1221.63</t>
  </si>
  <si>
    <t>พ. 122.76</t>
  </si>
  <si>
    <t>ปลาทอดราดพริก</t>
  </si>
  <si>
    <t>แพค 200</t>
  </si>
  <si>
    <t>7-8-63</t>
  </si>
  <si>
    <t>หีบ1835</t>
  </si>
  <si>
    <t>แพค183.50</t>
  </si>
  <si>
    <t>ปลาซาร์ดีนสับลาภ</t>
  </si>
  <si>
    <t>แพค160</t>
  </si>
  <si>
    <t>หีบ1441.82</t>
  </si>
  <si>
    <t>พ.144.18</t>
  </si>
  <si>
    <t>ปลาทอดรสเผ็ด</t>
  </si>
  <si>
    <t>แพค 205</t>
  </si>
  <si>
    <t>13-5-56</t>
  </si>
  <si>
    <t>หีบ1872.50</t>
  </si>
  <si>
    <t>แพค 187.25</t>
  </si>
  <si>
    <t>หอยลายทอดรสเผ็ด</t>
  </si>
  <si>
    <t>แพค 235</t>
  </si>
  <si>
    <t>ลด18.69หีบ2130.03</t>
  </si>
  <si>
    <t>แพค 213</t>
  </si>
  <si>
    <t>บ.เมรี่ย์ สยาม อินเตอร์ฟู้ด จำกัด</t>
  </si>
  <si>
    <t>(ตรา มาริโอ)</t>
  </si>
  <si>
    <t>เงาะมาริโอ</t>
  </si>
  <si>
    <t>565ก.</t>
  </si>
  <si>
    <t>ลัง 1100</t>
  </si>
  <si>
    <t>5-1-69</t>
  </si>
  <si>
    <t>รถ 20(60แถม3)</t>
  </si>
  <si>
    <t>เงาะไส้สับปะรด</t>
  </si>
  <si>
    <t>31-1-56</t>
  </si>
  <si>
    <t>ลิ้นจี่</t>
  </si>
  <si>
    <t>26-5-55</t>
  </si>
  <si>
    <t>ด.11/54 @ 34.17</t>
  </si>
  <si>
    <t>ลำใยกระป๋อง</t>
  </si>
  <si>
    <t>ลูกตาล</t>
  </si>
  <si>
    <t>425ก.</t>
  </si>
  <si>
    <t>แห้ว</t>
  </si>
  <si>
    <t>หน่ำเลียบ กปใหญ่</t>
  </si>
  <si>
    <t>7-6-56</t>
  </si>
  <si>
    <t>หน่ำเลียบ กปเล็ก</t>
  </si>
  <si>
    <t>ถั่วลันเตา</t>
  </si>
  <si>
    <t>24-11-54</t>
  </si>
  <si>
    <t>เห็ดแชมปิยอง</t>
  </si>
  <si>
    <t>เงาะจิงโจ้</t>
  </si>
  <si>
    <t>20-5-56</t>
  </si>
  <si>
    <t>28-1-55</t>
  </si>
  <si>
    <t>โอวหน่ำ</t>
  </si>
  <si>
    <t>24-11-61</t>
  </si>
  <si>
    <t>หน่อไม้ทะเล</t>
  </si>
  <si>
    <t>กป. 240</t>
  </si>
  <si>
    <t>ลัง 5000</t>
  </si>
  <si>
    <t xml:space="preserve"> ลัง 5020</t>
  </si>
  <si>
    <t>หน่อไม้กระต่าย</t>
  </si>
  <si>
    <t>16-3-56</t>
  </si>
  <si>
    <t>แผนก.........................................</t>
  </si>
  <si>
    <t>หมาย</t>
  </si>
  <si>
    <t>เหตุ</t>
  </si>
  <si>
    <t>26-2-69</t>
  </si>
  <si>
    <t>100แถม3</t>
  </si>
  <si>
    <t>ขวด 45.09</t>
  </si>
  <si>
    <t>15-6-55</t>
  </si>
  <si>
    <t>น้ำมันพืชสายรุ้ง</t>
  </si>
  <si>
    <t>15-5-55</t>
  </si>
  <si>
    <t>เซลลล์ประสิทธิ์</t>
  </si>
  <si>
    <t>น้ำมันองุ่น</t>
  </si>
  <si>
    <t>บ. แมสมาร์เกตติ้ง</t>
  </si>
  <si>
    <t>น้ำมันสลัด</t>
  </si>
  <si>
    <t>3.3 ลิตร</t>
  </si>
  <si>
    <t>1x4</t>
  </si>
  <si>
    <t>21-9-58</t>
  </si>
  <si>
    <t>น้ำมันมะพร้าว100%</t>
  </si>
  <si>
    <t>21-11-58</t>
  </si>
  <si>
    <t>แผนก............</t>
  </si>
  <si>
    <t>บ.ปาล์ม เอ็นเนอรี่</t>
  </si>
  <si>
    <t>น้ำมันพืชปทุมถุง</t>
  </si>
  <si>
    <t>10-1-55</t>
  </si>
  <si>
    <t>น้ำมันพืชปทุมปี๊ป</t>
  </si>
  <si>
    <t>9-2-55</t>
  </si>
  <si>
    <t>บ. แม็คโคร</t>
  </si>
  <si>
    <t>น้ำมันงามังกรคุ่</t>
  </si>
  <si>
    <t>3 ลิตร</t>
  </si>
  <si>
    <t>29-1-55</t>
  </si>
  <si>
    <t>น้ำมันสลัดเบสท์ฟู้ด</t>
  </si>
  <si>
    <t>3.3ลิตร</t>
  </si>
  <si>
    <t>น้ำมันผึ้งถุง</t>
  </si>
  <si>
    <t>น้ำมันผึ้งขวด</t>
  </si>
  <si>
    <t>น้ำมันปลามผึ้งถุง</t>
  </si>
  <si>
    <t>8-5-56</t>
  </si>
  <si>
    <t>100ลังแถม3ลัง</t>
  </si>
  <si>
    <t>น้ำมันบัวผึ้งถุง</t>
  </si>
  <si>
    <t>ด8/5/56ลัง340    100แถม1</t>
  </si>
  <si>
    <t>ปี้บ</t>
  </si>
  <si>
    <t>บี๊ป1120</t>
  </si>
  <si>
    <t>บี๊ป 955</t>
  </si>
  <si>
    <t>กก. 69.45</t>
  </si>
  <si>
    <t>แป้งโก๋</t>
  </si>
  <si>
    <t>25 กก.</t>
  </si>
  <si>
    <t>กส. 1140</t>
  </si>
  <si>
    <t>กก.45.66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</si>
  <si>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</si>
  <si>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</si>
  <si>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</t>
  </si>
  <si>
    <t xml:space="preserve">   บ. แอลเอฟเอเชีย</t>
  </si>
  <si>
    <t>ไทยโอชา</t>
  </si>
  <si>
    <t>เซล -คุณวิรัตน์</t>
  </si>
  <si>
    <t>น้ำมันหอยเทพรส</t>
  </si>
  <si>
    <t>1*4กป.</t>
  </si>
  <si>
    <t>กป.170</t>
  </si>
  <si>
    <t xml:space="preserve">   นิวสยามฟู้ดส์</t>
  </si>
  <si>
    <t>น้ำมันหอยนกทะเล</t>
  </si>
  <si>
    <t>21-5-55</t>
  </si>
  <si>
    <t>ด.3/55 @ 43.50</t>
  </si>
  <si>
    <t>บ. วี เอส เทรด จก</t>
  </si>
  <si>
    <t>น้ำมันหอยราชารส(ฝาแดง)</t>
  </si>
  <si>
    <t>14-8-62</t>
  </si>
  <si>
    <t>ลัง195</t>
  </si>
  <si>
    <t>บ. สุขเกษม</t>
  </si>
  <si>
    <t>น้ำพริกเผาชิลลี่</t>
  </si>
  <si>
    <t>10-11-54</t>
  </si>
  <si>
    <t>น้ำพริกเผาวรรณา(บ.โอเค)</t>
  </si>
  <si>
    <t>16-12-58</t>
  </si>
  <si>
    <t>น้ำพริกเผาโอชา</t>
  </si>
  <si>
    <t>27-7-54</t>
  </si>
  <si>
    <t xml:space="preserve">    น้ำพริกเผาแม่ประนอม</t>
  </si>
  <si>
    <t>บ. ดีเคเอสเอช</t>
  </si>
  <si>
    <t>น้ำพริกเผาเผ็ดน้อยพันท้าย</t>
  </si>
  <si>
    <t>227ก.</t>
  </si>
  <si>
    <t>โหล580</t>
  </si>
  <si>
    <t>โหล528.48</t>
  </si>
  <si>
    <t>น้ำพริกเผาเผ็ดกลางพันท้าย</t>
  </si>
  <si>
    <t>โหล1050</t>
  </si>
  <si>
    <t>โหล961.56</t>
  </si>
  <si>
    <t>น้ำพริกสวรรค์พันท้าย</t>
  </si>
  <si>
    <t>50ก.</t>
  </si>
  <si>
    <t>ลด5.95 %</t>
  </si>
  <si>
    <t>โหล255.78</t>
  </si>
  <si>
    <t>น้ำพริกนรกพันท้าย</t>
  </si>
  <si>
    <t>031-981-555</t>
  </si>
  <si>
    <t>ซอสหมักหมูนุ่ม</t>
  </si>
  <si>
    <t>23-3-56</t>
  </si>
  <si>
    <t xml:space="preserve">             หีบ490</t>
  </si>
  <si>
    <t>โหล163.32</t>
  </si>
  <si>
    <t>น้ำมะนาว45%ฟ้าไทย</t>
  </si>
  <si>
    <t>1000ซซ</t>
  </si>
  <si>
    <t>6-4-56</t>
  </si>
  <si>
    <t>25หีบแถม1ลัง</t>
  </si>
  <si>
    <t>แผนก.....นมผง............</t>
  </si>
  <si>
    <t>ผนก....ครัว    ประเภทกระเทียมดอง</t>
  </si>
  <si>
    <t>ประเภทกะปิ</t>
  </si>
  <si>
    <t>บ.ล๊อกเล่</t>
  </si>
  <si>
    <t>02-3502000</t>
  </si>
  <si>
    <t>กะปิตราชั่ง</t>
  </si>
  <si>
    <t>90ก.</t>
  </si>
  <si>
    <t>2-8-64</t>
  </si>
  <si>
    <t xml:space="preserve"> ลัง 843.80</t>
  </si>
  <si>
    <t>โหล 210.96</t>
  </si>
  <si>
    <t>โหล 465</t>
  </si>
  <si>
    <t>ลัง 865.42</t>
  </si>
  <si>
    <t>โหล  432.71</t>
  </si>
  <si>
    <t>โหล 940</t>
  </si>
  <si>
    <r>
      <t xml:space="preserve"> </t>
    </r>
    <r>
      <rPr>
        <sz val="18"/>
        <rFont val="Angsana New"/>
        <family val="1"/>
      </rPr>
      <t>ลัง 882.75</t>
    </r>
  </si>
  <si>
    <t>โหล 882.75</t>
  </si>
  <si>
    <t>575ก.</t>
  </si>
  <si>
    <t>โหล 1100</t>
  </si>
  <si>
    <t xml:space="preserve"> ลัง 1232.11</t>
  </si>
  <si>
    <t xml:space="preserve"> โหล 1232.11</t>
  </si>
  <si>
    <t>น้ำปลาตราชั่ง</t>
  </si>
  <si>
    <t>750 มล.</t>
  </si>
  <si>
    <t>โหล 320</t>
  </si>
  <si>
    <t>โหล 419.04</t>
  </si>
  <si>
    <t xml:space="preserve">น้ำปลาตราชั่งแดง </t>
  </si>
  <si>
    <t>โหล 342</t>
  </si>
  <si>
    <t>ปลาซีเล็คสเต็กน้ำเกลือ</t>
  </si>
  <si>
    <t>18-12-55</t>
  </si>
  <si>
    <t>บ.โอ  เอ  ฟู้ดซัพพลาย</t>
  </si>
  <si>
    <t>023890707-10</t>
  </si>
  <si>
    <t>อภิชาต   (086)  3770236</t>
  </si>
  <si>
    <t>กะปิกุ้งไทย</t>
  </si>
  <si>
    <t>1*8โหล</t>
  </si>
  <si>
    <t>โหล135</t>
  </si>
  <si>
    <t>10-6-64</t>
  </si>
  <si>
    <t>ลัง980</t>
  </si>
  <si>
    <t>รถ30 ลัง1010</t>
  </si>
  <si>
    <t>โหล 126.25</t>
  </si>
  <si>
    <t>170ก.</t>
  </si>
  <si>
    <t>1*5โหล</t>
  </si>
  <si>
    <t>โหล280</t>
  </si>
  <si>
    <t>16-10-61</t>
  </si>
  <si>
    <t>ลัง 1286</t>
  </si>
  <si>
    <t>รถ30 ลัง 1316</t>
  </si>
  <si>
    <t>โหล  263.20</t>
  </si>
  <si>
    <t>12-5-55</t>
  </si>
  <si>
    <t>กะปิกุ้งไทย  110-</t>
  </si>
  <si>
    <t>กป.105</t>
  </si>
  <si>
    <t>โหล1160</t>
  </si>
  <si>
    <t>ลัง1060</t>
  </si>
  <si>
    <t>รถ30 ลัง1090</t>
  </si>
  <si>
    <t>โหล1090</t>
  </si>
  <si>
    <t>กะปิกุ้งไทยพิเศษ</t>
  </si>
  <si>
    <t>1X36</t>
  </si>
  <si>
    <t>17-1-55</t>
  </si>
  <si>
    <t>ผนก....ครัว</t>
  </si>
  <si>
    <t>ประเภทกะทิ</t>
  </si>
  <si>
    <t xml:space="preserve"> บ.สหพัฒนพิบูล จำกัด</t>
  </si>
  <si>
    <t>บ. ไทย อกริ ฟู้ดส์ จก</t>
  </si>
  <si>
    <t>02-3154171-8</t>
  </si>
  <si>
    <t>กะทิอร่อยดี</t>
  </si>
  <si>
    <t>1x6x6</t>
  </si>
  <si>
    <t>พ156/ลัง920</t>
  </si>
  <si>
    <t>ลัง 863.38</t>
  </si>
  <si>
    <t>แพค143.90</t>
  </si>
  <si>
    <t>500มล</t>
  </si>
  <si>
    <t>ลัง 1040</t>
  </si>
  <si>
    <t>15-5-69</t>
  </si>
  <si>
    <t>ลัง 983.06</t>
  </si>
  <si>
    <t>1000มล</t>
  </si>
  <si>
    <t>100แถม4ลัง</t>
  </si>
  <si>
    <t>ลัง 855.95</t>
  </si>
  <si>
    <t>กะทิอร่อยดี-ควันเทียน</t>
  </si>
  <si>
    <t>พ160/ลัง940</t>
  </si>
  <si>
    <t>ลด 114 ลัง882.26</t>
  </si>
  <si>
    <t>แพค 147</t>
  </si>
  <si>
    <t>ลัง960</t>
  </si>
  <si>
    <t>ลัง 907.43</t>
  </si>
  <si>
    <t>บ.เทพผดุงพรมะพร้าว</t>
  </si>
  <si>
    <t>กะทิชาวเกาะ</t>
  </si>
  <si>
    <t>พ105/ลัง580</t>
  </si>
  <si>
    <t>ลด5%ลด2%(สด)</t>
  </si>
  <si>
    <t>พ107.92@18</t>
  </si>
  <si>
    <t>ลัง680</t>
  </si>
  <si>
    <t>28-10-59</t>
  </si>
  <si>
    <t>ลัง 880</t>
  </si>
  <si>
    <t>18-3-68</t>
  </si>
  <si>
    <t>ลด3%(สด)</t>
  </si>
  <si>
    <t>กะทิควันเทียน</t>
  </si>
  <si>
    <t>พ120/ลัง680</t>
  </si>
  <si>
    <t>ลด5%ลด2%</t>
  </si>
  <si>
    <t>พ116.22@19.37</t>
  </si>
  <si>
    <t>กะทิใบเตย</t>
  </si>
  <si>
    <t>ลด3%ลด2%</t>
  </si>
  <si>
    <t>ผงพะโล้แม่พลอย</t>
  </si>
  <si>
    <t>1x12x6</t>
  </si>
  <si>
    <t>โหล190 ลัง1080</t>
  </si>
  <si>
    <t>27-10-63</t>
  </si>
  <si>
    <t>ลด3%ลด2%ลัง1026</t>
  </si>
  <si>
    <t>โหล 171</t>
  </si>
  <si>
    <t>ผงหมูแดงแม่พลอย</t>
  </si>
  <si>
    <t>80ก.</t>
  </si>
  <si>
    <t>19-10-54</t>
  </si>
  <si>
    <t>3มล.</t>
  </si>
  <si>
    <t>1x12x12</t>
  </si>
  <si>
    <t>22-7-54</t>
  </si>
  <si>
    <t>บ. ดีเคเอสเฮช</t>
  </si>
  <si>
    <t>กะทิอัมพวา</t>
  </si>
  <si>
    <t>250มล</t>
  </si>
  <si>
    <t>1*6*4</t>
  </si>
  <si>
    <t>29-10-60</t>
  </si>
  <si>
    <t>100แถม9หีบ</t>
  </si>
  <si>
    <t>บ.สหพัฒนพิบูล</t>
  </si>
  <si>
    <t>กะทิพร้าวหอม</t>
  </si>
  <si>
    <t>โหล 750</t>
  </si>
  <si>
    <t>23-2-66</t>
  </si>
  <si>
    <t>ลด33.83</t>
  </si>
  <si>
    <t>แผนก....ครัว - กะปิ.....................................</t>
  </si>
  <si>
    <t>ประเภทเครื่องกระป๋อง</t>
  </si>
  <si>
    <t xml:space="preserve"> บ.ล๊อกเล่</t>
  </si>
  <si>
    <t>ซีเล็กแซนวิชน้ำเกลือ</t>
  </si>
  <si>
    <t>15-8-55</t>
  </si>
  <si>
    <t>ซีเล็กแซนวิชน้ำมัน</t>
  </si>
  <si>
    <t>11-5-55</t>
  </si>
  <si>
    <t>ทูน่าสเต็กในน้ำมัน</t>
  </si>
  <si>
    <t>ลัง 1850</t>
  </si>
  <si>
    <t>ลด50/หีบ</t>
  </si>
  <si>
    <t>ลัง1765.5</t>
  </si>
  <si>
    <t>ทูน่าก้อนในน้ำเกลือ</t>
  </si>
  <si>
    <t>บังเซลเก่า</t>
  </si>
  <si>
    <t>พัชรา  รุ่งแสง  กสิกร057-1-38952-5</t>
  </si>
  <si>
    <t>แพค 57.00</t>
  </si>
  <si>
    <t>ปลากระป๋องนกพิราบ</t>
  </si>
  <si>
    <t>แตงดอง</t>
  </si>
  <si>
    <t>บ. ซี.พี. คอนซูเมอร์โพรดักส์ จก</t>
  </si>
  <si>
    <t>ปลาทูน่า ทีซีบีชนิดก้อนในน้ำเกลือ</t>
  </si>
  <si>
    <t>1*4กป*12</t>
  </si>
  <si>
    <t>1750</t>
  </si>
  <si>
    <t>ลัง1685.25</t>
  </si>
  <si>
    <t xml:space="preserve"> บ.ผลิตภัณฑ์อาหารกว้างไพศาล         (02-8633288)</t>
  </si>
  <si>
    <t>แผนก....ครัว - ปลากระป๋อง.....................................</t>
  </si>
  <si>
    <t xml:space="preserve"> บ.ไทย เอ ดี จก.</t>
  </si>
  <si>
    <t>เงาะ</t>
  </si>
  <si>
    <t>50แถม1</t>
  </si>
  <si>
    <t>ลัง 1020</t>
  </si>
  <si>
    <t>28-6-67</t>
  </si>
  <si>
    <t>ลำใยแห้ง</t>
  </si>
  <si>
    <t>1x20</t>
  </si>
  <si>
    <t>1-3-55</t>
  </si>
  <si>
    <t>ปลากรอบ</t>
  </si>
  <si>
    <t>10โหล80</t>
  </si>
  <si>
    <t>6.9โหล69</t>
  </si>
  <si>
    <t>ปลากระป๋อง</t>
  </si>
  <si>
    <t>1x100</t>
  </si>
  <si>
    <t>10พ100</t>
  </si>
  <si>
    <t>บ๊วยดอง</t>
  </si>
  <si>
    <t>ลิ้นจี่ตราจิงโจ้</t>
  </si>
  <si>
    <t>กป. 50</t>
  </si>
  <si>
    <t>ลัง 1200</t>
  </si>
  <si>
    <t>6-4-69</t>
  </si>
  <si>
    <t>กป. 48</t>
  </si>
  <si>
    <t>ลัง 985</t>
  </si>
  <si>
    <t>กป. 41.04</t>
  </si>
  <si>
    <t>กป. 290</t>
  </si>
  <si>
    <t>ลัง 6000</t>
  </si>
  <si>
    <t xml:space="preserve"> ลัง 6030</t>
  </si>
  <si>
    <t>กป. 110</t>
  </si>
  <si>
    <t>ค่ารถ 25</t>
  </si>
  <si>
    <t>ลัง 1125</t>
  </si>
  <si>
    <t>กป  93.75</t>
  </si>
  <si>
    <t>แผนก.......ครัว..................................</t>
  </si>
  <si>
    <t>เต้าหู้ปู้กี้  (ล)</t>
  </si>
  <si>
    <t>1*12*4กล่อง</t>
  </si>
  <si>
    <t>โหล670</t>
  </si>
  <si>
    <t>รถ 30 ลัง2510</t>
  </si>
  <si>
    <t>โหล 627.50</t>
  </si>
  <si>
    <t>เต้าหู้ปู้กี้  (ญ)</t>
  </si>
  <si>
    <t>โหล1220</t>
  </si>
  <si>
    <t>ลัง 2240</t>
  </si>
  <si>
    <t>รถ 30 ลัง2270</t>
  </si>
  <si>
    <t>โหล  1135</t>
  </si>
  <si>
    <t>ฉ่ายซิม 3A</t>
  </si>
  <si>
    <t>โหล 585</t>
  </si>
  <si>
    <t>โหล 540</t>
  </si>
  <si>
    <t>ก้งฉ่ายเล่งหงษ์</t>
  </si>
  <si>
    <t>โหล 620</t>
  </si>
  <si>
    <t>21-10-68</t>
  </si>
  <si>
    <t>โหล 570</t>
  </si>
  <si>
    <t>กาหนาฉ่ายฝาเขียว</t>
  </si>
  <si>
    <t>13-10-58</t>
  </si>
  <si>
    <t xml:space="preserve"> โหล320</t>
  </si>
  <si>
    <t>ตั้งฉ่ายลูกท้อ(ซองเล็ก)</t>
  </si>
  <si>
    <t>ซอง 15</t>
  </si>
  <si>
    <t>กล่อง 260</t>
  </si>
  <si>
    <t>กล่อง 230</t>
  </si>
  <si>
    <t>กล่อง 240</t>
  </si>
  <si>
    <t>ซอง 12</t>
  </si>
  <si>
    <t>ตั้งฉ่ายลูกท้อ(ซองใหญ่)</t>
  </si>
  <si>
    <t>ซอง 24</t>
  </si>
  <si>
    <t>โอวน่ำตราม้า(ญ)</t>
  </si>
  <si>
    <t>ลัง 1820</t>
  </si>
  <si>
    <t>ลัง 1675</t>
  </si>
  <si>
    <t>กป.69.80</t>
  </si>
  <si>
    <t>โอวน่ำตราม้า(เล็ก)</t>
  </si>
  <si>
    <t>ฉ่ายโป้วสุรินทร์</t>
  </si>
  <si>
    <t>กก. 110</t>
  </si>
  <si>
    <t>มัด 1000</t>
  </si>
  <si>
    <t>กก. 95</t>
  </si>
  <si>
    <t>มัด965</t>
  </si>
  <si>
    <t>กก. 96.50</t>
  </si>
  <si>
    <t>ฉ่ายโป้วฝอยหวานสุรินทร์</t>
  </si>
  <si>
    <t>ถุง 10กก</t>
  </si>
  <si>
    <t>1*2ถุง</t>
  </si>
  <si>
    <t>ถุง  960</t>
  </si>
  <si>
    <t>ถุง 850</t>
  </si>
  <si>
    <t>ถุง 870</t>
  </si>
  <si>
    <t>กก 87</t>
  </si>
  <si>
    <t>ฉ่ายโป้วสับหวาน</t>
  </si>
  <si>
    <t>ถุง 5กก</t>
  </si>
  <si>
    <t>1*4ถุง</t>
  </si>
  <si>
    <t>กก. 60</t>
  </si>
  <si>
    <t>ถุง 260</t>
  </si>
  <si>
    <t>ถุง 240</t>
  </si>
  <si>
    <t>ถุง 250</t>
  </si>
  <si>
    <t>กก  50</t>
  </si>
  <si>
    <t>ฮวยซัว</t>
  </si>
  <si>
    <t>6ขีด</t>
  </si>
  <si>
    <t>ขีด  20</t>
  </si>
  <si>
    <t>ห่อ 60</t>
  </si>
  <si>
    <t>ซอง50</t>
  </si>
  <si>
    <t>ห่อ  50</t>
  </si>
  <si>
    <t>ขีด 8.33</t>
  </si>
  <si>
    <t>เก๋ากี้ 2/1</t>
  </si>
  <si>
    <t>3กก.</t>
  </si>
  <si>
    <t>ขีด  40</t>
  </si>
  <si>
    <t>กก. 360</t>
  </si>
  <si>
    <t>ถุง 960</t>
  </si>
  <si>
    <t>กก. 320</t>
  </si>
  <si>
    <t>ขีด 32</t>
  </si>
  <si>
    <t>ผงพะโล้เป็ด</t>
  </si>
  <si>
    <t>กล่อง  120</t>
  </si>
  <si>
    <t>13-1-69</t>
  </si>
  <si>
    <t>กล่อง1020</t>
  </si>
  <si>
    <t>ลัง  1030</t>
  </si>
  <si>
    <t>กล่อง 103</t>
  </si>
  <si>
    <t>อบเชย ท่อน 8ซม.</t>
  </si>
  <si>
    <t>1*10กก</t>
  </si>
  <si>
    <t>ขีด 35</t>
  </si>
  <si>
    <t>กก. 280</t>
  </si>
  <si>
    <t>ลัง 2200</t>
  </si>
  <si>
    <t>รถ 30 ลัง 2230</t>
  </si>
  <si>
    <t>กก. 223</t>
  </si>
  <si>
    <t>ขีด 22.30</t>
  </si>
  <si>
    <t>โป๊ยกั๊ก</t>
  </si>
  <si>
    <t>1*5กก</t>
  </si>
  <si>
    <t>ขีด 50</t>
  </si>
  <si>
    <t>กก. 440</t>
  </si>
  <si>
    <t>ลัง 1750</t>
  </si>
  <si>
    <t>รถ 30 ลัง1780</t>
  </si>
  <si>
    <t>กก.  356</t>
  </si>
  <si>
    <t>ขีด 35.60</t>
  </si>
  <si>
    <t>พริกหอม</t>
  </si>
  <si>
    <t>ขีด 40</t>
  </si>
  <si>
    <t>กก.320</t>
  </si>
  <si>
    <t>13-11-68</t>
  </si>
  <si>
    <t>ขีด 28</t>
  </si>
  <si>
    <t>ลูกกระวาน</t>
  </si>
  <si>
    <t>ขีด 45-50</t>
  </si>
  <si>
    <t>กก.360</t>
  </si>
  <si>
    <t>ขีด 36</t>
  </si>
  <si>
    <t>เม็ดผักชี</t>
  </si>
  <si>
    <t>2-6-55</t>
  </si>
  <si>
    <t>ยี่หร่า</t>
  </si>
  <si>
    <t>ขีด 30</t>
  </si>
  <si>
    <t>กก. 240</t>
  </si>
  <si>
    <t>กก. 200</t>
  </si>
  <si>
    <t>ขีด 20</t>
  </si>
  <si>
    <t>ใบกระวาน</t>
  </si>
  <si>
    <t>ผงอบเชย</t>
  </si>
  <si>
    <t>ถุง  250</t>
  </si>
  <si>
    <t>ถุง 220</t>
  </si>
  <si>
    <t>ผงขมิ้น</t>
  </si>
  <si>
    <t>ถุง 180</t>
  </si>
  <si>
    <t>ถุง  115</t>
  </si>
  <si>
    <t>พริกไทยป่นมือ</t>
  </si>
  <si>
    <t>มัด6,240</t>
  </si>
  <si>
    <t>รถ20 มัด6260</t>
  </si>
  <si>
    <t>กก.522</t>
  </si>
  <si>
    <t>ห่อ  261</t>
  </si>
  <si>
    <t>กล่อง 1260</t>
  </si>
  <si>
    <t>กล่อง 1160</t>
  </si>
  <si>
    <t>กล่อง 1170</t>
  </si>
  <si>
    <t>ซอง58.50</t>
  </si>
  <si>
    <t>พริกไทยป่นมือขวดแก้ว</t>
  </si>
  <si>
    <t>ขวด 65</t>
  </si>
  <si>
    <t>กล่อง2680</t>
  </si>
  <si>
    <t>รถ 30 กล่อง 2710</t>
  </si>
  <si>
    <t>โหล 677.50</t>
  </si>
  <si>
    <t>ขวด  56.46</t>
  </si>
  <si>
    <t>พริกไทยขาว</t>
  </si>
  <si>
    <t>30กก</t>
  </si>
  <si>
    <t>ขีด  30</t>
  </si>
  <si>
    <t>กส.6000</t>
  </si>
  <si>
    <t>กส.6040</t>
  </si>
  <si>
    <t>กก. 201.33</t>
  </si>
  <si>
    <t>พริกไทยดำ</t>
  </si>
  <si>
    <t>4-2-55</t>
  </si>
  <si>
    <t>วาซาบิ</t>
  </si>
  <si>
    <t>ซอง 300ก.</t>
  </si>
  <si>
    <t>ซอง 260</t>
  </si>
  <si>
    <t>โหล 3050</t>
  </si>
  <si>
    <t>ลัง 2800</t>
  </si>
  <si>
    <t>กล่อง2830</t>
  </si>
  <si>
    <t>ซอง 235.83</t>
  </si>
  <si>
    <t>แผนก......ครัว.- น้ำมัน..................................</t>
  </si>
  <si>
    <t>ผงกะหรี่วอส์          50ก.</t>
  </si>
  <si>
    <t>โหล 460</t>
  </si>
  <si>
    <t>ลัง 1660</t>
  </si>
  <si>
    <t>กล่อง1690</t>
  </si>
  <si>
    <t>ขวด 35.21</t>
  </si>
  <si>
    <t>ผงกะหรี่วอส์         100ก.</t>
  </si>
  <si>
    <t>โหล 760</t>
  </si>
  <si>
    <t>ลัง    2070</t>
  </si>
  <si>
    <t>กล่อง 2100</t>
  </si>
  <si>
    <t>กระเทียมดอง</t>
  </si>
  <si>
    <t>บ.พีเมียร์ มาณ์เก็ตติ้ง จก. (มหาชน)</t>
  </si>
  <si>
    <t>น้ำกระเทียมดอง</t>
  </si>
  <si>
    <t>950ซซ</t>
  </si>
  <si>
    <t>โหล 160</t>
  </si>
  <si>
    <t>9-3-65</t>
  </si>
  <si>
    <t>กระเทียมดองแม่จินต์1ปอนด์</t>
  </si>
  <si>
    <t>340ก</t>
  </si>
  <si>
    <t>19-12-60</t>
  </si>
  <si>
    <t>กระเทียมดองแม่จินต์2ปอนด์</t>
  </si>
  <si>
    <t>870ก.</t>
  </si>
  <si>
    <t>กระเทียมโทนแม่จินต์</t>
  </si>
  <si>
    <t>ลด25</t>
  </si>
  <si>
    <t>กระเทียมดองรถม้า</t>
  </si>
  <si>
    <t>340ก.</t>
  </si>
  <si>
    <t>23-2-65</t>
  </si>
  <si>
    <t>ลด90เดิม33.44(40.-)</t>
  </si>
  <si>
    <t>โหล260</t>
  </si>
  <si>
    <t>โหล420</t>
  </si>
  <si>
    <t xml:space="preserve"> กระเทียมดองจัมโบ้</t>
  </si>
  <si>
    <t>เซล ตู่</t>
  </si>
  <si>
    <t>061-4635335</t>
  </si>
  <si>
    <t>น้ำกระเทียมดอง(แก้ว)</t>
  </si>
  <si>
    <t>23-11-67</t>
  </si>
  <si>
    <t>โหล330</t>
  </si>
  <si>
    <t>กระเทียมดอง(ขวด)</t>
  </si>
  <si>
    <t>1x12x4</t>
  </si>
  <si>
    <t>ซ5/ล40</t>
  </si>
  <si>
    <t>ลัง140</t>
  </si>
  <si>
    <t>ถุง126.82</t>
  </si>
  <si>
    <t>น้ำมะนาวดอง</t>
  </si>
  <si>
    <t>1*6โหล</t>
  </si>
  <si>
    <t>โหล360</t>
  </si>
  <si>
    <t>ศรีบุญเรือง เทรดดิ้ง</t>
  </si>
  <si>
    <t>042-353838,081-6706748</t>
  </si>
  <si>
    <t>น้ำกระเทียมดองตราเพชร</t>
  </si>
  <si>
    <t>ถุง31.50</t>
  </si>
  <si>
    <t>น้ำส้มขวดแก้ว 5%</t>
  </si>
  <si>
    <t>21-11-55</t>
  </si>
  <si>
    <t>ขิงดองม้าบิน</t>
  </si>
  <si>
    <t>4ปอนด์</t>
  </si>
  <si>
    <t>6-10-58</t>
  </si>
  <si>
    <t>ลด 10%</t>
  </si>
  <si>
    <t xml:space="preserve"> บ.ซอสพริกไทยรุ่งเรือง</t>
  </si>
  <si>
    <t>มะนาวดองม้าบิน</t>
  </si>
  <si>
    <t>1x6</t>
  </si>
  <si>
    <t>12-10-54</t>
  </si>
  <si>
    <t>ขิงดองม้าบินซอง</t>
  </si>
  <si>
    <t>แผนก..   ครัว.- น้ำมัน........</t>
  </si>
  <si>
    <t>เซียงไถ่     ไพโรจน์ (บ๊วยดองมังกร)</t>
  </si>
  <si>
    <t>ตุ๋นยาจีนใหญ่</t>
  </si>
  <si>
    <t>ซอง 20</t>
  </si>
  <si>
    <t>พวง170</t>
  </si>
  <si>
    <t>7-12-67</t>
  </si>
  <si>
    <t>150ซอง</t>
  </si>
  <si>
    <t>พวง  130</t>
  </si>
  <si>
    <t>พะโล้ห่อผ้า</t>
  </si>
  <si>
    <t>ซอง12</t>
  </si>
  <si>
    <t>พวง100</t>
  </si>
  <si>
    <t>22-11-66</t>
  </si>
  <si>
    <t>พวง  80</t>
  </si>
  <si>
    <t>ต้มเนื้อห่อผ้า</t>
  </si>
  <si>
    <t>24-10-66</t>
  </si>
  <si>
    <t>พริกไทยแผง</t>
  </si>
  <si>
    <t>10*10</t>
  </si>
  <si>
    <t>ซอง10</t>
  </si>
  <si>
    <t>แผง90</t>
  </si>
  <si>
    <t>50แผง</t>
  </si>
  <si>
    <t>แผง 70</t>
  </si>
  <si>
    <t>23-2-61</t>
  </si>
  <si>
    <t>แผง 65</t>
  </si>
  <si>
    <t xml:space="preserve">บ๊วยเล็ก A5 </t>
  </si>
  <si>
    <t>ลัง690</t>
  </si>
  <si>
    <t>บ๊วยกลาง A4 กลม</t>
  </si>
  <si>
    <t>บ๊วยใหญ่A3</t>
  </si>
  <si>
    <t>ขิงดอง 1 ปอนด์</t>
  </si>
  <si>
    <t>ขิงดอง 4 ปอนด์</t>
  </si>
  <si>
    <t>กระเทียมดองมังกร</t>
  </si>
  <si>
    <t>ลัง  660</t>
  </si>
  <si>
    <t>กป 28.75</t>
  </si>
  <si>
    <t>กระเทียมดอง 1ปอนด์</t>
  </si>
  <si>
    <t>กระเทียมดองมังกร4ปอนด์</t>
  </si>
  <si>
    <t>กป.</t>
  </si>
  <si>
    <t>กระเทียมดองถ้วย</t>
  </si>
  <si>
    <t>8ออนน์</t>
  </si>
  <si>
    <t>ถ้วย10</t>
  </si>
  <si>
    <t>โหล 80</t>
  </si>
  <si>
    <t>ลัง 260</t>
  </si>
  <si>
    <t>ลัง 290</t>
  </si>
  <si>
    <t>โหล72.50กป (6.04)</t>
  </si>
  <si>
    <t>มะนาวดองถ้วย</t>
  </si>
  <si>
    <t>ลัง560</t>
  </si>
  <si>
    <t>830ซซ.</t>
  </si>
  <si>
    <t>26-12-68</t>
  </si>
  <si>
    <t>โหล 70</t>
  </si>
  <si>
    <t>โหล 100</t>
  </si>
  <si>
    <t>ขวด 8.33</t>
  </si>
  <si>
    <t>บ.แมสมาร์เก็ตติ้ง จก.</t>
  </si>
  <si>
    <t>ผงกะหรี่กุ๊กไก่ 12ก.</t>
  </si>
  <si>
    <t>แพค 92.37</t>
  </si>
  <si>
    <t>พริกไทยป่นกุ๊กไก่ 65ก.</t>
  </si>
  <si>
    <t>แพค103.79</t>
  </si>
  <si>
    <t>บ.เบนลี่</t>
  </si>
  <si>
    <t>4-4-56</t>
  </si>
  <si>
    <t>โหล 305</t>
  </si>
  <si>
    <t>พริกไทยกระป๋องตราปลาทอง</t>
  </si>
  <si>
    <t>กป.15</t>
  </si>
  <si>
    <t>โหล96.30</t>
  </si>
  <si>
    <t>กป.8.02</t>
  </si>
  <si>
    <t>แผนก..   ครัว - ซอส..........</t>
  </si>
  <si>
    <t>เชื้อดองมะม่วงตรานกแก้ว</t>
  </si>
  <si>
    <t>ร้านเสาวรีย์ จ.พิษณุโลก 081-962063. 055391052</t>
  </si>
  <si>
    <t>5-4-61</t>
  </si>
  <si>
    <t>สมจิตร   ผิวอ่อนดี    081-9620630</t>
  </si>
  <si>
    <t>เชื้อดองมะม่วงตราถ้วยบิน</t>
  </si>
  <si>
    <t>ร้านรุ่งอรุณ จ.นครสวรรค์ 056-282276</t>
  </si>
  <si>
    <t>16-2-56</t>
  </si>
  <si>
    <t>30แถม1ลัง</t>
  </si>
  <si>
    <t>เอ็ม.ซี. โปรดักส์</t>
  </si>
  <si>
    <t>เชื้อดองมะม่วงตราลูกท้อ</t>
  </si>
  <si>
    <t>14-3-58</t>
  </si>
  <si>
    <t>25แถม1ลัง</t>
  </si>
  <si>
    <t>ร้านพรโชคชัย</t>
  </si>
  <si>
    <t>02-8913697,02-8913800</t>
  </si>
  <si>
    <t>ยาจีนแผง</t>
  </si>
  <si>
    <t>9-5-54</t>
  </si>
  <si>
    <t>40 แถม 2 แผง</t>
  </si>
  <si>
    <t>น้ำตกแผง</t>
  </si>
  <si>
    <t>70 แถม 2 แผง</t>
  </si>
  <si>
    <t>ไม้พะโล้</t>
  </si>
  <si>
    <t>9-6-54</t>
  </si>
  <si>
    <t>หญ้าหอมแผง</t>
  </si>
  <si>
    <t>11-2-54</t>
  </si>
  <si>
    <t>10 แถม 1 แผง</t>
  </si>
  <si>
    <t>ไม้ใผ่หลิวแผง   (5 บาท)</t>
  </si>
  <si>
    <t>ซอง 5</t>
  </si>
  <si>
    <t>แผง 40</t>
  </si>
  <si>
    <t>ตุ๋น                    (20 บาท)</t>
  </si>
  <si>
    <t>แผนก..   ครัว  -  ซอส..........</t>
  </si>
  <si>
    <t>แผนก..   ครัว. - ซอสพริก.........</t>
  </si>
  <si>
    <t>แผนก..   ครัว. - ซอสพริก  น้ำจิ้ม.......</t>
  </si>
  <si>
    <t>แผนก.........ครัว - น้ำปลา..........</t>
  </si>
  <si>
    <t>แผนก....ครัว.-  น้ำมันหอย.........</t>
  </si>
  <si>
    <t>แผนก..........ครัว -  น้ำพริกเผา..........</t>
  </si>
  <si>
    <t>แผนก..........ครัว -  น้ำส้มสายชู......</t>
  </si>
  <si>
    <t>แผนก.......เครื่องเทศ.....</t>
  </si>
  <si>
    <t>ประเภทซอสปรุงรส</t>
  </si>
  <si>
    <t>ซอสภูเขาผาน้ำตาล</t>
  </si>
  <si>
    <t>7-1-56</t>
  </si>
  <si>
    <t>20ลังลด  15</t>
  </si>
  <si>
    <t>ซอสภูเขาฝาเขียว</t>
  </si>
  <si>
    <t>3-4-66</t>
  </si>
  <si>
    <t>โหล 420</t>
  </si>
  <si>
    <t>ซีอิ๋วเค็ม(บุ่งกุ่ย)ตราดาว</t>
  </si>
  <si>
    <t>โหล340</t>
  </si>
  <si>
    <t>ซีอิ้วดำหวานเด็ก สูตร 5</t>
  </si>
  <si>
    <t>940มล.</t>
  </si>
  <si>
    <t>ลด 50</t>
  </si>
  <si>
    <t>ซีอิ้วขาวเด็กสูตร 2</t>
  </si>
  <si>
    <t>12-9-61</t>
  </si>
  <si>
    <t>ลดลัง5-</t>
  </si>
  <si>
    <t>1-4-63</t>
  </si>
  <si>
    <t>4-4-54</t>
  </si>
  <si>
    <t>5-8-54</t>
  </si>
  <si>
    <t>เต้าเจี้ยวเด็กสูตร1</t>
  </si>
  <si>
    <t>9-1-55</t>
  </si>
  <si>
    <t>800มล.</t>
  </si>
  <si>
    <t>19-2-61</t>
  </si>
  <si>
    <t>เต้าเจี้ยวเด็กสูตร2</t>
  </si>
  <si>
    <t>โหล230</t>
  </si>
  <si>
    <t>ซอสพริกภูเขา</t>
  </si>
  <si>
    <t>680ซซ</t>
  </si>
  <si>
    <t>โหล325</t>
  </si>
  <si>
    <t>22-12-58</t>
  </si>
  <si>
    <t>ซอสพริกโรซ่า</t>
  </si>
  <si>
    <t>14-2-55</t>
  </si>
  <si>
    <t>ซอสหอยแม่ครัว</t>
  </si>
  <si>
    <t>150ซซ</t>
  </si>
  <si>
    <t>ลัง 520</t>
  </si>
  <si>
    <t>21-6-64</t>
  </si>
  <si>
    <t>ลัง 420</t>
  </si>
  <si>
    <t>ซซ</t>
  </si>
  <si>
    <t>น้ำปลาทิพรสพิเศษ</t>
  </si>
  <si>
    <t>7-6-55</t>
  </si>
  <si>
    <t>ลด 6.61</t>
  </si>
  <si>
    <t xml:space="preserve">หจก. โรงซีอิ้ววิจิตร์รุ่งเรือง   </t>
  </si>
  <si>
    <t>อ.พระประแดง จ.สุมทรปราการ</t>
  </si>
  <si>
    <t>02-4626634</t>
  </si>
  <si>
    <t>ซีอิ้วขาวตรานกกระเรียนทอง</t>
  </si>
  <si>
    <t>ขวด  34</t>
  </si>
  <si>
    <t>เต้าเจี้ยวนกกระเรียนสูตร1</t>
  </si>
  <si>
    <t>ขวด29</t>
  </si>
  <si>
    <t>บ. ไฮคิวผลิตภัณฑ์อาหาร           02-7500505</t>
  </si>
  <si>
    <t>ซอสมะเขือเทศโรซ่า</t>
  </si>
  <si>
    <t>ลัง 395</t>
  </si>
  <si>
    <t>50 หีบแถม2</t>
  </si>
  <si>
    <t>10ก.</t>
  </si>
  <si>
    <t>1*100*6ห่อ</t>
  </si>
  <si>
    <t>513..60</t>
  </si>
  <si>
    <t>แพค85.60</t>
  </si>
  <si>
    <t>ซอสพริกโรซ่า ซอง</t>
  </si>
  <si>
    <t>1ก.</t>
  </si>
  <si>
    <t>(330)50 หีบ แถม6</t>
  </si>
  <si>
    <t>ซอสพริกศรีราชาไฮคิว</t>
  </si>
  <si>
    <t>670มล.</t>
  </si>
  <si>
    <t>9-6-60</t>
  </si>
  <si>
    <t>ซอสพริก</t>
  </si>
  <si>
    <t>ผักกาดดองโรซ่า</t>
  </si>
  <si>
    <t>4*12แพค</t>
  </si>
  <si>
    <t>แพค45</t>
  </si>
  <si>
    <t>ลัง495</t>
  </si>
  <si>
    <t>ทูน่าในน้ำมันพืช (1ลัง)</t>
  </si>
  <si>
    <t>185ก</t>
  </si>
  <si>
    <t>5หีบลด50/หีบ(3%)</t>
  </si>
  <si>
    <t>ทูน่าในน้ำเกลือ   (4ลัง)</t>
  </si>
  <si>
    <t>บัง</t>
  </si>
  <si>
    <t>ปลากปโรซ่าสูง</t>
  </si>
  <si>
    <t>10กป*10แพค</t>
  </si>
  <si>
    <t>20แพค195</t>
  </si>
  <si>
    <t>ลัง 1840</t>
  </si>
  <si>
    <t>ปลากปโรซ่าแบน</t>
  </si>
  <si>
    <t>1*48กป</t>
  </si>
  <si>
    <t>กป26</t>
  </si>
  <si>
    <t>ลัง1140</t>
  </si>
  <si>
    <t>ลัง965</t>
  </si>
  <si>
    <t>ปลามงกุฏสูง</t>
  </si>
  <si>
    <t>14แพค135</t>
  </si>
  <si>
    <t xml:space="preserve">ลัง 1250 </t>
  </si>
  <si>
    <t>บ.ผลิตภัณฑอาหารกว้างไพศาส</t>
  </si>
  <si>
    <t>ปลากปปุ้มปุ้ยขัมข้น</t>
  </si>
  <si>
    <t>แพค 155</t>
  </si>
  <si>
    <t>15-3-67</t>
  </si>
  <si>
    <t>ลัง 1441</t>
  </si>
  <si>
    <t>กป 14.41</t>
  </si>
  <si>
    <t>15-7-67</t>
  </si>
  <si>
    <t>ปลากปปุ้มปุ้ยราดพริก</t>
  </si>
  <si>
    <t>แพค245</t>
  </si>
  <si>
    <t>เดิม1992.34</t>
  </si>
  <si>
    <t>ลัง 2306</t>
  </si>
  <si>
    <t>กป 23.06</t>
  </si>
  <si>
    <t>ปลากปปุ้มปุ้ยหอยลาย</t>
  </si>
  <si>
    <t>40ก</t>
  </si>
  <si>
    <t>กป 28</t>
  </si>
  <si>
    <t>เดิม 2149</t>
  </si>
  <si>
    <t>ลัง 2542</t>
  </si>
  <si>
    <t xml:space="preserve">กป25.42 </t>
  </si>
  <si>
    <t>เดิม 1520</t>
  </si>
  <si>
    <t>ลัง 1824</t>
  </si>
  <si>
    <t>กป 38</t>
  </si>
  <si>
    <t>บ.ปรุงรสไทย จำกัด</t>
  </si>
  <si>
    <t>ซอสหอยนางรมแพนกวินแดง</t>
  </si>
  <si>
    <t>4500ก</t>
  </si>
  <si>
    <t>1*4 แกลอน</t>
  </si>
  <si>
    <t>ลัง 230</t>
  </si>
  <si>
    <t>24-11-66</t>
  </si>
  <si>
    <t>ลัง   210</t>
  </si>
  <si>
    <t>แกลลอน 52.50</t>
  </si>
  <si>
    <t>ซอสมะขามปรุงไทย</t>
  </si>
  <si>
    <t>700ก.</t>
  </si>
  <si>
    <t>ลัง 220</t>
  </si>
  <si>
    <t>27-11-66</t>
  </si>
  <si>
    <t>ลัง 200</t>
  </si>
  <si>
    <t>ขวด 16.67</t>
  </si>
  <si>
    <t>หอมเจียว</t>
  </si>
  <si>
    <t>พริกป่น</t>
  </si>
  <si>
    <t>บ.กะทิชาวเกาะ</t>
  </si>
  <si>
    <t>ปลาร้าไมค์</t>
  </si>
  <si>
    <t>โหล380</t>
  </si>
  <si>
    <t>6-9-65</t>
  </si>
  <si>
    <t>โหล 355</t>
  </si>
  <si>
    <t>บ๊วยกอ (ญ)</t>
  </si>
  <si>
    <t>จิ๊กโฉ่วกวาง  (ญ)</t>
  </si>
  <si>
    <t>โหล 180</t>
  </si>
  <si>
    <t>17-12-58</t>
  </si>
  <si>
    <t xml:space="preserve"> โหล 150</t>
  </si>
  <si>
    <t>คิดโคแมน</t>
  </si>
  <si>
    <t>7-1-55</t>
  </si>
  <si>
    <t>บ.สหพัฒน์</t>
  </si>
  <si>
    <t>29-9-64</t>
  </si>
  <si>
    <t>บ.อายิโนะโมธโต๊ะเซลส์(ปท)จก</t>
  </si>
  <si>
    <t>ซอสทาคูมิอายิ-โชยุญี่ปุ่น</t>
  </si>
  <si>
    <t>14-5-56</t>
  </si>
  <si>
    <t>ซอสทาคูมิอายิ-ซอสผัด</t>
  </si>
  <si>
    <t>ซอสทาคูมิอายิ-ซอสเทริยากิ</t>
  </si>
  <si>
    <t>บ. เนสท์เล่</t>
  </si>
  <si>
    <t>ซอสแม็กกี้ปรุงอาหาร</t>
  </si>
  <si>
    <t>20-12.54</t>
  </si>
  <si>
    <t>ซอสแม็กกี้เหยาะ</t>
  </si>
  <si>
    <t>100มล.</t>
  </si>
  <si>
    <t>28-4-58</t>
  </si>
  <si>
    <t>โหล294</t>
  </si>
  <si>
    <t>หจก. ทั่งซังฮะ</t>
  </si>
  <si>
    <t>โหล55</t>
  </si>
  <si>
    <t>น้ำปลาตรารักชาติ</t>
  </si>
  <si>
    <t>น้ำปลาทิพรสโขง</t>
  </si>
  <si>
    <t>บ. พรีเมียร์มาร์เกตติ้ง</t>
  </si>
  <si>
    <t>-8%</t>
  </si>
  <si>
    <t>น้ำปลาหอยนางรม(ทอง)</t>
  </si>
  <si>
    <t>โหล445</t>
  </si>
  <si>
    <t>10-7-61</t>
  </si>
  <si>
    <t>ลด31.88</t>
  </si>
  <si>
    <t>โหล420.64</t>
  </si>
  <si>
    <t>น้ำปลาหอยนางรม(แดง)</t>
  </si>
  <si>
    <t>ลด30.96</t>
  </si>
  <si>
    <t>โหล334.95</t>
  </si>
  <si>
    <t>น้ำปลาตราไส้ตัน</t>
  </si>
  <si>
    <t>20-5-54</t>
  </si>
  <si>
    <t>น้ำปลาแมงดานา</t>
  </si>
  <si>
    <t>80มล.</t>
  </si>
  <si>
    <t>แป้งโกกิ</t>
  </si>
  <si>
    <t>ลด43  ลัง888.1</t>
  </si>
  <si>
    <t>โหล148</t>
  </si>
  <si>
    <t>บ. ซอสพริกไทยรุ่งเรือง  (TRR)    034-854795-9</t>
  </si>
  <si>
    <t>น้ำจิ้มบ๊วยม้าบิน</t>
  </si>
  <si>
    <t>300cc.</t>
  </si>
  <si>
    <t>780ก.</t>
  </si>
  <si>
    <t>ลด5%  เดิม 30.30</t>
  </si>
  <si>
    <t>370ก.</t>
  </si>
  <si>
    <t>ลด 7%</t>
  </si>
  <si>
    <t>720ก.</t>
  </si>
  <si>
    <t>10-12-55</t>
  </si>
  <si>
    <t>ลด5%(ด.4/55@ 30.48</t>
  </si>
  <si>
    <t>ซอสมะเขือเทศม้าบิน</t>
  </si>
  <si>
    <t>ลด10% ด2/55โหล270</t>
  </si>
  <si>
    <t>น้ำจิ้มไก่แม่ประนอม</t>
  </si>
  <si>
    <t>น้ำพริก</t>
  </si>
  <si>
    <t>260ก.</t>
  </si>
  <si>
    <t>980ก.</t>
  </si>
  <si>
    <t>โหล680</t>
  </si>
  <si>
    <t>2-11-60</t>
  </si>
  <si>
    <t>น้ำจิ้มทะเลแม่ประนอม</t>
  </si>
  <si>
    <t xml:space="preserve">                                                                                                                                                                                                 </t>
  </si>
  <si>
    <t>กระเทียมเจียวหนองนาแซง</t>
  </si>
  <si>
    <t>กระเทียมเจียว</t>
  </si>
  <si>
    <t>1-4-66</t>
  </si>
  <si>
    <t>กก.55</t>
  </si>
  <si>
    <t>ห่อ 27.50</t>
  </si>
  <si>
    <t xml:space="preserve">   บ. พรีเมียร์มาร์เกตติ้ง</t>
  </si>
  <si>
    <t>น้ำส้มสาชูกลั่นตราเกษร</t>
  </si>
  <si>
    <t>ลด 25.95</t>
  </si>
  <si>
    <t>500 มล.</t>
  </si>
  <si>
    <t>ปรุงรสไทย</t>
  </si>
  <si>
    <t>ธนัทภัทร089-5067654</t>
  </si>
  <si>
    <t>น้ำปลาผสมก้ามปูแดง</t>
  </si>
  <si>
    <t>โหล 150</t>
  </si>
  <si>
    <t>ไม่มีค่ารถ</t>
  </si>
  <si>
    <t>น้ำปลาผสมไส้ตันทอง</t>
  </si>
  <si>
    <t>น้ำส้มสายชูดาวเรือง</t>
  </si>
  <si>
    <t>โหล 140</t>
  </si>
  <si>
    <t>ลัง 120</t>
  </si>
  <si>
    <t>น้ำส้มสายชูโบว์ทองแกลลอน</t>
  </si>
  <si>
    <t>4500ก.</t>
  </si>
  <si>
    <t>1*4แกลลอน</t>
  </si>
  <si>
    <t>4-3-67</t>
  </si>
  <si>
    <t>ลัง 180</t>
  </si>
  <si>
    <t>น้ำมะขามปรุงรสไทย</t>
  </si>
  <si>
    <t>4-6-67</t>
  </si>
  <si>
    <t>ลัง220</t>
  </si>
  <si>
    <t>น้ำกระเทียมดองหงษ์มังกร</t>
  </si>
  <si>
    <t>950ก.</t>
  </si>
  <si>
    <t>โหล140</t>
  </si>
  <si>
    <t>ซอสหอยแพนกวินแดง เล็ก</t>
  </si>
  <si>
    <t>ลัง240</t>
  </si>
  <si>
    <t>20-5-67</t>
  </si>
  <si>
    <t>ลัง210</t>
  </si>
  <si>
    <t>ซอสหอยแพนกวินแดงใหญ่</t>
  </si>
  <si>
    <t>ซอสเห็ดหอมหงษ์มังกร</t>
  </si>
  <si>
    <t>กป950ก.</t>
  </si>
  <si>
    <t>ลัง250</t>
  </si>
  <si>
    <t>3-5-66</t>
  </si>
  <si>
    <t>ลัง 1540</t>
  </si>
  <si>
    <t>น้ำมะนาวเทพพนม</t>
  </si>
  <si>
    <t>โหล 210</t>
  </si>
  <si>
    <t>21-4-66</t>
  </si>
  <si>
    <t>น้ำส้มสายชูกลั่นคิวพี</t>
  </si>
  <si>
    <t>7-10-54</t>
  </si>
  <si>
    <t>น้ำส้มสายชูกลั่นคิวพี 700+</t>
  </si>
  <si>
    <t>265.มล</t>
  </si>
  <si>
    <t>โรงงานน้ำปลาไทยศรีบุญเรือง</t>
  </si>
  <si>
    <t>087857080</t>
  </si>
  <si>
    <t>น้ำส้ม 5%ตราแม่ศรีเรือน</t>
  </si>
  <si>
    <t>25-3-56</t>
  </si>
  <si>
    <t>50โหลแถม3โหล</t>
  </si>
  <si>
    <t>แผนก......ของกิน..(จังกิมง้วน).....</t>
  </si>
  <si>
    <t>กุ้งแห้ง  (กุ้งซุ้ย)</t>
  </si>
  <si>
    <t>1กส.</t>
  </si>
  <si>
    <t>30  กก</t>
  </si>
  <si>
    <t>ขีด  90</t>
  </si>
  <si>
    <t>กก  840</t>
  </si>
  <si>
    <t>กส.22500</t>
  </si>
  <si>
    <t>รถ30(ด11/กก720)</t>
  </si>
  <si>
    <t>กส.22530</t>
  </si>
  <si>
    <t>กก.  751</t>
  </si>
  <si>
    <t>ปลาหมึก</t>
  </si>
  <si>
    <t>7 นิ้ว</t>
  </si>
  <si>
    <t>15กก.</t>
  </si>
  <si>
    <t>ขีด 250</t>
  </si>
  <si>
    <t>กก. 2200</t>
  </si>
  <si>
    <t>12-1-69</t>
  </si>
  <si>
    <t>กก.2050</t>
  </si>
  <si>
    <t>ลัง 30,780</t>
  </si>
  <si>
    <t>กก. 2052</t>
  </si>
  <si>
    <t>ไข่เยี่ยวม้า</t>
  </si>
  <si>
    <t>1*50ฟอง</t>
  </si>
  <si>
    <t>1*6กล่อง</t>
  </si>
  <si>
    <t>ฟอง   10</t>
  </si>
  <si>
    <t>กล่อง 400</t>
  </si>
  <si>
    <t>5-5-69</t>
  </si>
  <si>
    <t>ลัง2150</t>
  </si>
  <si>
    <t>ค่ารถ50ลัง 2200</t>
  </si>
  <si>
    <t>กล่อง367</t>
  </si>
  <si>
    <t>ฟอง7.34</t>
  </si>
  <si>
    <t>ไข่เยี่ยวม้า ทีซี</t>
  </si>
  <si>
    <t>1*10ฟอง</t>
  </si>
  <si>
    <t>1*20แพค</t>
  </si>
  <si>
    <t>แพค 80</t>
  </si>
  <si>
    <t>ลัง 1350</t>
  </si>
  <si>
    <t>ค่ารถ 40ปกติ70.50</t>
  </si>
  <si>
    <t>ลัง 1390</t>
  </si>
  <si>
    <t>แพค 70.50</t>
  </si>
  <si>
    <t>ฟองเต้าหู้ชาบูไทย</t>
  </si>
  <si>
    <t>1*28ห่อ</t>
  </si>
  <si>
    <t>9-1-69</t>
  </si>
  <si>
    <t>ฟองแท่งจีน</t>
  </si>
  <si>
    <t>1*25ห่อ</t>
  </si>
  <si>
    <t>ห่อ   65</t>
  </si>
  <si>
    <t>กล่อง1250</t>
  </si>
  <si>
    <t>กล่อง1280</t>
  </si>
  <si>
    <t>ห่อ  51.20</t>
  </si>
  <si>
    <t>เห็ดหอม M ภูเขาAA5</t>
  </si>
  <si>
    <t>11กก.</t>
  </si>
  <si>
    <t>500ก. 25</t>
  </si>
  <si>
    <t>10-2-69</t>
  </si>
  <si>
    <t>ลัง3080</t>
  </si>
  <si>
    <t>ลัง 3120</t>
  </si>
  <si>
    <t>กก. 283.64</t>
  </si>
  <si>
    <t>เห็ดหอมลายAAA5</t>
  </si>
  <si>
    <t>13กก.</t>
  </si>
  <si>
    <t>ขีด    55</t>
  </si>
  <si>
    <t>กก   420</t>
  </si>
  <si>
    <t>ลัง 5460</t>
  </si>
  <si>
    <t>ลัง 5500</t>
  </si>
  <si>
    <t>กก. 423.08</t>
  </si>
  <si>
    <t>เห็ดหูหนูดำนอก</t>
  </si>
  <si>
    <t>1*10 กก.</t>
  </si>
  <si>
    <t>กก. 450</t>
  </si>
  <si>
    <t>ลัง 3800</t>
  </si>
  <si>
    <t>ลัง 3835</t>
  </si>
  <si>
    <t>กก 383.50</t>
  </si>
  <si>
    <t>เห็ดหูหนูขาว</t>
  </si>
  <si>
    <t>1*4กก</t>
  </si>
  <si>
    <t>ขีด 30กก270</t>
  </si>
  <si>
    <t>25-10-68</t>
  </si>
  <si>
    <t>ลัง 930</t>
  </si>
  <si>
    <t>กก 232.50</t>
  </si>
  <si>
    <r>
      <t xml:space="preserve">เห็ดหูหนูขาวตราผึ้ง </t>
    </r>
    <r>
      <rPr>
        <b/>
        <sz val="18"/>
        <rFont val="Angsana New"/>
        <family val="1"/>
      </rPr>
      <t>(500ก)</t>
    </r>
  </si>
  <si>
    <t>กก 290-300</t>
  </si>
  <si>
    <t>17-1-69</t>
  </si>
  <si>
    <t>ลัง 1030</t>
  </si>
  <si>
    <t>กก 257.50</t>
  </si>
  <si>
    <t>สาหร่ายแพคคู่ตราปลา</t>
  </si>
  <si>
    <t>8ชั่ง*9แถว</t>
  </si>
  <si>
    <t>1แถว* แผ่น</t>
  </si>
  <si>
    <t>แพค 34</t>
  </si>
  <si>
    <t>ลัง4680</t>
  </si>
  <si>
    <t>ค่ารถ40 ลัง4720</t>
  </si>
  <si>
    <t>แถว 525</t>
  </si>
  <si>
    <t>สาหร่ายสี่เหลี่ยม</t>
  </si>
  <si>
    <t>ลัง 42แพค</t>
  </si>
  <si>
    <t>แพค 380</t>
  </si>
  <si>
    <t>ลัง14700</t>
  </si>
  <si>
    <t>ลัง 14730</t>
  </si>
  <si>
    <t>แพค 351</t>
  </si>
  <si>
    <t>จำฉ่ายไม่ล้าง</t>
  </si>
  <si>
    <t>กก.340</t>
  </si>
  <si>
    <t>ลัง 2830</t>
  </si>
  <si>
    <t>กก. 283</t>
  </si>
  <si>
    <t>เยื่อไผ่    100ก.</t>
  </si>
  <si>
    <t>120ห่อ</t>
  </si>
  <si>
    <t>1ลัง*12กก</t>
  </si>
  <si>
    <t>ห่อ 220</t>
  </si>
  <si>
    <t>ลัง24000</t>
  </si>
  <si>
    <t>ลัง24040</t>
  </si>
  <si>
    <t>ห่อ  200</t>
  </si>
  <si>
    <t>ดอกอัญชัญ</t>
  </si>
  <si>
    <t>1x15กก.</t>
  </si>
  <si>
    <t>กก. 460</t>
  </si>
  <si>
    <t>ลัง 5250</t>
  </si>
  <si>
    <t>ลัง 5290</t>
  </si>
  <si>
    <t>กก. 352.67</t>
  </si>
  <si>
    <t>เม็ดบัวเวียดนาม</t>
  </si>
  <si>
    <t>1*10กก.</t>
  </si>
  <si>
    <t>กก 260</t>
  </si>
  <si>
    <t>14-12-61</t>
  </si>
  <si>
    <t>ลัง2200</t>
  </si>
  <si>
    <t>ลัง2235</t>
  </si>
  <si>
    <t>จูจ้อไร้เม็ด</t>
  </si>
  <si>
    <t>500ก.   40</t>
  </si>
  <si>
    <t>ลัง    580</t>
  </si>
  <si>
    <t>กก    58</t>
  </si>
  <si>
    <t>แปะก๊วยแช่</t>
  </si>
  <si>
    <t>20  กก.</t>
  </si>
  <si>
    <t>500ก. 65</t>
  </si>
  <si>
    <t>5กก /600</t>
  </si>
  <si>
    <t>19-1-69</t>
  </si>
  <si>
    <t>ลัง 1830</t>
  </si>
  <si>
    <t>กก. 91.50</t>
  </si>
  <si>
    <t>หล่อฮังกวย</t>
  </si>
  <si>
    <t>3.6-56</t>
  </si>
  <si>
    <t>กล่อง 140</t>
  </si>
  <si>
    <t>1*20ลูก</t>
  </si>
  <si>
    <t>กล่อง200</t>
  </si>
  <si>
    <t>กล่อง  200</t>
  </si>
  <si>
    <t>ลูก   10</t>
  </si>
  <si>
    <t>เก๊กฮวย ตราเสือ</t>
  </si>
  <si>
    <t>ขีด   65</t>
  </si>
  <si>
    <t>ห่อ270</t>
  </si>
  <si>
    <t>ลัง 4800</t>
  </si>
  <si>
    <t>ลัง   4840</t>
  </si>
  <si>
    <t>ห่อ  242</t>
  </si>
  <si>
    <t>เม็ดเก๊กฮวย</t>
  </si>
  <si>
    <t>กก  380</t>
  </si>
  <si>
    <t>กก.   320</t>
  </si>
  <si>
    <t>กระเจี๊ยบ</t>
  </si>
  <si>
    <t>กส.3300</t>
  </si>
  <si>
    <t>กส.3330</t>
  </si>
  <si>
    <t>กก.222</t>
  </si>
  <si>
    <t xml:space="preserve">1กส. </t>
  </si>
  <si>
    <t>10กก.</t>
  </si>
  <si>
    <t>5-8-67</t>
  </si>
  <si>
    <t>กส. 1400</t>
  </si>
  <si>
    <t>กส. 1430</t>
  </si>
  <si>
    <t>กก. 140</t>
  </si>
  <si>
    <t>ลำใยแห้งตราถ้วยทอง</t>
  </si>
  <si>
    <t>กก  240</t>
  </si>
  <si>
    <t>ปี้บ3800</t>
  </si>
  <si>
    <t>ปี้บ 3835</t>
  </si>
  <si>
    <t>กก 191.75</t>
  </si>
  <si>
    <t>ลำใยสีทอง</t>
  </si>
  <si>
    <t>1*8กก.</t>
  </si>
  <si>
    <t>250ก.120</t>
  </si>
  <si>
    <t>กก  460</t>
  </si>
  <si>
    <t>ลัง 3040</t>
  </si>
  <si>
    <t>ปี้บ 3075</t>
  </si>
  <si>
    <t>กก 384.38</t>
  </si>
  <si>
    <t>ลำใยแห้งมีเปลือก</t>
  </si>
  <si>
    <t>ก้านเฉาก๊วย</t>
  </si>
  <si>
    <t>1*50 กก.</t>
  </si>
  <si>
    <t>ใบเฉาก๊วย</t>
  </si>
  <si>
    <t>ห่อ140</t>
  </si>
  <si>
    <t>กส.5500</t>
  </si>
  <si>
    <t>ค่ารถ40</t>
  </si>
  <si>
    <t>กส5540</t>
  </si>
  <si>
    <t>มัสตาร์ดเขียว</t>
  </si>
  <si>
    <t>14-7-55</t>
  </si>
  <si>
    <t>มัสตาร์ดหัววัว</t>
  </si>
  <si>
    <t>8-5-55</t>
  </si>
  <si>
    <t>ห่อ 115</t>
  </si>
  <si>
    <t>แป้งหมี่กึง</t>
  </si>
  <si>
    <t>20กก.</t>
  </si>
  <si>
    <t>500ก.  60</t>
  </si>
  <si>
    <t>กส. 2180</t>
  </si>
  <si>
    <t>3-4-69</t>
  </si>
  <si>
    <t>กส.1950</t>
  </si>
  <si>
    <t>กส.1985</t>
  </si>
  <si>
    <t>กก.99.25</t>
  </si>
  <si>
    <t>แปะก้วยแช่</t>
  </si>
  <si>
    <t>500ก.  65</t>
  </si>
  <si>
    <t>5กก. 600</t>
  </si>
  <si>
    <t>กก.  92</t>
  </si>
  <si>
    <t>ฟักเชื่อม(กวยเต็ง)</t>
  </si>
  <si>
    <t>1x30กก.</t>
  </si>
  <si>
    <t>กก. 90</t>
  </si>
  <si>
    <t>ลัง 2280</t>
  </si>
  <si>
    <t>กก. 76</t>
  </si>
  <si>
    <t>หน่อไม้  NO 1</t>
  </si>
  <si>
    <t>แพค1กก</t>
  </si>
  <si>
    <t>กส. 25กก.</t>
  </si>
  <si>
    <t>กส.9500</t>
  </si>
  <si>
    <t>กส.9540</t>
  </si>
  <si>
    <t>กก 381.60</t>
  </si>
  <si>
    <t>ใบไผ่</t>
  </si>
  <si>
    <t>ลูก 32กก</t>
  </si>
  <si>
    <t>กก.160</t>
  </si>
  <si>
    <t>12-6-64</t>
  </si>
  <si>
    <t>ลูก 4160</t>
  </si>
  <si>
    <t>ลูก 4200</t>
  </si>
  <si>
    <t>กก 131.25</t>
  </si>
  <si>
    <t>กก.200</t>
  </si>
  <si>
    <t>กก.180</t>
  </si>
  <si>
    <t>ลัง 1430</t>
  </si>
  <si>
    <t>กก 185</t>
  </si>
  <si>
    <t>ด่างเหลือง</t>
  </si>
  <si>
    <t>1กส./30กก.</t>
  </si>
  <si>
    <t>กส. 1900</t>
  </si>
  <si>
    <t>กส.1650</t>
  </si>
  <si>
    <t>กส.1680</t>
  </si>
  <si>
    <t>กก.56</t>
  </si>
  <si>
    <t>ไมโครฟอยล์ยาว</t>
  </si>
  <si>
    <t>น้ำตาลกรวด</t>
  </si>
  <si>
    <t>ผงวุ้นห้าดาว</t>
  </si>
  <si>
    <t>1*300</t>
  </si>
  <si>
    <t>ปี้บ7040</t>
  </si>
  <si>
    <t>7-2-61</t>
  </si>
  <si>
    <t>ปี้บ6900</t>
  </si>
  <si>
    <t>ปี้บ6920</t>
  </si>
  <si>
    <t>ผงวุ้นโบว์</t>
  </si>
  <si>
    <t>ปี้บ7900</t>
  </si>
  <si>
    <t>7-3-61</t>
  </si>
  <si>
    <t>ปี๊บ7800</t>
  </si>
  <si>
    <t>ปี๊บ7820</t>
  </si>
  <si>
    <t>หมี่เตี่ยวเมืองจีน</t>
  </si>
  <si>
    <t>1*40ห่อ</t>
  </si>
  <si>
    <t>ลัง 1520</t>
  </si>
  <si>
    <t>9-10-66</t>
  </si>
  <si>
    <t>ลัง 1320</t>
  </si>
  <si>
    <t>ห่อ 33.75</t>
  </si>
  <si>
    <t>หมี่เตี่ยว บ้านนกเหลือง</t>
  </si>
  <si>
    <t>1*6มัด</t>
  </si>
  <si>
    <t>มัด500</t>
  </si>
  <si>
    <t>26-6-64</t>
  </si>
  <si>
    <t>กส 2580</t>
  </si>
  <si>
    <t>ค่ารถ50ลูก2610</t>
  </si>
  <si>
    <t>มัด 435</t>
  </si>
  <si>
    <t>ห่อ 21.75</t>
  </si>
  <si>
    <t>โปรตีนเกษตร</t>
  </si>
  <si>
    <t>เม็ดใหญ่</t>
  </si>
  <si>
    <t>ลัง  1400</t>
  </si>
  <si>
    <t>ปกติ  1350@67.50</t>
  </si>
  <si>
    <t>ลัง    1320</t>
  </si>
  <si>
    <t>ห่อ  66</t>
  </si>
  <si>
    <t>เม็ดเล็ก</t>
  </si>
  <si>
    <t>โปรตีนเกษตรหมูสับ</t>
  </si>
  <si>
    <t>10กก</t>
  </si>
  <si>
    <t>ถุง  2 ขีด 40</t>
  </si>
  <si>
    <t>ปกติ กก. 130</t>
  </si>
  <si>
    <t>กก  100</t>
  </si>
  <si>
    <t>โปรตีนเกษตรเม็ดเต๋า</t>
  </si>
  <si>
    <t>โปรตีนเกษตรหมูเหรียญ</t>
  </si>
  <si>
    <t>โปรตีนเกษตรหมูแผ่น</t>
  </si>
  <si>
    <t>5กก.</t>
  </si>
  <si>
    <t>ถุง1.5ขีด 40</t>
  </si>
  <si>
    <t>ปกติ  กก 180</t>
  </si>
  <si>
    <t>ห่อ  700</t>
  </si>
  <si>
    <t>กก  140</t>
  </si>
  <si>
    <t>แป้งหมี่กึ่ง</t>
  </si>
  <si>
    <t>กก.100</t>
  </si>
  <si>
    <t>7/55กส.1950</t>
  </si>
  <si>
    <t>ก๋วยเตี๋ยวเซี่ยงไฮตัด</t>
  </si>
  <si>
    <t>ลัง 1080</t>
  </si>
  <si>
    <t>ลัง 980</t>
  </si>
  <si>
    <t>ลัง 1010</t>
  </si>
  <si>
    <t>ห่อ 40.40</t>
  </si>
  <si>
    <t>ขวด 76.67</t>
  </si>
  <si>
    <t>ลัง 1720</t>
  </si>
  <si>
    <t>กป 272</t>
  </si>
  <si>
    <t>โหล1100</t>
  </si>
  <si>
    <t>โหล 1050</t>
  </si>
  <si>
    <t>กป 87.50</t>
  </si>
  <si>
    <t>โหล 600</t>
  </si>
  <si>
    <t>กป 46.25</t>
  </si>
  <si>
    <t>โหล1980</t>
  </si>
  <si>
    <t>9-7-67</t>
  </si>
  <si>
    <t>โหล1840</t>
  </si>
  <si>
    <t>ข้าวเกรียบมโนห์ราปลา</t>
  </si>
  <si>
    <t>ถุง 95</t>
  </si>
  <si>
    <t>ลัง 1760</t>
  </si>
  <si>
    <t>24-1-69</t>
  </si>
  <si>
    <t>ลัง 1580</t>
  </si>
  <si>
    <t>ลัง 1610</t>
  </si>
  <si>
    <t>ถุง  80.50</t>
  </si>
  <si>
    <t>ข้าวเกรียบมโนห์รากุ้ง</t>
  </si>
  <si>
    <t>ข้าวเกรียบมโนห์รากุ้งไลท์</t>
  </si>
  <si>
    <t>ถุง 80</t>
  </si>
  <si>
    <t>ลัง 1500</t>
  </si>
  <si>
    <t>ลัง 1340</t>
  </si>
  <si>
    <t>ถุง  68.50</t>
  </si>
  <si>
    <t>ข้าวเกรียบมโนห์ราฟักทอง</t>
  </si>
  <si>
    <t>ถุง  69</t>
  </si>
  <si>
    <t>ข้าวเกรียบมโนห์ราเผือก</t>
  </si>
  <si>
    <t>กระเพาะปลาเจ</t>
  </si>
  <si>
    <t>ถุง1ขีด30</t>
  </si>
  <si>
    <t>ลูก1000</t>
  </si>
  <si>
    <t>กก200</t>
  </si>
  <si>
    <t>ขีด20</t>
  </si>
  <si>
    <t>กระเพาะปลาเต็งลังแห้ง A</t>
  </si>
  <si>
    <t>28-5-55</t>
  </si>
  <si>
    <t>กระเพาะปลาเต็งลังเล็ก</t>
  </si>
  <si>
    <t>1*6กก.</t>
  </si>
  <si>
    <t>กก.   780</t>
  </si>
  <si>
    <t>1-10-58</t>
  </si>
  <si>
    <t>กส. 3900</t>
  </si>
  <si>
    <t>กก.   650</t>
  </si>
  <si>
    <t>กระเพาะปลามั่วเบาอินเดีย</t>
  </si>
  <si>
    <t>กระเพาะปลามั่วทอง</t>
  </si>
  <si>
    <t>1*5กก.</t>
  </si>
  <si>
    <t>กก.   500</t>
  </si>
  <si>
    <t>ห่อ 2100</t>
  </si>
  <si>
    <t>กก.   420</t>
  </si>
  <si>
    <t>กระเพาะปลาตงเต็ง</t>
  </si>
  <si>
    <t>หนังหมูทอด</t>
  </si>
  <si>
    <t>ด.1/55 @ 250</t>
  </si>
  <si>
    <t>ผงปรุงรส</t>
  </si>
  <si>
    <t>ซอง 46</t>
  </si>
  <si>
    <t>ลัง1160</t>
  </si>
  <si>
    <t>ค่ารถ30       1850</t>
  </si>
  <si>
    <t>แพค145</t>
  </si>
  <si>
    <t>ซ.   7.25</t>
  </si>
  <si>
    <t>ห่อ485ลัง1900</t>
  </si>
  <si>
    <t>แพค462.5</t>
  </si>
  <si>
    <t>ซอง 92.50</t>
  </si>
  <si>
    <t>ห่อ500ลัง1970</t>
  </si>
  <si>
    <t>หีบ1870</t>
  </si>
  <si>
    <t>ค่ารถ30     1900</t>
  </si>
  <si>
    <t>แพค 475</t>
  </si>
  <si>
    <t>ซอง 47.50</t>
  </si>
  <si>
    <t>ห่อ540 ลัง2140</t>
  </si>
  <si>
    <t>หีบ 2010</t>
  </si>
  <si>
    <t>ค่ารถ30     2040</t>
  </si>
  <si>
    <t>แพค 510</t>
  </si>
  <si>
    <t>ซอง 25.50</t>
  </si>
  <si>
    <t>ห่อ185ลัง1820</t>
  </si>
  <si>
    <t>38 ก.</t>
  </si>
  <si>
    <t>30x14พ</t>
  </si>
  <si>
    <t>หีบ 1775</t>
  </si>
  <si>
    <t>ค่ารถ30     1805</t>
  </si>
  <si>
    <t>แพค 126.78</t>
  </si>
  <si>
    <t>ซ.   4.22</t>
  </si>
  <si>
    <t>ห่อ504ลัง985</t>
  </si>
  <si>
    <t>ซxห่อ</t>
  </si>
  <si>
    <t>22-6-64</t>
  </si>
  <si>
    <t>ซอง 23.25</t>
  </si>
  <si>
    <t>ห่อ245ลัง1920</t>
  </si>
  <si>
    <t>หีบ1830</t>
  </si>
  <si>
    <t>ค่ารถ 30  ลัง1860</t>
  </si>
  <si>
    <t>แพค 232.50</t>
  </si>
  <si>
    <t>75 ก.</t>
  </si>
  <si>
    <t>ห่อ120ลัง1850</t>
  </si>
  <si>
    <t>ผงฟ้าไทยทำน้ำก๋วยเตี๋ยว</t>
  </si>
  <si>
    <t>5ซอง*2</t>
  </si>
  <si>
    <t>เครื่องเทศ</t>
  </si>
  <si>
    <t>15-11-62</t>
  </si>
  <si>
    <t>ห่อ  45</t>
  </si>
  <si>
    <t>เก๋ากี้</t>
  </si>
  <si>
    <t>ขีด  35</t>
  </si>
  <si>
    <t>กก. 300</t>
  </si>
  <si>
    <t>ถุง  785</t>
  </si>
  <si>
    <t>กก  262</t>
  </si>
  <si>
    <t>ลัง  820</t>
  </si>
  <si>
    <t>กล่อง 82</t>
  </si>
  <si>
    <t>อบเชย</t>
  </si>
  <si>
    <t>ลัง 2400</t>
  </si>
  <si>
    <t>รถ 30 ลัง 2430</t>
  </si>
  <si>
    <t>กก. 243</t>
  </si>
  <si>
    <t>ขีด 24.30</t>
  </si>
  <si>
    <t>1*20กก</t>
  </si>
  <si>
    <t>ขีด 60</t>
  </si>
  <si>
    <t>กก. 550</t>
  </si>
  <si>
    <t>ลัง 9000</t>
  </si>
  <si>
    <t>รถ 30 ลัง 9030</t>
  </si>
  <si>
    <t>กก.  451.50</t>
  </si>
  <si>
    <t>ขีด 45.15</t>
  </si>
  <si>
    <t>24-3-55</t>
  </si>
  <si>
    <t>ขีด</t>
  </si>
  <si>
    <t>กก.380</t>
  </si>
  <si>
    <t>ขีด 38</t>
  </si>
  <si>
    <t>กก. 150</t>
  </si>
  <si>
    <t>ขีด 15</t>
  </si>
  <si>
    <t>ถุง 150</t>
  </si>
  <si>
    <t>ห่อ5040</t>
  </si>
  <si>
    <t>กก.420</t>
  </si>
  <si>
    <t>ห่อ210</t>
  </si>
  <si>
    <t>กล่อง 840</t>
  </si>
  <si>
    <t>กล่อง 720</t>
  </si>
  <si>
    <t>กล่อง 735</t>
  </si>
  <si>
    <t>ซอง  36.75</t>
  </si>
  <si>
    <t>10-6-56</t>
  </si>
  <si>
    <t>กล่อง 2000</t>
  </si>
  <si>
    <t>โหล500</t>
  </si>
  <si>
    <t>ขวด  41.66</t>
  </si>
  <si>
    <t>แผนก.......ของกิน(กระเพาะปลา).....</t>
  </si>
  <si>
    <t>ผงกะหรี่วอส์          10ก.</t>
  </si>
  <si>
    <t>กล่อง270</t>
  </si>
  <si>
    <t>10-10-58</t>
  </si>
  <si>
    <t>กล่อง 2600</t>
  </si>
  <si>
    <t>ซอง 10.83</t>
  </si>
  <si>
    <t>+30</t>
  </si>
  <si>
    <t>กล่อง1550</t>
  </si>
  <si>
    <t>โหล 720</t>
  </si>
  <si>
    <t>ขมิ้น</t>
  </si>
  <si>
    <t>กก. 185</t>
  </si>
  <si>
    <t>เครื่องกป</t>
  </si>
  <si>
    <t>1*26</t>
  </si>
  <si>
    <t>27-3-55</t>
  </si>
  <si>
    <t>ด.1 @71.15</t>
  </si>
  <si>
    <t>โหล  990</t>
  </si>
  <si>
    <t>ก้งฉ่ายเล่งหงษ์(ปี้บ)</t>
  </si>
  <si>
    <t>ปี้บ 550</t>
  </si>
  <si>
    <t>ตั้งฉ่ายลูกท้อเล็ก</t>
  </si>
  <si>
    <t>กล่อง235</t>
  </si>
  <si>
    <t>ซอง 11.75</t>
  </si>
  <si>
    <t>กก.90</t>
  </si>
  <si>
    <t>5 กก.</t>
  </si>
  <si>
    <t>ถุง220</t>
  </si>
  <si>
    <t>กก 44</t>
  </si>
  <si>
    <t>กก. 50</t>
  </si>
  <si>
    <t>ถุง 170</t>
  </si>
  <si>
    <t>กก    36</t>
  </si>
  <si>
    <t>แผนก......ของกิน.(เครื่องเทศ).....</t>
  </si>
  <si>
    <t>ร้านเซียงไถ่</t>
  </si>
  <si>
    <t>พริกไทยเม็ด</t>
  </si>
  <si>
    <t>ดอกจันทร์</t>
  </si>
  <si>
    <t>เก๊กฮวย</t>
  </si>
  <si>
    <t>บ๊วยเล็ก</t>
  </si>
  <si>
    <t>บ๊วยกลาง</t>
  </si>
  <si>
    <t>บ๊วยใหญ่</t>
  </si>
  <si>
    <t>บ๊วยน้ำ</t>
  </si>
  <si>
    <t>ชวงเจีย</t>
  </si>
  <si>
    <t>หอฮั้งก๊วย</t>
  </si>
  <si>
    <t>สาหร่าย</t>
  </si>
  <si>
    <t>500 ก</t>
  </si>
  <si>
    <t>เห็ดขาว</t>
  </si>
  <si>
    <t>เห็ดหูหนูนอก</t>
  </si>
  <si>
    <t>เห็ดหอมกลาง</t>
  </si>
  <si>
    <t>ฟองเต้าหู้เส้น</t>
  </si>
  <si>
    <t>เม็ดจูจี้</t>
  </si>
  <si>
    <t>พะโล้เม็ด</t>
  </si>
  <si>
    <t xml:space="preserve">กระเททียมดอง </t>
  </si>
  <si>
    <t>2 ปอนด์</t>
  </si>
  <si>
    <t>4 ปอนด์</t>
  </si>
  <si>
    <t xml:space="preserve">   บ.เเอ็น บี โภคภัณฑ์</t>
  </si>
  <si>
    <t>084-6102330- พิเชษฐ</t>
  </si>
  <si>
    <t xml:space="preserve">กระเพาะปลามั่วทองเบา A </t>
  </si>
  <si>
    <t>กก.400</t>
  </si>
  <si>
    <t>ลูก1500</t>
  </si>
  <si>
    <t>กก.300</t>
  </si>
  <si>
    <t>กระเพาะปลาลิ้นมังกร</t>
  </si>
  <si>
    <t>กระเพาะปลาเต็งลั้ง A</t>
  </si>
  <si>
    <t>6 กก.</t>
  </si>
  <si>
    <t>กก.750</t>
  </si>
  <si>
    <t>ลูก3840</t>
  </si>
  <si>
    <t>กก.640</t>
  </si>
  <si>
    <t>กระเพาะปลาเศษยำ B</t>
  </si>
  <si>
    <t>กระเพาะปลาเหรียญ A</t>
  </si>
  <si>
    <t>ผ่ากลาง A</t>
  </si>
  <si>
    <t>21-3-55</t>
  </si>
  <si>
    <t>อีเซ็งเบา A</t>
  </si>
  <si>
    <t>2-8-54</t>
  </si>
  <si>
    <t>มั่วเบา B</t>
  </si>
  <si>
    <t>9-6-55</t>
  </si>
  <si>
    <t>ด .1/55 @ 340</t>
  </si>
  <si>
    <t>มั่วเข้ม B</t>
  </si>
  <si>
    <t>สหพัฒนกิจ</t>
  </si>
  <si>
    <t>นภาพร</t>
  </si>
  <si>
    <t>ลำใยแห้งตรานกญูง</t>
  </si>
  <si>
    <t>2-10-61</t>
  </si>
  <si>
    <t>กล่อง3200</t>
  </si>
  <si>
    <t>2ลังแถม4ห่อ</t>
  </si>
  <si>
    <t>กล่อง2909</t>
  </si>
  <si>
    <t>2909กก. 145.45</t>
  </si>
  <si>
    <t>เห็ดหูหนูดำจีน</t>
  </si>
  <si>
    <t>6-7-58</t>
  </si>
  <si>
    <t>กล่อง1850</t>
  </si>
  <si>
    <t>กก 370</t>
  </si>
  <si>
    <t>พรุทราจีน</t>
  </si>
  <si>
    <t>กล่อง  490+25</t>
  </si>
  <si>
    <t>ลัง 515</t>
  </si>
  <si>
    <t>กก. 51.50</t>
  </si>
  <si>
    <t>เม็ดมะม่วง บี</t>
  </si>
  <si>
    <t>ถุง3400+25</t>
  </si>
  <si>
    <t>ถุง 3425</t>
  </si>
  <si>
    <t>กก.    343</t>
  </si>
  <si>
    <t>วุ้น  เอสพีเค 25ก.</t>
  </si>
  <si>
    <t>กล่อง  1000</t>
  </si>
  <si>
    <t>โหล 250</t>
  </si>
  <si>
    <t>แผนก...วุ้นเส้น-บะหมี่.......</t>
  </si>
  <si>
    <t>บ. สิทธินันท์</t>
  </si>
  <si>
    <t>วุ้นเส้นม้วนต้นสน</t>
  </si>
  <si>
    <t>40 ก.</t>
  </si>
  <si>
    <t>1*10*25ห่อ</t>
  </si>
  <si>
    <t>ซอง8แพค70</t>
  </si>
  <si>
    <t>ลัง 1730</t>
  </si>
  <si>
    <t>17-4-69</t>
  </si>
  <si>
    <t>รถ40 หีบ1647.88</t>
  </si>
  <si>
    <t>แพค 65.92</t>
  </si>
  <si>
    <t>ห่อ 6.59</t>
  </si>
  <si>
    <t>1*5ซอง*25ห่อ</t>
  </si>
  <si>
    <t>ซอง13 แพค60</t>
  </si>
  <si>
    <t>ลัง 1490</t>
  </si>
  <si>
    <t>9-2-69</t>
  </si>
  <si>
    <t>รถ40  หีบ1417</t>
  </si>
  <si>
    <t>แพค56.67</t>
  </si>
  <si>
    <t>ห่อ11.33</t>
  </si>
  <si>
    <t>1*50ห่อ</t>
  </si>
  <si>
    <t>11-2-55</t>
  </si>
  <si>
    <t>ซอง 72</t>
  </si>
  <si>
    <t>ลัง 1375</t>
  </si>
  <si>
    <t>12-5-69</t>
  </si>
  <si>
    <t>1266.20รถ40</t>
  </si>
  <si>
    <t>ลัง1306.2</t>
  </si>
  <si>
    <t>ซอง 65.31</t>
  </si>
  <si>
    <t>วุ้นเส้นต้นไผ่ตัด</t>
  </si>
  <si>
    <t>ซอง12 แพค50</t>
  </si>
  <si>
    <t>หีบ1140</t>
  </si>
  <si>
    <t>แพค45.60</t>
  </si>
  <si>
    <t>ซอง9.12</t>
  </si>
  <si>
    <t>หีบ1100</t>
  </si>
  <si>
    <t>ห่อ 22</t>
  </si>
  <si>
    <t>ซอง65</t>
  </si>
  <si>
    <t xml:space="preserve">1145.62รถ40 </t>
  </si>
  <si>
    <t>ลัง1185.62</t>
  </si>
  <si>
    <t>ห่อ 59.28</t>
  </si>
  <si>
    <t>วุ้นเส้นไผ่ม้วน</t>
  </si>
  <si>
    <t>1*250ห่อ</t>
  </si>
  <si>
    <t>14-1-55</t>
  </si>
  <si>
    <t>7-12-58</t>
  </si>
  <si>
    <t>หีบ1065.42</t>
  </si>
  <si>
    <t>พ42.6@8.52</t>
  </si>
  <si>
    <t>แป้งถั่วเขียวต้นสน</t>
  </si>
  <si>
    <t>1236.05รถ 25</t>
  </si>
  <si>
    <t>ลัง 1261</t>
  </si>
  <si>
    <t>บ. อาร์แอนด์ บี ฟู้ด ซัพพลาย</t>
  </si>
  <si>
    <t>เส้นสปาเก็ตตี้อังเคอร์</t>
  </si>
  <si>
    <t>25-10-67</t>
  </si>
  <si>
    <t>ลัง 715</t>
  </si>
  <si>
    <t>บ. จีส์ ฟู๊ดส์</t>
  </si>
  <si>
    <t>แผ่นปอเปี๊ยะเหลี่ยม22ซม.</t>
  </si>
  <si>
    <t>ลัง 850</t>
  </si>
  <si>
    <t>แผ่นปอเปี๊ยะกลม22ซม.</t>
  </si>
  <si>
    <t>23-10-60</t>
  </si>
  <si>
    <t>ลัง 749</t>
  </si>
  <si>
    <t>1*10ห่อ</t>
  </si>
  <si>
    <t>รถ10(30+1)ลัง630</t>
  </si>
  <si>
    <t>แผ่นปอเปี๊ยะ(ผืนผ้า)</t>
  </si>
  <si>
    <t>30-4-69</t>
  </si>
  <si>
    <t>รถ 10(30ลัง+1)</t>
  </si>
  <si>
    <t>ลัง 711.76</t>
  </si>
  <si>
    <t>เส้นก๋วยจั๊บอบแห้ง</t>
  </si>
  <si>
    <t>ห่อ 45</t>
  </si>
  <si>
    <t>ลัง 410</t>
  </si>
  <si>
    <t>7-3-69</t>
  </si>
  <si>
    <t>ลัง 355</t>
  </si>
  <si>
    <t>ซอง 37.50</t>
  </si>
  <si>
    <t>หมี่ซั่วฮ่องกง</t>
  </si>
  <si>
    <t>ห่อ 120</t>
  </si>
  <si>
    <t xml:space="preserve">ลัง 1050 </t>
  </si>
  <si>
    <t>2-7-65</t>
  </si>
  <si>
    <t>ลัง 975</t>
  </si>
  <si>
    <t>ห่อ 35</t>
  </si>
  <si>
    <t>ลัง 320</t>
  </si>
  <si>
    <t>14-6-62</t>
  </si>
  <si>
    <t>สปาเก็ตตี้ La Fonte</t>
  </si>
  <si>
    <t>ห่อ 47</t>
  </si>
  <si>
    <t>ลัง430</t>
  </si>
  <si>
    <t>1กก.*5ห่อ</t>
  </si>
  <si>
    <t>ห่อ 70</t>
  </si>
  <si>
    <t>27-8-64</t>
  </si>
  <si>
    <t>ลัง 280</t>
  </si>
  <si>
    <t>มักกะโรนี ข้องอใหญ่</t>
  </si>
  <si>
    <t>มักกะโรนี ข้องอเล็ก</t>
  </si>
  <si>
    <t>เกล็ดขนมปังฮอทโต</t>
  </si>
  <si>
    <t>24-3-66</t>
  </si>
  <si>
    <t>ลัง 570</t>
  </si>
  <si>
    <t>เกล็ดขนมปัง</t>
  </si>
  <si>
    <t xml:space="preserve"> ลัง 240</t>
  </si>
  <si>
    <t>ค่ารถ15</t>
  </si>
  <si>
    <t>ลัง 219</t>
  </si>
  <si>
    <t>โหล 330</t>
  </si>
  <si>
    <t>ลัง 616.32</t>
  </si>
  <si>
    <t xml:space="preserve">  บ. วินเนอร์กรุ๊ป เอ็นเตอร์ไพร์จก.</t>
  </si>
  <si>
    <t>สปาเก็ตตี้ ตราเบอร์รัค</t>
  </si>
  <si>
    <t>9-11-58</t>
  </si>
  <si>
    <t>มักกะโรนีตราเบอร์รัค</t>
  </si>
  <si>
    <t>บ.อาร์ แอนด์ บี ฟู้ดซัพพลาย จก.</t>
  </si>
  <si>
    <t>เส้นสปาเก็ตตี้อังเคิลบาร์</t>
  </si>
  <si>
    <t>ลัง 650</t>
  </si>
  <si>
    <t>15-1-69</t>
  </si>
  <si>
    <t>บะหมี่มาม่าหมูสับ</t>
  </si>
  <si>
    <t>1*6*30ซอง</t>
  </si>
  <si>
    <t>ซอง 7</t>
  </si>
  <si>
    <t>ก180ลัง1020</t>
  </si>
  <si>
    <t>24-5-68</t>
  </si>
  <si>
    <t>ลด 69.71</t>
  </si>
  <si>
    <t>ก 161.21</t>
  </si>
  <si>
    <t>บะหมี่มาม่าต้มยำ</t>
  </si>
  <si>
    <t>บะหมี่มาม่าต้มยำน้ำข้น</t>
  </si>
  <si>
    <t>แพค10</t>
  </si>
  <si>
    <t>1*10ซอง*18</t>
  </si>
  <si>
    <t>แพค65</t>
  </si>
  <si>
    <t>25-3-66</t>
  </si>
  <si>
    <t>ลด 71</t>
  </si>
  <si>
    <t>แพค60.83</t>
  </si>
  <si>
    <t>บะหมี่มาม่าเจ</t>
  </si>
  <si>
    <t>13-9-55</t>
  </si>
  <si>
    <t>ลัง872.05</t>
  </si>
  <si>
    <t>ก145.34</t>
  </si>
  <si>
    <t>มาม่าหมูสับ</t>
  </si>
  <si>
    <t>ลัง875</t>
  </si>
  <si>
    <t>กล่อง145.83</t>
  </si>
  <si>
    <t>ซอง4.90</t>
  </si>
  <si>
    <t>มาม่าต้มยำ</t>
  </si>
  <si>
    <t>มาม่าต้มยำน้ำข้น</t>
  </si>
  <si>
    <t>หมี่เปลือยเอฟเอฟ</t>
  </si>
  <si>
    <t>1*16ห่อ</t>
  </si>
  <si>
    <t>1-12-66</t>
  </si>
  <si>
    <t xml:space="preserve">  ไวไวอบเล็ก</t>
  </si>
  <si>
    <t>ลัง 665</t>
  </si>
  <si>
    <t>เหรียญทองก้าวหน้า</t>
  </si>
  <si>
    <t>เส้นหมี่ดีดี</t>
  </si>
  <si>
    <t>26-4-55</t>
  </si>
  <si>
    <t>30 แถม 1 กล่อง</t>
  </si>
  <si>
    <t xml:space="preserve">  บ. สุขเกษม   </t>
  </si>
  <si>
    <t>บะหมี่ไวไวเจ เห็ดหอม</t>
  </si>
  <si>
    <t xml:space="preserve">ห่อ7โหล80 </t>
  </si>
  <si>
    <t>กล่อง 180</t>
  </si>
  <si>
    <t xml:space="preserve"> ลัง 988.68</t>
  </si>
  <si>
    <t>กล่อง164.78</t>
  </si>
  <si>
    <t>ห่อ  5.49</t>
  </si>
  <si>
    <t>บะหมี่ไวไวเจ ต้มยำ</t>
  </si>
  <si>
    <t>เส้นหมี่ขาวไวไว</t>
  </si>
  <si>
    <t>14โหล150</t>
  </si>
  <si>
    <t>ลัง 730.-</t>
  </si>
  <si>
    <t>ลด72 ลัง 696.7</t>
  </si>
  <si>
    <t>โหล 139.35</t>
  </si>
  <si>
    <t>ห่อ  11.61</t>
  </si>
  <si>
    <t>แผนก...กุนเชียง.......</t>
  </si>
  <si>
    <t>ข้าวเกรียบ</t>
  </si>
  <si>
    <t>กล่อง  8000</t>
  </si>
  <si>
    <t>ซอง</t>
  </si>
  <si>
    <t>พัฒนสิน</t>
  </si>
  <si>
    <t>วุ้นนางเงือก 2สี</t>
  </si>
  <si>
    <t>25ก.</t>
  </si>
  <si>
    <t>1*300ซอง</t>
  </si>
  <si>
    <t>29-9-59</t>
  </si>
  <si>
    <t>วุ้นตราเหรียญทอง</t>
  </si>
  <si>
    <t>ผงวุ้นโบว์  25ก.</t>
  </si>
  <si>
    <t>15กก.(300ซอง)</t>
  </si>
  <si>
    <t>40ซองX15กป</t>
  </si>
  <si>
    <t>กล่อง 1230</t>
  </si>
  <si>
    <t>27-11-68</t>
  </si>
  <si>
    <t>ลัง16800</t>
  </si>
  <si>
    <t>ค่ารถ 35ลัง16,835</t>
  </si>
  <si>
    <t>กล่อง1122.33</t>
  </si>
  <si>
    <t>ซอง28.06</t>
  </si>
  <si>
    <t xml:space="preserve">   จังกิมง้วน</t>
  </si>
  <si>
    <t>ลัง 1110</t>
  </si>
  <si>
    <t>ห่อ 27.75</t>
  </si>
  <si>
    <t>หมี่เตี่ยวเหลืองตรานกนางแอ่น</t>
  </si>
  <si>
    <t>มัด600</t>
  </si>
  <si>
    <t>กส 3300</t>
  </si>
  <si>
    <t>ค่ารถ50ลูก3350</t>
  </si>
  <si>
    <t>มัด558.33</t>
  </si>
  <si>
    <t>ห่อ 27.92</t>
  </si>
  <si>
    <t>โกยซีหมี่ตรานกนางแอ่น</t>
  </si>
  <si>
    <t xml:space="preserve">ห่อ 99 </t>
  </si>
  <si>
    <t>กก 180</t>
  </si>
  <si>
    <t>มัด1600</t>
  </si>
  <si>
    <t>มัด 1630</t>
  </si>
  <si>
    <t>กก  163</t>
  </si>
  <si>
    <t>ถุง1.5ขีด 50</t>
  </si>
  <si>
    <t>มัด1100</t>
  </si>
  <si>
    <t>ห่อ 1130</t>
  </si>
  <si>
    <t>กก 226</t>
  </si>
  <si>
    <t>ห่อ 48</t>
  </si>
  <si>
    <t>ขีด120กก.1100</t>
  </si>
  <si>
    <t>กส. 6240</t>
  </si>
  <si>
    <t>กส.5640</t>
  </si>
  <si>
    <t>กส. 5670</t>
  </si>
  <si>
    <t>กก.  945</t>
  </si>
  <si>
    <t xml:space="preserve">  บ.เเอ็น บี โภคภัณฑ์</t>
  </si>
  <si>
    <t xml:space="preserve">กระเพาะปลามั่วทองเบาเข้มเล็ก A </t>
  </si>
  <si>
    <t>กก. 400</t>
  </si>
  <si>
    <t>12-2-61</t>
  </si>
  <si>
    <t>ลูก1650</t>
  </si>
  <si>
    <t>กก.330</t>
  </si>
  <si>
    <t>กก. 480</t>
  </si>
  <si>
    <t>14-8-59</t>
  </si>
  <si>
    <t>ลูก1800</t>
  </si>
  <si>
    <t>1*12กก</t>
  </si>
  <si>
    <t>กก. 380</t>
  </si>
  <si>
    <t>11-3-64</t>
  </si>
  <si>
    <t>กส.3510</t>
  </si>
  <si>
    <t>กก.292.5</t>
  </si>
  <si>
    <t>ข้าวเกรียบกุ้งบุญชัย</t>
  </si>
  <si>
    <t>034-815240-1</t>
  </si>
  <si>
    <t>ข้าวเกรียบดิบ</t>
  </si>
  <si>
    <t>เบอร์10</t>
  </si>
  <si>
    <t>ลัง 750-760</t>
  </si>
  <si>
    <t>21-11-60</t>
  </si>
  <si>
    <t>กก  69</t>
  </si>
  <si>
    <t>เตี่ยหงี่เฮียง</t>
  </si>
  <si>
    <t>หมูหยอง</t>
  </si>
  <si>
    <t>1-1-69</t>
  </si>
  <si>
    <t>ลด66.62</t>
  </si>
  <si>
    <t>ลด54.95</t>
  </si>
  <si>
    <t>หมูแผ่นกรอบ</t>
  </si>
  <si>
    <t>ปกติ2160@72</t>
  </si>
  <si>
    <t>หมูทุบ</t>
  </si>
  <si>
    <t>ข้าวตังหน้าหมูหยอง</t>
  </si>
  <si>
    <t>ลด39.53</t>
  </si>
  <si>
    <t>กุนเชียงเนื้อนุ่ม(แดง)</t>
  </si>
  <si>
    <t>ลด 55.51</t>
  </si>
  <si>
    <t>กุนเชียงเนื้อแน่น(เขียว)</t>
  </si>
  <si>
    <t>กุนเชียงเต็มสุข</t>
  </si>
  <si>
    <t>390 ก.</t>
  </si>
  <si>
    <t>ขนมคอเป็ดงาดำเจ้าสัว</t>
  </si>
  <si>
    <t>25-4-54</t>
  </si>
  <si>
    <t>งาดำตัด</t>
  </si>
  <si>
    <t>ถั่วตุ๊บตั๊บ</t>
  </si>
  <si>
    <t>เม็ดมะม่วงหิมพานต์</t>
  </si>
  <si>
    <t>105 ก.</t>
  </si>
  <si>
    <t>25-5-56</t>
  </si>
  <si>
    <t>ธัญทิพย์</t>
  </si>
  <si>
    <t>16-6-55</t>
  </si>
  <si>
    <t>ตั้ง ฮั่งเชียงขอนแก่น</t>
  </si>
  <si>
    <t>16-1-55</t>
  </si>
  <si>
    <t>95 ก.</t>
  </si>
  <si>
    <t>8-4-54</t>
  </si>
  <si>
    <t>กุนเชียงแดง</t>
  </si>
  <si>
    <t>บุญคณาพานิชย์</t>
  </si>
  <si>
    <t>ถั่วเหลืองซีกมังกร</t>
  </si>
  <si>
    <t>30 กก.</t>
  </si>
  <si>
    <t>กก 32</t>
  </si>
  <si>
    <t>กส.  870</t>
  </si>
  <si>
    <t>กส.795</t>
  </si>
  <si>
    <t>กส.820</t>
  </si>
  <si>
    <t>กก 27.33</t>
  </si>
  <si>
    <t>ถั่วเหลืองเม็ดมังกร</t>
  </si>
  <si>
    <t>กก. 28</t>
  </si>
  <si>
    <t>กส. 850</t>
  </si>
  <si>
    <t>22-12-59</t>
  </si>
  <si>
    <t>กส.  750</t>
  </si>
  <si>
    <t>กก. 25</t>
  </si>
  <si>
    <t>ถั่วเขียวซีกตราเสือ</t>
  </si>
  <si>
    <t>ถั่วเขียวซีก โทรศัพท์</t>
  </si>
  <si>
    <t>กก 60</t>
  </si>
  <si>
    <t>กส  1600</t>
  </si>
  <si>
    <t>7-10-58</t>
  </si>
  <si>
    <t>กส.1320</t>
  </si>
  <si>
    <t>กก. 44</t>
  </si>
  <si>
    <t>ถั่วดำ</t>
  </si>
  <si>
    <t>.50 กก.</t>
  </si>
  <si>
    <t>มัด 10 กก.</t>
  </si>
  <si>
    <t>ถุง  20</t>
  </si>
  <si>
    <t>มัด340</t>
  </si>
  <si>
    <t>ถุง 17</t>
  </si>
  <si>
    <t>ถั่วลิสง</t>
  </si>
  <si>
    <t>กส.50 กก.</t>
  </si>
  <si>
    <t>10กก*5ถุง</t>
  </si>
  <si>
    <t>กก. 65</t>
  </si>
  <si>
    <t>(10กก)630</t>
  </si>
  <si>
    <t>กส. 2700</t>
  </si>
  <si>
    <t>กก. 54</t>
  </si>
  <si>
    <t>ถุง 30</t>
  </si>
  <si>
    <t>มัด 560</t>
  </si>
  <si>
    <t>มัด 500</t>
  </si>
  <si>
    <t>ถุง 25</t>
  </si>
  <si>
    <t>ถั่วแดงหลวง</t>
  </si>
  <si>
    <t>ถุง 28</t>
  </si>
  <si>
    <t>มัด 600</t>
  </si>
  <si>
    <t>18-11-64</t>
  </si>
  <si>
    <t>มัด480</t>
  </si>
  <si>
    <t>กก24.50</t>
  </si>
  <si>
    <t>ถั่วเขียว(ถั่วมัน)</t>
  </si>
  <si>
    <t>มัด  500</t>
  </si>
  <si>
    <t>มัด 440</t>
  </si>
  <si>
    <t>ถุง  22</t>
  </si>
  <si>
    <t>งาขาวใหญ่</t>
  </si>
  <si>
    <t>ถุง 40</t>
  </si>
  <si>
    <t>มัด 720</t>
  </si>
  <si>
    <t>มัด 700</t>
  </si>
  <si>
    <t>ถุง 35</t>
  </si>
  <si>
    <t>งาดำ</t>
  </si>
  <si>
    <t>ถุง50</t>
  </si>
  <si>
    <t>7-10-60</t>
  </si>
  <si>
    <t>มัด 900</t>
  </si>
  <si>
    <t>ถุง 45</t>
  </si>
  <si>
    <t>แมงลัก</t>
  </si>
  <si>
    <t>มัด1800</t>
  </si>
  <si>
    <t>มัด1660</t>
  </si>
  <si>
    <t>ถุง  83</t>
  </si>
  <si>
    <t>ถุง 38</t>
  </si>
  <si>
    <t>มัด680</t>
  </si>
  <si>
    <t>มัด 630</t>
  </si>
  <si>
    <t>น้ำตาลอ้อย</t>
  </si>
  <si>
    <t>ถุง 20</t>
  </si>
  <si>
    <t>มัด 370</t>
  </si>
  <si>
    <t>20-7-66</t>
  </si>
  <si>
    <t>มัด 340</t>
  </si>
  <si>
    <t>ข้าวบาร์เลย์</t>
  </si>
  <si>
    <t>มัด 510</t>
  </si>
  <si>
    <t>ถุง 25.50</t>
  </si>
  <si>
    <t>สารส้มเบอร์ 2</t>
  </si>
  <si>
    <t>กส.30 กก.</t>
  </si>
  <si>
    <t>กส. 250</t>
  </si>
  <si>
    <t>กก.8.33</t>
  </si>
  <si>
    <t>41 กก.</t>
  </si>
  <si>
    <t>เม็ดสำรอง</t>
  </si>
  <si>
    <t>50 กก.</t>
  </si>
  <si>
    <t>แป้งโก๋นกกระยาง</t>
  </si>
  <si>
    <t>กส 930</t>
  </si>
  <si>
    <t>ลูกชิดตราผึ้ง</t>
  </si>
  <si>
    <t>ข้าวโพดตัวตลก</t>
  </si>
  <si>
    <t>12-12-61</t>
  </si>
  <si>
    <t>ค่ารถ25</t>
  </si>
  <si>
    <t>ตั้งฉ่าย</t>
  </si>
  <si>
    <t>กส.6900</t>
  </si>
  <si>
    <t>กก.230</t>
  </si>
  <si>
    <t>กส.9300</t>
  </si>
  <si>
    <t>กก.310</t>
  </si>
  <si>
    <t>กระดาษเคลือบใบตอง</t>
  </si>
  <si>
    <t>12x12</t>
  </si>
  <si>
    <t>1*30กก.</t>
  </si>
  <si>
    <t>4-1-59</t>
  </si>
  <si>
    <t>กส.1380</t>
  </si>
  <si>
    <t>กก. 46</t>
  </si>
  <si>
    <t>กระดาษสี่เหลี่ยม</t>
  </si>
  <si>
    <t>9x9</t>
  </si>
  <si>
    <t>ถั่วเหลืองเม็ด</t>
  </si>
  <si>
    <t>11-12-61</t>
  </si>
  <si>
    <t>กส.615</t>
  </si>
  <si>
    <t>กส. 645</t>
  </si>
  <si>
    <t>กก. 21.50</t>
  </si>
  <si>
    <t>ถั่วเหลืองซีกเรือหงษ์</t>
  </si>
  <si>
    <t>กส.660</t>
  </si>
  <si>
    <t>กส. 690</t>
  </si>
  <si>
    <t>กก   23</t>
  </si>
  <si>
    <t>60 กก.</t>
  </si>
  <si>
    <t>กส.1740</t>
  </si>
  <si>
    <t>กก.29</t>
  </si>
  <si>
    <t>ถั่วเขียวซีกเรือหงษ์</t>
  </si>
  <si>
    <t>ถั่วซีกเพชร</t>
  </si>
  <si>
    <t>ถั่วซีกโทรศัพท์</t>
  </si>
  <si>
    <t>เม็ดแมงลัก</t>
  </si>
  <si>
    <t>ห่อ 90</t>
  </si>
  <si>
    <t>9-3-64</t>
  </si>
  <si>
    <t>กส.6120</t>
  </si>
  <si>
    <t>กส.6150</t>
  </si>
  <si>
    <t>กก. 120</t>
  </si>
  <si>
    <t>แปะก๊วย</t>
  </si>
  <si>
    <t>บ๊วยผง</t>
  </si>
  <si>
    <t>แบะแซ</t>
  </si>
  <si>
    <t>4-1-60</t>
  </si>
  <si>
    <t>ลัง 240</t>
  </si>
  <si>
    <t>แป้งขนมโก๋นกเหลือง</t>
  </si>
  <si>
    <t>30กก.</t>
  </si>
  <si>
    <t>กส. 1100</t>
  </si>
  <si>
    <t>กส.950</t>
  </si>
  <si>
    <t>กส.980</t>
  </si>
  <si>
    <t>กก 32.66</t>
  </si>
  <si>
    <t>น้ำหวานแดง</t>
  </si>
  <si>
    <t>น้ำหวานสับปะรด</t>
  </si>
  <si>
    <t>น้ำหวานมะลิ</t>
  </si>
  <si>
    <t>น้ำหวานองุ่น</t>
  </si>
  <si>
    <t>บ. ตั้งยิ่งวัฒนา จก</t>
  </si>
  <si>
    <t>ถั่วเหลืองซีกเสือ</t>
  </si>
  <si>
    <t>กก.  44</t>
  </si>
  <si>
    <t>มัด 420</t>
  </si>
  <si>
    <t>กส.870</t>
  </si>
  <si>
    <t>รถ35 กส905</t>
  </si>
  <si>
    <t>มัด 301.67</t>
  </si>
  <si>
    <t>กก. 34.17</t>
  </si>
  <si>
    <t>กก. 56</t>
  </si>
  <si>
    <t>มัด 540</t>
  </si>
  <si>
    <t>กส.1605</t>
  </si>
  <si>
    <t>รถ35กส1640</t>
  </si>
  <si>
    <t>มัด 546.67</t>
  </si>
  <si>
    <t>ถุง 27.33</t>
  </si>
  <si>
    <t>10กก*3ถุง</t>
  </si>
  <si>
    <t>ถุง 32</t>
  </si>
  <si>
    <t>(10กก)600</t>
  </si>
  <si>
    <t>0-1-64</t>
  </si>
  <si>
    <t>กก.54</t>
  </si>
  <si>
    <t>เดิมมัด620</t>
  </si>
  <si>
    <t>(10กก)540</t>
  </si>
  <si>
    <t>ห่อ 27</t>
  </si>
  <si>
    <t>งาขาว เสือ</t>
  </si>
  <si>
    <t>มัด 20แพค</t>
  </si>
  <si>
    <t>ถุง  55</t>
  </si>
  <si>
    <t>(10กก)1050</t>
  </si>
  <si>
    <t>25-4-66</t>
  </si>
  <si>
    <t>กก69.50</t>
  </si>
  <si>
    <t>กส(30)2850</t>
  </si>
  <si>
    <t>(10กก)950</t>
  </si>
  <si>
    <t>ห่อ47.50</t>
  </si>
  <si>
    <t>1*120แพค</t>
  </si>
  <si>
    <t>26-6-63</t>
  </si>
  <si>
    <t>ลัง  1308</t>
  </si>
  <si>
    <t>ห่อ 10.90</t>
  </si>
  <si>
    <t>งาดำ เสือ</t>
  </si>
  <si>
    <t>ถุง 68</t>
  </si>
  <si>
    <t>มัด1320</t>
  </si>
  <si>
    <t>กส 3750</t>
  </si>
  <si>
    <t>รถ35 กส3785</t>
  </si>
  <si>
    <t>มัด1261.67</t>
  </si>
  <si>
    <t>ห่อ 63.08</t>
  </si>
  <si>
    <t>ถุง 36</t>
  </si>
  <si>
    <t>(10กก)680</t>
  </si>
  <si>
    <t>11-9-64</t>
  </si>
  <si>
    <t>กก.  62</t>
  </si>
  <si>
    <t>(10กก)620</t>
  </si>
  <si>
    <t>ห่อ 31</t>
  </si>
  <si>
    <t>มัด 620</t>
  </si>
  <si>
    <t>กส. 1500</t>
  </si>
  <si>
    <t>รถ35 กส1530</t>
  </si>
  <si>
    <t>มัด  510</t>
  </si>
  <si>
    <t>ห่อ 25.50</t>
  </si>
  <si>
    <t>มัด(10กก)520</t>
  </si>
  <si>
    <t>กก.  41</t>
  </si>
  <si>
    <t>กส(30)1320</t>
  </si>
  <si>
    <t>มัด(10กก) 440</t>
  </si>
  <si>
    <t>4-9-61</t>
  </si>
  <si>
    <t>+15</t>
  </si>
  <si>
    <t>ห่อ 25.75</t>
  </si>
  <si>
    <t>บาเล่ย์</t>
  </si>
  <si>
    <t>กส. 1200</t>
  </si>
  <si>
    <t>รถ35 กส.1235</t>
  </si>
  <si>
    <t>มัด411.67</t>
  </si>
  <si>
    <t>ห่อ 20.58</t>
  </si>
  <si>
    <t>ถั่วลิสงคั่วป่น</t>
  </si>
  <si>
    <t>มัด 830</t>
  </si>
  <si>
    <t>กส. 2102.8</t>
  </si>
  <si>
    <t>รถ35 กส.2137.8</t>
  </si>
  <si>
    <t>มัด 762</t>
  </si>
  <si>
    <t>ห่อ 38.10</t>
  </si>
  <si>
    <t>เม็ดมะม่วงเม็ด</t>
  </si>
  <si>
    <t>1*22.5กก</t>
  </si>
  <si>
    <t>กก.  460</t>
  </si>
  <si>
    <t>ลัง8775</t>
  </si>
  <si>
    <t>ลัง 8805</t>
  </si>
  <si>
    <t>กก.  391.33</t>
  </si>
  <si>
    <t>เม็ดมะม่วงซีก</t>
  </si>
  <si>
    <t>กก 380</t>
  </si>
  <si>
    <t>ลัง6500</t>
  </si>
  <si>
    <t>ลัง 6530</t>
  </si>
  <si>
    <t>กก.  326.5</t>
  </si>
  <si>
    <t>ถั่วจีน</t>
  </si>
  <si>
    <t>1*25กก</t>
  </si>
  <si>
    <t>12.50*2ถุง</t>
  </si>
  <si>
    <t>กก.  76</t>
  </si>
  <si>
    <t>ลัง 1700</t>
  </si>
  <si>
    <t>2-12-68</t>
  </si>
  <si>
    <t>ลัง1450</t>
  </si>
  <si>
    <t>ลัง 1480</t>
  </si>
  <si>
    <t>กก. 59.20</t>
  </si>
  <si>
    <t>บ.วินเนอร์กรุ๊ป   เอ็นเตอร์ไพรซ์   จำกัด</t>
  </si>
  <si>
    <t>เม็ดข้าวโพดดิบ</t>
  </si>
  <si>
    <t>100กส แถม11</t>
  </si>
  <si>
    <t>กส.863.63</t>
  </si>
  <si>
    <t>100กส แถม11+5</t>
  </si>
  <si>
    <t>กส.818.96</t>
  </si>
  <si>
    <t>อัลมอนด์เต็มเม็ด</t>
  </si>
  <si>
    <t>1*11.34กก</t>
  </si>
  <si>
    <t>รถ30  ลัง  320</t>
  </si>
  <si>
    <t>ลัง3240</t>
  </si>
  <si>
    <t>กก.285.72</t>
  </si>
  <si>
    <t>อัลมอนด์เต็มซีก</t>
  </si>
  <si>
    <t>อัลมอนด์เต็มสไลด์</t>
  </si>
  <si>
    <t>1*2ถุง*10กก.</t>
  </si>
  <si>
    <t>กก 220</t>
  </si>
  <si>
    <t>ลัง 3600</t>
  </si>
  <si>
    <t>ไม่มีภาษี ลัง3630</t>
  </si>
  <si>
    <t>ถุง 1815</t>
  </si>
  <si>
    <t>กก.181.15</t>
  </si>
  <si>
    <t>ข้าวโพดเขียวเหลือง ใส่ถุง</t>
  </si>
  <si>
    <t>กส. 775</t>
  </si>
  <si>
    <t>เฮียซ้ง    ตั้งเก้งเส้ง</t>
  </si>
  <si>
    <t>ถั่วเขียวซีก</t>
  </si>
  <si>
    <t>1*30กก</t>
  </si>
  <si>
    <t>กส. 1320</t>
  </si>
  <si>
    <t>แผนก....เครื่องดื่ม....(ซุปไก่แบรนด์).......</t>
  </si>
  <si>
    <t>บ.ดี เค เอสเอช (ประเทศไทย) จก.</t>
  </si>
  <si>
    <t>แบรนด์ซุปไก่</t>
  </si>
  <si>
    <t>1x12ขวดx6กล่อง</t>
  </si>
  <si>
    <t>24-11-59</t>
  </si>
  <si>
    <t>ปกติ226@377.73</t>
  </si>
  <si>
    <t>ปกติ3475@579.27</t>
  </si>
  <si>
    <t>แบรนด์ซุปไก่รสกลมกล่อม</t>
  </si>
  <si>
    <t>8-4-58</t>
  </si>
  <si>
    <t>แบรนด์ซุปไก่เด็กผสมน้ำผึ้ง</t>
  </si>
  <si>
    <t>19-8-59</t>
  </si>
  <si>
    <t>แบรนด์ซุปไก่เด็กผสมน้ำมันปลา</t>
  </si>
  <si>
    <t>11-7-58</t>
  </si>
  <si>
    <t>แบรนด์เด็กทริปเปิ้ลเอรสชอค</t>
  </si>
  <si>
    <t>18-10-59</t>
  </si>
  <si>
    <t>แบรนด์วีต้าเบอรี่</t>
  </si>
  <si>
    <t>6-9-56</t>
  </si>
  <si>
    <t>ด4/56  355.47</t>
  </si>
  <si>
    <t>แบรนด์วีต้าลูกพรุน</t>
  </si>
  <si>
    <t>1x6ขวดx12กล่อง</t>
  </si>
  <si>
    <t>แบรนด์วีต้าเซเว่นเบอร์รี่</t>
  </si>
  <si>
    <t>24-5-59</t>
  </si>
  <si>
    <t>แบรนด์วีต้าควินซ์สกัด</t>
  </si>
  <si>
    <t>แบรนด์ซุปเห็ด</t>
  </si>
  <si>
    <t>1x8ขวดx8กล่อง</t>
  </si>
  <si>
    <t>แบรนด์เจนยูจินเชนโนไซต์เจนโปร100มล.</t>
  </si>
  <si>
    <t>24-5-56</t>
  </si>
  <si>
    <t xml:space="preserve">               ขวด35.67</t>
  </si>
  <si>
    <t>แบรนด์ซุปไก่เม็ดผสมธาตูเหล็กและวิตามินบี</t>
  </si>
  <si>
    <t>แบรนด์ซุปไก่เม็ด แปะก๊วยผสมโสม</t>
  </si>
  <si>
    <t>24-1-56</t>
  </si>
  <si>
    <t>รังนกซูการ์ฟรี</t>
  </si>
  <si>
    <t>1x6ขวดx8กล่อง</t>
  </si>
  <si>
    <t>ปกติ4023@502.97</t>
  </si>
  <si>
    <t>ปกติ6362@795</t>
  </si>
  <si>
    <t>รังนก</t>
  </si>
  <si>
    <t xml:space="preserve">รังนก </t>
  </si>
  <si>
    <t>กระเช้าแบรนด์รังนก    A</t>
  </si>
  <si>
    <t>10-12-56</t>
  </si>
  <si>
    <t>6กช.แถมแบรนด์6ข</t>
  </si>
  <si>
    <t>กระเช้ารังนกชูการ์ฟรี L</t>
  </si>
  <si>
    <t>22-10-58</t>
  </si>
  <si>
    <t>@1060(40แถม4)</t>
  </si>
  <si>
    <t>44ลัง</t>
  </si>
  <si>
    <t>กระเช้าแบรนด์รังนก   B</t>
  </si>
  <si>
    <t>22-11-59</t>
  </si>
  <si>
    <t>@745(17แถม1)</t>
  </si>
  <si>
    <t>18ชุด</t>
  </si>
  <si>
    <t>กระเช้าแบรนด์ซุบไก่  C</t>
  </si>
  <si>
    <t>1*2กระเช้า</t>
  </si>
  <si>
    <t>@407.67(48แถม4)</t>
  </si>
  <si>
    <t>52ชุด</t>
  </si>
  <si>
    <t>กระเช้าวีตร้าพรุน       V</t>
  </si>
  <si>
    <t>@386.27(24แถม2)</t>
  </si>
  <si>
    <t>26+26ชุด</t>
  </si>
  <si>
    <t>1-11-59</t>
  </si>
  <si>
    <t>40กช+4กช</t>
  </si>
  <si>
    <t>24กช+2กช</t>
  </si>
  <si>
    <t>48กช+4กช</t>
  </si>
  <si>
    <t>แผนก.......เครื่องดื่ม (ซุปไก่สก๊อต)..................................</t>
  </si>
  <si>
    <t>บ. แอส แอนด์ ซันส์ เทรดดิ้ง จก.</t>
  </si>
  <si>
    <t>สก๊อตซุปไก่สูตร 100%</t>
  </si>
  <si>
    <t>42 cc</t>
  </si>
  <si>
    <t>1x6x12กล่อง</t>
  </si>
  <si>
    <t>28-9-64</t>
  </si>
  <si>
    <t>แพค174</t>
  </si>
  <si>
    <t>แพค 182.46</t>
  </si>
  <si>
    <t>75cc</t>
  </si>
  <si>
    <t>โหล534</t>
  </si>
  <si>
    <t>แพค260.49</t>
  </si>
  <si>
    <t>สก๊อตซุปไก่สูตร 100%(6+1)</t>
  </si>
  <si>
    <t>1x7x12กล่อง</t>
  </si>
  <si>
    <t>แพค267</t>
  </si>
  <si>
    <t>แพค265.69</t>
  </si>
  <si>
    <t>สก๊อตซุปไก่ผสมถั่งเฉ้า</t>
  </si>
  <si>
    <t>45 cc</t>
  </si>
  <si>
    <t>15-11-60</t>
  </si>
  <si>
    <t>แพค178.19</t>
  </si>
  <si>
    <t>75 cc</t>
  </si>
  <si>
    <t>25-6-53</t>
  </si>
  <si>
    <t>สก๊อต คิดซ์ ชอคโก</t>
  </si>
  <si>
    <t>แพค186.18</t>
  </si>
  <si>
    <t>สก๊อต คิดซ์ กลิ่นโตเกียวบานาน่า</t>
  </si>
  <si>
    <t>สก๊อต อีซี่ ซุปไก่</t>
  </si>
  <si>
    <t>22-2-56</t>
  </si>
  <si>
    <t>โหล348</t>
  </si>
  <si>
    <t>แพค158.92</t>
  </si>
  <si>
    <t>สก็อต คอลลาเจน โอร่า</t>
  </si>
  <si>
    <t>45ซซ</t>
  </si>
  <si>
    <t>โหล468</t>
  </si>
  <si>
    <t>แพค455.69</t>
  </si>
  <si>
    <t>สก๊อตเพียวเร่พรุน</t>
  </si>
  <si>
    <t>13</t>
  </si>
  <si>
    <t>แพค169</t>
  </si>
  <si>
    <t>(ด7/58@172) ลด7%</t>
  </si>
  <si>
    <t>แพค168.18</t>
  </si>
  <si>
    <t>สก๊อตเพียวเร่เบอรี่เข้มข้น</t>
  </si>
  <si>
    <t xml:space="preserve">สก๊อตรังนก </t>
  </si>
  <si>
    <t>1x6x8กล่อง</t>
  </si>
  <si>
    <t>2ลัง+2แพค(ปกติ514)</t>
  </si>
  <si>
    <t>ลัง 3652</t>
  </si>
  <si>
    <t>แพค 456.53</t>
  </si>
  <si>
    <t>2-4-54</t>
  </si>
  <si>
    <t>สก๊อตรอเยล ชุดของขวัญ(01))</t>
  </si>
  <si>
    <t>ลด11.48</t>
  </si>
  <si>
    <t>แพค 163.19</t>
  </si>
  <si>
    <t>สก๊อตรอเยล ชุดของขวัญ(02)</t>
  </si>
  <si>
    <t>สก๊อตรอเยล ชุดของขวัญ</t>
  </si>
  <si>
    <t>12-12-56</t>
  </si>
  <si>
    <t>แพค744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</si>
  <si>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</si>
  <si>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แพค740.35</t>
  </si>
  <si>
    <t>สก๊อตรอเยล พรีเมี่ยมสูตรไทลิทอล</t>
  </si>
  <si>
    <t>โหล960</t>
  </si>
  <si>
    <t>แพค453.35</t>
  </si>
  <si>
    <t>สก๊อต กระเช้ารังนก      A</t>
  </si>
  <si>
    <t>1*12*4กช</t>
  </si>
  <si>
    <t>1038(7ชแถม1ช)</t>
  </si>
  <si>
    <t>สก๊อต กระเช้ารังนก+ซุบไก่  B</t>
  </si>
  <si>
    <t>723(7ชแถม1ช)</t>
  </si>
  <si>
    <t>สก๊อต ซุปไก่                C</t>
  </si>
  <si>
    <t>364(14ชแถม2ช)</t>
  </si>
  <si>
    <t>19-11-63</t>
  </si>
  <si>
    <t>ลด9%ด9/58@965</t>
  </si>
  <si>
    <t>สก๊อต กระเช้ารังนกไทลินอล     A</t>
  </si>
  <si>
    <t>(ด9/58@672.68) ลด9%</t>
  </si>
  <si>
    <t>สก๊อตกระเช้ารังนก+ซุปไก่  D</t>
  </si>
  <si>
    <t>16-11-54</t>
  </si>
  <si>
    <t>สก๊อต กระเช้าซุปไก่    C</t>
  </si>
  <si>
    <t>1*11*4กช</t>
  </si>
  <si>
    <t>10-12-58</t>
  </si>
  <si>
    <t>ลด9%ด9/58@331</t>
  </si>
  <si>
    <t>สก๊อต กระเช้าซุปไก่    PP</t>
  </si>
  <si>
    <t>ลด32.22 (เดิม338.33)</t>
  </si>
  <si>
    <t xml:space="preserve">    บ.  ดอกบัวคู่  จำกัด</t>
  </si>
  <si>
    <t xml:space="preserve"> รังนกดอกบัวคู่</t>
  </si>
  <si>
    <t>70 มล.</t>
  </si>
  <si>
    <t>6ขวด*8แพค</t>
  </si>
  <si>
    <t>14-11-56</t>
  </si>
  <si>
    <t>แพค770( 3ลังแถม1ลัง)</t>
  </si>
  <si>
    <t>แพค 577</t>
  </si>
  <si>
    <t>45 มล.</t>
  </si>
  <si>
    <t>แพค 423</t>
  </si>
  <si>
    <t>แผนก.......เครื่องดื่ม .....................</t>
  </si>
  <si>
    <t>บ.ควีนโปรดักส์</t>
  </si>
  <si>
    <t>ควีนน้ำหวานสควอช</t>
  </si>
  <si>
    <t>1-12-58</t>
  </si>
  <si>
    <t>-6%-4%</t>
  </si>
  <si>
    <t>(ส้ม,สตรอ,องุ่น,แอปเปิ้ล,ลิ้นจี่)</t>
  </si>
  <si>
    <t>(50ลัง+1ลัง)</t>
  </si>
  <si>
    <t>น้ำผลไม้สคอช</t>
  </si>
  <si>
    <t>730 มล.</t>
  </si>
  <si>
    <t>11-6-55</t>
  </si>
  <si>
    <t>-4 %(ด.4/55@ 57</t>
  </si>
  <si>
    <t>น้ำโยเกิรต์</t>
  </si>
  <si>
    <t>8-7-54</t>
  </si>
  <si>
    <t>-4 %</t>
  </si>
  <si>
    <t xml:space="preserve">   บ.ดีเคเอสเอช (ประเทศไทย)จก.</t>
  </si>
  <si>
    <t>น้ำบีอิ้งบอดี้ ไลน์</t>
  </si>
  <si>
    <t>6ขวด*4แพค</t>
  </si>
  <si>
    <t>95ลัง385</t>
  </si>
  <si>
    <t>21-11-56</t>
  </si>
  <si>
    <t>ปกติ345.99แพค86.49</t>
  </si>
  <si>
    <t>แพค78</t>
  </si>
  <si>
    <t>น้ำบีอิ้ง  อายแคร์</t>
  </si>
  <si>
    <t>น้ำบีอิ้ง  เบเบ้</t>
  </si>
  <si>
    <t>น้ำบีอิ้ง  คอลลาเจน</t>
  </si>
  <si>
    <t>น้ำบีอิ้ง  ไฟน์สตรอเบอรี่</t>
  </si>
  <si>
    <t xml:space="preserve">     บ. แพน</t>
  </si>
  <si>
    <t>แพนน้ำส้ม</t>
  </si>
  <si>
    <t>1*6*8 แพค</t>
  </si>
  <si>
    <t>30-3-56</t>
  </si>
  <si>
    <t>แพค  46.35</t>
  </si>
  <si>
    <t>แพนน้ำผลไม้รวม</t>
  </si>
  <si>
    <t>แพนน้ำสคอชสตรอ</t>
  </si>
  <si>
    <t>แพนน้ำสคอชส้ม</t>
  </si>
  <si>
    <t>แพนน้ำสคอชองุ่น</t>
  </si>
  <si>
    <t>8-2-55</t>
  </si>
  <si>
    <t xml:space="preserve"> 4 แถม 1ลัง</t>
  </si>
  <si>
    <t xml:space="preserve">    บ. ไทยวิคเตอร์  ( TVF )   02-4455009 แฟ๊ก 02-4455506</t>
  </si>
  <si>
    <t>น้ำส้มฟิวเจอร์วุ้น</t>
  </si>
  <si>
    <t>350 มล</t>
  </si>
  <si>
    <t>7-7-55</t>
  </si>
  <si>
    <t>น้ำลิ้นจี่ฟิวเจอร์วุ้น</t>
  </si>
  <si>
    <t>น้ำสตรอฟิวเจอร์วุ้น</t>
  </si>
  <si>
    <t>น้ำองุ่นฟิวเจอร์วุ้น</t>
  </si>
  <si>
    <t>น้ำแคนตาลูปฟิวเจอร์</t>
  </si>
  <si>
    <t>แผนก.......เครื่องดื่ม..................................</t>
  </si>
  <si>
    <t xml:space="preserve">    มุกดำล้วน (กลมดำ)</t>
  </si>
  <si>
    <t>น้ำตาลทราย ลิน</t>
  </si>
  <si>
    <t>27-4-56</t>
  </si>
  <si>
    <t>จินดา   ลิขิตรัตนพิศาล</t>
  </si>
  <si>
    <t>02-2253445</t>
  </si>
  <si>
    <t>น้ำเชื่อม  KCL</t>
  </si>
  <si>
    <t>ลัง 485</t>
  </si>
  <si>
    <t>4-4-66</t>
  </si>
  <si>
    <t>รายการ 22 แถม2</t>
  </si>
  <si>
    <t>น้ำเชื่อมฟรุตต้ากลิ่นคาราเมล</t>
  </si>
  <si>
    <t>น้ำเชื่อมฟรุตต้ากลิ่นฮัสเซลนัท</t>
  </si>
  <si>
    <t>น้ำเชื่อมฟรุตต้ากลิ่นวานิลา</t>
  </si>
  <si>
    <t>034-981555</t>
  </si>
  <si>
    <t>น้ำเชื่อม สวีทตี้</t>
  </si>
  <si>
    <t>โหล 440</t>
  </si>
  <si>
    <t>ลด 225, 1%</t>
  </si>
  <si>
    <t>เล่งฮ่ะ</t>
  </si>
  <si>
    <t>น้ำดื่มโลตัส</t>
  </si>
  <si>
    <t>น้ำดื่มวันเวย์</t>
  </si>
  <si>
    <t>โหล32</t>
  </si>
  <si>
    <t>น้ำดื่มวันเวย์ขวดเพรช</t>
  </si>
  <si>
    <t>โหล45</t>
  </si>
  <si>
    <t>บ.พัฒนสิน</t>
  </si>
  <si>
    <t>วุ้นเงือก</t>
  </si>
  <si>
    <t>10-11-59</t>
  </si>
  <si>
    <t>ซอง 25</t>
  </si>
  <si>
    <t>บ.สหพัฒนกิจ</t>
  </si>
  <si>
    <t>วุ้นเอส พี เค</t>
  </si>
  <si>
    <t>กล่อง*48ซอง</t>
  </si>
  <si>
    <t>ซอง 20.83</t>
  </si>
  <si>
    <t>29-7-64</t>
  </si>
  <si>
    <t>เม็ด3.-</t>
  </si>
  <si>
    <t>1000เม็ด(10ถุงค่ารถ*15)150</t>
  </si>
  <si>
    <t>(1000)3150</t>
  </si>
  <si>
    <t>ห่อ 315</t>
  </si>
  <si>
    <t>สุราจีนเสี่ยวเฮงเจดีย์น้ำเงิน</t>
  </si>
  <si>
    <t>โหล2190(60ขวดแถม12ขวด)</t>
  </si>
  <si>
    <t>โหล 1825</t>
  </si>
  <si>
    <t>โหซุ่นหลี</t>
  </si>
  <si>
    <t>บุหรี่กรองทิพย์</t>
  </si>
  <si>
    <t>11-11-58</t>
  </si>
  <si>
    <t>บุหรี่สายฝน</t>
  </si>
  <si>
    <t>บุหรี่วันเดอร์แดง</t>
  </si>
  <si>
    <t>บุหรี่วันเดอร์เขียว</t>
  </si>
  <si>
    <t>แผนก.............ขนม..................</t>
  </si>
  <si>
    <t>นิสชินบัตเตอร์คุกกี้สี่เหลี่ยม</t>
  </si>
  <si>
    <t>268ก.</t>
  </si>
  <si>
    <t>นิสชินแอทซอทจีนกลม</t>
  </si>
  <si>
    <t>16-11-59</t>
  </si>
  <si>
    <t>ลด14%</t>
  </si>
  <si>
    <t>470 ก.</t>
  </si>
  <si>
    <t>15-11-59</t>
  </si>
  <si>
    <t>ลดลัง28</t>
  </si>
  <si>
    <t>นิสชินบัตเตอร์คุกกี้</t>
  </si>
  <si>
    <t>ลดลัง24</t>
  </si>
  <si>
    <t>นิสชินทินบิสกิตราสเบอรี่</t>
  </si>
  <si>
    <t>ลด 18</t>
  </si>
  <si>
    <t>นิสชินทินบิสกิตเลมอน</t>
  </si>
  <si>
    <t>นิสชินทินบิสกิตรสโกโก้</t>
  </si>
  <si>
    <t>นิสชินบัตเตอร์โคโคนัท</t>
  </si>
  <si>
    <t>ลด 8</t>
  </si>
  <si>
    <t>นิสชินโฮลวีทแครกเกอร์</t>
  </si>
  <si>
    <t>21-2-62</t>
  </si>
  <si>
    <t xml:space="preserve">ลด  9 </t>
  </si>
  <si>
    <t>นิสชินเวเฟอร์</t>
  </si>
  <si>
    <t>ลด  11</t>
  </si>
  <si>
    <t>นิชชินบัตเตอร์โคโคนัท</t>
  </si>
  <si>
    <t>แพค 60</t>
  </si>
  <si>
    <t>ลด185</t>
  </si>
  <si>
    <t>ลัง 668.75</t>
  </si>
  <si>
    <t>แพค55.73</t>
  </si>
  <si>
    <t>นิชชินเลม่อน</t>
  </si>
  <si>
    <t>นิชชินพัพเครกเกอร์</t>
  </si>
  <si>
    <t>นิชชินบัตเตอร์ไส้ส้ม</t>
  </si>
  <si>
    <t>45ก.</t>
  </si>
  <si>
    <t>นิชชินบัตเตอร์ไส้ชอค</t>
  </si>
  <si>
    <t>52ก.</t>
  </si>
  <si>
    <t>138ก.</t>
  </si>
  <si>
    <t>20-11-58</t>
  </si>
  <si>
    <t>ลด50</t>
  </si>
  <si>
    <t>ลัง607.76</t>
  </si>
  <si>
    <t>นิชชินเครกเกอร์</t>
  </si>
  <si>
    <t>27-1-59</t>
  </si>
  <si>
    <t>บ.ซีโน-แปซิฟิค เทรดดิ้งผไทยแลนด์)จก.</t>
  </si>
  <si>
    <t>มันฝรั่งฟริงเกิลส์ซาวครีม</t>
  </si>
  <si>
    <t>ปกติ529@44</t>
  </si>
  <si>
    <t>มันฝรั่งฟริงเกิลส์ทอดกรอบ</t>
  </si>
  <si>
    <t>42ก</t>
  </si>
  <si>
    <t>ค็กกี้เดริสา</t>
  </si>
  <si>
    <t>454ก.</t>
  </si>
  <si>
    <t>บ.โวคลิฟวิ่ง จก</t>
  </si>
  <si>
    <t>ซอฟเค้กสอดไส้ครีม</t>
  </si>
  <si>
    <t>96ก.</t>
  </si>
  <si>
    <t>9-12-59</t>
  </si>
  <si>
    <t>5หีบ</t>
  </si>
  <si>
    <t>ช็อคโกแลคพายไส้มาสเมลโล</t>
  </si>
  <si>
    <t>108ก.</t>
  </si>
  <si>
    <t>3หีบ</t>
  </si>
  <si>
    <t>มาร์ชเมลโลว์</t>
  </si>
  <si>
    <t>15ลังแถม2ลัง(คละ)</t>
  </si>
  <si>
    <t>มาร์ชเมลโลว์ดอกไม้</t>
  </si>
  <si>
    <t>แผนก...........ขนม..................</t>
  </si>
  <si>
    <t>ธารทิพย์</t>
  </si>
  <si>
    <t>สาหร่ายโนริ</t>
  </si>
  <si>
    <t>4-7-55</t>
  </si>
  <si>
    <t>สาหร่ายซุปเปอร์บิ๊ก</t>
  </si>
  <si>
    <t>1*12*12</t>
  </si>
  <si>
    <t>7-3-56</t>
  </si>
  <si>
    <t>หีบ540</t>
  </si>
  <si>
    <t>ขนมปัง  ABC</t>
  </si>
  <si>
    <t>4กก.</t>
  </si>
  <si>
    <t>24-10-60</t>
  </si>
  <si>
    <t>100บีปแถมครีม5</t>
  </si>
  <si>
    <t>ปี๊บ 200</t>
  </si>
  <si>
    <t>คุ๊กกี้ดอกไม้ครีม</t>
  </si>
  <si>
    <t>ปี๊บ 260</t>
  </si>
  <si>
    <t>งากรอบ</t>
  </si>
  <si>
    <t>ปี๊บ 270</t>
  </si>
  <si>
    <t>คุ๊กกี้ครีม</t>
  </si>
  <si>
    <t>สับปะรดกะทิ</t>
  </si>
  <si>
    <t>ปี๊บ 275</t>
  </si>
  <si>
    <t>สติ๊กชอค</t>
  </si>
  <si>
    <t>ปี๊บ 280</t>
  </si>
  <si>
    <t>ขาไก่ทรงเครื่อง</t>
  </si>
  <si>
    <t>204-10-60</t>
  </si>
  <si>
    <t>บจก. ศรีกรุงบิสกิต</t>
  </si>
  <si>
    <t>02-81258689</t>
  </si>
  <si>
    <t>สุวัฒน์</t>
  </si>
  <si>
    <t>1.5 กก.</t>
  </si>
  <si>
    <t>11-12-62</t>
  </si>
  <si>
    <t>กะทิสับปะรด</t>
  </si>
  <si>
    <t>6-12-66</t>
  </si>
  <si>
    <t>ลัง  580</t>
  </si>
  <si>
    <t>บัตเตอร์งา,ครีม</t>
  </si>
  <si>
    <t>กป 140</t>
  </si>
  <si>
    <t>ลัง 616.54</t>
  </si>
  <si>
    <t>สติ๊กชอค,เตย,สตรอ</t>
  </si>
  <si>
    <t>ลัง   646</t>
  </si>
  <si>
    <t>กป 107.65</t>
  </si>
  <si>
    <t>เม็ดพลอยคละสี</t>
  </si>
  <si>
    <t>4 กก.</t>
  </si>
  <si>
    <t>ปี๊บ 320</t>
  </si>
  <si>
    <t>ปี๊บ 294.04</t>
  </si>
  <si>
    <t>กก.73.51</t>
  </si>
  <si>
    <t>ปี๊บ 380</t>
  </si>
  <si>
    <t>ลัง 346.76</t>
  </si>
  <si>
    <t>ปี๊บ 360</t>
  </si>
  <si>
    <t>ลัง 324.90</t>
  </si>
  <si>
    <t>กก 65</t>
  </si>
  <si>
    <t>เอบีซี</t>
  </si>
  <si>
    <t>กก 70</t>
  </si>
  <si>
    <t>คุกกี้ก้นหอยไส้กาแฟ</t>
  </si>
  <si>
    <t>ปี๊บ 340</t>
  </si>
  <si>
    <t>กก 54</t>
  </si>
  <si>
    <t>คุกกี้ใบเตย</t>
  </si>
  <si>
    <t>บัตเตอรงากรอบ</t>
  </si>
  <si>
    <t>มินิชีสสับปะรด</t>
  </si>
  <si>
    <t>คุ้กกี้โมเดินทุเรียน</t>
  </si>
  <si>
    <t>บิสกิตรูปไข่ไส้ครีม</t>
  </si>
  <si>
    <t xml:space="preserve">  วารีทวีทรัพย์</t>
  </si>
  <si>
    <t>ตรานกอินทรี</t>
  </si>
  <si>
    <t>ขาไก่</t>
  </si>
  <si>
    <t>3-12-68</t>
  </si>
  <si>
    <t>รถ15.-</t>
  </si>
  <si>
    <t>15.2.54</t>
  </si>
  <si>
    <t>ปี๊บ 225</t>
  </si>
  <si>
    <t>โอรีโอ</t>
  </si>
  <si>
    <t>17.8.54</t>
  </si>
  <si>
    <t>ปี๊บ 285</t>
  </si>
  <si>
    <t>เอ บี ซี</t>
  </si>
  <si>
    <t>ปี้บ 260</t>
  </si>
  <si>
    <t>ปี๊บ 240</t>
  </si>
  <si>
    <t>ปี๊บ 310</t>
  </si>
  <si>
    <t>คักกี้ทูโทน</t>
  </si>
  <si>
    <t>บี๊บ 350</t>
  </si>
  <si>
    <t>1-4-68</t>
  </si>
  <si>
    <t>รถ15(100ปี้บแถม6ปี้บ)</t>
  </si>
  <si>
    <t>ปี๊บ 335</t>
  </si>
  <si>
    <t>(สุทธิ316)</t>
  </si>
  <si>
    <t>ดอกไม้โกโก้</t>
  </si>
  <si>
    <t>ปี๊บ 390</t>
  </si>
  <si>
    <t>แคร๊กเกอร์สับปะรด</t>
  </si>
  <si>
    <t>ปี๊บ 295</t>
  </si>
  <si>
    <t>10-5-55</t>
  </si>
  <si>
    <t>แครกเกอร์ฮอกไกโด</t>
  </si>
  <si>
    <t>ขนมปังบัตเตอร์โคโคนัท</t>
  </si>
  <si>
    <t>ปี้บเล็ก1.3กก.</t>
  </si>
  <si>
    <t>1*6ปี้บ</t>
  </si>
  <si>
    <t>บี๊ป 120</t>
  </si>
  <si>
    <t>ลัง 598</t>
  </si>
  <si>
    <t>ลัง  633</t>
  </si>
  <si>
    <t>บี๊บ 105.50</t>
  </si>
  <si>
    <t>ขนมปังรวมมิตรครีม</t>
  </si>
  <si>
    <t>ขนมปังทุเรียน</t>
  </si>
  <si>
    <t>คุ้กกี้กาแฟ</t>
  </si>
  <si>
    <t>ขนมปังเอสใบเตยมะพร้าว</t>
  </si>
  <si>
    <t>ขนมปังกาแฟกลม</t>
  </si>
  <si>
    <t>บมจ. พรีเมียร์มาเก็ตติ้ง</t>
  </si>
  <si>
    <t>บจก. พี.วี.วงศ์ประเสริฐ</t>
  </si>
  <si>
    <t>หมอนทองไข่</t>
  </si>
  <si>
    <t>16.8.54</t>
  </si>
  <si>
    <t>หมอนทองเม็ดก๋วยจี้</t>
  </si>
  <si>
    <t>ทุเรียนไข่</t>
  </si>
  <si>
    <t>ทุเรียนเม็ดก๋วยจี้</t>
  </si>
  <si>
    <t>ลูกบัวไข่ 1</t>
  </si>
  <si>
    <t>ลูกบัวเม็ดก๋วยจี้</t>
  </si>
  <si>
    <t>โหงวยิ้งแฮมไข่ 1</t>
  </si>
  <si>
    <t>โหงวยิ้งแฮมเม็ดก๋วยจี้</t>
  </si>
  <si>
    <t>หมากรุก</t>
  </si>
  <si>
    <t>8 ชิ้น</t>
  </si>
  <si>
    <t>4 ชิ้น</t>
  </si>
  <si>
    <t>2 ชิ้น</t>
  </si>
  <si>
    <t>งาดำไข่</t>
  </si>
  <si>
    <t>(034)-815240-1,411148</t>
  </si>
  <si>
    <t>ข้าวเกรียบดิบเบอร์ 3</t>
  </si>
  <si>
    <t>2-5-55</t>
  </si>
  <si>
    <t>ด.3/55 @ ห่อ 56</t>
  </si>
  <si>
    <t>ข้าวเกรียบมโนราห์</t>
  </si>
  <si>
    <t>สงัด 088 4473541</t>
  </si>
  <si>
    <t>ข้าวเกรียบมโนราห์กุ้ง</t>
  </si>
  <si>
    <t>3-4-55</t>
  </si>
  <si>
    <t>ข้าวเกรียบมโนราห์เผือก</t>
  </si>
  <si>
    <t>ข้าวเกรียบมโนราห์ฟักทอง</t>
  </si>
  <si>
    <t>เฟริส ฟู้ส บิสกิต</t>
  </si>
  <si>
    <t>ขนมปังองุ่นครีมขาว</t>
  </si>
  <si>
    <t>บี้ป260</t>
  </si>
  <si>
    <t>ลูกหมีใบเตย</t>
  </si>
  <si>
    <t>ดอกไม้ใบเตย</t>
  </si>
  <si>
    <t>บี้ป275</t>
  </si>
  <si>
    <t>กระเช้าหวายขาว-เขียว</t>
  </si>
  <si>
    <t>16นิ้ว</t>
  </si>
  <si>
    <t>กระเช้าหวายขาว-แดง</t>
  </si>
  <si>
    <t>14นิ้ว</t>
  </si>
  <si>
    <t>กระเช้าหวายขาว</t>
  </si>
  <si>
    <t>12นิ้ว</t>
  </si>
  <si>
    <t>กระเช้าหวายน้ำตาล</t>
  </si>
  <si>
    <t>แผนก.....นมผง........</t>
  </si>
  <si>
    <t>บ. ดีเคเอสเอช (ประเทศไทย)</t>
  </si>
  <si>
    <t>เอนฟาแลคสมาร์ท 1</t>
  </si>
  <si>
    <t>1-9-61</t>
  </si>
  <si>
    <t>1200ก.</t>
  </si>
  <si>
    <t>24-3-57</t>
  </si>
  <si>
    <t>ด3/56ลัง3286@547.67</t>
  </si>
  <si>
    <t>1650ก.</t>
  </si>
  <si>
    <t>เอนฟาแลคA+      สูตร1</t>
  </si>
  <si>
    <t>21-9-61</t>
  </si>
  <si>
    <t>11-1-57</t>
  </si>
  <si>
    <t>ด.1/55 @ 891</t>
  </si>
  <si>
    <t>2200ก.</t>
  </si>
  <si>
    <t>13-8-57</t>
  </si>
  <si>
    <t>ด.10/56@1391.92</t>
  </si>
  <si>
    <t>เอนฟาแลคสมาร์ท    2</t>
  </si>
  <si>
    <t>24-6-57</t>
  </si>
  <si>
    <t>เอนฟาแลค A+  สูตร2</t>
  </si>
  <si>
    <t>3300ก.</t>
  </si>
  <si>
    <t>เอนฟาโกรสมาร์ทสูตร3 จืด</t>
  </si>
  <si>
    <t>เอนฟาโกรสูตร3  วานิลา</t>
  </si>
  <si>
    <t>เอนฟาโกร A+สูตร3    จืด</t>
  </si>
  <si>
    <r>
      <t>เอนฟาโกร A+สูตร3</t>
    </r>
    <r>
      <rPr>
        <sz val="16"/>
        <rFont val="Angsana New"/>
        <family val="1"/>
      </rPr>
      <t>วานิลา</t>
    </r>
  </si>
  <si>
    <t>แผนก....นมผง...............</t>
  </si>
  <si>
    <t xml:space="preserve">                                                                                                                                                                                               </t>
  </si>
  <si>
    <t>UHTเอนฟาโกร 3</t>
  </si>
  <si>
    <t>1*3*8</t>
  </si>
  <si>
    <t>21-9-59</t>
  </si>
  <si>
    <t>ลัง345.19</t>
  </si>
  <si>
    <t>โปรโซบี A +</t>
  </si>
  <si>
    <t>366ก.</t>
  </si>
  <si>
    <r>
      <t>เอนฟาแลค A</t>
    </r>
    <r>
      <rPr>
        <vertAlign val="superscript"/>
        <sz val="18"/>
        <rFont val="Angsana New"/>
        <family val="1"/>
      </rPr>
      <t xml:space="preserve"> </t>
    </r>
    <r>
      <rPr>
        <sz val="18"/>
        <rFont val="Angsana New"/>
        <family val="1"/>
      </rPr>
      <t>+ ซอยแคร์</t>
    </r>
  </si>
  <si>
    <t>366 ก.</t>
  </si>
  <si>
    <t>25-8-58</t>
  </si>
  <si>
    <r>
      <t>เอนฟาแลค A</t>
    </r>
    <r>
      <rPr>
        <vertAlign val="superscript"/>
        <sz val="18"/>
        <rFont val="Angsana New"/>
        <family val="1"/>
      </rPr>
      <t xml:space="preserve"> </t>
    </r>
    <r>
      <rPr>
        <sz val="18"/>
        <rFont val="Angsana New"/>
        <family val="1"/>
      </rPr>
      <t>+ แล็กโตฟรี</t>
    </r>
  </si>
  <si>
    <t>เอนฟาแลคA+เออาร์</t>
  </si>
  <si>
    <t>15.8.54</t>
  </si>
  <si>
    <t>เอนฟาแลคA+เจนเทิลแคร์</t>
  </si>
  <si>
    <t>23-8-57</t>
  </si>
  <si>
    <t>เอนฟามาม่าA+</t>
  </si>
  <si>
    <t>26-4-59</t>
  </si>
  <si>
    <t>ปกติ@54.92ขาย57</t>
  </si>
  <si>
    <t>26-8-58</t>
  </si>
  <si>
    <t>อะแลคต้า 2(6ด.-2ปี)</t>
  </si>
  <si>
    <r>
      <t>อะแลคต้า 1 (จืด)</t>
    </r>
    <r>
      <rPr>
        <sz val="14"/>
        <rFont val="Angsana New"/>
        <family val="1"/>
      </rPr>
      <t xml:space="preserve">  </t>
    </r>
    <r>
      <rPr>
        <sz val="16"/>
        <rFont val="Angsana New"/>
        <family val="1"/>
      </rPr>
      <t xml:space="preserve"> 650ก@176</t>
    </r>
    <r>
      <rPr>
        <sz val="14"/>
        <rFont val="Angsana New"/>
        <family val="1"/>
      </rPr>
      <t>.</t>
    </r>
  </si>
  <si>
    <t>ลด 3% (ด.4/54 @ 148</t>
  </si>
  <si>
    <t>อะแลคต้า 1 (จืด)</t>
  </si>
  <si>
    <t>25-6-55</t>
  </si>
  <si>
    <t>ลด 3 ,204 (ด.5/55 @ 346)</t>
  </si>
  <si>
    <t>อะแลคต้า 1(วานิลา)</t>
  </si>
  <si>
    <t>650ก.</t>
  </si>
  <si>
    <t>ลด 3% (ด.4/54 @ 145</t>
  </si>
  <si>
    <t>3-5-55</t>
  </si>
  <si>
    <t>S-26 1</t>
  </si>
  <si>
    <t>15-1-62</t>
  </si>
  <si>
    <t>14-8-61</t>
  </si>
  <si>
    <t>1800ก.</t>
  </si>
  <si>
    <t>14-2-62</t>
  </si>
  <si>
    <t>2400ก.</t>
  </si>
  <si>
    <t>1*3</t>
  </si>
  <si>
    <t>S-26โกลด์ 1</t>
  </si>
  <si>
    <t>24-9-58</t>
  </si>
  <si>
    <t>โปรมิล 2</t>
  </si>
  <si>
    <t>18-10-61</t>
  </si>
  <si>
    <t>โปรมิลโกลด์ 2</t>
  </si>
  <si>
    <t>13-10-59</t>
  </si>
  <si>
    <t>15-11-61</t>
  </si>
  <si>
    <t>โปรเกรส 3</t>
  </si>
  <si>
    <t>ด8/55@103.21</t>
  </si>
  <si>
    <t>15-01-62</t>
  </si>
  <si>
    <t>พิเศษลด474สุทฺธิ237</t>
  </si>
  <si>
    <t>โปรเกรสโกลด์ 3</t>
  </si>
  <si>
    <t>14-2-61</t>
  </si>
  <si>
    <t>เอส26โกลด์ยูเอสที</t>
  </si>
  <si>
    <t>1*4*9แพค</t>
  </si>
  <si>
    <t>1*9</t>
  </si>
  <si>
    <t>ลัง510</t>
  </si>
  <si>
    <t>22-10-62</t>
  </si>
  <si>
    <t>แพค54.77</t>
  </si>
  <si>
    <t>บ. ซีโน่-แปซิฟิค เทรดดิ้ง(ไทยแลนด์)จก</t>
  </si>
  <si>
    <t xml:space="preserve"> เอนชัวร์ยูเอชที</t>
  </si>
  <si>
    <t>1*6แพค</t>
  </si>
  <si>
    <t>12-5-63</t>
  </si>
  <si>
    <t>เอนชัวร์</t>
  </si>
  <si>
    <t>1*15</t>
  </si>
  <si>
    <t>12-6-63</t>
  </si>
  <si>
    <t>ลด63.90</t>
  </si>
  <si>
    <t>1600ก.</t>
  </si>
  <si>
    <t>ลด52.52</t>
  </si>
  <si>
    <r>
      <t xml:space="preserve">เอนชัวร์ </t>
    </r>
    <r>
      <rPr>
        <sz val="12"/>
        <rFont val="Angsana New"/>
        <family val="1"/>
      </rPr>
      <t>..</t>
    </r>
  </si>
  <si>
    <t>850ก.</t>
  </si>
  <si>
    <t>15-5-63</t>
  </si>
  <si>
    <t>ลด930</t>
  </si>
  <si>
    <t>เอนชัวร์ รุ่นแพคคู่</t>
  </si>
  <si>
    <t>1*6ชุด</t>
  </si>
  <si>
    <t>15-9-63</t>
  </si>
  <si>
    <t>ลด273.79ต้นทุนกป.390.65</t>
  </si>
  <si>
    <t>ชุด781.30</t>
  </si>
  <si>
    <r>
      <t xml:space="preserve">เอนชัวร์ 2กป  </t>
    </r>
    <r>
      <rPr>
        <sz val="12"/>
        <rFont val="Angsana New"/>
        <family val="1"/>
      </rPr>
      <t>แถมเอนชัว150ก.</t>
    </r>
  </si>
  <si>
    <t>ชุด1560</t>
  </si>
  <si>
    <t>กป.780</t>
  </si>
  <si>
    <t>14-11-62</t>
  </si>
  <si>
    <t xml:space="preserve">เอนชัวร์ 2กป </t>
  </si>
  <si>
    <t>ชุด1465</t>
  </si>
  <si>
    <t>กป.740</t>
  </si>
  <si>
    <t>13-12-62</t>
  </si>
  <si>
    <t>เอนชัวร์ธัญพืช</t>
  </si>
  <si>
    <t>1*12กป</t>
  </si>
  <si>
    <t>กลูเซอร์นา เอสอาร์</t>
  </si>
  <si>
    <t>12-6-61</t>
  </si>
  <si>
    <t xml:space="preserve">ซิมิแลค 1   เอไอคิวพลัส-โปร1    </t>
  </si>
  <si>
    <t>11-4-59</t>
  </si>
  <si>
    <t xml:space="preserve">ซิมิแลค 2      เอไอคิวพลัส                   </t>
  </si>
  <si>
    <t xml:space="preserve">ซิมิแลคแกนพลัส   3                      </t>
  </si>
  <si>
    <t>700 ก.</t>
  </si>
  <si>
    <t>ลด384ด.7/55 @328.71</t>
  </si>
  <si>
    <t>พีเดียร์ชัวร์ (ฟ้า)</t>
  </si>
  <si>
    <t>พีเดียร์ชัวร์คอมพลีส</t>
  </si>
  <si>
    <t>740ก.</t>
  </si>
  <si>
    <t>11-10-60</t>
  </si>
  <si>
    <t>26-6-56</t>
  </si>
  <si>
    <t>ไอโซมิลแอดวานซ์ (แพ้นมวัว)</t>
  </si>
  <si>
    <t>14-9-58</t>
  </si>
  <si>
    <t>ลด505.44</t>
  </si>
  <si>
    <t>ไอโซมิลแอดวานซ์</t>
  </si>
  <si>
    <t>ไอโซมิลพลัส</t>
  </si>
  <si>
    <t>10-6-59</t>
  </si>
  <si>
    <t>ไอโซมิลพลัส      (ลด150)</t>
  </si>
  <si>
    <t>28-8-58</t>
  </si>
  <si>
    <t>ซิลิแลคแอลเอฟ(ด็กท้องเสีย)</t>
  </si>
  <si>
    <t>375ก.</t>
  </si>
  <si>
    <t>บ. ดีเคเอเอส(ประเทศไทย) จก</t>
  </si>
  <si>
    <t>นมแพะ ดีจี  1</t>
  </si>
  <si>
    <t>9-5-59</t>
  </si>
  <si>
    <t>นมแพะ ดีจี  2</t>
  </si>
  <si>
    <t>11-9-58</t>
  </si>
  <si>
    <t>นมแพะ ดีจี  3</t>
  </si>
  <si>
    <t>19-8-58</t>
  </si>
  <si>
    <t xml:space="preserve">   ราคาขาย-ต้นทุน</t>
  </si>
  <si>
    <t>บ. ราชสีมา ดี.ซี. จำกัด</t>
  </si>
  <si>
    <t>044-305711,305712</t>
  </si>
  <si>
    <t>รวมvat</t>
  </si>
  <si>
    <t>ดูเม็กโกลด์พลัสสูตร1</t>
  </si>
  <si>
    <t>1-4-61</t>
  </si>
  <si>
    <t>ดูเม็กโกลด์พลัสสูตร2</t>
  </si>
  <si>
    <t>ดูเม็กโกลด์พลัสสูตร3</t>
  </si>
  <si>
    <t>ดูแลคซุปเปอร์มิกซ์ 1</t>
  </si>
  <si>
    <t>320 ก</t>
  </si>
  <si>
    <t>10-10-62</t>
  </si>
  <si>
    <t>4/62ลด7%112.36</t>
  </si>
  <si>
    <t>3-62 ทุน236.30</t>
  </si>
  <si>
    <t>3/62(706)ลด7</t>
  </si>
  <si>
    <t>1-11-61</t>
  </si>
  <si>
    <t>ดูโปรซุปเปอร์มิกซ์ 2</t>
  </si>
  <si>
    <t>ด2/62 111.89)ลด7</t>
  </si>
  <si>
    <t>2/62(222.29) ลด7</t>
  </si>
  <si>
    <t>3/62(668)ลด7</t>
  </si>
  <si>
    <t>ลด1.8%</t>
  </si>
  <si>
    <r>
      <t xml:space="preserve">ดูโกร 1 </t>
    </r>
    <r>
      <rPr>
        <vertAlign val="superscript"/>
        <sz val="22"/>
        <rFont val="Angsana New"/>
        <family val="1"/>
      </rPr>
      <t>+</t>
    </r>
    <r>
      <rPr>
        <sz val="22"/>
        <rFont val="Angsana New"/>
        <family val="1"/>
      </rPr>
      <t>(จืด,วานิลา)</t>
    </r>
  </si>
  <si>
    <t>320ก.</t>
  </si>
  <si>
    <t>5-62</t>
  </si>
  <si>
    <t>20-2-62</t>
  </si>
  <si>
    <t>ลด11.30% `ด4/561.-</t>
  </si>
  <si>
    <r>
      <t xml:space="preserve">ดูโกร 3 </t>
    </r>
    <r>
      <rPr>
        <vertAlign val="superscript"/>
        <sz val="22"/>
        <rFont val="Angsana New"/>
        <family val="1"/>
      </rPr>
      <t>+</t>
    </r>
    <r>
      <rPr>
        <sz val="22"/>
        <rFont val="Angsana New"/>
        <family val="1"/>
      </rPr>
      <t>(จืด,วานิลา)</t>
    </r>
  </si>
  <si>
    <t>27-9-62</t>
  </si>
  <si>
    <t>ลด9.6</t>
  </si>
  <si>
    <t>10-7-63</t>
  </si>
  <si>
    <t>ลด6%</t>
  </si>
  <si>
    <r>
      <t>ดูมิลค์ 1</t>
    </r>
    <r>
      <rPr>
        <vertAlign val="superscript"/>
        <sz val="22"/>
        <rFont val="Angsana New"/>
        <family val="1"/>
      </rPr>
      <t xml:space="preserve">+  </t>
    </r>
    <r>
      <rPr>
        <sz val="22"/>
        <rFont val="Angsana New"/>
        <family val="1"/>
      </rPr>
      <t>(จืด )</t>
    </r>
  </si>
  <si>
    <t>ด1/59@122.81</t>
  </si>
  <si>
    <r>
      <t>ดูมิลค์ 1</t>
    </r>
    <r>
      <rPr>
        <vertAlign val="superscript"/>
        <sz val="22"/>
        <rFont val="Angsana New"/>
        <family val="1"/>
      </rPr>
      <t xml:space="preserve">+  </t>
    </r>
    <r>
      <rPr>
        <sz val="22"/>
        <rFont val="Angsana New"/>
        <family val="1"/>
      </rPr>
      <t>( น้ำผึ้ง วานิลา)</t>
    </r>
  </si>
  <si>
    <r>
      <t>ดูมิลค์ 3</t>
    </r>
    <r>
      <rPr>
        <vertAlign val="superscript"/>
        <sz val="22"/>
        <rFont val="Angsana New"/>
        <family val="1"/>
      </rPr>
      <t>+</t>
    </r>
    <r>
      <rPr>
        <sz val="22"/>
        <rFont val="Angsana New"/>
        <family val="1"/>
      </rPr>
      <t>(จืด )</t>
    </r>
  </si>
  <si>
    <r>
      <t>ดูมิลค์ 3</t>
    </r>
    <r>
      <rPr>
        <vertAlign val="superscript"/>
        <sz val="22"/>
        <rFont val="Angsana New"/>
        <family val="1"/>
      </rPr>
      <t>+</t>
    </r>
    <r>
      <rPr>
        <sz val="22"/>
        <rFont val="Angsana New"/>
        <family val="1"/>
      </rPr>
      <t>( น้ำผึ้ง )</t>
    </r>
  </si>
  <si>
    <t>ไฮคิวช่วงวัยที่ 1</t>
  </si>
  <si>
    <t>22-4-56</t>
  </si>
  <si>
    <r>
      <t xml:space="preserve">ด6/55   257.91         </t>
    </r>
    <r>
      <rPr>
        <sz val="18"/>
        <color indexed="10"/>
        <rFont val="Angsana New"/>
        <family val="1"/>
      </rPr>
      <t>279</t>
    </r>
  </si>
  <si>
    <t>10-4-62</t>
  </si>
  <si>
    <t>23/4ลด7`%`338.49</t>
  </si>
  <si>
    <t>9/1 1105ขาย1126</t>
  </si>
  <si>
    <t>0-4-61</t>
  </si>
  <si>
    <t>ไฮคิวช่วงวัยที่ 2</t>
  </si>
  <si>
    <t>18-8-54</t>
  </si>
  <si>
    <t>3-4-62</t>
  </si>
  <si>
    <t>1800ก</t>
  </si>
  <si>
    <t>-62</t>
  </si>
  <si>
    <r>
      <t>ไฮคิว 1</t>
    </r>
    <r>
      <rPr>
        <vertAlign val="superscript"/>
        <sz val="24"/>
        <rFont val="Angsana New"/>
        <family val="1"/>
      </rPr>
      <t>+</t>
    </r>
    <r>
      <rPr>
        <sz val="24"/>
        <rFont val="Angsana New"/>
        <family val="1"/>
      </rPr>
      <t xml:space="preserve"> (จืด)</t>
    </r>
  </si>
  <si>
    <r>
      <t>ไฮคิว 3</t>
    </r>
    <r>
      <rPr>
        <vertAlign val="superscript"/>
        <sz val="24"/>
        <rFont val="Angsana New"/>
        <family val="1"/>
      </rPr>
      <t>+</t>
    </r>
    <r>
      <rPr>
        <sz val="24"/>
        <rFont val="Angsana New"/>
        <family val="1"/>
      </rPr>
      <t xml:space="preserve"> (จืด)</t>
    </r>
  </si>
  <si>
    <t>ส่วนลด7.7</t>
  </si>
  <si>
    <t xml:space="preserve">                                                                                                                                                                              </t>
  </si>
  <si>
    <t xml:space="preserve">ไฮคิวช่วงวัยที่1ซุปเปฮร์โกลด์จืด  </t>
  </si>
  <si>
    <t>250ก.</t>
  </si>
  <si>
    <t>เดิม1963.17</t>
  </si>
  <si>
    <t xml:space="preserve">ไฮคิวช่วงวัยที่2ซุปเปฮร์โกลด์จืด  </t>
  </si>
  <si>
    <t>23-4-62</t>
  </si>
  <si>
    <t>n</t>
  </si>
  <si>
    <t>15-4-61</t>
  </si>
  <si>
    <t>ด4/61   1777.40ขาย1812</t>
  </si>
  <si>
    <r>
      <t>ไฮคิว1</t>
    </r>
    <r>
      <rPr>
        <vertAlign val="superscript"/>
        <sz val="22"/>
        <rFont val="Angsana New"/>
        <family val="1"/>
      </rPr>
      <t>+</t>
    </r>
    <r>
      <rPr>
        <sz val="22"/>
        <rFont val="Angsana New"/>
        <family val="1"/>
      </rPr>
      <t xml:space="preserve">ซุปเปฮร์โกลด์จืด  </t>
    </r>
  </si>
  <si>
    <t>25-4-62</t>
  </si>
  <si>
    <t>4-62</t>
  </si>
  <si>
    <t>11-10-60*1577ขาย1600</t>
  </si>
  <si>
    <r>
      <t>ไฮคิว3</t>
    </r>
    <r>
      <rPr>
        <vertAlign val="superscript"/>
        <sz val="18"/>
        <rFont val="Angsana New"/>
        <family val="1"/>
      </rPr>
      <t>+</t>
    </r>
    <r>
      <rPr>
        <sz val="18"/>
        <rFont val="Angsana New"/>
        <family val="1"/>
      </rPr>
      <t xml:space="preserve">ซุปเปฮร์โกลด์จืด  </t>
    </r>
  </si>
  <si>
    <t>9-3-62</t>
  </si>
  <si>
    <t>10/60 955ขาย975</t>
  </si>
  <si>
    <t>แผนก...นมผง..........</t>
  </si>
  <si>
    <t>แผนก......นมผง..............</t>
  </si>
  <si>
    <t>บ.ดีเคเอสเอช(ประเทศไทย)จก</t>
  </si>
  <si>
    <t>ผงแอนมัม  (ชนิดซอง)450ก.</t>
  </si>
  <si>
    <t>37.5ก.*12ซอง</t>
  </si>
  <si>
    <t>12-12-58</t>
  </si>
  <si>
    <t>ลด 168</t>
  </si>
  <si>
    <t>20-6-61</t>
  </si>
  <si>
    <t>ผงแอนลีน (ชนิดซอง)400ก.</t>
  </si>
  <si>
    <t>19-3-62</t>
  </si>
  <si>
    <t>ด3/62ลดลัง360ลัง1787.97ห่อ149</t>
  </si>
  <si>
    <t>ผงแอนลีนเข้มข้นชนิดซอง</t>
  </si>
  <si>
    <t>14ซ*25ก.</t>
  </si>
  <si>
    <t>คาร์เนชั่น 1 (จืด)</t>
  </si>
  <si>
    <t>550 ก.</t>
  </si>
  <si>
    <t>14-8-58</t>
  </si>
  <si>
    <t>คาร์เนชั่น 1 (วานิลา)</t>
  </si>
  <si>
    <t>คาร์เนชั่น 1 (น้ำผึ้ง)</t>
  </si>
  <si>
    <t>คาร์เนชั่น 3 (วานิลา)</t>
  </si>
  <si>
    <t>คาร์เนชั่น 3 (น้ำผึ้ง)</t>
  </si>
  <si>
    <t>ซีรีแลค</t>
  </si>
  <si>
    <t>ซีรีแลคเริ่มต้น</t>
  </si>
  <si>
    <t>27-4-61</t>
  </si>
  <si>
    <t>ซีรีแลคผลไม้รวม</t>
  </si>
  <si>
    <t>&gt;ซีรีแลคปลาและผักโขม</t>
  </si>
  <si>
    <t>ซีรีแลคข้าวสาลีผสมกล้วย</t>
  </si>
  <si>
    <t>ซีรีแลคสูตรฟักทองแครอท</t>
  </si>
  <si>
    <t>บ.แมสมาเก็ตติ้ง จก</t>
  </si>
  <si>
    <t>ข้าวตุ๋นฟักทอง        90ก.</t>
  </si>
  <si>
    <t>13-11-55</t>
  </si>
  <si>
    <t>78@7.8</t>
  </si>
  <si>
    <t>ข้าวตุ๋นแครรอท       90ก.</t>
  </si>
  <si>
    <t>ข้าว 7 นาที</t>
  </si>
  <si>
    <t>11-4-56</t>
  </si>
  <si>
    <t>62@6.2</t>
  </si>
  <si>
    <t>บ. อาร์. เอส. เอ็ม. รุ่งเจริญ</t>
  </si>
  <si>
    <t xml:space="preserve">สโนว์นูโอ 1 </t>
  </si>
  <si>
    <t>330 ก.</t>
  </si>
  <si>
    <t>25-12-55</t>
  </si>
  <si>
    <t>สโนว์ เมท 1</t>
  </si>
  <si>
    <t>600 ก.</t>
  </si>
  <si>
    <t>31-8-58</t>
  </si>
  <si>
    <t>สโนว์เมท 2</t>
  </si>
  <si>
    <t>สโนว์นูโอ จีแอล 3</t>
  </si>
  <si>
    <t>4-5-55</t>
  </si>
  <si>
    <t>บจก. เนสท์เล่(ประเทศไทย)</t>
  </si>
  <si>
    <t>บ.   ราชสีมา เอ็น.ดี.พี.     จก.</t>
  </si>
  <si>
    <t>แลคโตเย่น 1</t>
  </si>
  <si>
    <t>21-2-56</t>
  </si>
  <si>
    <t>1300ก.</t>
  </si>
  <si>
    <t>แลคโตเย่น 2</t>
  </si>
  <si>
    <t>21-02-56</t>
  </si>
  <si>
    <t>1950ก.</t>
  </si>
  <si>
    <t>แลคโตเย่น 3</t>
  </si>
  <si>
    <t>ด.5/55  @ 173.27</t>
  </si>
  <si>
    <t>เดิม 290.42</t>
  </si>
  <si>
    <t>หมี 2</t>
  </si>
  <si>
    <t>&gt;&gt;</t>
  </si>
  <si>
    <t>9-9-58</t>
  </si>
  <si>
    <t xml:space="preserve">              3ถุง*650ก.</t>
  </si>
  <si>
    <t xml:space="preserve">              4ถุง*650ก.</t>
  </si>
  <si>
    <t>2600ก.</t>
  </si>
  <si>
    <t>หมีแอดวานซ์ 1 (จืด)</t>
  </si>
  <si>
    <t>27-3-53</t>
  </si>
  <si>
    <t>หมีแอดวานซ์ 1 (น้ำผึ้ง)</t>
  </si>
  <si>
    <t>หมีแอดวานซ์ 3 (จืด)</t>
  </si>
  <si>
    <t>ด.3/53 @ 316.02</t>
  </si>
  <si>
    <t>29-7-54</t>
  </si>
  <si>
    <t>หมีแอดวานซ์ 3 (น้ำผึ้ง)</t>
  </si>
  <si>
    <t xml:space="preserve">ถาด SB 20     </t>
  </si>
  <si>
    <t>ห่อ 570</t>
  </si>
  <si>
    <t>แก้ว 3 ออน</t>
  </si>
  <si>
    <t>30</t>
  </si>
  <si>
    <t xml:space="preserve">ถาดSB 22     </t>
  </si>
  <si>
    <t>แก้ว 4 ออน</t>
  </si>
  <si>
    <t xml:space="preserve">ชาม SB 56      </t>
  </si>
  <si>
    <t>ห่อ 310</t>
  </si>
  <si>
    <t>แก้ว 5 ออน</t>
  </si>
  <si>
    <t>35</t>
  </si>
  <si>
    <t>ชาม SB 57</t>
  </si>
  <si>
    <t>ห่อ 360</t>
  </si>
  <si>
    <t>แก้ว 6 ออน</t>
  </si>
  <si>
    <t>40</t>
  </si>
  <si>
    <t>ชาม SB 52</t>
  </si>
  <si>
    <t>ฝาเรียบ 75</t>
  </si>
  <si>
    <t>15</t>
  </si>
  <si>
    <t>ชาม SB 45</t>
  </si>
  <si>
    <t>ห่อ 470</t>
  </si>
  <si>
    <t>ฝาโดม  75</t>
  </si>
  <si>
    <t>20</t>
  </si>
  <si>
    <t xml:space="preserve">กล่องโฟม SB 99   </t>
  </si>
  <si>
    <r>
      <rPr>
        <sz val="24"/>
        <rFont val="Angsana New"/>
        <family val="1"/>
      </rPr>
      <t xml:space="preserve">ห่อ 300 </t>
    </r>
  </si>
  <si>
    <t>แก้ว   7 ออน</t>
  </si>
  <si>
    <t xml:space="preserve">กล่องโฟมSB 100  </t>
  </si>
  <si>
    <t>ห่อ 380</t>
  </si>
  <si>
    <t>แก้ว 100 กรัม</t>
  </si>
  <si>
    <t xml:space="preserve">กล่องโฟมSB108  </t>
  </si>
  <si>
    <t>แก้ว 150 กรัม</t>
  </si>
  <si>
    <t xml:space="preserve">กล่องโฟมSB 500  </t>
  </si>
  <si>
    <t>ห่อ 420</t>
  </si>
  <si>
    <t>แก้ว 200 กรัม</t>
  </si>
  <si>
    <t xml:space="preserve">กล่องโฟมJT 501 </t>
  </si>
  <si>
    <t>ห่อ 550</t>
  </si>
  <si>
    <t>ฝาเรียบ 85</t>
  </si>
  <si>
    <t>กล่องโฟมSB 502</t>
  </si>
  <si>
    <t>ห่อ 560</t>
  </si>
  <si>
    <t>ฝาโดม  95</t>
  </si>
  <si>
    <t xml:space="preserve">กล่องโฟมJT 912  </t>
  </si>
  <si>
    <t>ถ้วยนึ่งไข่ตุ๋น</t>
  </si>
  <si>
    <t xml:space="preserve">ถาด SB 101      </t>
  </si>
  <si>
    <t>ห่อ 720</t>
  </si>
  <si>
    <t>ถ้วยตะไล</t>
  </si>
  <si>
    <t xml:space="preserve">ถาด JT 102      </t>
  </si>
  <si>
    <t>ถาดSB 105</t>
  </si>
  <si>
    <t>ห่อ 610</t>
  </si>
  <si>
    <t>ถาดโฟมSB 200</t>
  </si>
  <si>
    <t>ถาดโฟมซาบะSB 202</t>
  </si>
  <si>
    <t>ห่อ 1120</t>
  </si>
  <si>
    <t xml:space="preserve">ถาด SP 231     </t>
  </si>
  <si>
    <t>ห่อ 590</t>
  </si>
  <si>
    <t>จานโฟมSB 29</t>
  </si>
  <si>
    <t>ห่อ 540</t>
  </si>
  <si>
    <t>จานโฟมรี SB 316</t>
  </si>
  <si>
    <t>จานโฟมSB 30</t>
  </si>
  <si>
    <t>ห่อ 760</t>
  </si>
  <si>
    <t>ถาดโฟมSB 303</t>
  </si>
  <si>
    <t>ห่อ  450</t>
  </si>
  <si>
    <t>ถาดโฟมSB 304</t>
  </si>
  <si>
    <t>290ห่อ1130</t>
  </si>
  <si>
    <t>โอเคผงปรุงรสปาปริก้า</t>
  </si>
  <si>
    <t>โอเคผงปรุงรสบาร์บิวคิว</t>
  </si>
  <si>
    <t>โอเคผงปรุงรสชีท</t>
  </si>
  <si>
    <t>โอเคผงปรุงรสฮอทแอนด์สไปซี่</t>
  </si>
  <si>
    <t>โอเคผงปรุงรสแซ่บซี้ด</t>
  </si>
  <si>
    <t>โอเคผงปรุงรสวิงค์แซ่บ</t>
  </si>
  <si>
    <t>โอเคผงปรุงรสต้มยำ</t>
  </si>
  <si>
    <t>โอเคผงปรุงรสโนริ</t>
  </si>
  <si>
    <t>โอเคผงปรุงรสพิชซ่า</t>
  </si>
  <si>
    <t>ผงหมาล่าโอเค</t>
  </si>
  <si>
    <t>ซอสหมาล่าโอเค</t>
  </si>
  <si>
    <t>ชีทโต๊ะปรุงรสปาปริก้า</t>
  </si>
  <si>
    <t>ชีทโต๊ะผงปรุงรสบาร์บิวคิว</t>
  </si>
  <si>
    <t>ชีทโต๊ะผงปรุงรสชีท</t>
  </si>
  <si>
    <t>ชีทโต๊ะผงปรุงรสฮอทแอนด์สไปซี่</t>
  </si>
  <si>
    <t>โดนัทผงปรุงรสปาปริก้า</t>
  </si>
  <si>
    <t>โดนัทผงปรุงรสบาร์บิวคิว</t>
  </si>
  <si>
    <t>โดนัทผงปรุงรสชีท</t>
  </si>
  <si>
    <t>โดนัทผงปรุงรสฮอทแอนด์สไปซี่</t>
  </si>
  <si>
    <t>โดนัทผงปรุงรสแซ่บซี้ด</t>
  </si>
  <si>
    <t>โดนัทผงปรุงรสวิงค์แซ่บ</t>
  </si>
  <si>
    <t>โดนัทผงปรุงรสต้มยำ</t>
  </si>
  <si>
    <t>โดนัทผงปรุงรสโนริ</t>
  </si>
  <si>
    <t>โดนัทผงปรุงรสพิชซ่า</t>
  </si>
  <si>
    <t>โดนัทผงปรุงรสซาวครีม</t>
  </si>
  <si>
    <t>โดนัทผงปรุงรสหมาล่า</t>
  </si>
  <si>
    <t>สต๊อกการ์ด  KLH</t>
  </si>
  <si>
    <t>บริษัท....ดีเคเอสเอช จก. ...........................................................................ติดต่อ.........................................................................................</t>
  </si>
  <si>
    <t>มค.</t>
  </si>
  <si>
    <t>กพ.</t>
  </si>
  <si>
    <t>มีค.</t>
  </si>
  <si>
    <t>เมย.</t>
  </si>
  <si>
    <t>พค.</t>
  </si>
  <si>
    <t>มิย.</t>
  </si>
  <si>
    <t>กค.</t>
  </si>
  <si>
    <t>สค.</t>
  </si>
  <si>
    <t>กย.</t>
  </si>
  <si>
    <t>ตค.</t>
  </si>
  <si>
    <t>พย.</t>
  </si>
  <si>
    <t>ธค.</t>
  </si>
  <si>
    <t>หมายเหตุ</t>
  </si>
  <si>
    <t>สต๊อก</t>
  </si>
  <si>
    <t>สั่ง</t>
  </si>
  <si>
    <t>แบรนด์ต้นตำหรับ</t>
  </si>
  <si>
    <t>วีต้าพรุน</t>
  </si>
  <si>
    <t>วีต้าเบอรี่</t>
  </si>
  <si>
    <t>วีต้าควินซ์</t>
  </si>
  <si>
    <t>รังนกซูการฟรี</t>
  </si>
  <si>
    <t>แบรนด์ผสมน้ำปลา</t>
  </si>
  <si>
    <t>แบรนด์ผสมน้ำผึ้ง</t>
  </si>
  <si>
    <t xml:space="preserve">กระเช้าแบรนด์รังนก   </t>
  </si>
  <si>
    <t>A</t>
  </si>
  <si>
    <t xml:space="preserve">กระเช้ารังนก+แบรนด์  </t>
  </si>
  <si>
    <t>B</t>
  </si>
  <si>
    <t xml:space="preserve">กระเช้าซุปไก่              </t>
  </si>
  <si>
    <t>C</t>
  </si>
  <si>
    <t xml:space="preserve">กระเช้าวีต้า                 </t>
  </si>
  <si>
    <t>V</t>
  </si>
  <si>
    <t>บริษัท....แอส แอนด์ ซันส์เทรดดิ้ง จก. ...........................................................................ติดต่อ.........................................................................................</t>
  </si>
  <si>
    <t>สก็อตซุบไก่แพค6+1</t>
  </si>
  <si>
    <t>45ซซ.</t>
  </si>
  <si>
    <t>สก็อตซุบไก่แถมชาม</t>
  </si>
  <si>
    <t>75ซซ.</t>
  </si>
  <si>
    <t>สก็อตซุบไก่ผสมถั่งเฉ้า</t>
  </si>
  <si>
    <t>สก็อตรังนก</t>
  </si>
  <si>
    <t>สก็อตรอเยล</t>
  </si>
  <si>
    <t>สก็อตเพียวเร่พรุน</t>
  </si>
  <si>
    <t xml:space="preserve">กระเช้าสก็อตรังนก    </t>
  </si>
  <si>
    <t>กระเช้ารังนก+ซุบไก่</t>
  </si>
  <si>
    <t xml:space="preserve">กระเช้าซุบไก่ผสมถั่งเฉ้า +รังนก </t>
  </si>
  <si>
    <t xml:space="preserve">กระเช้าซุบไก่ผสมถั่งเฉ้า  </t>
  </si>
  <si>
    <t>D</t>
  </si>
  <si>
    <t>บริษัท....ดี เค เอส(ประเทศไทย)จก. ...........................................................................ติดต่อ.........................................................................................</t>
  </si>
  <si>
    <t>ซีรีแลคข้าวบด ดี.เอช.เอ</t>
  </si>
  <si>
    <t>บริษัท....ดี เค เอส เอช(ประเทศไทย)จก. ...........................................................................ติดต่อ.........................................................................................</t>
  </si>
  <si>
    <t>เอนฟาแลค</t>
  </si>
  <si>
    <r>
      <t>เอนฟาแลค A</t>
    </r>
    <r>
      <rPr>
        <vertAlign val="superscript"/>
        <sz val="28"/>
        <rFont val="Angsana New"/>
        <family val="1"/>
      </rPr>
      <t xml:space="preserve"> +</t>
    </r>
  </si>
  <si>
    <t>เอนฟาโปร</t>
  </si>
  <si>
    <r>
      <t>เอนฟาโปร A</t>
    </r>
    <r>
      <rPr>
        <vertAlign val="superscript"/>
        <sz val="28"/>
        <rFont val="Angsana New"/>
        <family val="1"/>
      </rPr>
      <t xml:space="preserve"> +</t>
    </r>
  </si>
  <si>
    <t>อะแลคต้า 1</t>
  </si>
  <si>
    <t>อะแลคต้า 2</t>
  </si>
  <si>
    <t>อะแลคต้า 3</t>
  </si>
  <si>
    <t>เอนฟาคิด (จืด)</t>
  </si>
  <si>
    <t>เอนฟาคิด (วานิลา)</t>
  </si>
  <si>
    <t>เอนฟาแลค แลคโตฟรี</t>
  </si>
  <si>
    <t>เอนฟาแลค โปรโซบี</t>
  </si>
  <si>
    <r>
      <t xml:space="preserve">เอนฟาแลค โปรโซบี A </t>
    </r>
    <r>
      <rPr>
        <vertAlign val="superscript"/>
        <sz val="28"/>
        <rFont val="Angsana New"/>
        <family val="1"/>
      </rPr>
      <t>+</t>
    </r>
  </si>
  <si>
    <r>
      <t xml:space="preserve">เอนฟาแลค A </t>
    </r>
    <r>
      <rPr>
        <vertAlign val="superscript"/>
        <sz val="28"/>
        <rFont val="Angsana New"/>
        <family val="1"/>
      </rPr>
      <t xml:space="preserve">+  </t>
    </r>
    <r>
      <rPr>
        <sz val="28"/>
        <rFont val="Angsana New"/>
        <family val="1"/>
      </rPr>
      <t>+ เออาร์</t>
    </r>
  </si>
  <si>
    <t>บริษัท....จังกิมง้วน..........................................................................ติดต่อ.........................................................................................</t>
  </si>
  <si>
    <t xml:space="preserve">กุ้งแห้ง  </t>
  </si>
  <si>
    <t>เม็ดมะม่วง B</t>
  </si>
  <si>
    <t>เจี๊ยะกอ</t>
  </si>
  <si>
    <t>เห็ดหอม B4</t>
  </si>
  <si>
    <t>เห็ดหอม M   ลูกโลกA`4</t>
  </si>
  <si>
    <t>12กก.</t>
  </si>
  <si>
    <t>เห็ดหอม  L   ลูกโลก</t>
  </si>
  <si>
    <t>21กก.</t>
  </si>
  <si>
    <t>เห็ดหูหนูดำ-เรือใบ</t>
  </si>
  <si>
    <t>1*5 กก.</t>
  </si>
  <si>
    <t>เห็ดหูหนูขาว (500ก)</t>
  </si>
  <si>
    <t>1*8ชั่ง</t>
  </si>
  <si>
    <t>25  กก.</t>
  </si>
  <si>
    <t>บริษัท.....จังกิมง้วน.....................................................................................................ติดต่อ.........................................................................................</t>
  </si>
  <si>
    <t>180  ลูก</t>
  </si>
  <si>
    <t>85 ก.</t>
  </si>
  <si>
    <t>รสดีหมู 12 บาท</t>
  </si>
  <si>
    <t>บริษัท.....จังกิมง้วน...........................................................................ติดต่อ.........................................................................................</t>
  </si>
  <si>
    <t>น้ำมันงา</t>
  </si>
  <si>
    <t>ขวดเล็ก</t>
  </si>
  <si>
    <t>บริษัท.....จังกิมง้วน.. ...........................................................................ติดต่อ.........................................................................................</t>
  </si>
  <si>
    <t>หมี่สัวฮ่องกง</t>
  </si>
  <si>
    <t>ข้าวเกรียบกุ้งสงขลา</t>
  </si>
  <si>
    <t>เอ็นบีโภคภัณท์    เฮียพิเชษ</t>
  </si>
  <si>
    <t>ไส้เผือก</t>
  </si>
  <si>
    <t>ไส้ถั่วเหลือง</t>
  </si>
  <si>
    <t>ไส้สังขยา</t>
  </si>
  <si>
    <t>ไส้ถั่วแดง</t>
  </si>
  <si>
    <t>ไส้ถั่วดำ</t>
  </si>
  <si>
    <t>ไส้งาดำ</t>
  </si>
  <si>
    <t>ไส้ชาเขียว</t>
  </si>
  <si>
    <t>ไส้ชอคโกแลค</t>
  </si>
  <si>
    <t>ไส้มันม่วง</t>
  </si>
  <si>
    <t>ไส้บูลเบอรี</t>
  </si>
  <si>
    <t>ไส้สตรอเบอรี่</t>
  </si>
  <si>
    <t>ไส้สับปะรด</t>
  </si>
  <si>
    <t>แอมโมเนียตราบ้าน</t>
  </si>
  <si>
    <t>กันบูดบ้าน</t>
  </si>
  <si>
    <t>กันราเค้ก</t>
  </si>
  <si>
    <t>กันราปัง</t>
  </si>
  <si>
    <t>เบเกต(ผงกรอบ)</t>
  </si>
  <si>
    <t>กล่อง</t>
  </si>
  <si>
    <t>เบนโซ(กันบูด)</t>
  </si>
  <si>
    <t xml:space="preserve">          (หมักนุ่ม)</t>
  </si>
  <si>
    <t>กล่อง        BP-00 S</t>
  </si>
  <si>
    <t>100.ใบ</t>
  </si>
  <si>
    <t xml:space="preserve">  BP-00 S</t>
  </si>
  <si>
    <t xml:space="preserve">กล่องPET  BP-00 </t>
  </si>
  <si>
    <t xml:space="preserve">  BP-00 </t>
  </si>
  <si>
    <t>กล่องPET  BP-01</t>
  </si>
  <si>
    <t xml:space="preserve">  BP-01</t>
  </si>
  <si>
    <t>กล่องPET  BP-02 S</t>
  </si>
  <si>
    <t xml:space="preserve">  BP-02 S</t>
  </si>
  <si>
    <t>กล่องPET BP-02</t>
  </si>
  <si>
    <t xml:space="preserve"> BP-02</t>
  </si>
  <si>
    <t>กล่องPET  BP-61</t>
  </si>
  <si>
    <t>BP-61</t>
  </si>
  <si>
    <t>กล่องPET  BP-03</t>
  </si>
  <si>
    <t xml:space="preserve">  BP-03</t>
  </si>
  <si>
    <t>กล่องPET  BP-05</t>
  </si>
  <si>
    <t xml:space="preserve">  BP-05</t>
  </si>
  <si>
    <t>กล่องPET  BP-14</t>
  </si>
  <si>
    <t xml:space="preserve">  BP-14</t>
  </si>
  <si>
    <t>กล่องPET  BP-16</t>
  </si>
  <si>
    <t xml:space="preserve">  BP-16</t>
  </si>
  <si>
    <t>กล่องPET  BP-17</t>
  </si>
  <si>
    <t>BP-17</t>
  </si>
  <si>
    <t>กล่องPET  BP-25</t>
  </si>
  <si>
    <t xml:space="preserve"> BP-25</t>
  </si>
  <si>
    <t>กล่องPET  BP-40</t>
  </si>
  <si>
    <t xml:space="preserve">  BP-40</t>
  </si>
  <si>
    <t>กล่องPET  BP-B3</t>
  </si>
  <si>
    <t xml:space="preserve">  BP-B3</t>
  </si>
  <si>
    <t>กล่องPET  BP-104</t>
  </si>
  <si>
    <t xml:space="preserve"> BP-104</t>
  </si>
  <si>
    <t>100ใบ</t>
  </si>
  <si>
    <t xml:space="preserve">  BP-61</t>
  </si>
  <si>
    <t>กล่องPET  BP-R1</t>
  </si>
  <si>
    <t xml:space="preserve">  BP-R1</t>
  </si>
  <si>
    <t>กล่องPET  BP-R2</t>
  </si>
  <si>
    <t xml:space="preserve">  BP-R2</t>
  </si>
  <si>
    <t>กล่องPET  BP-R3</t>
  </si>
  <si>
    <t>50.ใบ</t>
  </si>
  <si>
    <t xml:space="preserve">  BP-R3</t>
  </si>
  <si>
    <t>กล่องPET  BP-R3L</t>
  </si>
  <si>
    <t>BP-R3L</t>
  </si>
  <si>
    <t>กล่องPET BP-R4</t>
  </si>
  <si>
    <t>BP-R4</t>
  </si>
  <si>
    <t>กล่องPET TC-R4 (ล็อค)</t>
  </si>
  <si>
    <t xml:space="preserve"> TC-R4 (ล็อค)</t>
  </si>
  <si>
    <t>กล่องPET  BP-R5</t>
  </si>
  <si>
    <t>BP-R5</t>
  </si>
  <si>
    <t>กล่องPET  TC-R5(ล็อค)</t>
  </si>
  <si>
    <t>TC-R5(ล็อค)</t>
  </si>
  <si>
    <t>กล่องPET  BP-R8</t>
  </si>
  <si>
    <t>BP-R8</t>
  </si>
  <si>
    <t>กล่อง BP 54</t>
  </si>
  <si>
    <t>50ใบ</t>
  </si>
  <si>
    <t>BP 54</t>
  </si>
  <si>
    <t>กล่องใส TR-22</t>
  </si>
  <si>
    <t xml:space="preserve"> TR-22</t>
  </si>
  <si>
    <t>กล่องใส TR-24</t>
  </si>
  <si>
    <t xml:space="preserve"> TR-24</t>
  </si>
  <si>
    <t>กล่องใส TR-52</t>
  </si>
  <si>
    <t>TR-52</t>
  </si>
  <si>
    <t>กล่องใส TR-408</t>
  </si>
  <si>
    <t xml:space="preserve"> TR-408</t>
  </si>
  <si>
    <t>กระเช้ากลาง TR-115</t>
  </si>
  <si>
    <t>กระเช้าใหญ่ TR-</t>
  </si>
  <si>
    <r>
      <t>ก</t>
    </r>
    <r>
      <rPr>
        <sz val="20"/>
        <color indexed="8"/>
        <rFont val="Angsana New"/>
        <family val="1"/>
      </rPr>
      <t xml:space="preserve">ระเช้าใหญ่ </t>
    </r>
  </si>
  <si>
    <t>ลวดฟลอยตัด8ซม.</t>
  </si>
  <si>
    <t>1000เส้น</t>
  </si>
  <si>
    <t>ฟอยล์ยาวสตาร์</t>
  </si>
  <si>
    <t>18*7.5ม.</t>
  </si>
  <si>
    <t>ฟอยล์สั้นสตาร์</t>
  </si>
  <si>
    <t>12"*7.5ม</t>
  </si>
  <si>
    <t>สั้นสตาร์</t>
  </si>
  <si>
    <t>กล่องops  TP-15</t>
  </si>
  <si>
    <t>ops  TP-15</t>
  </si>
  <si>
    <t>กล่องops  TP-31A</t>
  </si>
  <si>
    <t>ops  TP-31A</t>
  </si>
  <si>
    <t>กล่องops  TP-38</t>
  </si>
  <si>
    <t>ops  TP-38</t>
  </si>
  <si>
    <t>กล่องops  TP-39</t>
  </si>
  <si>
    <t>ops  TP-39</t>
  </si>
  <si>
    <t>กล่องops  TP-45</t>
  </si>
  <si>
    <t>กล่องOPS FB 1-H</t>
  </si>
  <si>
    <t>กล่องOPS FB2-H</t>
  </si>
  <si>
    <t>กล่องOPS FB4-H</t>
  </si>
  <si>
    <t>กล่องOPS FB-104</t>
  </si>
  <si>
    <t>กล่องOPS FB- 17</t>
  </si>
  <si>
    <t>กล่องBL - 4H</t>
  </si>
  <si>
    <t>กล่องBL - 104H</t>
  </si>
  <si>
    <t>บ. ซี.แอล.เอ็ม.แพคเกจจิ้ง จก</t>
  </si>
  <si>
    <r>
      <t>กล่องเค้กฐานน้ำตาล(E93)</t>
    </r>
    <r>
      <rPr>
        <b/>
        <sz val="20"/>
        <rFont val="Angsana New"/>
        <family val="1"/>
      </rPr>
      <t xml:space="preserve"> 1/2ปอนด์</t>
    </r>
    <r>
      <rPr>
        <b/>
        <sz val="22"/>
        <rFont val="Angsana New"/>
        <family val="1"/>
      </rPr>
      <t xml:space="preserve"> 1/2ป</t>
    </r>
  </si>
  <si>
    <t>1*25*8แถว</t>
  </si>
  <si>
    <t>E93) 1/2ปอนด์</t>
  </si>
  <si>
    <t xml:space="preserve">กล่องเค้กฐานน้ำตาล(E93) 1/2ปอนด์เล็ก </t>
  </si>
  <si>
    <t xml:space="preserve"> 1/2ปอนด์เล็ก </t>
  </si>
  <si>
    <t>กล่องเค้กฐานน้ำตาล(กลมE114(1/4)</t>
  </si>
  <si>
    <t>E114(1/4)</t>
  </si>
  <si>
    <t>กล่องเค้กฐานน้ำตาลTC-321  1ปอนด์</t>
  </si>
  <si>
    <t>1*25*8ห่อ</t>
  </si>
  <si>
    <t>321  1ปอนด์</t>
  </si>
  <si>
    <t>กล่องเค้กฐานน้ำตาล(EX`)     1ปอนด์</t>
  </si>
  <si>
    <t>1*50*4ห่อ</t>
  </si>
  <si>
    <t>กล่องเค้กฐานน้ำตาล2ปอนด์</t>
  </si>
  <si>
    <t>1*10*12แถว</t>
  </si>
  <si>
    <t xml:space="preserve"> 2ปอนด์(10)</t>
  </si>
  <si>
    <t>1*50*4ถ</t>
  </si>
  <si>
    <t xml:space="preserve"> 2ปอนด์(50)</t>
  </si>
  <si>
    <t>กล่องเค้กฐานน้ำตาล        3ปอนด์</t>
  </si>
  <si>
    <t>10ชุด*12ห่อ</t>
  </si>
  <si>
    <t xml:space="preserve"> 3ปอนด์(10)</t>
  </si>
  <si>
    <t>กล่องเค้กฐานน้ำตาล         3ปอนด์</t>
  </si>
  <si>
    <t>กล่องเค้กฐานน้ำตาล(สี่เหลี่ยม)</t>
  </si>
  <si>
    <t>E 67</t>
  </si>
  <si>
    <t>กล่องเค้กสามเหลี่ยมฝาปกติ</t>
  </si>
  <si>
    <t>E61</t>
  </si>
  <si>
    <t>สามเหลี่ยมฝาปกติ</t>
  </si>
  <si>
    <t>กล่องเค้กสามเหลี่ยมน้ำตาล+ฝาสูง</t>
  </si>
  <si>
    <t>E61 น้ำตาล+ฝาสูง</t>
  </si>
  <si>
    <t>กล่องเค้กสามเหลี่ยมใส      +ฝาสูง</t>
  </si>
  <si>
    <t>E61ใส +ฝาสูง</t>
  </si>
  <si>
    <t>กล่องเค้กสามเหลี่ยม+ใหญ่</t>
  </si>
  <si>
    <t>E61 น้ำตาลใหญฐ่</t>
  </si>
  <si>
    <t xml:space="preserve"> กล่องใสฝาพับ E-44</t>
  </si>
  <si>
    <t>50 ใบ</t>
  </si>
  <si>
    <t>ใสฝาพับ E-44</t>
  </si>
  <si>
    <t>ฐานน้ำตาลสี่ช่อง</t>
  </si>
  <si>
    <t>E44</t>
  </si>
  <si>
    <t>ฐานสีทองสี่ช่อง</t>
  </si>
  <si>
    <t>ฐานน้ำตาลหกช่อง</t>
  </si>
  <si>
    <t>E82</t>
  </si>
  <si>
    <t>ฐานน้ำตาล-อเวเตี้ยสั้น</t>
  </si>
  <si>
    <t>อเวเตี้ยสั้น</t>
  </si>
  <si>
    <t>ฐานน้ำตาล-อเวตื้น</t>
  </si>
  <si>
    <t>ฝาสูง7.8ซม.</t>
  </si>
  <si>
    <t>อเวตื้น</t>
  </si>
  <si>
    <t>ฐานน้ำตาลบราวนี่2ช่อง</t>
  </si>
  <si>
    <t>E123</t>
  </si>
  <si>
    <t>ฐานน้ำตาล</t>
  </si>
  <si>
    <t>E 52</t>
  </si>
  <si>
    <t>E 53</t>
  </si>
  <si>
    <t>E 58</t>
  </si>
  <si>
    <t>E 59</t>
  </si>
  <si>
    <t>E 62</t>
  </si>
  <si>
    <t>E 75</t>
  </si>
  <si>
    <t>E 77</t>
  </si>
  <si>
    <t>E77</t>
  </si>
  <si>
    <t>E 80</t>
  </si>
  <si>
    <t>E 82</t>
  </si>
  <si>
    <t>กล่องใสใส่มูสเค้ก</t>
  </si>
  <si>
    <t>E 39</t>
  </si>
  <si>
    <t>กล่องมูส</t>
  </si>
  <si>
    <t>E 86</t>
  </si>
  <si>
    <t>E 106</t>
  </si>
  <si>
    <t>E 109</t>
  </si>
  <si>
    <t>กล่องแซนวิชเรียบ</t>
  </si>
  <si>
    <t>แซนวิชเรียบ</t>
  </si>
  <si>
    <t>กล่องแซนวิชล็อค</t>
  </si>
  <si>
    <t>แซนวิชล็อค</t>
  </si>
  <si>
    <t>บริษัท....ดีเคเอสเอช จก. .....บ.เอส แอนด์เอสมัลติโปรดักส์...........บ.ซีแอล เอ็ม แพคเกจจิ้ง...........................................................ติดต่อ.........................................................................................</t>
  </si>
  <si>
    <t>ฟลอยวงรี</t>
  </si>
  <si>
    <t>S6002</t>
  </si>
  <si>
    <t>S6003</t>
  </si>
  <si>
    <t>ฟลอยสี่เหลี่ยมจัตุรัส(S&amp;S)</t>
  </si>
  <si>
    <t>S4001</t>
  </si>
  <si>
    <t>ฟลอยสี่เหลี่ยมจัตุรัส(S&amp;S)(สตาร์)</t>
  </si>
  <si>
    <t>S4002</t>
  </si>
  <si>
    <t>S4003</t>
  </si>
  <si>
    <t>S4004</t>
  </si>
  <si>
    <t>S4015</t>
  </si>
  <si>
    <t>S4018</t>
  </si>
  <si>
    <t>S4517</t>
  </si>
  <si>
    <t>S4032</t>
  </si>
  <si>
    <t>S4033</t>
  </si>
  <si>
    <t>S4007</t>
  </si>
  <si>
    <t>S4009</t>
  </si>
  <si>
    <t>ฟลอยกลม(S&amp;S)</t>
  </si>
  <si>
    <t>S3002</t>
  </si>
  <si>
    <t>S3003</t>
  </si>
  <si>
    <t>S3004</t>
  </si>
  <si>
    <t>S3010</t>
  </si>
  <si>
    <t>S3013</t>
  </si>
  <si>
    <t>S3040</t>
  </si>
  <si>
    <t>แก้วลอนใสSB</t>
  </si>
  <si>
    <t>6ออนน์</t>
  </si>
  <si>
    <t>SB6ออนน์</t>
  </si>
  <si>
    <t>7ออนน์</t>
  </si>
  <si>
    <t>SB7ออนน์</t>
  </si>
  <si>
    <t>10ออนน์</t>
  </si>
  <si>
    <t>SB10ออนน์</t>
  </si>
  <si>
    <t>12ออนน์</t>
  </si>
  <si>
    <t>SB12ออนน์</t>
  </si>
  <si>
    <t>แก้วลอนใสSB (95)100ใบ</t>
  </si>
  <si>
    <t>16ออนน์</t>
  </si>
  <si>
    <t>SBลอน16ออนน์</t>
  </si>
  <si>
    <t>แก้วเรียบใสSB</t>
  </si>
  <si>
    <t>14ออนน์</t>
  </si>
  <si>
    <t>SBเรียบ14ออนน์</t>
  </si>
  <si>
    <t>SBเรียบ16ออนน์</t>
  </si>
  <si>
    <t>แก้วเรียบใสTCL(90)</t>
  </si>
  <si>
    <t>TCLรียบ16ออนน์</t>
  </si>
  <si>
    <t>18ออนน์</t>
  </si>
  <si>
    <t>TCLเรียบ18ออนน์</t>
  </si>
  <si>
    <t>20ออนน์</t>
  </si>
  <si>
    <t>TCLเรียบ20ออนน์</t>
  </si>
  <si>
    <t>แก้วเรียบใสTCL(95)</t>
  </si>
  <si>
    <t>22ออนน์</t>
  </si>
  <si>
    <t>TCLเรียบ22ออนน์</t>
  </si>
  <si>
    <t>แก้วลอนลายสิง16ออน(95)</t>
  </si>
  <si>
    <t>1*50ใบ</t>
  </si>
  <si>
    <t>แก้วลอนลายสิง20ออน(95)</t>
  </si>
  <si>
    <t>แก้วลอนลายสิง22ออน(95)</t>
  </si>
  <si>
    <t>แก้วน้ำ 28ออนน์+ฝาโดม</t>
  </si>
  <si>
    <t>28ออนน์</t>
  </si>
  <si>
    <t>แก้วน้ำเพชร 30 ออนน์(116)</t>
  </si>
  <si>
    <t>30 ออนน์</t>
  </si>
  <si>
    <t>แก้วน้ำเพชร 32ออนน์+ฝาโดม(116)</t>
  </si>
  <si>
    <t>32ออนน์</t>
  </si>
  <si>
    <t>แก้วน้ำ        30 ออนน์+ฝาโดม(116)</t>
  </si>
  <si>
    <t>แก้วน้ำ       32 ออนน์+ฝาโดม(116)</t>
  </si>
  <si>
    <t>แก้วแคปซูนCPW 12ออนปาก95</t>
  </si>
  <si>
    <t>แคปซูนCPW 12</t>
  </si>
  <si>
    <t>แก้วแคปซูนCPW 16ออนปาก95</t>
  </si>
  <si>
    <t>แคปซูนCPW 16</t>
  </si>
  <si>
    <t>แก้วแคปซูนCPW 18ออนปาก95</t>
  </si>
  <si>
    <t>แคปซูนCPW 18อ</t>
  </si>
  <si>
    <t>แก้วแคปซูนCPW 20ออนปาก95</t>
  </si>
  <si>
    <t>แคปซูนCPW 20</t>
  </si>
  <si>
    <t>แก้วแคปซูน CPW22ออนปาก95</t>
  </si>
  <si>
    <t>แคปซูน CPW22</t>
  </si>
  <si>
    <t>แก้วปิรมิท    22ออนน์</t>
  </si>
  <si>
    <t>ปิรมิท    22</t>
  </si>
  <si>
    <t>แก้วยีราฟ    22ออนน์</t>
  </si>
  <si>
    <t>วยีราฟ    22</t>
  </si>
  <si>
    <t>แก้วคอนโด 22ออนน์</t>
  </si>
  <si>
    <t>คอนโด 22</t>
  </si>
  <si>
    <r>
      <t>ถ้วย16OZเรียบใส</t>
    </r>
    <r>
      <rPr>
        <b/>
        <sz val="13"/>
        <color indexed="60"/>
        <rFont val="Arial"/>
        <family val="2"/>
      </rPr>
      <t>(EPP)</t>
    </r>
    <r>
      <rPr>
        <b/>
        <sz val="13"/>
        <rFont val="Arial"/>
        <family val="2"/>
      </rPr>
      <t>ปาก95</t>
    </r>
  </si>
  <si>
    <t>16OZเรียบใส(EPP)</t>
  </si>
  <si>
    <r>
      <t>ถ้วย22OZเรียบใส</t>
    </r>
    <r>
      <rPr>
        <b/>
        <sz val="13"/>
        <color indexed="60"/>
        <rFont val="Arial"/>
        <family val="2"/>
      </rPr>
      <t>(EPP)</t>
    </r>
    <r>
      <rPr>
        <b/>
        <sz val="13"/>
        <rFont val="Arial"/>
        <family val="2"/>
      </rPr>
      <t>ปาก95</t>
    </r>
  </si>
  <si>
    <t>22OZเรียบใส(EPP)</t>
  </si>
  <si>
    <r>
      <rPr>
        <sz val="16"/>
        <color indexed="30"/>
        <rFont val="Arial"/>
        <family val="2"/>
      </rPr>
      <t>แก้วKK</t>
    </r>
    <r>
      <rPr>
        <sz val="16"/>
        <rFont val="Arial"/>
        <family val="2"/>
      </rPr>
      <t>(pet)16ออนปาก98</t>
    </r>
  </si>
  <si>
    <t>KK(pet)16</t>
  </si>
  <si>
    <r>
      <rPr>
        <sz val="16"/>
        <color indexed="30"/>
        <rFont val="Arial"/>
        <family val="2"/>
      </rPr>
      <t>แก้วKK</t>
    </r>
    <r>
      <rPr>
        <sz val="16"/>
        <rFont val="Arial"/>
        <family val="2"/>
      </rPr>
      <t>(pet)22ออนปาก98</t>
    </r>
  </si>
  <si>
    <t>KK(pet)22</t>
  </si>
  <si>
    <t>ถ้วยนึ่งEPP 7ออนน์</t>
  </si>
  <si>
    <t>50ชิ้น</t>
  </si>
  <si>
    <t>นึ่งEPP 7ออน</t>
  </si>
  <si>
    <t>ถ้วยเต้าฮวยแคปซูล(ซากุระ)ขาวขุ่น</t>
  </si>
  <si>
    <t>20ชุด</t>
  </si>
  <si>
    <t>เต้าฮวยแคปซูล(ซากุระ)ขาว</t>
  </si>
  <si>
    <t>ถ้วยเต้าฮวยแคปซูล(ซากุระ)ดำ+ทอง</t>
  </si>
  <si>
    <t>ฮวยแคปซูล(ซากุระ)ดำ+ทอง</t>
  </si>
  <si>
    <t>ถ้วยเต้าฮวยSP</t>
  </si>
  <si>
    <t>ยเต้าฮวยSP</t>
  </si>
  <si>
    <t>ถ้วยจีบสีใส 1ออน(ตราผึ้ง)</t>
  </si>
  <si>
    <t>100ชิ้น</t>
  </si>
  <si>
    <t>จีบสีใส 1ออน(</t>
  </si>
  <si>
    <t>กรวยกระดาษสีขาว(เฟรช)</t>
  </si>
  <si>
    <t>180ใบ</t>
  </si>
  <si>
    <t>กรวยกระดาษ</t>
  </si>
  <si>
    <t>ฝาเรียบไม่เจาะ TCL</t>
  </si>
  <si>
    <t>L 75</t>
  </si>
  <si>
    <t>ฝาเรียบL75</t>
  </si>
  <si>
    <t>ฝาโดมไม่เจาะ TCL</t>
  </si>
  <si>
    <t>D 75</t>
  </si>
  <si>
    <t>ฝาโดมD 75</t>
  </si>
  <si>
    <t>ถ้วย  TC-1ออนน์+ฝา</t>
  </si>
  <si>
    <t>TC-1ออนน์+ฝา</t>
  </si>
  <si>
    <t>ถ้วยน้ำจิ้มTR -1ออนน์(ฝาติด)</t>
  </si>
  <si>
    <t>TR -1ออนน์(ฝา</t>
  </si>
  <si>
    <t>ถ้วยน้ำจิ้มTC-2ออนน์(ฝาติด)</t>
  </si>
  <si>
    <t>TC-2ออนน์</t>
  </si>
  <si>
    <t>ถ้วย  TC-2ออนน์+ฝา</t>
  </si>
  <si>
    <t>TC-2ออนน์+ฝา</t>
  </si>
  <si>
    <t>ถ้วย  TC-3ออนน์  (เค)</t>
  </si>
  <si>
    <t>3ออนน์  (เค)</t>
  </si>
  <si>
    <t>ถ้วย  TC-4ออนน์  (เค)</t>
  </si>
  <si>
    <t>4ออนน์  (เค</t>
  </si>
  <si>
    <t>ถ้วย  TC-5ออนน์  (เค)</t>
  </si>
  <si>
    <t>5ออนน์  (เค)</t>
  </si>
  <si>
    <t>ถ้วย  TR-6ออนน์  (เค)</t>
  </si>
  <si>
    <t>6ออนน์  (เค)</t>
  </si>
  <si>
    <t>แก้วTr 500ก.   ปาก116</t>
  </si>
  <si>
    <t>Tr 500ก.   ปาก116</t>
  </si>
  <si>
    <t>แก้วTr 700ก.   ปาก116</t>
  </si>
  <si>
    <t>Tr 700ก.   ปาก116</t>
  </si>
  <si>
    <t>แก้ว24ออน   ปาก116</t>
  </si>
  <si>
    <t>24ออน   ปาก116</t>
  </si>
  <si>
    <t>แก้ว26ออน  ปาก116</t>
  </si>
  <si>
    <t>26ออน  ปาก116</t>
  </si>
  <si>
    <t>ถ้วย 6 OZ เกล็ดเพรชลาย(EPP)</t>
  </si>
  <si>
    <t>EPP 6ออนน์</t>
  </si>
  <si>
    <t xml:space="preserve"> 6 OZ เกล็ดเพรชลาย(EPP)</t>
  </si>
  <si>
    <t xml:space="preserve">ถ้วยไอศครีม 7OZ </t>
  </si>
  <si>
    <t>GPPS 7ออนน์</t>
  </si>
  <si>
    <t>ไอศครีม 7OZ</t>
  </si>
  <si>
    <t>ถ้วย  100กรัม        (EPP)</t>
  </si>
  <si>
    <t xml:space="preserve"> 100กรัม </t>
  </si>
  <si>
    <t xml:space="preserve"> (EPP)</t>
  </si>
  <si>
    <t>ถ้วย  150กรัม        (EPP)</t>
  </si>
  <si>
    <t xml:space="preserve">150กรัม </t>
  </si>
  <si>
    <t>ถ้วย  200กรัม        (EPP)</t>
  </si>
  <si>
    <t xml:space="preserve">200กรัม (EPP) </t>
  </si>
  <si>
    <t>ฝาเรียบ EPP 85(ไม่เจาะ)</t>
  </si>
  <si>
    <t>ฝาเรียบEPP 95(ไม่เจาะ)</t>
  </si>
  <si>
    <t>ฝาโดม 90เจาะ</t>
  </si>
  <si>
    <t>ฝาโดม90(กระดาษ</t>
  </si>
  <si>
    <t>ฝาโดม 90เจาะปิดกระดาษYYE</t>
  </si>
  <si>
    <t>1*100ใบ</t>
  </si>
  <si>
    <t>ฝาโดม  95 สีชมพู ฟ้า</t>
  </si>
  <si>
    <t>(แก้ว12,16,22oz)</t>
  </si>
  <si>
    <t>ฝาโดมตัด      H95เจาะปิดพลาสติกTCL</t>
  </si>
  <si>
    <t>ฝาโดม        95เจาะTCL</t>
  </si>
  <si>
    <t>ฝาโดม       95เจาะSB</t>
  </si>
  <si>
    <t>ฝาโดม      95เจาะปิดพลาสติกYYE</t>
  </si>
  <si>
    <t>ฝาโดม      95เจาะปิ</t>
  </si>
  <si>
    <t xml:space="preserve">ฝาเรียบยกดื่ม 95    </t>
  </si>
  <si>
    <t xml:space="preserve">ฝาเรียบยกดื่ม 95  </t>
  </si>
  <si>
    <t>ฝาชาชีท        95</t>
  </si>
  <si>
    <t>ฝาชาครีมชีท       95</t>
  </si>
  <si>
    <t>ฝายกดื่ม98</t>
  </si>
  <si>
    <t>ฝาโดม 98</t>
  </si>
  <si>
    <t>ฝาแก้วตัดใส H-95</t>
  </si>
  <si>
    <t>ฝาแก้วตัดใส CD-90</t>
  </si>
  <si>
    <t>ฝาฮาฟ 116</t>
  </si>
  <si>
    <t>ฝาโดม 116</t>
  </si>
  <si>
    <r>
      <t xml:space="preserve">ฝาโดม 116    </t>
    </r>
    <r>
      <rPr>
        <sz val="26"/>
        <color indexed="10"/>
        <rFont val="Angsana New"/>
        <family val="1"/>
      </rPr>
      <t xml:space="preserve"> ไม่เจาะ</t>
    </r>
  </si>
  <si>
    <t>ฝาโดม 116ม่เจาะ</t>
  </si>
  <si>
    <r>
      <t>ฝานูนสลิม 116</t>
    </r>
    <r>
      <rPr>
        <sz val="26"/>
        <color indexed="10"/>
        <rFont val="Angsana New"/>
        <family val="1"/>
      </rPr>
      <t>ไม่เจาะ</t>
    </r>
  </si>
  <si>
    <t>ฝานูนสลิม 116ไม่เจาะ</t>
  </si>
  <si>
    <r>
      <t>ฝาโดมเรียบ 116</t>
    </r>
    <r>
      <rPr>
        <sz val="26"/>
        <color indexed="10"/>
        <rFont val="Angsana New"/>
        <family val="1"/>
      </rPr>
      <t>ไม่เจาะ</t>
    </r>
  </si>
  <si>
    <t>เรียบ 116ไม่เจา</t>
  </si>
  <si>
    <t>หลอดมุกแพคใส</t>
  </si>
  <si>
    <t>1*100เส้น</t>
  </si>
  <si>
    <t>หลอดมุกแพค</t>
  </si>
  <si>
    <t>หลอดมุกยาว</t>
  </si>
  <si>
    <t>หลอดมุกสั้น</t>
  </si>
  <si>
    <t>หลอดงอ 6มิลห่อฟิลม์-ขาว</t>
  </si>
  <si>
    <t>250เส้น</t>
  </si>
  <si>
    <t>6มิลห่อฟิลม์-ขาว</t>
  </si>
  <si>
    <t>หลอดงอ 6มิลห่อฟิลม์-น้ำตาล</t>
  </si>
  <si>
    <t>6มิลห่อฟิลม์-น้ำตาล</t>
  </si>
  <si>
    <t>หลอดงอ 8มิลสีห่อฟิลม์(พาสเทล)</t>
  </si>
  <si>
    <t>หลอดงอ 8มิลสีห่อฟิลม์</t>
  </si>
  <si>
    <t>หลอดงอ 8มิลสีห่อฟิลม์(น้ำตาล)</t>
  </si>
  <si>
    <t xml:space="preserve"> 8มิลสีห่อฟิลม์(น้ำตาล)</t>
  </si>
  <si>
    <t>หลอดงอ 8มิลสีพาสเทล</t>
  </si>
  <si>
    <t>8มิลสีพาสเทล</t>
  </si>
  <si>
    <t>หลอดงอ 8มิลสีน้ำตาล</t>
  </si>
  <si>
    <t>8มิลขาว</t>
  </si>
  <si>
    <t>หลอดงอ 8มิลขาว</t>
  </si>
  <si>
    <t>หลอดงอ 8มิลเขียว</t>
  </si>
  <si>
    <t xml:space="preserve"> 8มิลเขียว</t>
  </si>
  <si>
    <t>ช้อนไอติมคละสี SB</t>
  </si>
  <si>
    <t>1*50คัน*10</t>
  </si>
  <si>
    <t>ช้อนไอติมคละสี</t>
  </si>
  <si>
    <t>ช้อนไอติมรีน่าขาว(5000)</t>
  </si>
  <si>
    <t>ไอติมรีน่าขาว</t>
  </si>
  <si>
    <t>ช้อนไอศครีมสีโปร่ง</t>
  </si>
  <si>
    <t>5000/หิ้ว</t>
  </si>
  <si>
    <t>ช้อนไอศครีมสีโปร่</t>
  </si>
  <si>
    <t>ช้อนใหญ่สีขาวSB</t>
  </si>
  <si>
    <t>2000คัน/หิ้ว</t>
  </si>
  <si>
    <t>ส้อมใหญ่ขาวSB</t>
  </si>
  <si>
    <t>ช้อนขาวใหญ่</t>
  </si>
  <si>
    <t>4*2000</t>
  </si>
  <si>
    <t>ส้อมขาวใหญ่</t>
  </si>
  <si>
    <t>ช้อนคู่ส้อมขาวใหญ่</t>
  </si>
  <si>
    <t>ช้อนคู่ส้อมใสใหญ่</t>
  </si>
  <si>
    <t>ช้อนคาวขาว</t>
  </si>
  <si>
    <t>5*2500</t>
  </si>
  <si>
    <t>ช้อนซุปขาว</t>
  </si>
  <si>
    <t>4*5000</t>
  </si>
  <si>
    <t>ช้อนใสSB</t>
  </si>
  <si>
    <t>2500คัน/หิ้ว</t>
  </si>
  <si>
    <t>ส้อมส้มตำขาว</t>
  </si>
  <si>
    <t>ส้อมจิ้มผลไม้</t>
  </si>
  <si>
    <t>ช้อนคนกาแฟ</t>
  </si>
  <si>
    <t>ช้อนพายจิ๋ว</t>
  </si>
  <si>
    <t>มีดปาดสเต๊ก</t>
  </si>
  <si>
    <t>ไม้เสียบลูกชิ้น</t>
  </si>
  <si>
    <t>5"</t>
  </si>
  <si>
    <t>6"</t>
  </si>
  <si>
    <t>7"</t>
  </si>
  <si>
    <t>8"</t>
  </si>
  <si>
    <t>9"</t>
  </si>
  <si>
    <t>10"</t>
  </si>
  <si>
    <t>12"</t>
  </si>
  <si>
    <t>70คู่/ห่อ</t>
  </si>
  <si>
    <t>กระทงฟลอย(S&amp;S)</t>
  </si>
  <si>
    <t>3219ลึก</t>
  </si>
  <si>
    <t>ฟลอยแผ่นกลม(S&amp;S)</t>
  </si>
  <si>
    <t>F-3</t>
  </si>
  <si>
    <t>ว่าว</t>
  </si>
  <si>
    <t>กส.5*5</t>
  </si>
  <si>
    <t>ห่าน</t>
  </si>
  <si>
    <t>พัด</t>
  </si>
  <si>
    <t>กส.22.5</t>
  </si>
  <si>
    <t>บัวแดง</t>
  </si>
  <si>
    <t>จิงโจ้</t>
  </si>
  <si>
    <t>ปังแฮปปี้ทาม</t>
  </si>
  <si>
    <t>กส. 22.5</t>
  </si>
  <si>
    <t>กิเลนแดง</t>
  </si>
  <si>
    <t>กิเลนเหลือง</t>
  </si>
  <si>
    <t>มงกุฎม่วง</t>
  </si>
  <si>
    <t>ปลาหมึกม่วง</t>
  </si>
  <si>
    <t>แป้ง555</t>
  </si>
  <si>
    <t>ดาวฟ้า</t>
  </si>
  <si>
    <t>เพรช</t>
  </si>
  <si>
    <t>สนเขียว</t>
  </si>
  <si>
    <t>ผักกาด</t>
  </si>
  <si>
    <t>ปลาหมึกดำ</t>
  </si>
  <si>
    <t>เชอรรี่ฟ้า</t>
  </si>
  <si>
    <t>เชอรรี่แดง</t>
  </si>
  <si>
    <t>เค้กยูเอฟเอ็ม</t>
  </si>
  <si>
    <t>สปันเค้ก</t>
  </si>
  <si>
    <t>วาฟเฟอร์</t>
  </si>
  <si>
    <t>บราวนี่</t>
  </si>
  <si>
    <t>แพนเค้ก</t>
  </si>
  <si>
    <t>ปุยฝ้าย</t>
  </si>
  <si>
    <t>กรอบยูเอฟเอ็ม</t>
  </si>
  <si>
    <t>กรอบอังเคอร์</t>
  </si>
  <si>
    <t>กรอบครัววังทิพย์</t>
  </si>
  <si>
    <t>กล้วยวังทิพย์</t>
  </si>
  <si>
    <t>กล้วยเหรียญ</t>
  </si>
  <si>
    <t>กรอบช่อบัว</t>
  </si>
  <si>
    <t>แป้งสลิ่ม</t>
  </si>
  <si>
    <t>ขนมชั้นแม่สมจิตร</t>
  </si>
  <si>
    <t>แป้งอเนกประสงค์(แป้งบัวลอย)</t>
  </si>
  <si>
    <t>แป้งขนมนึ่งเอราวัญ</t>
  </si>
  <si>
    <t>หอยทอดเอราวัญ</t>
  </si>
  <si>
    <t>แป้งดอกจอก</t>
  </si>
  <si>
    <t>แป้งขนมครก</t>
  </si>
  <si>
    <t>แป้งขนมถ้วย</t>
  </si>
  <si>
    <t>แป้งข้าวโพดครัววังทิพย์</t>
  </si>
  <si>
    <t>แป้งข้าวโพดใบหยก</t>
  </si>
  <si>
    <t>แป้งข้าวจ้าวใบหยก</t>
  </si>
  <si>
    <t>แป้งข้าวเหนียวใบหยก</t>
  </si>
  <si>
    <t>แป้งข้าวจ้าวเหรียญก้าวหน้า</t>
  </si>
  <si>
    <t>แป้งข้าวเหนียวเหรียญก้าวหน้า</t>
  </si>
  <si>
    <t>แป้งข้าวจ้าวช้าง</t>
  </si>
  <si>
    <t>แป้งข้าวเหนียวช้าง</t>
  </si>
  <si>
    <t>แป้งข้าวจ้าวเหรียญทองคู่</t>
  </si>
  <si>
    <t>แป้งข้าวเหนียวเหรียญทองคู่</t>
  </si>
  <si>
    <t>แป้งข้าวจ้าวเอราวัญ</t>
  </si>
  <si>
    <t>แซมซั่น</t>
  </si>
  <si>
    <t>ตัก</t>
  </si>
  <si>
    <t>เหลืองโอพี</t>
  </si>
  <si>
    <t>ขาวโอพี</t>
  </si>
  <si>
    <t>เหลืองใบไม้</t>
  </si>
  <si>
    <t>เหลืองเซท</t>
  </si>
  <si>
    <t>เหลืองป๊อบ</t>
  </si>
  <si>
    <t>ขาวใบไม้</t>
  </si>
  <si>
    <t>เหลืองเยลโล่</t>
  </si>
  <si>
    <t>ขาวครีมทอป</t>
  </si>
  <si>
    <t>เนยพายพัฟทอป</t>
  </si>
  <si>
    <t>เนยบัตเตอร์ทูอินวัน</t>
  </si>
  <si>
    <t>เนยทอดฟายฟาย</t>
  </si>
  <si>
    <t>เนยบูลเบน</t>
  </si>
  <si>
    <t>กล่องข้าวสี่เหลี่ยมFN 500</t>
  </si>
  <si>
    <t>สี่เหลี่ยมFN 500</t>
  </si>
  <si>
    <t>กล่องข้าวสี่เหลี่ยมFN 650</t>
  </si>
  <si>
    <t>สี่เหลี่ยมFN 650</t>
  </si>
  <si>
    <t>กล่องข้าวสี่เหลี่ยมFN 750</t>
  </si>
  <si>
    <t>สี่เหลี่ยมFN 750</t>
  </si>
  <si>
    <t>กล่องข้าวสี่เหลี่ยมFN 1000</t>
  </si>
  <si>
    <t>สี่เหลี่ยมFN 1000</t>
  </si>
  <si>
    <t>กล่องข้าวสี่เหลี่ยมBL 500</t>
  </si>
  <si>
    <t>สี่เหลี่ยมBL 500</t>
  </si>
  <si>
    <t>กล่องข้าวสี่เหลี่ยมBL 750</t>
  </si>
  <si>
    <t>สี่เหลี่ยมBL 750</t>
  </si>
  <si>
    <t>กล่องข้าวสี่เหลี่ยมBL 1000</t>
  </si>
  <si>
    <t>สี่เหลี่ยมBL 1000</t>
  </si>
  <si>
    <t>กล่องข้าวสี่เหลี่ยมTCL-A752(Tใส2ช่อง)</t>
  </si>
  <si>
    <t>สี่เหลี่ยมTCL</t>
  </si>
  <si>
    <t>กล่องข้าวสี่เหลี่ยมTCL-A752(B-ดำ2ช่อง)</t>
  </si>
  <si>
    <t>สี่เหลี่ยมTC</t>
  </si>
  <si>
    <r>
      <t xml:space="preserve">กล่องข้าวสี่เหลี่ยม  A652   </t>
    </r>
    <r>
      <rPr>
        <sz val="16"/>
        <rFont val="Angsana New"/>
        <family val="1"/>
      </rPr>
      <t xml:space="preserve"> (750ชิ้น)</t>
    </r>
  </si>
  <si>
    <t xml:space="preserve">สี่เหลี่ยม  </t>
  </si>
  <si>
    <t>กล่องข้าวดำ3ช่องL-31</t>
  </si>
  <si>
    <t>ดำ3ช่องL-31</t>
  </si>
  <si>
    <t xml:space="preserve">กล่องข้าวใส3ช่อง EPP  </t>
  </si>
  <si>
    <t>ใส3ช่อง EPP</t>
  </si>
  <si>
    <t>กล่องข้าวไมโคเวฟทรงกลมFN-300</t>
  </si>
  <si>
    <t>ทรงกลมFN-300</t>
  </si>
  <si>
    <t>กล่องข้าวไมโคเวฟทรงกลมFN-450</t>
  </si>
  <si>
    <t>ทรงกลมFN-450</t>
  </si>
  <si>
    <t>กล่องข้าวไมโคเวฟทรงกลมFN-750</t>
  </si>
  <si>
    <t>ทรงกลมFN-750</t>
  </si>
  <si>
    <t>กล่องข้าวไมโคเวฟทรงกลมFN-1000</t>
  </si>
  <si>
    <t>ทรงกลมFN-1000</t>
  </si>
  <si>
    <t>กล่องข้าวไมโคเวฟทรงกลมBL-450</t>
  </si>
  <si>
    <t>ทรงกลมBL-450</t>
  </si>
  <si>
    <t>กล่องข้าวไมโคเวฟทรงกลมBL-750</t>
  </si>
  <si>
    <t>ทรงกลมBL-750</t>
  </si>
  <si>
    <t>กล่องข้าวไมโคเวฟทรงกลมBL-1000</t>
  </si>
  <si>
    <t>ทรงกลมBL-1000</t>
  </si>
  <si>
    <t>ชามคราฟ(เยื่อไม้)ทรงต่ำ</t>
  </si>
  <si>
    <t>ชามคราฟ500</t>
  </si>
  <si>
    <t>ชามคราฟ(เยื่อไม้)  130</t>
  </si>
  <si>
    <t>640มล</t>
  </si>
  <si>
    <t>ชามคราฟ640</t>
  </si>
  <si>
    <t xml:space="preserve">ชามคราฟ(เยื่อไม้)  </t>
  </si>
  <si>
    <t>ชามคราฟ1000</t>
  </si>
  <si>
    <t xml:space="preserve">ฝาใส   </t>
  </si>
  <si>
    <t>130มม.</t>
  </si>
  <si>
    <t xml:space="preserve">ฝาใส </t>
  </si>
  <si>
    <t>150มม.</t>
  </si>
  <si>
    <t>ชามคราฟกลม+ฝา</t>
  </si>
  <si>
    <t>ชามคราฟกลม+ฝา500</t>
  </si>
  <si>
    <t>ชามคราฟกลม+ฝา750</t>
  </si>
  <si>
    <t>ชามคราฟสี่เหลี่ยม+ฝา</t>
  </si>
  <si>
    <t>ชามคราฟสี่เหลี่ยม+ฝา500</t>
  </si>
  <si>
    <t>ชามคราฟสี่เหลี่ยม+ฝา750</t>
  </si>
  <si>
    <t>กล่องคราฟบะหมี่</t>
  </si>
  <si>
    <t>26ออน</t>
  </si>
  <si>
    <t>กล่องคราฟบะหมี่26</t>
  </si>
  <si>
    <t>คลีน- กล่องอาหารอานามัย</t>
  </si>
  <si>
    <t>คลีนกล่องอาหารอานามัย600</t>
  </si>
  <si>
    <t>725มล</t>
  </si>
  <si>
    <t>คลีนกล่องอาหารอานามัย725</t>
  </si>
  <si>
    <t>1300มล</t>
  </si>
  <si>
    <t>คลีนกล่องอาหารอานามัย1300</t>
  </si>
  <si>
    <t xml:space="preserve"> กล่องอาหารกระดาษ</t>
  </si>
  <si>
    <t>กล่องกระดาษ600</t>
  </si>
  <si>
    <t>กล่องกระดาษ725</t>
  </si>
  <si>
    <t>กล่องผลไม้EPP250มล.</t>
  </si>
  <si>
    <t>ผลไม้EPP250มล.</t>
  </si>
  <si>
    <t>กล่องผลไม้EPP500มล.</t>
  </si>
  <si>
    <t>ผลไม้EPP500มล.</t>
  </si>
  <si>
    <t>กล่องข้าวสี่เหลี่ยมสีดำ3หลุม</t>
  </si>
  <si>
    <t>สี่เหลี่ยมสีดำ3หลุม</t>
  </si>
  <si>
    <t>กล่องใส(2ช่อง)750มล.epp</t>
  </si>
  <si>
    <t>ใส(2ช่อง)750มล.epp</t>
  </si>
  <si>
    <t>กล่องใสใส่อาหาร+ฝา500มล</t>
  </si>
  <si>
    <t>สใส่อาหาร+ฝา500มล</t>
  </si>
  <si>
    <r>
      <t xml:space="preserve">กล่องข้าวPPSB99-1ช่อง </t>
    </r>
    <r>
      <rPr>
        <sz val="16"/>
        <rFont val="Angsana New"/>
        <family val="1"/>
      </rPr>
      <t>(ฝาปะกบ)</t>
    </r>
  </si>
  <si>
    <t>SB99-1ช่อง (ฝาปะกบ)</t>
  </si>
  <si>
    <r>
      <t xml:space="preserve">กล่องข้าวPPSB99-2ช่อง </t>
    </r>
    <r>
      <rPr>
        <sz val="16"/>
        <rFont val="Angsana New"/>
        <family val="1"/>
      </rPr>
      <t>(ฝาปะกบ)</t>
    </r>
  </si>
  <si>
    <t>SB99-2ช่อง (ฝาปะกบ)</t>
  </si>
  <si>
    <t>กล่องข้าวPPSB912 (ฝาปะกบ)</t>
  </si>
  <si>
    <t>SB912 (ฝาปะกบ</t>
  </si>
  <si>
    <t>กล่องข้าวPPSB912-2ช่อง (ฝาปะกบ)</t>
  </si>
  <si>
    <t xml:space="preserve">SB912-2ช่อง </t>
  </si>
  <si>
    <t>กล่องข้าวPPSB500 (ฝาปะกบ)</t>
  </si>
  <si>
    <t>SB500 (ฝาปะกบ</t>
  </si>
  <si>
    <t>ชามฮอนบอย</t>
  </si>
  <si>
    <t>56</t>
  </si>
  <si>
    <t>ชามฮอนบอย56</t>
  </si>
  <si>
    <t>57</t>
  </si>
  <si>
    <t>ชามฮอนบอย57</t>
  </si>
  <si>
    <t>ชามฮอนบอย52</t>
  </si>
  <si>
    <t>ชามฮอนบอย45</t>
  </si>
  <si>
    <t>ชามฮอนบอยสีน้ำตาล</t>
  </si>
  <si>
    <t>สีน้ำตาล45</t>
  </si>
  <si>
    <t>ชามCPWสีน้ำตาล</t>
  </si>
  <si>
    <t>CPWสีน้ำตาล45</t>
  </si>
  <si>
    <t>ชามTC PP- 56  ปาก116</t>
  </si>
  <si>
    <t xml:space="preserve"> TC PP- 56 </t>
  </si>
  <si>
    <t>ชามTC PP- 57  ปาก116</t>
  </si>
  <si>
    <t>TC PP- 57</t>
  </si>
  <si>
    <t>ชามTC PP- 45  ปาก118</t>
  </si>
  <si>
    <t xml:space="preserve">TC PP- 45  </t>
  </si>
  <si>
    <t>ฝาปิดชาม 45</t>
  </si>
  <si>
    <t>จานPP 6."</t>
  </si>
  <si>
    <t>ถ้วยกระดาษ       130ซซ.</t>
  </si>
  <si>
    <t>ถ้วยกระดาษ  130</t>
  </si>
  <si>
    <t>ถ้วยกระดาษ       160ซซ.</t>
  </si>
  <si>
    <t>ถ้วยกระดาษ  160</t>
  </si>
  <si>
    <t>ถ้วยกระดาษ       260ซซ.</t>
  </si>
  <si>
    <t xml:space="preserve">ถ้วยกระดาษ260  </t>
  </si>
  <si>
    <t>ถ้วยกระดาษ สูง   390ซซ.</t>
  </si>
  <si>
    <t xml:space="preserve">ถ้วยกระดาษสูง390  </t>
  </si>
  <si>
    <t>ถ้วยกระดาษเตี้ย  390ซซ.</t>
  </si>
  <si>
    <t xml:space="preserve">ถ้วยกระดาษเตี้ย390  </t>
  </si>
  <si>
    <t>ถ้วยกระดาษ       520ซซ.</t>
  </si>
  <si>
    <t xml:space="preserve">ถ้วยกระดาษ 520 </t>
  </si>
  <si>
    <t>ถ้วยกระดาษ       750ซซ.</t>
  </si>
  <si>
    <t xml:space="preserve">ถ้วยกระดาษ 750 </t>
  </si>
  <si>
    <t>แก้วกระดาษ   6.5ออนน์</t>
  </si>
  <si>
    <t>แก้วกระดาษ   6.5</t>
  </si>
  <si>
    <t>แก้วกระดาษ   8.5ออนน์</t>
  </si>
  <si>
    <t>แก้วกระดาษ   8.5</t>
  </si>
  <si>
    <t>แก้วกาแฟกระดาษ 22อนน์</t>
  </si>
  <si>
    <t>กระดาษ 22</t>
  </si>
  <si>
    <t>กรวยกระดาษสีขาว</t>
  </si>
  <si>
    <t>จานกระดาษ</t>
  </si>
  <si>
    <t>จานกระดาษ6"</t>
  </si>
  <si>
    <t>จานกระดาษ7"</t>
  </si>
  <si>
    <t>จานกระดาษ9"</t>
  </si>
  <si>
    <t>จานพลาสติก</t>
  </si>
  <si>
    <t>จานพลาสติก6"</t>
  </si>
  <si>
    <t>แก้วเต้าฮวยSP</t>
  </si>
  <si>
    <t>แก้วเต้าฮวยแคปซูลทอง</t>
  </si>
  <si>
    <t>เต้าฮวยแคปซูลทอง</t>
  </si>
  <si>
    <t>แก้วเต้าฮวยแคปซูลขาว</t>
  </si>
  <si>
    <t>เต้าฮวยแคปซูลขาว</t>
  </si>
  <si>
    <t>กล่องพิซซ่า</t>
  </si>
  <si>
    <t>7  นิ้ว</t>
  </si>
  <si>
    <t>กล่องพิซซ่า7"</t>
  </si>
  <si>
    <t>9.5 นิ้ว</t>
  </si>
  <si>
    <t>กล่องพิซซ่า9.5"</t>
  </si>
  <si>
    <t>กล่องคราฟเตี้ย</t>
  </si>
  <si>
    <t>1/2ปอนด์</t>
  </si>
  <si>
    <t>กล่องคราฟเตี้ย1/2ปอนด์</t>
  </si>
  <si>
    <t>กล่องขาวเจาะ</t>
  </si>
  <si>
    <t>กล่องขาวเจาะ1/2ปอนด์</t>
  </si>
  <si>
    <t>กล่องสีลายเจาะ</t>
  </si>
  <si>
    <t>กล่องสีลายเจาะ1/2ปอนด์</t>
  </si>
  <si>
    <t>ฐานเค้ก</t>
  </si>
  <si>
    <t>ฐานเค้ก1/2ปอนด์</t>
  </si>
  <si>
    <t>กล่องขาวเจาะ1</t>
  </si>
  <si>
    <t>กล่องขาวอาตเจาะ</t>
  </si>
  <si>
    <t>กล่องขาวอาตเจาะ1</t>
  </si>
  <si>
    <t>กล่องขาวเตี้ยเจาะ</t>
  </si>
  <si>
    <t>กล่องขาวเตี้ยเจาะ1</t>
  </si>
  <si>
    <t>กล่องสีลาย เจาะ</t>
  </si>
  <si>
    <t>กล่องสีลาย เจาะ1</t>
  </si>
  <si>
    <t>ฐานเค้กชมพู,ขาว</t>
  </si>
  <si>
    <t>ฐานเค้กชมพู,ขาว1</t>
  </si>
  <si>
    <t>ฐานเค้กสีทอง</t>
  </si>
  <si>
    <t>ฐานเค้กสีทอง1</t>
  </si>
  <si>
    <t>กล่องเค้กขาวเจาะ</t>
  </si>
  <si>
    <t>2ปอนด์</t>
  </si>
  <si>
    <t>กล่องเค้กขาวเจาะ2</t>
  </si>
  <si>
    <t>กล่องเค้กขาวอาร์ตเจาะ</t>
  </si>
  <si>
    <t>กล่องเค้กขาวอาร์ตเจาะ2</t>
  </si>
  <si>
    <t>กล่องลายเงา-หลังเทา เจาะ</t>
  </si>
  <si>
    <t>กล่องลายเงา-หลังเทา 2</t>
  </si>
  <si>
    <t>ฐานเค้กชมพู,ขาว2</t>
  </si>
  <si>
    <t>ฐานเค้กสีทอง2</t>
  </si>
  <si>
    <t>3 ปอนด์</t>
  </si>
  <si>
    <t>กล่องขาวเจาะ3</t>
  </si>
  <si>
    <t>กล่องสีลายเจาะ3</t>
  </si>
  <si>
    <t>กล่องขาวอาตเจาะ3</t>
  </si>
  <si>
    <t>ฐานเค้ก3</t>
  </si>
  <si>
    <t>ฐานเค้กทอง</t>
  </si>
  <si>
    <t>ฐานเค้กทอง3</t>
  </si>
  <si>
    <t>กล่องขาวเจาะ4</t>
  </si>
  <si>
    <t>กล่องลายเงา-หลังเทา4</t>
  </si>
  <si>
    <t>ฐานเค้ก4</t>
  </si>
  <si>
    <t>5 ปอนด์</t>
  </si>
  <si>
    <t>กล่องขาวเจาะ5</t>
  </si>
  <si>
    <t>กล่องลายเงา-หลังเทา 5</t>
  </si>
  <si>
    <t>ฐานเค้ก5</t>
  </si>
  <si>
    <t>กล่อง5*5*3</t>
  </si>
  <si>
    <t>กล่องเค้กโหลใหญ่(ตัว+ฝา)</t>
  </si>
  <si>
    <t>กล่องเค้กโหลใหญ่(ตัว+ฝา</t>
  </si>
  <si>
    <t>กล่องเค้กตลาดใหญ่(ตัว+ฝา)</t>
  </si>
  <si>
    <t>กล่องเค้กตลาดเล็ก(ตัว+ฝา)</t>
  </si>
  <si>
    <t>กล่องใสทรงสูง1 ปอนด์</t>
  </si>
  <si>
    <t>กล่องใสทรงสูง2 ปอนด์</t>
  </si>
  <si>
    <t>กล่องใสทรงสูง3ปอนด์</t>
  </si>
  <si>
    <t>ซองเครป(เจ้าหญิง)</t>
  </si>
  <si>
    <t>1*3000ใบ</t>
  </si>
  <si>
    <t>ซองเครป</t>
  </si>
  <si>
    <t>ซองโตเกียวใหญ่(การตูน)</t>
  </si>
  <si>
    <t>ซองโตเกียวใหญ่(การตูน</t>
  </si>
  <si>
    <t>ซองโตเกียวใหญ่(ขาว)</t>
  </si>
  <si>
    <t>ถุงกาแฟกระดาษลายKI125g</t>
  </si>
  <si>
    <t>ขนาดใหญ่</t>
  </si>
  <si>
    <r>
      <t>ถุงกระดาษไม่พิม์ลาย(</t>
    </r>
    <r>
      <rPr>
        <sz val="18"/>
        <rFont val="Angsana New"/>
        <family val="1"/>
      </rPr>
      <t>น้ำตาลKl  125</t>
    </r>
    <r>
      <rPr>
        <sz val="22"/>
        <rFont val="Angsana New"/>
        <family val="1"/>
      </rPr>
      <t>)</t>
    </r>
  </si>
  <si>
    <t>ถุงกระดาษไม่พิม์ลาย(</t>
  </si>
  <si>
    <t>ถุงกระดาษน้ำตาลธรรมดา</t>
  </si>
  <si>
    <t>ถุงกระดาษกลาง</t>
  </si>
  <si>
    <t>ถุงกระดาษเล็ก</t>
  </si>
  <si>
    <t>XL</t>
  </si>
  <si>
    <t>ถุงกระดาษปอนด์พิมพ์ 4สี</t>
  </si>
  <si>
    <t>ขนาดกลาง</t>
  </si>
  <si>
    <t>พิมพ์ 4สีกลาง</t>
  </si>
  <si>
    <t>ขนาดเล็ก</t>
  </si>
  <si>
    <t>พิมพ์ 4สีเล็ก</t>
  </si>
  <si>
    <t>ซองขนมปังลายสี(กลาง)</t>
  </si>
  <si>
    <t>6*12.7*23</t>
  </si>
  <si>
    <t>ปังลายสี(กลาง)</t>
  </si>
  <si>
    <t>ถุงกระดาษน้ำตาลพรีเมี่ยม</t>
  </si>
  <si>
    <t>พรีเมี่ยมเล็ก</t>
  </si>
  <si>
    <t>พรีเมี่ยมกลาง</t>
  </si>
  <si>
    <t>ถุงกระดาษน้ำตาลหูหิ้ว125   M</t>
  </si>
  <si>
    <t>13*8*18</t>
  </si>
  <si>
    <t>หูหิ้ว125   M</t>
  </si>
  <si>
    <t>ถุงกระดาษน้ำตาลหูหิ้ว125    L</t>
  </si>
  <si>
    <t>15.5*9*21.5</t>
  </si>
  <si>
    <t>หูหิ้ว125    L</t>
  </si>
  <si>
    <t>ถุงกระดาษน้ำตาลหิ้ว125  XL</t>
  </si>
  <si>
    <t>13*19*21</t>
  </si>
  <si>
    <t>หิ้ว125  XL</t>
  </si>
  <si>
    <t>ถุงกระดาษน้ำตาลหิ้ว      2X L</t>
  </si>
  <si>
    <t>11*21*29</t>
  </si>
  <si>
    <t>หิ้ว      2X L</t>
  </si>
  <si>
    <t>ถุงกระดาษน้ำตาลหิ้ว      3X L</t>
  </si>
  <si>
    <t>15*23*25</t>
  </si>
  <si>
    <t>หิ้ว      3X L</t>
  </si>
  <si>
    <t>ถาดสำเร็จรูปน้ำตาล(4*4)</t>
  </si>
  <si>
    <t>ถาดสำเร็จรูปน้ำตาล(4*6)</t>
  </si>
  <si>
    <t>ถาดสำเร็จรูปอาร์ตขาว(4*4)</t>
  </si>
  <si>
    <t>อาร์ตขาว(4*4)</t>
  </si>
  <si>
    <t>ถาดสำเร็จรูปอาร์ตขาว(4*6)</t>
  </si>
  <si>
    <t>อาร์ตขาว(4*6)</t>
  </si>
  <si>
    <t>ถาดสำเร็จรูปอาร์ตขาว</t>
  </si>
  <si>
    <r>
      <t>ถาดสำเร็จรูปอาร์ตลาย</t>
    </r>
    <r>
      <rPr>
        <sz val="14"/>
        <rFont val="Angsana New"/>
        <family val="1"/>
      </rPr>
      <t>3.5*3.5</t>
    </r>
  </si>
  <si>
    <t>ถาดสำเร็จรูปอาร์ตลาย4*4</t>
  </si>
  <si>
    <t>ตลาย4*4</t>
  </si>
  <si>
    <t>ถาดสำเร็จรูปอาร์ตลาย4*6</t>
  </si>
  <si>
    <t>ลาย4*6</t>
  </si>
  <si>
    <t>ถาดสำเร็จรูปอาร์ตลาย</t>
  </si>
  <si>
    <t>จานกระดาษ   6"</t>
  </si>
  <si>
    <t>จานกระดาษ   7"</t>
  </si>
  <si>
    <t>จานกระดาษ   9"</t>
  </si>
  <si>
    <t>กระดาษขาวหน้ากว้าง</t>
  </si>
  <si>
    <t>12*12</t>
  </si>
  <si>
    <t>กระดาษโรตี</t>
  </si>
  <si>
    <t>8+8</t>
  </si>
  <si>
    <t>9*9</t>
  </si>
  <si>
    <t>ถาดใสรองปลาหมึกT812</t>
  </si>
  <si>
    <t>ถาดใสรองปลาหมึกT 711</t>
  </si>
  <si>
    <t>ถาดใสรองปลาหมึกT600</t>
  </si>
  <si>
    <t>ถาดใสรองปลาหมึกT508</t>
  </si>
  <si>
    <t>ซองแซนวิช  ลาย #3สีชมพู</t>
  </si>
  <si>
    <t>ซองแซนวิช  ลาย #6สีเขียว+แดง</t>
  </si>
  <si>
    <t>ซองแซนวิช  สีใส</t>
  </si>
  <si>
    <t>รองซาลาเปา</t>
  </si>
  <si>
    <t>3*3</t>
  </si>
  <si>
    <t>3.5*3.5</t>
  </si>
  <si>
    <t>กระดาษห่อทุรียน</t>
  </si>
  <si>
    <t>8*10</t>
  </si>
  <si>
    <t>กระดาษชิฟฟ่อน</t>
  </si>
  <si>
    <t>ใบตองติดกระดาษ</t>
  </si>
  <si>
    <t>ใบตองแผ่นไฮเดน</t>
  </si>
  <si>
    <r>
      <t>โอเคผงปรุงรสปาปริก้า</t>
    </r>
    <r>
      <rPr>
        <sz val="18"/>
        <rFont val="Angsana New"/>
        <family val="1"/>
      </rPr>
      <t>(1*20ซอง)</t>
    </r>
  </si>
  <si>
    <t>ปาปริก้า(</t>
  </si>
  <si>
    <t>บาร์บิวคิว</t>
  </si>
  <si>
    <t>รสชีท</t>
  </si>
  <si>
    <t>ฮอทแอนด์สไปซี่</t>
  </si>
  <si>
    <t>แซ่บซี้ด</t>
  </si>
  <si>
    <t>วิงค์แซ่บ</t>
  </si>
  <si>
    <t>ต้มยำ</t>
  </si>
  <si>
    <t>โนริ</t>
  </si>
  <si>
    <t>พิชซ่า</t>
  </si>
  <si>
    <t>บ๊วยโอเค</t>
  </si>
  <si>
    <t>หมาล่า</t>
  </si>
  <si>
    <t>ซอสหมาล่า</t>
  </si>
  <si>
    <r>
      <t>ชีทโต๊ะปรุงรสปาปริก้า(</t>
    </r>
    <r>
      <rPr>
        <sz val="18"/>
        <rFont val="Angsana New"/>
        <family val="1"/>
      </rPr>
      <t>1*10ซอง)</t>
    </r>
  </si>
  <si>
    <t>ปาปริก้า</t>
  </si>
  <si>
    <r>
      <t>โดนัทผงปรุงรสปาปริก้า(</t>
    </r>
    <r>
      <rPr>
        <sz val="18"/>
        <rFont val="Angsana New"/>
        <family val="1"/>
      </rPr>
      <t>1*40ซอง</t>
    </r>
    <r>
      <rPr>
        <sz val="24"/>
        <rFont val="Angsana New"/>
        <family val="1"/>
      </rPr>
      <t>)</t>
    </r>
  </si>
  <si>
    <t>ซาวครีม</t>
  </si>
  <si>
    <t>โดนัทผงปรุงรสปาปริก้า(1*100ซอง)</t>
  </si>
  <si>
    <t>น้ำส้มควีน</t>
  </si>
  <si>
    <t>น้ำส้มซันควิท</t>
  </si>
  <si>
    <t>เฮลบูลบอยแดง</t>
  </si>
  <si>
    <t>เฮลบูลบอยเขียว</t>
  </si>
  <si>
    <t>เฮลบูลบอยม่วง</t>
  </si>
  <si>
    <t>เฮลบูลบอยสับปะรด</t>
  </si>
  <si>
    <t>เฮลบูลบอยมะลิ</t>
  </si>
  <si>
    <t>ผงติ่งฟงเผือก         ( 1*12ซอง)</t>
  </si>
  <si>
    <t>ผงติ่งฟงนมเย็น(กลิ่นสละ)</t>
  </si>
  <si>
    <t>ติ่งฟงกาแฟลาเต้</t>
  </si>
  <si>
    <t>ผงติ่งฟง เผือก        ( 1*12ซอง)</t>
  </si>
  <si>
    <t>ผงติ่งฟง แคนตาลูป</t>
  </si>
  <si>
    <t>ติ่งฟงสตรอเบอรี่(1*12ซอง)</t>
  </si>
  <si>
    <t>ติ่งฟงกล้วย</t>
  </si>
  <si>
    <t>ติ่งฟงนมสด</t>
  </si>
  <si>
    <t>ติ่งฟงนมเย็น</t>
  </si>
  <si>
    <t>ผงติ่งฟงชอคโกแลค</t>
  </si>
  <si>
    <t>บุกไข่มุกบราวซูก้าร์ (1*20ถุง)</t>
  </si>
  <si>
    <t>บุกไข่มุกน้ำตาล        (1*20ถุง)</t>
  </si>
  <si>
    <t>บุกไข่มุกใส             (1*20ถุง)</t>
  </si>
  <si>
    <t>ผงเฉาก้วย                  (1*12ซอง)</t>
  </si>
  <si>
    <t>ครีมหอมนมสด       (1*20ถุง)</t>
  </si>
  <si>
    <t>ใบชาแดงโยกุ         (1*12ห่อ)</t>
  </si>
  <si>
    <t>ผงชาเขียวมัทฉะ    (1*12ซอง)</t>
  </si>
  <si>
    <t>ม้วนซีลส้มลาย (1*6ม้วน)</t>
  </si>
  <si>
    <t>แก๊สโมซ่า       (1*36กล่อง)</t>
  </si>
  <si>
    <t>JT ผงเผือกหอม(1*48ถุง)</t>
  </si>
  <si>
    <t>JT ผงนมสด</t>
  </si>
  <si>
    <t>JT ผงชาหอม</t>
  </si>
  <si>
    <t>JT ผงสตรอเบอรี่</t>
  </si>
  <si>
    <t>JT ผงแคนตาลูป</t>
  </si>
  <si>
    <t>JT ผงชาเขียว</t>
  </si>
  <si>
    <t>JT ผงชามะนาว</t>
  </si>
  <si>
    <t>JT ผงชาเย็น</t>
  </si>
  <si>
    <t>JT ผงนมเย็น</t>
  </si>
  <si>
    <t>JT ผงนมสดน้ำผึ้ง</t>
  </si>
  <si>
    <t>JT ผงโกโก้</t>
  </si>
  <si>
    <t>JT ผงโกโก้ชิพ</t>
  </si>
  <si>
    <t>JT ผงชอคโกแลค</t>
  </si>
  <si>
    <t>JT ผงคาปูชิโนA</t>
  </si>
  <si>
    <t>ฟิลลิ่งยูยีสตรอเบอรี</t>
  </si>
  <si>
    <t>ฟิลลิ่งยูยีวานิลา</t>
  </si>
  <si>
    <t>ฟิลลิ่งยูยีบลูเบอรี่</t>
  </si>
  <si>
    <t>ฟิลลิ่งยูยีกล้วย</t>
  </si>
  <si>
    <t>ฟิลลิ่งยูยีใบเตย</t>
  </si>
  <si>
    <t>ฟิลลิ่งยูยีส้ม</t>
  </si>
  <si>
    <t>ฟิลลิ่งยูยีราสเบอรี</t>
  </si>
  <si>
    <t>ฟิลลิ่งยูยีชอค           (10แถม1)</t>
  </si>
  <si>
    <t>ฟิลลิ่งยูยียูล่านัท      (10แถม1)</t>
  </si>
  <si>
    <r>
      <t>ฟิลลิ่งยูยี</t>
    </r>
    <r>
      <rPr>
        <sz val="24"/>
        <color indexed="30"/>
        <rFont val="Angsana New"/>
        <family val="1"/>
      </rPr>
      <t>เบคเมคเกอร์</t>
    </r>
    <r>
      <rPr>
        <sz val="24"/>
        <rFont val="Angsana New"/>
        <family val="1"/>
      </rPr>
      <t>สตรอ</t>
    </r>
  </si>
  <si>
    <r>
      <t>ฟิลลิ่งยูยี</t>
    </r>
    <r>
      <rPr>
        <sz val="24"/>
        <color indexed="30"/>
        <rFont val="Angsana New"/>
        <family val="1"/>
      </rPr>
      <t>เบคเมคเกอร์</t>
    </r>
    <r>
      <rPr>
        <sz val="24"/>
        <rFont val="Angsana New"/>
        <family val="1"/>
      </rPr>
      <t>วานิลา</t>
    </r>
  </si>
  <si>
    <r>
      <t>ฟิลลิ่งยูยี</t>
    </r>
    <r>
      <rPr>
        <sz val="24"/>
        <color indexed="30"/>
        <rFont val="Angsana New"/>
        <family val="1"/>
      </rPr>
      <t>เบคเมคเกอร์</t>
    </r>
    <r>
      <rPr>
        <sz val="24"/>
        <rFont val="Angsana New"/>
        <family val="1"/>
      </rPr>
      <t>บลูเบอรี่</t>
    </r>
  </si>
  <si>
    <r>
      <t>ฟิลลิ่งยูยี</t>
    </r>
    <r>
      <rPr>
        <sz val="24"/>
        <color indexed="30"/>
        <rFont val="Angsana New"/>
        <family val="1"/>
      </rPr>
      <t>เบคเมคเกอร์</t>
    </r>
    <r>
      <rPr>
        <sz val="24"/>
        <rFont val="Angsana New"/>
        <family val="1"/>
      </rPr>
      <t>ชอค</t>
    </r>
  </si>
  <si>
    <t>ทอปปิ้งชอคยูยี</t>
  </si>
  <si>
    <t>เฟอร์เชอย์เฮเซลนัท</t>
  </si>
  <si>
    <t>ซันเดย์ชอคทอปปิ้ง          (ขวด)</t>
  </si>
  <si>
    <t>ซันเดย์สตรอเบอรีทอปปิ้ง (ขวด)</t>
  </si>
  <si>
    <t>ซันเดย์คาราเมลทอปปิ้ง    (ขวด)</t>
  </si>
  <si>
    <t>แยมเบสฟู้ดส์สตรอ         (1*9ถุง)</t>
  </si>
  <si>
    <t>แยมเบสฟู้ดส์วานิลา</t>
  </si>
  <si>
    <t>แยมเบสฟู้ดส์บูลเบอร์รี่</t>
  </si>
  <si>
    <t>แยมเบสฟู้ดส์ใบเตย</t>
  </si>
  <si>
    <t>แยมเบสฟู้ดส์คัสตารดไข่</t>
  </si>
  <si>
    <t>แยมเบสฟู้ดส์ส้ม</t>
  </si>
  <si>
    <t>แยมเบสฟู้ดส์กล้วย</t>
  </si>
  <si>
    <t>แยมเบสฟู้ดส์ชอค</t>
  </si>
  <si>
    <t>แยมเบสฟู้ดส์ชอคทอปปิ้ง</t>
  </si>
  <si>
    <t>คนอร์ฟิซซ่า             (1*6ถุง)</t>
  </si>
  <si>
    <t>สวีทมายองเนส        (1*12ถุง)</t>
  </si>
  <si>
    <t>910ก</t>
  </si>
  <si>
    <t>เอสอีมายองเนส       (1*12ถุง)</t>
  </si>
  <si>
    <t>ผงฟูเบสฟูด</t>
  </si>
  <si>
    <t>สปาเก็ตตี้                (1*10ห่อ)</t>
  </si>
  <si>
    <r>
      <rPr>
        <sz val="24"/>
        <color indexed="17"/>
        <rFont val="Angsana New"/>
        <family val="1"/>
      </rPr>
      <t>คนอร์ผงมะนาว</t>
    </r>
    <r>
      <rPr>
        <sz val="24"/>
        <rFont val="Angsana New"/>
        <family val="1"/>
      </rPr>
      <t xml:space="preserve">      (1*12ห่อ)</t>
    </r>
  </si>
  <si>
    <t>67ก.</t>
  </si>
  <si>
    <t>ซันเดย์คาราเมลทอปปิ้ง    (ถุง)</t>
  </si>
  <si>
    <t>จูปีเตอร์ชอคทอปปิ้ง          (ขวด)</t>
  </si>
  <si>
    <t>จูปีเตอร์สตรอเบอรีทอปปิ้ง(ขวด)</t>
  </si>
  <si>
    <t>จูปีเตอร์คาราเมลทอปปิ้ง  (ขวด)</t>
  </si>
  <si>
    <t>จูปีเตอร์ชอคทอปปิ้ง          (กป)</t>
  </si>
  <si>
    <t>มายองเนสลินลี่</t>
  </si>
  <si>
    <t>870มล.</t>
  </si>
  <si>
    <t>มายองเนสลินลี่ไลท์</t>
  </si>
  <si>
    <t>มายองเนสมอลลี่</t>
  </si>
  <si>
    <t>สลัดครีมมอลลี่</t>
  </si>
  <si>
    <t>สลัดครีมมอลลี่ รสชีท</t>
  </si>
  <si>
    <t>สลัดครีมมอลลี่เจ</t>
  </si>
  <si>
    <t>น้ำเชื่อมKCP</t>
  </si>
  <si>
    <t>แยมฟิลลิ่งควีน สตรอ</t>
  </si>
  <si>
    <t>แยมฟิลลิ่งควีน สังขยา</t>
  </si>
  <si>
    <t>แยมฟิลลิ่ง ควีนวานิลา</t>
  </si>
  <si>
    <t>แยมฟิลลิ่ง ควีนบลูเบอรี่</t>
  </si>
  <si>
    <t>แยมฟิลลิ่งควีน กล้วยหอม</t>
  </si>
  <si>
    <t>แยมฟิลลิ่งควีน ราสเบอรรี่</t>
  </si>
  <si>
    <t>แยมฟิลลิ่งควีน ส้ม</t>
  </si>
  <si>
    <t>แยมฟิลลิ่งควีน เผือก</t>
  </si>
  <si>
    <t>แยมฟิลลิ่งควีน ชอค</t>
  </si>
  <si>
    <t>ชอคโกแลคทอปปิ้ง</t>
  </si>
  <si>
    <t>สตรอเบอรี่ลอยแก้ว       (1*12)</t>
  </si>
  <si>
    <t>580ก.</t>
  </si>
  <si>
    <t>880ก.</t>
  </si>
  <si>
    <t>แยมส้ม                              (ละเอียด)</t>
  </si>
  <si>
    <t>22กก.</t>
  </si>
  <si>
    <t>เยลลี่โลกทะล</t>
  </si>
  <si>
    <t>เยลลี่ฟรุตตี้ 2 ชั้น</t>
  </si>
  <si>
    <t>เยลลี่ดาว 2 ชั้น</t>
  </si>
  <si>
    <t>เยลลี่หัวใจ 2 ชั้น</t>
  </si>
  <si>
    <t>เยลลี่มินิโอป็อบ</t>
  </si>
  <si>
    <t>เยลลี่มินิโรล</t>
  </si>
  <si>
    <t>เยลลี่มินิแซนวิช</t>
  </si>
  <si>
    <t>เยลลี่แตงโม</t>
  </si>
  <si>
    <t>เยลลี่แซนวิช</t>
  </si>
  <si>
    <t>เยลลี่โอป็อบ</t>
  </si>
  <si>
    <t>เยลลี่เมล่อน</t>
  </si>
  <si>
    <t>เยลลี่โรล</t>
  </si>
  <si>
    <t>เยลลี่ปิรมิด</t>
  </si>
  <si>
    <t>เยลลี่ดาวโคล่าน้ำตาล</t>
  </si>
  <si>
    <t>ควีนเบอรี่  (เม็ดเล็ก)แดง</t>
  </si>
  <si>
    <t>220ก.</t>
  </si>
  <si>
    <t>ควีนเบอรี่  (เม็ดเล็ก)เขียว</t>
  </si>
  <si>
    <t>ควีนเบอรี่  (เม็ดเล็ก)เหลือง</t>
  </si>
  <si>
    <t>ควีนเบอรี่  (เม็ดเล็ก)ส้ม</t>
  </si>
  <si>
    <t>ควีนเบอรี่  (เม็ดเล็ก)ม่วง</t>
  </si>
  <si>
    <t>ควีนเบอรี่  (เม็ดเล็ก)ฟ้า</t>
  </si>
  <si>
    <t>เชอรี่เทียม  เบอร์ 3  แดง</t>
  </si>
  <si>
    <t>205ก.</t>
  </si>
  <si>
    <t xml:space="preserve">เชอรี่เทียม  เบอร์ 3 เขียว </t>
  </si>
  <si>
    <t xml:space="preserve">เชอรี่เทียม  เบอร์ 3 เหลือง </t>
  </si>
  <si>
    <t xml:space="preserve">เชอรี่เทียม  เบอร์ 3 ส้ม </t>
  </si>
  <si>
    <t xml:space="preserve">เชอรี่เทียม  เบอร์ 3 ม่วง </t>
  </si>
  <si>
    <t xml:space="preserve">เชอรี่เทียม  เบอร์ 3 ฟ้า </t>
  </si>
  <si>
    <t>ซอสก๋วยเตี๋ยวแห้งตราเพียวไท1000ก.</t>
  </si>
  <si>
    <t>เอสทีมายองเนส 850ก.</t>
  </si>
  <si>
    <t>10ลัง(ไม่มีแถม</t>
  </si>
  <si>
    <t>มายองเนสเอนกประสงค์F&amp;G</t>
  </si>
  <si>
    <t>10แถม2</t>
  </si>
  <si>
    <t>ชีตโตะจังมายองเนส</t>
  </si>
  <si>
    <t>ชีสโตะจังเฟรนฟายชีท(ซาวครีม)850ก</t>
  </si>
  <si>
    <t>5แถม1</t>
  </si>
  <si>
    <t>ชีสโตะจังเฟรนฟายชีท 850ก.</t>
  </si>
  <si>
    <t>ชีสโตะจังเฟรนฟายชีท 400ก.</t>
  </si>
  <si>
    <t>10แถม1</t>
  </si>
  <si>
    <t>พิซซ่าซอส</t>
  </si>
  <si>
    <t>ซอสสปาเก็ตตี้</t>
  </si>
  <si>
    <t xml:space="preserve">สลัดเพียวฟูด(S05 )1000ก.   </t>
  </si>
  <si>
    <t>12แถม1</t>
  </si>
  <si>
    <t xml:space="preserve">สลัดโบราณ    450ก.          </t>
  </si>
  <si>
    <t>ซอสบาบิคิว 920ก.</t>
  </si>
  <si>
    <t>2ลัง</t>
  </si>
  <si>
    <t xml:space="preserve"> ซอสหม่าล่า500ก.</t>
  </si>
  <si>
    <t>ซอสเคลือบไก่กระเทียม(1000ก.)</t>
  </si>
  <si>
    <t>ซอสเคลือบไก่ถุงพิมพ์ (1000ก.)</t>
  </si>
  <si>
    <t>ซอสเคลือบไก่สูตรฮอท&amp;สไปร์ซี่(1000ก.)</t>
  </si>
  <si>
    <t>ซอสเคลือบไก่ถุงพิมพ์คูน 2(1000ก.)</t>
  </si>
  <si>
    <t>ซอสเคลือบไก่เทอริยากิ(1000ก)</t>
  </si>
  <si>
    <t>ซอสเคลือบไก่บาบีคิว(1000ก)</t>
  </si>
  <si>
    <t>กล่องOPS 1-H</t>
  </si>
  <si>
    <t xml:space="preserve"> 1-H</t>
  </si>
  <si>
    <t>กล่องOPS 2-H</t>
  </si>
  <si>
    <t>2-H</t>
  </si>
  <si>
    <t>กล่องOPS 4-H</t>
  </si>
  <si>
    <t xml:space="preserve"> 4-H</t>
  </si>
  <si>
    <t>กล่องOPS    FP104</t>
  </si>
  <si>
    <t xml:space="preserve"> FP104</t>
  </si>
  <si>
    <r>
      <t xml:space="preserve">กล่องใสสี่เหลี่ยม        </t>
    </r>
    <r>
      <rPr>
        <sz val="20"/>
        <rFont val="Angsana New"/>
        <family val="1"/>
      </rPr>
      <t>FP 17</t>
    </r>
  </si>
  <si>
    <t xml:space="preserve"> FP17</t>
  </si>
  <si>
    <t>กล่องBL - 1H(ฝาล๊อค)</t>
  </si>
  <si>
    <t>BL - 1H</t>
  </si>
  <si>
    <t>กล่องBL - 2HA(ฝาล๊อก)</t>
  </si>
  <si>
    <t>BL - 2HA</t>
  </si>
  <si>
    <t>กล่องBL - 4HA(ฝาล๊อก)</t>
  </si>
  <si>
    <t>BL - 4HA(</t>
  </si>
  <si>
    <r>
      <t xml:space="preserve">กล่องBL - </t>
    </r>
    <r>
      <rPr>
        <sz val="24"/>
        <color indexed="20"/>
        <rFont val="Angsana New"/>
        <family val="1"/>
      </rPr>
      <t>103A</t>
    </r>
    <r>
      <rPr>
        <sz val="24"/>
        <rFont val="Angsana New"/>
        <family val="1"/>
      </rPr>
      <t>(ฝาล๊อค)</t>
    </r>
  </si>
  <si>
    <t>BL - 103A</t>
  </si>
  <si>
    <r>
      <t xml:space="preserve">กล่องBL - </t>
    </r>
    <r>
      <rPr>
        <sz val="24"/>
        <color indexed="20"/>
        <rFont val="Angsana New"/>
        <family val="1"/>
      </rPr>
      <t>104A</t>
    </r>
    <r>
      <rPr>
        <sz val="24"/>
        <rFont val="Angsana New"/>
        <family val="1"/>
      </rPr>
      <t>(ฝาล๊อค)</t>
    </r>
  </si>
  <si>
    <t>BL - 104A</t>
  </si>
  <si>
    <t>กล่องBL - 11A(ฝาล๊อค)</t>
  </si>
  <si>
    <t>BL - 11A</t>
  </si>
  <si>
    <r>
      <t xml:space="preserve">กล่องBL - </t>
    </r>
    <r>
      <rPr>
        <sz val="24"/>
        <color indexed="20"/>
        <rFont val="Angsana New"/>
        <family val="1"/>
      </rPr>
      <t>15A</t>
    </r>
    <r>
      <rPr>
        <sz val="24"/>
        <rFont val="Angsana New"/>
        <family val="1"/>
      </rPr>
      <t>(ฝาล๊อค)</t>
    </r>
  </si>
  <si>
    <t>BL - 15A</t>
  </si>
  <si>
    <r>
      <t xml:space="preserve">กล่องBL - </t>
    </r>
    <r>
      <rPr>
        <sz val="24"/>
        <color indexed="20"/>
        <rFont val="Angsana New"/>
        <family val="1"/>
      </rPr>
      <t>17A</t>
    </r>
    <r>
      <rPr>
        <sz val="24"/>
        <rFont val="Angsana New"/>
        <family val="1"/>
      </rPr>
      <t>(ฝาล๊อค)</t>
    </r>
  </si>
  <si>
    <t>BL - 17A</t>
  </si>
  <si>
    <t>กล่องBL - 20A(ฝาล๊อค)</t>
  </si>
  <si>
    <t>BL - 20A</t>
  </si>
  <si>
    <t>กล่องBL - 31A(ฝาล๊อค)</t>
  </si>
  <si>
    <t>BL - 31A</t>
  </si>
  <si>
    <t>กล่องBL - 37A(ฝาล๊อค)</t>
  </si>
  <si>
    <t>BL - 37A</t>
  </si>
  <si>
    <r>
      <t xml:space="preserve">กล่องBL - </t>
    </r>
    <r>
      <rPr>
        <sz val="24"/>
        <color indexed="20"/>
        <rFont val="Angsana New"/>
        <family val="1"/>
      </rPr>
      <t>39A</t>
    </r>
    <r>
      <rPr>
        <sz val="24"/>
        <rFont val="Angsana New"/>
        <family val="1"/>
      </rPr>
      <t>(ฝาล๊อค)</t>
    </r>
  </si>
  <si>
    <t>BL - 39A</t>
  </si>
  <si>
    <r>
      <t>กล่องBL - 6HA(ฝาล๊อค)</t>
    </r>
    <r>
      <rPr>
        <sz val="12"/>
        <color indexed="10"/>
        <rFont val="Angsana New"/>
        <family val="1"/>
      </rPr>
      <t>ปังชาตะโกน</t>
    </r>
  </si>
  <si>
    <r>
      <t>BL - 6HA</t>
    </r>
    <r>
      <rPr>
        <sz val="12"/>
        <color indexed="10"/>
        <rFont val="Angsana New"/>
        <family val="1"/>
      </rPr>
      <t>ปังชาตะโกน</t>
    </r>
  </si>
  <si>
    <t>กล่องops  TP-12</t>
  </si>
  <si>
    <t xml:space="preserve">  TP-12</t>
  </si>
  <si>
    <t>กล่องops  TP-13</t>
  </si>
  <si>
    <t xml:space="preserve">  TP-13</t>
  </si>
  <si>
    <t xml:space="preserve"> TP-15</t>
  </si>
  <si>
    <t>กล่องops  TP-19</t>
  </si>
  <si>
    <t xml:space="preserve">  TP-19</t>
  </si>
  <si>
    <t>กล่องops  TP-31A(ใสล๊อค)</t>
  </si>
  <si>
    <t xml:space="preserve"> TP-31A(ใสล๊อค)</t>
  </si>
  <si>
    <t>กล่องops  TP-35</t>
  </si>
  <si>
    <t xml:space="preserve"> TP-35</t>
  </si>
  <si>
    <t>กล่องops  TP-37</t>
  </si>
  <si>
    <t xml:space="preserve">  TP-37</t>
  </si>
  <si>
    <t xml:space="preserve">  TP-39</t>
  </si>
  <si>
    <t xml:space="preserve"> TP-45</t>
  </si>
  <si>
    <t>กล่องops  THP-1HA(ฝาล็อค)</t>
  </si>
  <si>
    <t>5ลังลด60</t>
  </si>
  <si>
    <t xml:space="preserve"> THP-1HA</t>
  </si>
  <si>
    <t>กล่องops  THP-2HA(ฝาล็อค)</t>
  </si>
  <si>
    <t>10ลังลด80</t>
  </si>
  <si>
    <t xml:space="preserve"> THP-2HA</t>
  </si>
  <si>
    <t>กล่องops  THP-6HA(ฝาล็อค)</t>
  </si>
  <si>
    <t>20ลังลด120</t>
  </si>
  <si>
    <t xml:space="preserve"> THP-6HA</t>
  </si>
  <si>
    <t>กล่องops  THP-17A(ฝาล็อค)</t>
  </si>
  <si>
    <t>THP-17A</t>
  </si>
  <si>
    <t>กล่องops  THP-19A(ฝาล็อค)</t>
  </si>
  <si>
    <t xml:space="preserve">  THP-19A</t>
  </si>
  <si>
    <t>กล่องops  THP-45A(ฝาล็อค)</t>
  </si>
  <si>
    <t xml:space="preserve"> THP-45A</t>
  </si>
  <si>
    <t>กล่องops  THP-104A(ฝาล็อค)</t>
  </si>
  <si>
    <t xml:space="preserve"> THP-104A(ฝาล็อค)</t>
  </si>
  <si>
    <t>กล่องops  THP-15Aฝาล็อค)</t>
  </si>
  <si>
    <t xml:space="preserve"> THP-15A(ฝาล็อค)</t>
  </si>
  <si>
    <t>กล่องops  THP-4HA(ฝาล็อค)</t>
  </si>
  <si>
    <t xml:space="preserve"> THP-4HA</t>
  </si>
  <si>
    <t>ชอคโกแลคยูยีดำ             ดำ120.-</t>
  </si>
  <si>
    <t>50ลัง600+10</t>
  </si>
  <si>
    <t>122.-</t>
  </si>
  <si>
    <t>ยูยีดำ</t>
  </si>
  <si>
    <t>ชอคโกแลคยูยีขาว</t>
  </si>
  <si>
    <t>51ลัง590+10</t>
  </si>
  <si>
    <t>120.-</t>
  </si>
  <si>
    <t>ยูยีขาว</t>
  </si>
  <si>
    <t>ชอคโกแลคยูยีสตรอ(ชมพู)</t>
  </si>
  <si>
    <t>10ลัง1(แถม1)116.83+2</t>
  </si>
  <si>
    <t>ยูยีชมพู</t>
  </si>
  <si>
    <t>ชอคโกแลคยูยีบูลเบอรี่(ม่วง)สี105</t>
  </si>
  <si>
    <t>50ลัง525+10</t>
  </si>
  <si>
    <t>107.-</t>
  </si>
  <si>
    <t>ยูยี(ม่วง)</t>
  </si>
  <si>
    <t>ชอคโกแลคยูยีแอปเปิ้ล(เขียว)</t>
  </si>
  <si>
    <t>51ลัง515+10</t>
  </si>
  <si>
    <t>105.-</t>
  </si>
  <si>
    <t>ยูยีเขียว)</t>
  </si>
  <si>
    <t>ชอคโกแลควานิลา</t>
  </si>
  <si>
    <t>10ลัง1(แถม1)103+2</t>
  </si>
  <si>
    <t>104.-</t>
  </si>
  <si>
    <t>ชอควานิลา</t>
  </si>
  <si>
    <t>โคตติ้งดำสวีทคอมพาวด์</t>
  </si>
  <si>
    <t>ดำสวีท</t>
  </si>
  <si>
    <t>ไซรัปช็อคโกแลคเฟลเวอร์</t>
  </si>
  <si>
    <t>ไซรัปช็อคโกแลค</t>
  </si>
  <si>
    <t>ไซรัปสตรอเบอรี่เฟลเวอร์</t>
  </si>
  <si>
    <t>ไซรัปสตรอเบอรี่</t>
  </si>
  <si>
    <t>ไซรัปคาราเมลเฟลเวอร์</t>
  </si>
  <si>
    <t>ไซรัปคาราเมล</t>
  </si>
  <si>
    <t>ซันเดยทอปปิ้งคาราเมล(ถุง)</t>
  </si>
  <si>
    <t>ซันเดยทอปปิ้งชอคโกแลค(ถุง)</t>
  </si>
  <si>
    <t>ทอปปิ้งชอคโกแลค(ถุง)</t>
  </si>
  <si>
    <t>เฟอรเชย์ฮัทเซลนัท</t>
  </si>
  <si>
    <t>โกโก้ยูยี</t>
  </si>
  <si>
    <t>นมผงยูยี</t>
  </si>
  <si>
    <t>จูปีเตอร์ชอค(ขวด)</t>
  </si>
  <si>
    <t>จูปีเตอร์คาราเมล(ขวด)</t>
  </si>
  <si>
    <t>ชอคโกแลคช้างดำ</t>
  </si>
  <si>
    <t>ชอคช้างดำ</t>
  </si>
  <si>
    <t>ชอคโกแลคช้างขาว</t>
  </si>
  <si>
    <t>ชอคช้างขาว</t>
  </si>
  <si>
    <t>ชอคโกแลคช้างสตรอ(ชมพู)</t>
  </si>
  <si>
    <t>ชอคช้างสตรอ</t>
  </si>
  <si>
    <t>ชอคโกแลคตุ๋นชอคโก(ดำ)</t>
  </si>
  <si>
    <t>ชอคโก(ดำ)</t>
  </si>
  <si>
    <t>ชอคโกแลคตุ๋นชอคโก(ชมพู)</t>
  </si>
  <si>
    <t>ชอคโก(ชมพู)</t>
  </si>
  <si>
    <t>ชอคโกแลคตุ๋นชอคโก(ขาว)</t>
  </si>
  <si>
    <t>ชอคโก(ขาว)</t>
  </si>
  <si>
    <t>เม็ดสีลูกปัดเม็ดกลม</t>
  </si>
  <si>
    <t>เม็ดสีเรนโบว์</t>
  </si>
  <si>
    <t>เม็ดสีชอคไลท์</t>
  </si>
  <si>
    <t>เม็ดสีเฟลกเรนโบว์</t>
  </si>
  <si>
    <t>เม็ดสีเฟลกชมพู</t>
  </si>
  <si>
    <t>เม็ดสีเฟลกฟ้า</t>
  </si>
  <si>
    <t>เม็ดสีเฟลกชอค</t>
  </si>
  <si>
    <t>ลูกปัดชอคชิป</t>
  </si>
  <si>
    <t>ชอคตุ๋นทึวลึป(ดำ)</t>
  </si>
  <si>
    <t>ชอคตุ๋น(ดำ)</t>
  </si>
  <si>
    <t>ชอคตุ๋นทึวลึป(ขาว)</t>
  </si>
  <si>
    <t>ชอคตุ๋น(ขาว)</t>
  </si>
  <si>
    <t>ชอคชิฟทิวลิปดาร์ชอค</t>
  </si>
  <si>
    <t>ชอคชิฟดาร์ชอค</t>
  </si>
  <si>
    <t>ชอคชิฟทิวลิปดาร์ ขาว</t>
  </si>
  <si>
    <t>ชอคชิฟดาร์ ขาว</t>
  </si>
  <si>
    <t>ชอคชิฟทิวลิปดาร์ทูโทน</t>
  </si>
  <si>
    <t>ชอคชิฟดาร์ทูโทน</t>
  </si>
  <si>
    <t xml:space="preserve"> ผงโกโก้เข้มทิวลิป</t>
  </si>
  <si>
    <t xml:space="preserve"> ผงโกโก้เข้มยูเอฟเอ็ม</t>
  </si>
  <si>
    <t>โกโก้ยูเอฟเอ็ม</t>
  </si>
  <si>
    <t xml:space="preserve"> ผงโกโก้ใบเฟริน</t>
  </si>
  <si>
    <t>โกโก้ผงยูยี</t>
  </si>
  <si>
    <t>นมผงบ้าน</t>
  </si>
  <si>
    <t>ครีมหอมนมสดช่อบัว</t>
  </si>
  <si>
    <t>นมผงฮอกไกโด</t>
  </si>
  <si>
    <t>ครีมเทียมบีวัน</t>
  </si>
  <si>
    <t>ครีมเทียมดรีมมี่(ฟ้า)</t>
  </si>
  <si>
    <t>ครีมเทียมดรีมมี่(แดง)</t>
  </si>
  <si>
    <t>ครีมชีท</t>
  </si>
  <si>
    <t>เม็ดกาแฟ</t>
  </si>
  <si>
    <t>ซองเครป(แฮปปี้แบค)</t>
  </si>
  <si>
    <t>ซองเครปMKลายการตูน</t>
  </si>
  <si>
    <t>ซองโตเกียวลายเสือ</t>
  </si>
  <si>
    <r>
      <rPr>
        <sz val="20"/>
        <color indexed="17"/>
        <rFont val="Angsana New"/>
        <family val="1"/>
      </rPr>
      <t>ถุงกาแฟกระดาษลาย</t>
    </r>
    <r>
      <rPr>
        <sz val="20"/>
        <rFont val="Angsana New"/>
        <family val="1"/>
      </rPr>
      <t>KI125g</t>
    </r>
  </si>
  <si>
    <t>ซองเฟรนฟรายน้ำตาล</t>
  </si>
  <si>
    <t>กล่องขนมปังครี่งใบ(ขาว)</t>
  </si>
  <si>
    <t>กล่องขนมปังครี่งใบ(คราฟ)</t>
  </si>
  <si>
    <t>กล่องขนมปังฮอทชีส</t>
  </si>
  <si>
    <t>กระดาษลอกลาย(แบบม้วน)</t>
  </si>
  <si>
    <t>30"*40"</t>
  </si>
  <si>
    <r>
      <t>กระดาษขาวบาง(</t>
    </r>
    <r>
      <rPr>
        <b/>
        <sz val="18"/>
        <color indexed="60"/>
        <rFont val="Angsana New"/>
        <family val="1"/>
      </rPr>
      <t>กระดาษชิฟฟ่อน)</t>
    </r>
  </si>
  <si>
    <t>500*6แพค</t>
  </si>
  <si>
    <t>กระดาษทุเรียน10*10</t>
  </si>
  <si>
    <t>1*500</t>
  </si>
  <si>
    <t>กระดาษทุเรียน8*10</t>
  </si>
  <si>
    <t>กระดาษรองขนม(ลาย)6*6</t>
  </si>
  <si>
    <t>กระดาษห่อเบอเกอร12*12</t>
  </si>
  <si>
    <t>กระดาษห่อเบอเกอร6*6</t>
  </si>
  <si>
    <t>กระดาษรองเปา 3นิ้ว</t>
  </si>
  <si>
    <t>กระดาษรองเปา 3.5*3.5นิ้ว</t>
  </si>
  <si>
    <t>กระดาษรองเปาพระอาทิตย์ 3นิ้ว</t>
  </si>
  <si>
    <t>กระดาษรองเปาถูกดี  3นิ้ว</t>
  </si>
  <si>
    <t>กระดาษพระอาทิตย์ 9*9</t>
  </si>
  <si>
    <t>กระดาษพระอาทิตย์ 8*8</t>
  </si>
  <si>
    <t>พรีเมียม</t>
  </si>
  <si>
    <t>กระดาษบรูฟหน้ากว้าง</t>
  </si>
  <si>
    <t>ใบตองกระดาษ     10*10</t>
  </si>
  <si>
    <t>ใบตองกระดาษ    12*12</t>
  </si>
  <si>
    <t>แผ่นไฮเดน10*10</t>
  </si>
  <si>
    <t>แผ่นไฮเดน12*12</t>
  </si>
  <si>
    <t>มัสเมลโลหัวใจชมพู</t>
  </si>
  <si>
    <t>มัสเมลโลหัวใจวนิลา   (ฟ้า)</t>
  </si>
  <si>
    <t>มัสเมลโลหัวใจมะม่วง(เหลือง)</t>
  </si>
  <si>
    <t>มัสเมลโลหัวใจม่วง    (ม่วงชมพู)</t>
  </si>
  <si>
    <t>มัสเมลโลเกลียวกลางชมพูฟ้า</t>
  </si>
  <si>
    <t>มัสเมลโลเกลียวเขียวขาวแดงกลาง</t>
  </si>
  <si>
    <t>มัสเมลโลวานิลาผีเสื้อ</t>
  </si>
  <si>
    <t>มัสเมลโลเกลียวเล็ก</t>
  </si>
  <si>
    <t>มัสเมลโลดาว</t>
  </si>
  <si>
    <t>มัสเมลโลหัวใจหลายสี</t>
  </si>
  <si>
    <t>มัสเมลโลดอกไม้</t>
  </si>
  <si>
    <t>มัสเมลขาว</t>
  </si>
  <si>
    <t>เยลลี่หัวใจแดง</t>
  </si>
  <si>
    <t>เยลลี่วาไรตี้</t>
  </si>
  <si>
    <t>เยลลี่มินิโลกทะเล</t>
  </si>
  <si>
    <t>เยลลี่หัวใจสี</t>
  </si>
  <si>
    <t>เยลลี่กระต่าย</t>
  </si>
  <si>
    <t>ควีนเบอรี่ แดง (เม็ดเล็ก)</t>
  </si>
  <si>
    <t xml:space="preserve">ควีนเบอรี่ แดง </t>
  </si>
  <si>
    <t>ควีนเบอรี่เขียว(เม็ดเล็ก)</t>
  </si>
  <si>
    <t>ควีนเบอรี่เขียว</t>
  </si>
  <si>
    <t>ควีนเบอรี่ฟ้า  (เม็ดเล็ก)</t>
  </si>
  <si>
    <t xml:space="preserve">ควีนเบอรี่ฟ้า  </t>
  </si>
  <si>
    <t>ควีนเบอรี่ส้ม  (เม็ดเล็ก)</t>
  </si>
  <si>
    <t xml:space="preserve">ควีนเบอรี่ส้ม  </t>
  </si>
  <si>
    <t>ควีนเบอรี่เหลือง (เม็ดเล็ก)</t>
  </si>
  <si>
    <t xml:space="preserve">ควีนเบอรี่เหลือง </t>
  </si>
  <si>
    <t>ควีนเบอรี่ม่วง    (เม็ดเล็ก)</t>
  </si>
  <si>
    <t xml:space="preserve">ควีนเบอรี่ม่วง    </t>
  </si>
  <si>
    <t>ควีนเบอรี่ แดง      เบอร์3</t>
  </si>
  <si>
    <t>ควีนเบอรี่เขียว     เบอร์3</t>
  </si>
  <si>
    <t xml:space="preserve">ควีนเบอรี่ฟ้า        เบอร์3 </t>
  </si>
  <si>
    <t>ควีนเบอรี่ส้ม       เบอร์3</t>
  </si>
  <si>
    <t>ควีนเบอรี่เหลือง  เบอร์3</t>
  </si>
  <si>
    <t>ควีนเบอรี่ม่วง     เบอร์3</t>
  </si>
  <si>
    <t>สตรอเบอรี่ลอยแก้ว</t>
  </si>
  <si>
    <t>กล่องขาวเจาะ                     100</t>
  </si>
  <si>
    <t>กล่องขาวเจาะ                       10</t>
  </si>
  <si>
    <r>
      <t>กล่อง</t>
    </r>
    <r>
      <rPr>
        <sz val="24"/>
        <color indexed="10"/>
        <rFont val="Angsana New"/>
        <family val="1"/>
      </rPr>
      <t>สีลาย</t>
    </r>
    <r>
      <rPr>
        <sz val="24"/>
        <rFont val="Angsana New"/>
        <family val="1"/>
      </rPr>
      <t>เจาะ                  100</t>
    </r>
  </si>
  <si>
    <r>
      <t>กล่อง</t>
    </r>
    <r>
      <rPr>
        <sz val="24"/>
        <color indexed="10"/>
        <rFont val="Angsana New"/>
        <family val="1"/>
      </rPr>
      <t>สีลาย</t>
    </r>
    <r>
      <rPr>
        <sz val="24"/>
        <rFont val="Angsana New"/>
        <family val="1"/>
      </rPr>
      <t>เจาะ                    10</t>
    </r>
  </si>
  <si>
    <t>กล่องขาวเตี้ยเจาะ                 100</t>
  </si>
  <si>
    <t>กล่องขาวเตี้ยเจาะ                 10</t>
  </si>
  <si>
    <t>กล่องขาวเจาะ                    100</t>
  </si>
  <si>
    <t>กล่องขาวเจาะ                      10</t>
  </si>
  <si>
    <t>กล่องขาวอาตเจาะ             100</t>
  </si>
  <si>
    <t>กล่องขาวอาตเจาะ               10</t>
  </si>
  <si>
    <r>
      <t>กล่อ</t>
    </r>
    <r>
      <rPr>
        <sz val="22"/>
        <color indexed="10"/>
        <rFont val="Angsana New"/>
        <family val="1"/>
      </rPr>
      <t>งสีลาย เ</t>
    </r>
    <r>
      <rPr>
        <sz val="22"/>
        <rFont val="Angsana New"/>
        <family val="1"/>
      </rPr>
      <t xml:space="preserve">จาะ                  100  </t>
    </r>
  </si>
  <si>
    <r>
      <t>กล่อง</t>
    </r>
    <r>
      <rPr>
        <sz val="22"/>
        <color indexed="10"/>
        <rFont val="Angsana New"/>
        <family val="1"/>
      </rPr>
      <t xml:space="preserve">สีลาย </t>
    </r>
    <r>
      <rPr>
        <sz val="22"/>
        <rFont val="Angsana New"/>
        <family val="1"/>
      </rPr>
      <t>เจาะ                    10</t>
    </r>
  </si>
  <si>
    <t>ฐานเค้กลูกฟูก</t>
  </si>
  <si>
    <t>ฐานลูกฟูก 1</t>
  </si>
  <si>
    <t>กล่องเค้กขาวเจาะ              100</t>
  </si>
  <si>
    <t>กล่องเค้กขาวเจาะ               10</t>
  </si>
  <si>
    <t>กล่องเค้กขาวอาร์ตเจาะ      100</t>
  </si>
  <si>
    <t>กล่องเค้กขาวอาร์ตเจาะ       10</t>
  </si>
  <si>
    <r>
      <t>กล่อง</t>
    </r>
    <r>
      <rPr>
        <sz val="22"/>
        <color indexed="10"/>
        <rFont val="Angsana New"/>
        <family val="1"/>
      </rPr>
      <t>ลายเงา</t>
    </r>
    <r>
      <rPr>
        <sz val="22"/>
        <rFont val="Angsana New"/>
        <family val="1"/>
      </rPr>
      <t>-หลังเทา เจาะ      100</t>
    </r>
  </si>
  <si>
    <r>
      <t>กล่อง</t>
    </r>
    <r>
      <rPr>
        <sz val="22"/>
        <color indexed="10"/>
        <rFont val="Angsana New"/>
        <family val="1"/>
      </rPr>
      <t>ลายเงา</t>
    </r>
    <r>
      <rPr>
        <sz val="22"/>
        <rFont val="Angsana New"/>
        <family val="1"/>
      </rPr>
      <t>-หลังเทา เจาะ       10</t>
    </r>
  </si>
  <si>
    <t>ฐานลูกฟูก   2</t>
  </si>
  <si>
    <t>กล่องขาวเจาะ                  100</t>
  </si>
  <si>
    <t>กล่องขาวเจาะ                    10</t>
  </si>
  <si>
    <t>กล่องขาวอาตเจาะ           100</t>
  </si>
  <si>
    <t>กล่องขาวอาตเจาะ             10</t>
  </si>
  <si>
    <t>กล่องสีลายเจาะ               100</t>
  </si>
  <si>
    <t>กล่องสีลายเจาะ                 10</t>
  </si>
  <si>
    <t>3ปอนด์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</si>
</sst>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฿&quot;* #,##0.00_-;\-&quot;฿&quot;* #,##0.00_-;_-&quot;฿&quot;* &quot;-&quot;??_-;_-@_-"/>
    <numFmt numFmtId="165" formatCode="_-* #,##0.00_-;\-* #,##0.00_-;_-* &quot;-&quot;??_-;_-@_-"/>
    <numFmt numFmtId="166" formatCode="0.0"/>
    <numFmt numFmtId="167" formatCode="0.0%"/>
    <numFmt numFmtId="168" formatCode="0.00;[Red]0.00"/>
    <numFmt numFmtId="169" formatCode="#,##0.00;[Red]#,##0.00"/>
    <numFmt numFmtId="170" formatCode="[$-1010000]d/m/yy;@"/>
  </numFmts>
  <fonts count="173">
    <font>
      <sz val="10"/>
      <name val="Arial"/>
      <charset val="222"/>
    </font>
    <font>
      <sz val="10"/>
      <name val="Arial"/>
      <charset val="222"/>
    </font>
    <font>
      <sz val="16"/>
      <name val="Angsana New"/>
      <family val="1"/>
    </font>
    <font>
      <sz val="14"/>
      <name val="Angsana New"/>
      <family val="1"/>
    </font>
    <font>
      <b/>
      <sz val="18"/>
      <name val="Angsana New"/>
      <family val="1"/>
    </font>
    <font>
      <b/>
      <sz val="16"/>
      <name val="Angsana New"/>
      <family val="1"/>
    </font>
    <font>
      <sz val="8"/>
      <name val="Arial"/>
      <family val="2"/>
    </font>
    <font>
      <sz val="20"/>
      <name val="Angsana New"/>
      <family val="1"/>
    </font>
    <font>
      <b/>
      <sz val="28"/>
      <name val="Angsana New"/>
      <family val="1"/>
    </font>
    <font>
      <sz val="28"/>
      <name val="Angsana New"/>
      <family val="1"/>
    </font>
    <font>
      <sz val="26"/>
      <name val="Angsana New"/>
      <family val="1"/>
    </font>
    <font>
      <sz val="24"/>
      <name val="Angsana New"/>
      <family val="1"/>
    </font>
    <font>
      <sz val="18"/>
      <name val="Angsana New"/>
      <family val="1"/>
    </font>
    <font>
      <b/>
      <sz val="24"/>
      <name val="Angsana New"/>
      <family val="1"/>
    </font>
    <font>
      <b/>
      <sz val="22"/>
      <name val="Angsana New"/>
      <family val="1"/>
    </font>
    <font>
      <b/>
      <sz val="20"/>
      <name val="Angsana New"/>
      <family val="1"/>
    </font>
    <font>
      <vertAlign val="superscript"/>
      <sz val="28"/>
      <name val="Angsana New"/>
      <family val="1"/>
    </font>
    <font>
      <sz val="22"/>
      <name val="Angsana New"/>
      <family val="1"/>
    </font>
    <font>
      <sz val="24"/>
      <name val="Symbol"/>
      <family val="1"/>
      <charset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20"/>
      <color indexed="12"/>
      <name val="Angsana New"/>
      <family val="1"/>
    </font>
    <font>
      <b/>
      <sz val="20"/>
      <color indexed="12"/>
      <name val="Angsana New"/>
      <family val="1"/>
    </font>
    <font>
      <b/>
      <sz val="24"/>
      <color indexed="10"/>
      <name val="Angsana New"/>
      <family val="1"/>
    </font>
    <font>
      <b/>
      <sz val="22"/>
      <color indexed="10"/>
      <name val="Angsana New"/>
      <family val="1"/>
    </font>
    <font>
      <b/>
      <sz val="24"/>
      <color indexed="8"/>
      <name val="Angsana New"/>
      <family val="1"/>
    </font>
    <font>
      <b/>
      <sz val="14"/>
      <name val="Angsana New"/>
      <family val="1"/>
    </font>
    <font>
      <b/>
      <sz val="24"/>
      <color indexed="12"/>
      <name val="Angsana New"/>
      <family val="1"/>
    </font>
    <font>
      <sz val="24"/>
      <color indexed="12"/>
      <name val="Angsana New"/>
      <family val="1"/>
    </font>
    <font>
      <sz val="24"/>
      <color indexed="10"/>
      <name val="Angsana New"/>
      <family val="1"/>
    </font>
    <font>
      <b/>
      <sz val="26"/>
      <name val="Angsana New"/>
      <family val="1"/>
    </font>
    <font>
      <sz val="24"/>
      <color indexed="8"/>
      <name val="Angsana New"/>
      <family val="1"/>
    </font>
    <font>
      <sz val="22"/>
      <color indexed="8"/>
      <name val="Angsana New"/>
      <family val="1"/>
    </font>
    <font>
      <b/>
      <sz val="24"/>
      <name val="Symbol"/>
      <family val="1"/>
      <charset val="2"/>
    </font>
    <font>
      <b/>
      <sz val="26"/>
      <color indexed="10"/>
      <name val="Angsana New"/>
      <family val="1"/>
    </font>
    <font>
      <b/>
      <sz val="18"/>
      <color indexed="10"/>
      <name val="Angsana New"/>
      <family val="1"/>
    </font>
    <font>
      <vertAlign val="superscript"/>
      <sz val="24"/>
      <name val="Angsana New"/>
      <family val="1"/>
    </font>
    <font>
      <vertAlign val="superscript"/>
      <sz val="22"/>
      <name val="Angsana New"/>
      <family val="1"/>
    </font>
    <font>
      <b/>
      <sz val="20"/>
      <color indexed="10"/>
      <name val="Angsana New"/>
      <family val="1"/>
    </font>
    <font>
      <sz val="22"/>
      <color indexed="12"/>
      <name val="Angsana New"/>
      <family val="1"/>
    </font>
    <font>
      <sz val="26"/>
      <color indexed="12"/>
      <name val="Angsana New"/>
      <family val="1"/>
    </font>
    <font>
      <sz val="10"/>
      <name val="Arial"/>
      <family val="2"/>
    </font>
    <font>
      <b/>
      <sz val="18"/>
      <color indexed="12"/>
      <name val="Angsana New"/>
      <family val="1"/>
    </font>
    <font>
      <sz val="18"/>
      <color indexed="12"/>
      <name val="Angsana New"/>
      <family val="1"/>
    </font>
    <font>
      <u/>
      <sz val="12"/>
      <color indexed="12"/>
      <name val="Arial"/>
      <family val="2"/>
    </font>
    <font>
      <u/>
      <sz val="26"/>
      <color indexed="12"/>
      <name val="Arial"/>
      <family val="2"/>
    </font>
    <font>
      <b/>
      <sz val="26"/>
      <color indexed="8"/>
      <name val="Angsana New"/>
      <family val="1"/>
    </font>
    <font>
      <sz val="26"/>
      <name val="Arial"/>
      <family val="2"/>
    </font>
    <font>
      <sz val="26"/>
      <color indexed="10"/>
      <name val="Angsana New"/>
      <family val="1"/>
    </font>
    <font>
      <sz val="22"/>
      <color indexed="10"/>
      <name val="Angsana New"/>
      <family val="1"/>
    </font>
    <font>
      <sz val="18"/>
      <color indexed="10"/>
      <name val="Angsana New"/>
      <family val="1"/>
    </font>
    <font>
      <sz val="20"/>
      <color indexed="8"/>
      <name val="Angsana New"/>
      <family val="1"/>
    </font>
    <font>
      <b/>
      <sz val="16"/>
      <color indexed="10"/>
      <name val="Angsana New"/>
      <family val="1"/>
    </font>
    <font>
      <b/>
      <sz val="22"/>
      <color indexed="8"/>
      <name val="Angsana New"/>
      <family val="1"/>
    </font>
    <font>
      <sz val="13"/>
      <name val="Angsana New"/>
      <family val="1"/>
    </font>
    <font>
      <sz val="16"/>
      <color indexed="12"/>
      <name val="Angsana New"/>
      <family val="1"/>
    </font>
    <font>
      <u/>
      <sz val="14"/>
      <color indexed="12"/>
      <name val="Arial"/>
      <family val="2"/>
    </font>
    <font>
      <u/>
      <sz val="11"/>
      <color indexed="12"/>
      <name val="Arial"/>
      <family val="2"/>
    </font>
    <font>
      <vertAlign val="superscript"/>
      <sz val="18"/>
      <name val="Angsana New"/>
      <family val="1"/>
    </font>
    <font>
      <sz val="18"/>
      <color indexed="8"/>
      <name val="Angsana New"/>
      <family val="1"/>
    </font>
    <font>
      <sz val="17"/>
      <name val="Angsana New"/>
      <family val="1"/>
    </font>
    <font>
      <sz val="15"/>
      <name val="Angsana New"/>
      <family val="1"/>
    </font>
    <font>
      <u/>
      <sz val="8"/>
      <color indexed="12"/>
      <name val="Arial"/>
      <family val="2"/>
    </font>
    <font>
      <b/>
      <sz val="14"/>
      <color indexed="10"/>
      <name val="Angsana New"/>
      <family val="1"/>
    </font>
    <font>
      <u/>
      <sz val="9"/>
      <color indexed="12"/>
      <name val="Arial"/>
      <family val="2"/>
    </font>
    <font>
      <sz val="12"/>
      <name val="Angsana New"/>
      <family val="1"/>
    </font>
    <font>
      <sz val="9"/>
      <name val="Angsana New"/>
      <family val="1"/>
    </font>
    <font>
      <sz val="8"/>
      <name val="Angsana New"/>
      <family val="1"/>
    </font>
    <font>
      <sz val="22"/>
      <name val="Angsana New"/>
      <family val="1"/>
      <charset val="222"/>
    </font>
    <font>
      <sz val="20"/>
      <color indexed="10"/>
      <name val="Angsana New"/>
      <family val="1"/>
    </font>
    <font>
      <sz val="16"/>
      <color indexed="10"/>
      <name val="Angsana New"/>
      <family val="1"/>
    </font>
    <font>
      <sz val="26"/>
      <color indexed="8"/>
      <name val="Angsana New"/>
      <family val="1"/>
    </font>
    <font>
      <sz val="11"/>
      <name val="Angsana New"/>
      <family val="1"/>
    </font>
    <font>
      <sz val="12"/>
      <color indexed="12"/>
      <name val="Angsana New"/>
      <family val="1"/>
    </font>
    <font>
      <b/>
      <sz val="10"/>
      <name val="Angsana New"/>
      <family val="1"/>
    </font>
    <font>
      <sz val="16"/>
      <name val="Arial"/>
      <family val="2"/>
      <charset val="222"/>
    </font>
    <font>
      <sz val="15"/>
      <name val="Arial"/>
      <family val="2"/>
      <charset val="222"/>
    </font>
    <font>
      <sz val="18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24"/>
      <color indexed="17"/>
      <name val="Angsana New"/>
      <family val="1"/>
    </font>
    <font>
      <sz val="24"/>
      <color indexed="30"/>
      <name val="Angsana New"/>
      <family val="1"/>
    </font>
    <font>
      <sz val="20"/>
      <color indexed="60"/>
      <name val="Angsana New"/>
      <family val="1"/>
    </font>
    <font>
      <sz val="24"/>
      <color indexed="23"/>
      <name val="Angsana New"/>
      <family val="1"/>
    </font>
    <font>
      <sz val="26"/>
      <color indexed="23"/>
      <name val="Angsana New"/>
      <family val="1"/>
    </font>
    <font>
      <sz val="26"/>
      <color indexed="63"/>
      <name val="Angsana New"/>
      <family val="1"/>
    </font>
    <font>
      <b/>
      <sz val="24"/>
      <color indexed="63"/>
      <name val="Angsana New"/>
      <family val="1"/>
    </font>
    <font>
      <sz val="24"/>
      <color indexed="60"/>
      <name val="Angsana New"/>
      <family val="1"/>
    </font>
    <font>
      <sz val="22"/>
      <color indexed="60"/>
      <name val="Angsana New"/>
      <family val="1"/>
    </font>
    <font>
      <b/>
      <sz val="24"/>
      <color indexed="60"/>
      <name val="Angsana New"/>
      <family val="1"/>
    </font>
    <font>
      <b/>
      <sz val="24"/>
      <color indexed="23"/>
      <name val="Angsana New"/>
      <family val="1"/>
    </font>
    <font>
      <u/>
      <sz val="10"/>
      <color indexed="10"/>
      <name val="Arial"/>
      <family val="2"/>
    </font>
    <font>
      <sz val="24"/>
      <color indexed="56"/>
      <name val="Angsana New"/>
      <family val="1"/>
    </font>
    <font>
      <b/>
      <sz val="24"/>
      <color indexed="9"/>
      <name val="Angsana New"/>
      <family val="1"/>
    </font>
    <font>
      <b/>
      <sz val="24"/>
      <color indexed="36"/>
      <name val="Angsana New"/>
      <family val="1"/>
    </font>
    <font>
      <b/>
      <sz val="18"/>
      <color indexed="23"/>
      <name val="Angsana New"/>
      <family val="1"/>
    </font>
    <font>
      <b/>
      <sz val="14"/>
      <color indexed="23"/>
      <name val="Angsana New"/>
      <family val="1"/>
    </font>
    <font>
      <sz val="22"/>
      <color indexed="23"/>
      <name val="Angsana New"/>
      <family val="1"/>
    </font>
    <font>
      <sz val="20"/>
      <color indexed="23"/>
      <name val="Angsana New"/>
      <family val="1"/>
    </font>
    <font>
      <b/>
      <sz val="24"/>
      <color indexed="30"/>
      <name val="Angsana New"/>
      <family val="1"/>
    </font>
    <font>
      <b/>
      <i/>
      <sz val="22"/>
      <color indexed="10"/>
      <name val="Angsana New"/>
      <family val="1"/>
    </font>
    <font>
      <b/>
      <sz val="16"/>
      <color indexed="23"/>
      <name val="Angsana New"/>
      <family val="1"/>
    </font>
    <font>
      <b/>
      <sz val="22"/>
      <color indexed="23"/>
      <name val="Angsana New"/>
      <family val="1"/>
    </font>
    <font>
      <sz val="24"/>
      <color indexed="63"/>
      <name val="Angsana New"/>
      <family val="1"/>
    </font>
    <font>
      <b/>
      <sz val="18"/>
      <color indexed="8"/>
      <name val="Angsana New"/>
      <family val="1"/>
    </font>
    <font>
      <sz val="24"/>
      <color indexed="8"/>
      <name val="Angsana New"/>
      <family val="1"/>
      <charset val="222"/>
    </font>
    <font>
      <sz val="22"/>
      <color indexed="8"/>
      <name val="Angsana New"/>
      <family val="1"/>
      <charset val="222"/>
    </font>
    <font>
      <b/>
      <sz val="24"/>
      <color indexed="8"/>
      <name val="Angsana New"/>
      <family val="1"/>
      <charset val="222"/>
    </font>
    <font>
      <u/>
      <sz val="10"/>
      <color indexed="8"/>
      <name val="Arial"/>
      <family val="2"/>
      <charset val="222"/>
    </font>
    <font>
      <sz val="16"/>
      <color indexed="8"/>
      <name val="Angsana New"/>
      <family val="1"/>
      <charset val="222"/>
    </font>
    <font>
      <u/>
      <sz val="9"/>
      <color indexed="8"/>
      <name val="Arial"/>
      <family val="2"/>
      <charset val="222"/>
    </font>
    <font>
      <sz val="18"/>
      <color indexed="8"/>
      <name val="Angsana New"/>
      <family val="1"/>
      <charset val="222"/>
    </font>
    <font>
      <b/>
      <sz val="24"/>
      <color indexed="17"/>
      <name val="Angsana New"/>
      <family val="1"/>
    </font>
    <font>
      <b/>
      <sz val="14"/>
      <color indexed="17"/>
      <name val="Angsana New"/>
      <family val="1"/>
    </font>
    <font>
      <sz val="20"/>
      <color indexed="17"/>
      <name val="Angsana New"/>
      <family val="1"/>
    </font>
    <font>
      <sz val="22"/>
      <color indexed="17"/>
      <name val="Angsana New"/>
      <family val="1"/>
    </font>
    <font>
      <b/>
      <sz val="20"/>
      <color indexed="8"/>
      <name val="Angsana New"/>
      <family val="1"/>
    </font>
    <font>
      <b/>
      <sz val="16"/>
      <color indexed="8"/>
      <name val="Angsana New"/>
      <family val="1"/>
    </font>
    <font>
      <sz val="24"/>
      <color indexed="16"/>
      <name val="Angsana New"/>
      <family val="1"/>
    </font>
    <font>
      <sz val="20"/>
      <color indexed="8"/>
      <name val="Angsana New"/>
      <family val="1"/>
      <charset val="222"/>
    </font>
    <font>
      <sz val="10"/>
      <name val="Arial"/>
      <family val="2"/>
    </font>
    <font>
      <sz val="16"/>
      <name val="Angsana New"/>
      <family val="1"/>
      <charset val="222"/>
    </font>
    <font>
      <sz val="10"/>
      <name val="Angsana New"/>
      <family val="1"/>
    </font>
    <font>
      <sz val="12"/>
      <color indexed="10"/>
      <name val="Angsana New"/>
      <family val="1"/>
    </font>
    <font>
      <sz val="24"/>
      <color indexed="20"/>
      <name val="Angsana New"/>
      <family val="1"/>
    </font>
    <font>
      <sz val="8"/>
      <name val="Angsana New"/>
      <family val="1"/>
      <charset val="222"/>
    </font>
    <font>
      <b/>
      <sz val="8"/>
      <name val="Arial"/>
      <family val="2"/>
      <charset val="222"/>
    </font>
    <font>
      <b/>
      <sz val="8"/>
      <name val="Angsana New"/>
      <family val="1"/>
      <charset val="222"/>
    </font>
    <font>
      <b/>
      <sz val="11"/>
      <name val="Angsana New"/>
      <family val="1"/>
    </font>
    <font>
      <sz val="12"/>
      <color indexed="8"/>
      <name val="Angsana New"/>
      <family val="1"/>
    </font>
    <font>
      <b/>
      <sz val="12"/>
      <name val="Angsana New"/>
      <family val="1"/>
    </font>
    <font>
      <b/>
      <sz val="9"/>
      <name val="Angsana New"/>
      <family val="1"/>
    </font>
    <font>
      <b/>
      <sz val="12"/>
      <color indexed="8"/>
      <name val="Angsana New"/>
      <family val="1"/>
    </font>
    <font>
      <b/>
      <sz val="11"/>
      <name val="Arial"/>
      <family val="2"/>
      <charset val="222"/>
    </font>
    <font>
      <b/>
      <sz val="11"/>
      <name val="Angsana New"/>
      <family val="1"/>
      <charset val="222"/>
    </font>
    <font>
      <b/>
      <sz val="12"/>
      <name val="Arial"/>
      <family val="2"/>
      <charset val="222"/>
    </font>
    <font>
      <sz val="12"/>
      <name val="Arial"/>
      <family val="2"/>
    </font>
    <font>
      <sz val="13"/>
      <name val="Arial"/>
      <family val="2"/>
    </font>
    <font>
      <b/>
      <sz val="13"/>
      <color indexed="60"/>
      <name val="Arial"/>
      <family val="2"/>
    </font>
    <font>
      <b/>
      <sz val="13"/>
      <name val="Arial"/>
      <family val="2"/>
    </font>
    <font>
      <sz val="16"/>
      <color indexed="30"/>
      <name val="Arial"/>
      <family val="2"/>
    </font>
    <font>
      <b/>
      <sz val="14"/>
      <name val="Angsana New"/>
      <family val="1"/>
      <charset val="222"/>
    </font>
    <font>
      <b/>
      <sz val="14"/>
      <name val="Arial"/>
      <family val="2"/>
      <charset val="222"/>
    </font>
    <font>
      <b/>
      <sz val="9"/>
      <name val="Arial"/>
      <family val="2"/>
      <charset val="222"/>
    </font>
    <font>
      <b/>
      <sz val="10"/>
      <name val="Arial"/>
      <family val="2"/>
      <charset val="222"/>
    </font>
    <font>
      <b/>
      <sz val="12"/>
      <name val="Angsana New"/>
      <family val="1"/>
      <charset val="222"/>
    </font>
    <font>
      <b/>
      <sz val="16"/>
      <name val="Arial"/>
      <family val="2"/>
      <charset val="222"/>
    </font>
    <font>
      <sz val="20"/>
      <name val="Angsana New"/>
      <family val="1"/>
      <charset val="222"/>
    </font>
    <font>
      <sz val="24"/>
      <name val="Angsana New"/>
      <family val="1"/>
      <charset val="222"/>
    </font>
    <font>
      <sz val="11"/>
      <name val="Angsana New"/>
      <family val="1"/>
      <charset val="222"/>
    </font>
    <font>
      <b/>
      <sz val="21"/>
      <color indexed="10"/>
      <name val="Angsana New"/>
      <family val="1"/>
    </font>
    <font>
      <sz val="18"/>
      <name val="Arial"/>
      <family val="2"/>
      <charset val="222"/>
    </font>
    <font>
      <sz val="12"/>
      <name val="Angsana New"/>
      <family val="1"/>
      <charset val="222"/>
    </font>
    <font>
      <sz val="11"/>
      <name val="Arial"/>
      <family val="2"/>
      <charset val="222"/>
    </font>
    <font>
      <b/>
      <sz val="18"/>
      <color indexed="60"/>
      <name val="Angsana New"/>
      <family val="1"/>
    </font>
    <font>
      <i/>
      <sz val="14"/>
      <name val="Arial"/>
      <family val="2"/>
    </font>
    <font>
      <sz val="23"/>
      <name val="Angsana New"/>
      <family val="1"/>
    </font>
    <font>
      <sz val="24"/>
      <name val="Arial"/>
      <family val="2"/>
      <charset val="222"/>
    </font>
    <font>
      <b/>
      <sz val="17"/>
      <color indexed="10"/>
      <name val="Angsana New"/>
      <family val="1"/>
    </font>
    <font>
      <sz val="20"/>
      <color theme="1"/>
      <name val="Angsana New"/>
      <family val="1"/>
    </font>
    <font>
      <sz val="22"/>
      <color theme="1"/>
      <name val="Angsana New"/>
      <family val="1"/>
    </font>
    <font>
      <sz val="24"/>
      <color rgb="FFFF0000"/>
      <name val="Angsana New"/>
      <family val="1"/>
    </font>
    <font>
      <b/>
      <sz val="24"/>
      <color rgb="FFFF0000"/>
      <name val="Angsana New"/>
      <family val="1"/>
    </font>
    <font>
      <sz val="24"/>
      <color theme="1"/>
      <name val="Angsana New"/>
      <family val="1"/>
    </font>
    <font>
      <sz val="26"/>
      <color theme="1"/>
      <name val="Angsana New"/>
      <family val="1"/>
    </font>
    <font>
      <b/>
      <sz val="22"/>
      <color rgb="FFFF0000"/>
      <name val="Angsana New"/>
      <family val="1"/>
    </font>
    <font>
      <sz val="22"/>
      <color rgb="FFFF0000"/>
      <name val="Angsana New"/>
      <family val="1"/>
    </font>
    <font>
      <sz val="24"/>
      <color theme="9" tint="-0.249977111117893"/>
      <name val="Angsana New"/>
      <family val="1"/>
      <charset val="222"/>
    </font>
    <font>
      <sz val="22"/>
      <color theme="9" tint="-0.249977111117893"/>
      <name val="Angsana New"/>
      <family val="1"/>
      <charset val="222"/>
    </font>
    <font>
      <b/>
      <sz val="24"/>
      <color theme="9" tint="-0.249977111117893"/>
      <name val="Angsana New"/>
      <family val="1"/>
      <charset val="222"/>
    </font>
    <font>
      <sz val="20"/>
      <color theme="9" tint="-0.249977111117893"/>
      <name val="Angsana New"/>
      <family val="1"/>
      <charset val="222"/>
    </font>
    <font>
      <sz val="18"/>
      <color theme="9" tint="-0.249977111117893"/>
      <name val="Angsana New"/>
      <family val="1"/>
      <charset val="222"/>
    </font>
    <font>
      <u/>
      <sz val="10"/>
      <color theme="9" tint="-0.249977111117893"/>
      <name val="Arial"/>
      <family val="2"/>
      <charset val="222"/>
    </font>
  </fonts>
  <fills count="4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7"/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50"/>
        <bgColor indexed="13"/>
      </patternFill>
    </fill>
    <fill>
      <patternFill patternType="solid">
        <fgColor indexed="47"/>
        <bgColor indexed="47"/>
      </patternFill>
    </fill>
    <fill>
      <patternFill patternType="solid">
        <fgColor indexed="13"/>
        <bgColor indexed="13"/>
      </patternFill>
    </fill>
    <fill>
      <patternFill patternType="solid">
        <fgColor indexed="9"/>
        <bgColor indexed="50"/>
      </patternFill>
    </fill>
    <fill>
      <patternFill patternType="solid">
        <fgColor indexed="9"/>
        <bgColor indexed="44"/>
      </patternFill>
    </fill>
    <fill>
      <patternFill patternType="solid">
        <fgColor indexed="43"/>
        <bgColor indexed="44"/>
      </patternFill>
    </fill>
    <fill>
      <patternFill patternType="solid">
        <fgColor indexed="3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47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D1F1B1"/>
        <bgColor indexed="64"/>
      </patternFill>
    </fill>
    <fill>
      <patternFill patternType="solid">
        <fgColor rgb="FFDCBDF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FF"/>
        <bgColor indexed="64"/>
      </patternFill>
    </fill>
  </fills>
  <borders count="10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0" fontId="41" fillId="0" borderId="0"/>
    <xf numFmtId="9" fontId="1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4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0" fillId="0" borderId="0" applyFont="0" applyFill="0" applyBorder="0" applyAlignment="0" applyProtection="0"/>
    <xf numFmtId="164" fontId="41" fillId="0" borderId="0" applyFont="0" applyFill="0" applyBorder="0" applyAlignment="0" applyProtection="0"/>
  </cellStyleXfs>
  <cellXfs count="3773">
    <xf numFmtId="0" fontId="0" fillId="0" borderId="0" xfId="0"/>
    <xf numFmtId="0" fontId="7" fillId="0" borderId="1" xfId="0" applyFont="1" applyBorder="1"/>
    <xf numFmtId="0" fontId="7" fillId="0" borderId="2" xfId="0" applyFont="1" applyBorder="1"/>
    <xf numFmtId="0" fontId="8" fillId="0" borderId="0" xfId="0" applyFont="1" applyAlignment="1"/>
    <xf numFmtId="0" fontId="9" fillId="0" borderId="0" xfId="0" applyFont="1" applyAlignment="1"/>
    <xf numFmtId="0" fontId="9" fillId="0" borderId="0" xfId="0" applyFont="1"/>
    <xf numFmtId="0" fontId="9" fillId="0" borderId="1" xfId="0" applyFont="1" applyBorder="1"/>
    <xf numFmtId="0" fontId="9" fillId="0" borderId="2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9" fillId="0" borderId="18" xfId="0" applyFont="1" applyBorder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21" xfId="0" applyFont="1" applyBorder="1"/>
    <xf numFmtId="0" fontId="9" fillId="0" borderId="22" xfId="0" applyFont="1" applyBorder="1" applyAlignment="1">
      <alignment horizontal="center"/>
    </xf>
    <xf numFmtId="0" fontId="9" fillId="0" borderId="23" xfId="0" applyFont="1" applyBorder="1"/>
    <xf numFmtId="0" fontId="9" fillId="0" borderId="10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4" xfId="0" applyFont="1" applyBorder="1"/>
    <xf numFmtId="0" fontId="9" fillId="0" borderId="5" xfId="0" applyFont="1" applyBorder="1" applyAlignment="1">
      <alignment horizontal="center"/>
    </xf>
    <xf numFmtId="0" fontId="9" fillId="0" borderId="3" xfId="0" applyFon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/>
    <xf numFmtId="0" fontId="10" fillId="0" borderId="9" xfId="0" applyFont="1" applyBorder="1"/>
    <xf numFmtId="0" fontId="9" fillId="0" borderId="25" xfId="0" applyFont="1" applyBorder="1"/>
    <xf numFmtId="0" fontId="9" fillId="0" borderId="26" xfId="0" applyFont="1" applyBorder="1" applyAlignment="1">
      <alignment horizontal="center"/>
    </xf>
    <xf numFmtId="0" fontId="11" fillId="0" borderId="9" xfId="0" applyFont="1" applyBorder="1"/>
    <xf numFmtId="0" fontId="11" fillId="0" borderId="12" xfId="0" applyFont="1" applyBorder="1"/>
    <xf numFmtId="0" fontId="13" fillId="0" borderId="0" xfId="0" applyFont="1" applyBorder="1"/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27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13" fillId="0" borderId="5" xfId="0" applyFont="1" applyBorder="1"/>
    <xf numFmtId="0" fontId="13" fillId="0" borderId="33" xfId="0" applyFont="1" applyBorder="1" applyAlignment="1">
      <alignment horizontal="center"/>
    </xf>
    <xf numFmtId="0" fontId="13" fillId="2" borderId="23" xfId="0" applyFont="1" applyFill="1" applyBorder="1" applyAlignment="1">
      <alignment horizontal="center"/>
    </xf>
    <xf numFmtId="0" fontId="13" fillId="0" borderId="7" xfId="0" applyFont="1" applyBorder="1"/>
    <xf numFmtId="0" fontId="13" fillId="0" borderId="7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0" borderId="35" xfId="0" applyFont="1" applyBorder="1"/>
    <xf numFmtId="0" fontId="13" fillId="0" borderId="13" xfId="0" applyFont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3" fillId="0" borderId="12" xfId="0" applyFont="1" applyBorder="1"/>
    <xf numFmtId="0" fontId="13" fillId="0" borderId="35" xfId="0" applyFont="1" applyBorder="1" applyAlignment="1">
      <alignment horizontal="center"/>
    </xf>
    <xf numFmtId="0" fontId="13" fillId="0" borderId="10" xfId="0" applyFont="1" applyBorder="1"/>
    <xf numFmtId="0" fontId="13" fillId="0" borderId="36" xfId="0" applyFont="1" applyBorder="1" applyAlignment="1">
      <alignment horizontal="center"/>
    </xf>
    <xf numFmtId="0" fontId="13" fillId="2" borderId="24" xfId="0" applyFont="1" applyFill="1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2" borderId="35" xfId="0" applyFont="1" applyFill="1" applyBorder="1" applyAlignment="1">
      <alignment horizontal="center"/>
    </xf>
    <xf numFmtId="0" fontId="11" fillId="0" borderId="35" xfId="0" applyFont="1" applyBorder="1"/>
    <xf numFmtId="0" fontId="11" fillId="0" borderId="0" xfId="0" applyFont="1" applyBorder="1"/>
    <xf numFmtId="0" fontId="11" fillId="0" borderId="0" xfId="0" applyFont="1"/>
    <xf numFmtId="0" fontId="13" fillId="2" borderId="40" xfId="0" applyFont="1" applyFill="1" applyBorder="1" applyAlignment="1">
      <alignment horizontal="center"/>
    </xf>
    <xf numFmtId="0" fontId="13" fillId="2" borderId="41" xfId="0" applyFont="1" applyFill="1" applyBorder="1" applyAlignment="1">
      <alignment horizontal="center"/>
    </xf>
    <xf numFmtId="0" fontId="13" fillId="2" borderId="20" xfId="0" applyFont="1" applyFill="1" applyBorder="1" applyAlignment="1">
      <alignment horizontal="center"/>
    </xf>
    <xf numFmtId="0" fontId="13" fillId="2" borderId="42" xfId="0" applyFont="1" applyFill="1" applyBorder="1" applyAlignment="1">
      <alignment horizontal="center"/>
    </xf>
    <xf numFmtId="0" fontId="11" fillId="0" borderId="7" xfId="0" applyFont="1" applyBorder="1"/>
    <xf numFmtId="0" fontId="11" fillId="0" borderId="34" xfId="0" applyFont="1" applyBorder="1"/>
    <xf numFmtId="0" fontId="11" fillId="0" borderId="13" xfId="0" applyFont="1" applyBorder="1"/>
    <xf numFmtId="0" fontId="11" fillId="2" borderId="43" xfId="0" applyFont="1" applyFill="1" applyBorder="1"/>
    <xf numFmtId="0" fontId="11" fillId="0" borderId="37" xfId="0" applyFont="1" applyBorder="1"/>
    <xf numFmtId="0" fontId="11" fillId="0" borderId="2" xfId="0" applyFont="1" applyBorder="1"/>
    <xf numFmtId="0" fontId="11" fillId="0" borderId="44" xfId="0" applyFont="1" applyBorder="1"/>
    <xf numFmtId="0" fontId="11" fillId="0" borderId="36" xfId="0" applyFont="1" applyBorder="1"/>
    <xf numFmtId="0" fontId="11" fillId="0" borderId="17" xfId="0" applyFont="1" applyBorder="1"/>
    <xf numFmtId="0" fontId="13" fillId="2" borderId="12" xfId="0" applyFont="1" applyFill="1" applyBorder="1"/>
    <xf numFmtId="0" fontId="13" fillId="2" borderId="12" xfId="0" applyFont="1" applyFill="1" applyBorder="1" applyAlignment="1">
      <alignment horizontal="center"/>
    </xf>
    <xf numFmtId="0" fontId="13" fillId="2" borderId="11" xfId="0" applyFont="1" applyFill="1" applyBorder="1"/>
    <xf numFmtId="0" fontId="11" fillId="3" borderId="0" xfId="0" applyFont="1" applyFill="1" applyBorder="1"/>
    <xf numFmtId="0" fontId="13" fillId="2" borderId="7" xfId="0" applyFont="1" applyFill="1" applyBorder="1" applyAlignment="1">
      <alignment horizontal="center"/>
    </xf>
    <xf numFmtId="0" fontId="11" fillId="0" borderId="10" xfId="0" applyFont="1" applyBorder="1"/>
    <xf numFmtId="0" fontId="11" fillId="0" borderId="5" xfId="0" applyFont="1" applyBorder="1"/>
    <xf numFmtId="0" fontId="11" fillId="0" borderId="45" xfId="0" applyFont="1" applyBorder="1"/>
    <xf numFmtId="0" fontId="9" fillId="0" borderId="15" xfId="0" applyFont="1" applyBorder="1" applyAlignment="1">
      <alignment horizontal="center"/>
    </xf>
    <xf numFmtId="0" fontId="11" fillId="2" borderId="10" xfId="0" applyFont="1" applyFill="1" applyBorder="1"/>
    <xf numFmtId="0" fontId="13" fillId="2" borderId="10" xfId="0" applyFont="1" applyFill="1" applyBorder="1"/>
    <xf numFmtId="0" fontId="11" fillId="0" borderId="3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35" xfId="0" applyFont="1" applyBorder="1" applyAlignment="1">
      <alignment horizontal="left"/>
    </xf>
    <xf numFmtId="0" fontId="11" fillId="0" borderId="34" xfId="0" applyFont="1" applyBorder="1" applyAlignment="1">
      <alignment horizontal="left"/>
    </xf>
    <xf numFmtId="0" fontId="13" fillId="0" borderId="34" xfId="0" applyFont="1" applyBorder="1" applyAlignment="1">
      <alignment horizontal="left"/>
    </xf>
    <xf numFmtId="0" fontId="11" fillId="0" borderId="37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1" fillId="0" borderId="29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3" fillId="0" borderId="0" xfId="0" applyFont="1" applyBorder="1" applyAlignment="1"/>
    <xf numFmtId="0" fontId="11" fillId="0" borderId="47" xfId="0" applyFont="1" applyBorder="1"/>
    <xf numFmtId="0" fontId="11" fillId="0" borderId="48" xfId="0" applyFont="1" applyBorder="1"/>
    <xf numFmtId="0" fontId="17" fillId="0" borderId="35" xfId="0" applyFont="1" applyBorder="1"/>
    <xf numFmtId="0" fontId="17" fillId="0" borderId="34" xfId="0" applyFont="1" applyBorder="1"/>
    <xf numFmtId="0" fontId="17" fillId="0" borderId="34" xfId="0" applyFont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4" fillId="2" borderId="12" xfId="0" applyFont="1" applyFill="1" applyBorder="1"/>
    <xf numFmtId="0" fontId="14" fillId="2" borderId="10" xfId="0" applyFont="1" applyFill="1" applyBorder="1"/>
    <xf numFmtId="0" fontId="14" fillId="2" borderId="11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35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29" xfId="0" applyFont="1" applyBorder="1" applyAlignment="1">
      <alignment horizontal="left"/>
    </xf>
    <xf numFmtId="0" fontId="13" fillId="0" borderId="32" xfId="0" applyFont="1" applyBorder="1" applyAlignment="1">
      <alignment horizontal="left"/>
    </xf>
    <xf numFmtId="0" fontId="17" fillId="0" borderId="35" xfId="0" applyFont="1" applyBorder="1" applyAlignment="1">
      <alignment horizontal="left"/>
    </xf>
    <xf numFmtId="0" fontId="14" fillId="0" borderId="35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3" fillId="0" borderId="11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3" fillId="0" borderId="28" xfId="0" applyFont="1" applyBorder="1" applyAlignment="1">
      <alignment horizontal="left"/>
    </xf>
    <xf numFmtId="0" fontId="13" fillId="0" borderId="31" xfId="0" applyFont="1" applyBorder="1" applyAlignment="1">
      <alignment horizontal="left"/>
    </xf>
    <xf numFmtId="0" fontId="13" fillId="0" borderId="39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28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3" fillId="2" borderId="43" xfId="0" applyFont="1" applyFill="1" applyBorder="1"/>
    <xf numFmtId="0" fontId="13" fillId="2" borderId="19" xfId="0" applyFont="1" applyFill="1" applyBorder="1"/>
    <xf numFmtId="0" fontId="13" fillId="2" borderId="6" xfId="0" applyFont="1" applyFill="1" applyBorder="1"/>
    <xf numFmtId="0" fontId="13" fillId="2" borderId="47" xfId="0" applyFont="1" applyFill="1" applyBorder="1"/>
    <xf numFmtId="0" fontId="13" fillId="2" borderId="11" xfId="0" applyFont="1" applyFill="1" applyBorder="1" applyAlignment="1"/>
    <xf numFmtId="0" fontId="13" fillId="2" borderId="49" xfId="0" applyFont="1" applyFill="1" applyBorder="1"/>
    <xf numFmtId="0" fontId="13" fillId="2" borderId="24" xfId="0" applyFont="1" applyFill="1" applyBorder="1"/>
    <xf numFmtId="0" fontId="13" fillId="0" borderId="44" xfId="0" applyFont="1" applyBorder="1"/>
    <xf numFmtId="0" fontId="11" fillId="0" borderId="35" xfId="0" applyFont="1" applyBorder="1" applyAlignment="1">
      <alignment horizontal="right"/>
    </xf>
    <xf numFmtId="49" fontId="11" fillId="0" borderId="35" xfId="0" applyNumberFormat="1" applyFont="1" applyBorder="1" applyAlignment="1">
      <alignment horizontal="left"/>
    </xf>
    <xf numFmtId="0" fontId="13" fillId="0" borderId="44" xfId="0" applyFont="1" applyBorder="1" applyAlignment="1">
      <alignment horizontal="center"/>
    </xf>
    <xf numFmtId="0" fontId="13" fillId="2" borderId="48" xfId="0" applyFont="1" applyFill="1" applyBorder="1"/>
    <xf numFmtId="0" fontId="13" fillId="0" borderId="12" xfId="0" applyFont="1" applyBorder="1" applyAlignment="1">
      <alignment horizontal="left"/>
    </xf>
    <xf numFmtId="0" fontId="13" fillId="0" borderId="20" xfId="0" applyFont="1" applyBorder="1" applyAlignment="1">
      <alignment horizontal="center"/>
    </xf>
    <xf numFmtId="0" fontId="11" fillId="0" borderId="43" xfId="0" applyFont="1" applyBorder="1"/>
    <xf numFmtId="0" fontId="13" fillId="0" borderId="43" xfId="0" applyFont="1" applyBorder="1"/>
    <xf numFmtId="0" fontId="13" fillId="0" borderId="43" xfId="0" applyFont="1" applyBorder="1" applyAlignment="1">
      <alignment horizontal="center"/>
    </xf>
    <xf numFmtId="0" fontId="13" fillId="0" borderId="7" xfId="0" applyFont="1" applyBorder="1" applyAlignment="1">
      <alignment horizontal="left"/>
    </xf>
    <xf numFmtId="0" fontId="14" fillId="0" borderId="43" xfId="0" applyFont="1" applyBorder="1"/>
    <xf numFmtId="0" fontId="14" fillId="0" borderId="12" xfId="0" applyFont="1" applyBorder="1" applyAlignment="1">
      <alignment horizontal="left"/>
    </xf>
    <xf numFmtId="0" fontId="13" fillId="0" borderId="17" xfId="0" applyFont="1" applyBorder="1" applyAlignment="1">
      <alignment horizontal="left"/>
    </xf>
    <xf numFmtId="2" fontId="13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14" fillId="0" borderId="0" xfId="0" applyNumberFormat="1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4" fontId="22" fillId="0" borderId="0" xfId="0" applyNumberFormat="1" applyFont="1" applyBorder="1" applyAlignment="1">
      <alignment horizontal="center"/>
    </xf>
    <xf numFmtId="4" fontId="21" fillId="0" borderId="0" xfId="0" applyNumberFormat="1" applyFont="1" applyBorder="1" applyAlignment="1">
      <alignment horizontal="center"/>
    </xf>
    <xf numFmtId="2" fontId="23" fillId="0" borderId="0" xfId="0" applyNumberFormat="1" applyFont="1"/>
    <xf numFmtId="2" fontId="23" fillId="0" borderId="0" xfId="0" applyNumberFormat="1" applyFont="1" applyBorder="1"/>
    <xf numFmtId="2" fontId="23" fillId="0" borderId="28" xfId="0" applyNumberFormat="1" applyFont="1" applyBorder="1" applyAlignment="1">
      <alignment horizontal="center"/>
    </xf>
    <xf numFmtId="2" fontId="23" fillId="0" borderId="31" xfId="0" applyNumberFormat="1" applyFont="1" applyBorder="1" applyAlignment="1">
      <alignment horizontal="center"/>
    </xf>
    <xf numFmtId="2" fontId="24" fillId="0" borderId="35" xfId="0" applyNumberFormat="1" applyFont="1" applyBorder="1"/>
    <xf numFmtId="2" fontId="23" fillId="0" borderId="35" xfId="0" applyNumberFormat="1" applyFont="1" applyBorder="1"/>
    <xf numFmtId="2" fontId="23" fillId="0" borderId="35" xfId="0" applyNumberFormat="1" applyFont="1" applyBorder="1" applyAlignment="1">
      <alignment horizontal="center"/>
    </xf>
    <xf numFmtId="2" fontId="23" fillId="0" borderId="0" xfId="0" applyNumberFormat="1" applyFont="1" applyBorder="1" applyAlignment="1">
      <alignment horizontal="center"/>
    </xf>
    <xf numFmtId="49" fontId="11" fillId="0" borderId="0" xfId="0" applyNumberFormat="1" applyFont="1"/>
    <xf numFmtId="49" fontId="13" fillId="0" borderId="0" xfId="0" applyNumberFormat="1" applyFont="1"/>
    <xf numFmtId="49" fontId="13" fillId="0" borderId="28" xfId="0" applyNumberFormat="1" applyFont="1" applyBorder="1" applyAlignment="1">
      <alignment horizontal="center"/>
    </xf>
    <xf numFmtId="49" fontId="13" fillId="0" borderId="31" xfId="0" applyNumberFormat="1" applyFont="1" applyBorder="1" applyAlignment="1">
      <alignment horizontal="center"/>
    </xf>
    <xf numFmtId="49" fontId="11" fillId="0" borderId="35" xfId="0" applyNumberFormat="1" applyFont="1" applyBorder="1"/>
    <xf numFmtId="49" fontId="13" fillId="0" borderId="35" xfId="0" applyNumberFormat="1" applyFont="1" applyBorder="1"/>
    <xf numFmtId="49" fontId="13" fillId="0" borderId="36" xfId="0" applyNumberFormat="1" applyFont="1" applyBorder="1"/>
    <xf numFmtId="49" fontId="14" fillId="0" borderId="35" xfId="0" applyNumberFormat="1" applyFont="1" applyBorder="1"/>
    <xf numFmtId="2" fontId="13" fillId="0" borderId="41" xfId="0" applyNumberFormat="1" applyFont="1" applyBorder="1" applyAlignment="1">
      <alignment horizontal="center"/>
    </xf>
    <xf numFmtId="2" fontId="13" fillId="0" borderId="42" xfId="0" applyNumberFormat="1" applyFont="1" applyBorder="1" applyAlignment="1">
      <alignment horizontal="center"/>
    </xf>
    <xf numFmtId="2" fontId="25" fillId="0" borderId="0" xfId="0" applyNumberFormat="1" applyFont="1"/>
    <xf numFmtId="0" fontId="25" fillId="0" borderId="0" xfId="0" applyFont="1"/>
    <xf numFmtId="2" fontId="25" fillId="0" borderId="0" xfId="0" applyNumberFormat="1" applyFont="1" applyAlignment="1">
      <alignment horizontal="center"/>
    </xf>
    <xf numFmtId="2" fontId="25" fillId="0" borderId="0" xfId="0" applyNumberFormat="1" applyFont="1" applyBorder="1"/>
    <xf numFmtId="4" fontId="22" fillId="0" borderId="40" xfId="0" applyNumberFormat="1" applyFont="1" applyBorder="1" applyAlignment="1">
      <alignment horizontal="center"/>
    </xf>
    <xf numFmtId="4" fontId="22" fillId="0" borderId="20" xfId="0" applyNumberFormat="1" applyFont="1" applyBorder="1" applyAlignment="1">
      <alignment horizontal="center"/>
    </xf>
    <xf numFmtId="4" fontId="22" fillId="0" borderId="13" xfId="0" applyNumberFormat="1" applyFont="1" applyBorder="1" applyAlignment="1">
      <alignment horizontal="center"/>
    </xf>
    <xf numFmtId="2" fontId="14" fillId="0" borderId="13" xfId="0" applyNumberFormat="1" applyFont="1" applyBorder="1" applyAlignment="1">
      <alignment horizontal="center"/>
    </xf>
    <xf numFmtId="0" fontId="13" fillId="0" borderId="13" xfId="0" applyFont="1" applyBorder="1" applyAlignment="1">
      <alignment horizontal="left"/>
    </xf>
    <xf numFmtId="2" fontId="13" fillId="0" borderId="13" xfId="0" applyNumberFormat="1" applyFont="1" applyBorder="1" applyAlignment="1">
      <alignment horizontal="center"/>
    </xf>
    <xf numFmtId="0" fontId="13" fillId="2" borderId="50" xfId="0" applyFont="1" applyFill="1" applyBorder="1"/>
    <xf numFmtId="0" fontId="13" fillId="0" borderId="46" xfId="0" applyFont="1" applyBorder="1" applyAlignment="1">
      <alignment horizontal="left"/>
    </xf>
    <xf numFmtId="0" fontId="13" fillId="0" borderId="50" xfId="0" applyFont="1" applyBorder="1"/>
    <xf numFmtId="2" fontId="23" fillId="0" borderId="36" xfId="0" applyNumberFormat="1" applyFont="1" applyBorder="1"/>
    <xf numFmtId="2" fontId="13" fillId="0" borderId="18" xfId="0" applyNumberFormat="1" applyFont="1" applyBorder="1" applyAlignment="1">
      <alignment horizontal="center"/>
    </xf>
    <xf numFmtId="49" fontId="26" fillId="0" borderId="35" xfId="0" applyNumberFormat="1" applyFont="1" applyBorder="1"/>
    <xf numFmtId="0" fontId="14" fillId="0" borderId="0" xfId="0" applyFont="1" applyBorder="1"/>
    <xf numFmtId="0" fontId="17" fillId="0" borderId="0" xfId="0" applyFont="1" applyBorder="1" applyAlignment="1">
      <alignment horizontal="left"/>
    </xf>
    <xf numFmtId="49" fontId="17" fillId="0" borderId="12" xfId="0" applyNumberFormat="1" applyFont="1" applyBorder="1"/>
    <xf numFmtId="0" fontId="17" fillId="0" borderId="35" xfId="0" applyFont="1" applyBorder="1" applyAlignment="1">
      <alignment horizontal="center"/>
    </xf>
    <xf numFmtId="0" fontId="13" fillId="4" borderId="47" xfId="0" applyFont="1" applyFill="1" applyBorder="1"/>
    <xf numFmtId="2" fontId="23" fillId="3" borderId="35" xfId="0" applyNumberFormat="1" applyFont="1" applyFill="1" applyBorder="1"/>
    <xf numFmtId="49" fontId="17" fillId="0" borderId="0" xfId="0" applyNumberFormat="1" applyFont="1"/>
    <xf numFmtId="49" fontId="17" fillId="0" borderId="38" xfId="0" applyNumberFormat="1" applyFont="1" applyBorder="1" applyAlignment="1">
      <alignment horizontal="center"/>
    </xf>
    <xf numFmtId="49" fontId="17" fillId="0" borderId="39" xfId="0" applyNumberFormat="1" applyFont="1" applyBorder="1" applyAlignment="1">
      <alignment horizontal="center"/>
    </xf>
    <xf numFmtId="49" fontId="11" fillId="0" borderId="0" xfId="0" applyNumberFormat="1" applyFont="1" applyBorder="1" applyAlignment="1">
      <alignment horizontal="left"/>
    </xf>
    <xf numFmtId="49" fontId="17" fillId="0" borderId="7" xfId="0" applyNumberFormat="1" applyFont="1" applyBorder="1" applyAlignment="1">
      <alignment horizontal="center"/>
    </xf>
    <xf numFmtId="49" fontId="17" fillId="0" borderId="12" xfId="0" applyNumberFormat="1" applyFont="1" applyBorder="1" applyAlignment="1">
      <alignment horizontal="center"/>
    </xf>
    <xf numFmtId="49" fontId="17" fillId="0" borderId="7" xfId="0" applyNumberFormat="1" applyFont="1" applyBorder="1"/>
    <xf numFmtId="49" fontId="17" fillId="0" borderId="35" xfId="0" applyNumberFormat="1" applyFont="1" applyBorder="1"/>
    <xf numFmtId="49" fontId="17" fillId="0" borderId="0" xfId="0" applyNumberFormat="1" applyFont="1" applyBorder="1" applyAlignment="1">
      <alignment horizontal="left"/>
    </xf>
    <xf numFmtId="49" fontId="14" fillId="0" borderId="38" xfId="0" applyNumberFormat="1" applyFont="1" applyBorder="1" applyAlignment="1">
      <alignment horizontal="center"/>
    </xf>
    <xf numFmtId="49" fontId="17" fillId="0" borderId="2" xfId="0" applyNumberFormat="1" applyFont="1" applyBorder="1"/>
    <xf numFmtId="0" fontId="13" fillId="3" borderId="43" xfId="0" applyFont="1" applyFill="1" applyBorder="1"/>
    <xf numFmtId="0" fontId="13" fillId="3" borderId="35" xfId="0" applyFont="1" applyFill="1" applyBorder="1" applyAlignment="1">
      <alignment horizontal="center"/>
    </xf>
    <xf numFmtId="49" fontId="17" fillId="3" borderId="12" xfId="0" applyNumberFormat="1" applyFont="1" applyFill="1" applyBorder="1"/>
    <xf numFmtId="0" fontId="11" fillId="3" borderId="35" xfId="0" applyFont="1" applyFill="1" applyBorder="1"/>
    <xf numFmtId="49" fontId="13" fillId="3" borderId="35" xfId="0" applyNumberFormat="1" applyFont="1" applyFill="1" applyBorder="1"/>
    <xf numFmtId="2" fontId="13" fillId="3" borderId="13" xfId="0" applyNumberFormat="1" applyFont="1" applyFill="1" applyBorder="1" applyAlignment="1">
      <alignment horizontal="center"/>
    </xf>
    <xf numFmtId="0" fontId="13" fillId="0" borderId="47" xfId="0" applyFont="1" applyBorder="1" applyAlignment="1">
      <alignment horizontal="left"/>
    </xf>
    <xf numFmtId="0" fontId="9" fillId="0" borderId="35" xfId="0" applyFont="1" applyBorder="1" applyAlignment="1">
      <alignment horizontal="center"/>
    </xf>
    <xf numFmtId="4" fontId="22" fillId="3" borderId="13" xfId="0" applyNumberFormat="1" applyFont="1" applyFill="1" applyBorder="1" applyAlignment="1">
      <alignment horizontal="center"/>
    </xf>
    <xf numFmtId="0" fontId="13" fillId="0" borderId="47" xfId="0" applyFont="1" applyBorder="1"/>
    <xf numFmtId="0" fontId="18" fillId="0" borderId="0" xfId="0" applyFont="1" applyBorder="1" applyAlignment="1">
      <alignment horizontal="left"/>
    </xf>
    <xf numFmtId="0" fontId="14" fillId="0" borderId="51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27" fillId="0" borderId="0" xfId="0" applyFont="1" applyBorder="1" applyAlignment="1">
      <alignment horizontal="left"/>
    </xf>
    <xf numFmtId="0" fontId="13" fillId="2" borderId="12" xfId="0" applyFont="1" applyFill="1" applyBorder="1" applyAlignment="1">
      <alignment horizontal="right"/>
    </xf>
    <xf numFmtId="0" fontId="25" fillId="2" borderId="47" xfId="0" applyFont="1" applyFill="1" applyBorder="1"/>
    <xf numFmtId="0" fontId="25" fillId="2" borderId="11" xfId="0" applyFont="1" applyFill="1" applyBorder="1" applyAlignment="1">
      <alignment horizontal="center"/>
    </xf>
    <xf numFmtId="0" fontId="13" fillId="0" borderId="12" xfId="0" applyFont="1" applyBorder="1" applyAlignment="1">
      <alignment horizontal="right"/>
    </xf>
    <xf numFmtId="0" fontId="13" fillId="3" borderId="12" xfId="0" applyFont="1" applyFill="1" applyBorder="1" applyAlignment="1">
      <alignment horizontal="right"/>
    </xf>
    <xf numFmtId="49" fontId="13" fillId="0" borderId="38" xfId="0" applyNumberFormat="1" applyFont="1" applyBorder="1" applyAlignment="1">
      <alignment horizontal="center"/>
    </xf>
    <xf numFmtId="49" fontId="13" fillId="0" borderId="39" xfId="0" applyNumberFormat="1" applyFont="1" applyBorder="1" applyAlignment="1">
      <alignment horizontal="center"/>
    </xf>
    <xf numFmtId="0" fontId="13" fillId="2" borderId="47" xfId="0" applyFont="1" applyFill="1" applyBorder="1" applyAlignment="1">
      <alignment horizontal="center"/>
    </xf>
    <xf numFmtId="2" fontId="13" fillId="3" borderId="35" xfId="0" applyNumberFormat="1" applyFont="1" applyFill="1" applyBorder="1" applyAlignment="1">
      <alignment horizontal="center"/>
    </xf>
    <xf numFmtId="2" fontId="13" fillId="0" borderId="35" xfId="0" applyNumberFormat="1" applyFont="1" applyBorder="1" applyAlignment="1">
      <alignment horizontal="center"/>
    </xf>
    <xf numFmtId="4" fontId="22" fillId="0" borderId="52" xfId="0" applyNumberFormat="1" applyFont="1" applyBorder="1" applyAlignment="1">
      <alignment horizontal="center"/>
    </xf>
    <xf numFmtId="4" fontId="22" fillId="0" borderId="53" xfId="0" applyNumberFormat="1" applyFont="1" applyBorder="1" applyAlignment="1">
      <alignment horizontal="center"/>
    </xf>
    <xf numFmtId="49" fontId="17" fillId="0" borderId="12" xfId="0" applyNumberFormat="1" applyFont="1" applyBorder="1" applyAlignment="1">
      <alignment horizontal="left"/>
    </xf>
    <xf numFmtId="0" fontId="14" fillId="2" borderId="43" xfId="0" applyFont="1" applyFill="1" applyBorder="1"/>
    <xf numFmtId="49" fontId="7" fillId="0" borderId="38" xfId="0" applyNumberFormat="1" applyFont="1" applyBorder="1" applyAlignment="1">
      <alignment horizontal="center"/>
    </xf>
    <xf numFmtId="49" fontId="7" fillId="0" borderId="0" xfId="0" applyNumberFormat="1" applyFont="1" applyBorder="1" applyAlignment="1">
      <alignment horizontal="left"/>
    </xf>
    <xf numFmtId="0" fontId="15" fillId="0" borderId="13" xfId="0" applyFont="1" applyBorder="1" applyAlignment="1">
      <alignment horizontal="center"/>
    </xf>
    <xf numFmtId="0" fontId="13" fillId="3" borderId="35" xfId="0" applyFont="1" applyFill="1" applyBorder="1"/>
    <xf numFmtId="0" fontId="13" fillId="3" borderId="13" xfId="0" applyFont="1" applyFill="1" applyBorder="1" applyAlignment="1">
      <alignment horizontal="left"/>
    </xf>
    <xf numFmtId="0" fontId="13" fillId="2" borderId="54" xfId="0" applyFont="1" applyFill="1" applyBorder="1"/>
    <xf numFmtId="0" fontId="25" fillId="2" borderId="43" xfId="0" applyFont="1" applyFill="1" applyBorder="1"/>
    <xf numFmtId="0" fontId="14" fillId="2" borderId="1" xfId="0" applyFont="1" applyFill="1" applyBorder="1"/>
    <xf numFmtId="0" fontId="14" fillId="2" borderId="24" xfId="0" applyFont="1" applyFill="1" applyBorder="1" applyAlignment="1">
      <alignment horizontal="center"/>
    </xf>
    <xf numFmtId="0" fontId="11" fillId="0" borderId="55" xfId="0" applyFont="1" applyBorder="1"/>
    <xf numFmtId="0" fontId="9" fillId="0" borderId="34" xfId="0" applyFont="1" applyBorder="1" applyAlignment="1">
      <alignment horizontal="center"/>
    </xf>
    <xf numFmtId="0" fontId="13" fillId="0" borderId="16" xfId="0" applyFont="1" applyBorder="1" applyAlignment="1">
      <alignment horizontal="left"/>
    </xf>
    <xf numFmtId="0" fontId="13" fillId="0" borderId="42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5" fillId="3" borderId="13" xfId="0" applyFont="1" applyFill="1" applyBorder="1" applyAlignment="1">
      <alignment horizontal="left"/>
    </xf>
    <xf numFmtId="0" fontId="11" fillId="0" borderId="8" xfId="0" applyFont="1" applyBorder="1"/>
    <xf numFmtId="0" fontId="13" fillId="3" borderId="0" xfId="0" applyFont="1" applyFill="1" applyBorder="1" applyAlignment="1">
      <alignment horizontal="center"/>
    </xf>
    <xf numFmtId="0" fontId="11" fillId="0" borderId="10" xfId="0" applyFont="1" applyBorder="1" applyAlignment="1">
      <alignment horizontal="left"/>
    </xf>
    <xf numFmtId="0" fontId="11" fillId="3" borderId="10" xfId="0" applyFont="1" applyFill="1" applyBorder="1"/>
    <xf numFmtId="49" fontId="17" fillId="0" borderId="0" xfId="0" applyNumberFormat="1" applyFont="1" applyBorder="1"/>
    <xf numFmtId="0" fontId="17" fillId="0" borderId="0" xfId="0" applyFont="1" applyBorder="1"/>
    <xf numFmtId="49" fontId="14" fillId="0" borderId="0" xfId="0" applyNumberFormat="1" applyFont="1" applyBorder="1"/>
    <xf numFmtId="2" fontId="24" fillId="0" borderId="0" xfId="0" applyNumberFormat="1" applyFont="1" applyBorder="1"/>
    <xf numFmtId="0" fontId="14" fillId="3" borderId="0" xfId="0" applyFont="1" applyFill="1" applyBorder="1"/>
    <xf numFmtId="0" fontId="14" fillId="3" borderId="0" xfId="0" applyFont="1" applyFill="1" applyBorder="1" applyAlignment="1">
      <alignment horizontal="center"/>
    </xf>
    <xf numFmtId="0" fontId="13" fillId="3" borderId="10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center"/>
    </xf>
    <xf numFmtId="49" fontId="13" fillId="0" borderId="0" xfId="0" applyNumberFormat="1" applyFont="1" applyBorder="1"/>
    <xf numFmtId="0" fontId="13" fillId="3" borderId="0" xfId="0" applyFont="1" applyFill="1" applyBorder="1"/>
    <xf numFmtId="0" fontId="13" fillId="2" borderId="16" xfId="0" applyFont="1" applyFill="1" applyBorder="1" applyAlignment="1">
      <alignment horizontal="center"/>
    </xf>
    <xf numFmtId="4" fontId="22" fillId="0" borderId="11" xfId="0" applyNumberFormat="1" applyFont="1" applyBorder="1" applyAlignment="1">
      <alignment horizontal="center"/>
    </xf>
    <xf numFmtId="4" fontId="21" fillId="0" borderId="56" xfId="0" applyNumberFormat="1" applyFont="1" applyBorder="1" applyAlignment="1">
      <alignment horizontal="center"/>
    </xf>
    <xf numFmtId="4" fontId="22" fillId="3" borderId="11" xfId="0" applyNumberFormat="1" applyFont="1" applyFill="1" applyBorder="1" applyAlignment="1">
      <alignment horizontal="center"/>
    </xf>
    <xf numFmtId="0" fontId="14" fillId="0" borderId="57" xfId="0" applyFont="1" applyBorder="1"/>
    <xf numFmtId="0" fontId="11" fillId="0" borderId="20" xfId="0" applyFont="1" applyBorder="1"/>
    <xf numFmtId="0" fontId="11" fillId="3" borderId="1" xfId="0" applyFont="1" applyFill="1" applyBorder="1"/>
    <xf numFmtId="0" fontId="13" fillId="0" borderId="25" xfId="0" applyFont="1" applyBorder="1" applyAlignment="1">
      <alignment horizontal="left"/>
    </xf>
    <xf numFmtId="0" fontId="17" fillId="0" borderId="37" xfId="0" applyFont="1" applyBorder="1"/>
    <xf numFmtId="49" fontId="14" fillId="0" borderId="37" xfId="0" applyNumberFormat="1" applyFont="1" applyBorder="1"/>
    <xf numFmtId="2" fontId="24" fillId="0" borderId="37" xfId="0" applyNumberFormat="1" applyFont="1" applyBorder="1"/>
    <xf numFmtId="2" fontId="14" fillId="0" borderId="25" xfId="0" applyNumberFormat="1" applyFont="1" applyBorder="1" applyAlignment="1">
      <alignment horizontal="center"/>
    </xf>
    <xf numFmtId="4" fontId="22" fillId="0" borderId="24" xfId="0" applyNumberFormat="1" applyFont="1" applyBorder="1" applyAlignment="1">
      <alignment horizontal="center"/>
    </xf>
    <xf numFmtId="0" fontId="13" fillId="5" borderId="43" xfId="0" applyFont="1" applyFill="1" applyBorder="1"/>
    <xf numFmtId="0" fontId="13" fillId="3" borderId="0" xfId="0" applyFont="1" applyFill="1" applyAlignment="1">
      <alignment horizontal="left"/>
    </xf>
    <xf numFmtId="0" fontId="13" fillId="0" borderId="35" xfId="0" applyFont="1" applyBorder="1" applyAlignment="1">
      <alignment horizontal="right"/>
    </xf>
    <xf numFmtId="49" fontId="11" fillId="0" borderId="0" xfId="0" applyNumberFormat="1" applyFont="1" applyBorder="1"/>
    <xf numFmtId="0" fontId="13" fillId="5" borderId="35" xfId="0" applyFont="1" applyFill="1" applyBorder="1" applyAlignment="1"/>
    <xf numFmtId="0" fontId="13" fillId="2" borderId="10" xfId="0" applyFont="1" applyFill="1" applyBorder="1" applyAlignment="1">
      <alignment horizontal="right"/>
    </xf>
    <xf numFmtId="4" fontId="28" fillId="0" borderId="0" xfId="0" applyNumberFormat="1" applyFont="1" applyBorder="1" applyAlignment="1">
      <alignment horizontal="center"/>
    </xf>
    <xf numFmtId="4" fontId="27" fillId="0" borderId="0" xfId="0" applyNumberFormat="1" applyFont="1" applyBorder="1" applyAlignment="1">
      <alignment horizontal="center"/>
    </xf>
    <xf numFmtId="49" fontId="14" fillId="0" borderId="39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30" fillId="0" borderId="0" xfId="0" applyFont="1" applyBorder="1"/>
    <xf numFmtId="0" fontId="30" fillId="0" borderId="0" xfId="0" applyFont="1" applyAlignment="1">
      <alignment horizontal="left"/>
    </xf>
    <xf numFmtId="0" fontId="10" fillId="0" borderId="0" xfId="0" applyFont="1"/>
    <xf numFmtId="49" fontId="10" fillId="0" borderId="0" xfId="0" applyNumberFormat="1" applyFont="1" applyAlignment="1">
      <alignment horizontal="left"/>
    </xf>
    <xf numFmtId="49" fontId="7" fillId="0" borderId="38" xfId="0" applyNumberFormat="1" applyFont="1" applyBorder="1" applyAlignment="1">
      <alignment horizontal="left"/>
    </xf>
    <xf numFmtId="49" fontId="7" fillId="0" borderId="39" xfId="0" applyNumberFormat="1" applyFont="1" applyBorder="1" applyAlignment="1">
      <alignment horizontal="left"/>
    </xf>
    <xf numFmtId="49" fontId="7" fillId="0" borderId="58" xfId="0" applyNumberFormat="1" applyFont="1" applyBorder="1" applyAlignment="1">
      <alignment horizontal="left"/>
    </xf>
    <xf numFmtId="49" fontId="7" fillId="0" borderId="12" xfId="0" applyNumberFormat="1" applyFont="1" applyBorder="1" applyAlignment="1">
      <alignment horizontal="left"/>
    </xf>
    <xf numFmtId="2" fontId="11" fillId="0" borderId="35" xfId="0" applyNumberFormat="1" applyFont="1" applyBorder="1"/>
    <xf numFmtId="49" fontId="7" fillId="3" borderId="12" xfId="0" applyNumberFormat="1" applyFont="1" applyFill="1" applyBorder="1" applyAlignment="1">
      <alignment horizontal="left"/>
    </xf>
    <xf numFmtId="49" fontId="15" fillId="3" borderId="12" xfId="0" applyNumberFormat="1" applyFont="1" applyFill="1" applyBorder="1" applyAlignment="1">
      <alignment horizontal="left"/>
    </xf>
    <xf numFmtId="49" fontId="11" fillId="3" borderId="12" xfId="0" applyNumberFormat="1" applyFont="1" applyFill="1" applyBorder="1" applyAlignment="1">
      <alignment horizontal="left"/>
    </xf>
    <xf numFmtId="0" fontId="13" fillId="0" borderId="13" xfId="0" applyFont="1" applyBorder="1"/>
    <xf numFmtId="0" fontId="13" fillId="0" borderId="8" xfId="0" applyFont="1" applyBorder="1"/>
    <xf numFmtId="0" fontId="13" fillId="6" borderId="34" xfId="0" applyFont="1" applyFill="1" applyBorder="1" applyAlignment="1">
      <alignment horizontal="left"/>
    </xf>
    <xf numFmtId="49" fontId="17" fillId="0" borderId="7" xfId="0" applyNumberFormat="1" applyFont="1" applyBorder="1" applyAlignment="1">
      <alignment horizontal="left"/>
    </xf>
    <xf numFmtId="49" fontId="12" fillId="3" borderId="12" xfId="0" applyNumberFormat="1" applyFont="1" applyFill="1" applyBorder="1" applyAlignment="1">
      <alignment horizontal="left"/>
    </xf>
    <xf numFmtId="0" fontId="11" fillId="3" borderId="35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3" fillId="0" borderId="48" xfId="0" applyFont="1" applyBorder="1"/>
    <xf numFmtId="0" fontId="11" fillId="0" borderId="48" xfId="0" applyFont="1" applyBorder="1" applyAlignment="1">
      <alignment horizontal="center"/>
    </xf>
    <xf numFmtId="0" fontId="30" fillId="6" borderId="33" xfId="0" applyFont="1" applyFill="1" applyBorder="1"/>
    <xf numFmtId="0" fontId="30" fillId="6" borderId="12" xfId="0" applyFont="1" applyFill="1" applyBorder="1"/>
    <xf numFmtId="0" fontId="30" fillId="6" borderId="7" xfId="0" applyFont="1" applyFill="1" applyBorder="1"/>
    <xf numFmtId="0" fontId="11" fillId="3" borderId="0" xfId="0" applyFont="1" applyFill="1" applyBorder="1" applyAlignment="1">
      <alignment horizontal="center"/>
    </xf>
    <xf numFmtId="0" fontId="13" fillId="6" borderId="35" xfId="0" applyFont="1" applyFill="1" applyBorder="1"/>
    <xf numFmtId="4" fontId="28" fillId="0" borderId="13" xfId="0" applyNumberFormat="1" applyFont="1" applyBorder="1" applyAlignment="1">
      <alignment horizontal="left"/>
    </xf>
    <xf numFmtId="2" fontId="11" fillId="0" borderId="36" xfId="0" applyNumberFormat="1" applyFont="1" applyBorder="1"/>
    <xf numFmtId="0" fontId="11" fillId="2" borderId="12" xfId="0" applyFont="1" applyFill="1" applyBorder="1" applyAlignment="1">
      <alignment horizontal="center"/>
    </xf>
    <xf numFmtId="0" fontId="13" fillId="6" borderId="7" xfId="0" applyFont="1" applyFill="1" applyBorder="1"/>
    <xf numFmtId="49" fontId="17" fillId="0" borderId="48" xfId="0" applyNumberFormat="1" applyFont="1" applyBorder="1" applyAlignment="1">
      <alignment horizontal="left"/>
    </xf>
    <xf numFmtId="0" fontId="17" fillId="0" borderId="0" xfId="0" applyFont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7" fillId="0" borderId="59" xfId="0" applyFont="1" applyBorder="1" applyAlignment="1">
      <alignment horizontal="center"/>
    </xf>
    <xf numFmtId="0" fontId="17" fillId="0" borderId="13" xfId="0" applyFont="1" applyBorder="1" applyAlignment="1">
      <alignment horizontal="left"/>
    </xf>
    <xf numFmtId="0" fontId="17" fillId="0" borderId="12" xfId="0" applyFont="1" applyBorder="1" applyAlignment="1">
      <alignment horizontal="center"/>
    </xf>
    <xf numFmtId="0" fontId="17" fillId="3" borderId="35" xfId="0" applyFont="1" applyFill="1" applyBorder="1" applyAlignment="1">
      <alignment horizontal="center"/>
    </xf>
    <xf numFmtId="0" fontId="17" fillId="0" borderId="11" xfId="0" applyFont="1" applyBorder="1" applyAlignment="1">
      <alignment horizontal="center"/>
    </xf>
    <xf numFmtId="49" fontId="11" fillId="0" borderId="5" xfId="0" applyNumberFormat="1" applyFont="1" applyBorder="1"/>
    <xf numFmtId="0" fontId="17" fillId="0" borderId="28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2" fontId="23" fillId="0" borderId="29" xfId="0" applyNumberFormat="1" applyFont="1" applyBorder="1" applyAlignment="1">
      <alignment horizontal="center"/>
    </xf>
    <xf numFmtId="2" fontId="23" fillId="0" borderId="32" xfId="0" applyNumberFormat="1" applyFont="1" applyBorder="1" applyAlignment="1">
      <alignment horizontal="center"/>
    </xf>
    <xf numFmtId="0" fontId="13" fillId="2" borderId="57" xfId="0" applyFont="1" applyFill="1" applyBorder="1" applyAlignment="1">
      <alignment horizontal="center"/>
    </xf>
    <xf numFmtId="0" fontId="13" fillId="2" borderId="60" xfId="0" applyFont="1" applyFill="1" applyBorder="1" applyAlignment="1">
      <alignment horizontal="center"/>
    </xf>
    <xf numFmtId="0" fontId="13" fillId="0" borderId="61" xfId="0" applyFont="1" applyBorder="1" applyAlignment="1">
      <alignment horizontal="center"/>
    </xf>
    <xf numFmtId="0" fontId="13" fillId="2" borderId="54" xfId="0" applyFont="1" applyFill="1" applyBorder="1" applyAlignment="1">
      <alignment horizontal="center"/>
    </xf>
    <xf numFmtId="0" fontId="13" fillId="0" borderId="59" xfId="0" applyFont="1" applyBorder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Border="1" applyAlignment="1">
      <alignment horizontal="center"/>
    </xf>
    <xf numFmtId="49" fontId="7" fillId="0" borderId="35" xfId="0" applyNumberFormat="1" applyFont="1" applyBorder="1"/>
    <xf numFmtId="0" fontId="13" fillId="0" borderId="24" xfId="0" applyFont="1" applyBorder="1" applyAlignment="1">
      <alignment horizontal="left"/>
    </xf>
    <xf numFmtId="49" fontId="7" fillId="0" borderId="37" xfId="0" applyNumberFormat="1" applyFont="1" applyBorder="1"/>
    <xf numFmtId="49" fontId="7" fillId="0" borderId="34" xfId="0" applyNumberFormat="1" applyFont="1" applyBorder="1"/>
    <xf numFmtId="49" fontId="7" fillId="0" borderId="35" xfId="0" applyNumberFormat="1" applyFont="1" applyBorder="1" applyAlignment="1">
      <alignment horizontal="center"/>
    </xf>
    <xf numFmtId="0" fontId="33" fillId="0" borderId="5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17" fillId="0" borderId="12" xfId="0" applyFont="1" applyBorder="1"/>
    <xf numFmtId="2" fontId="24" fillId="0" borderId="13" xfId="0" applyNumberFormat="1" applyFont="1" applyBorder="1" applyAlignment="1">
      <alignment horizontal="right"/>
    </xf>
    <xf numFmtId="2" fontId="24" fillId="0" borderId="8" xfId="0" applyNumberFormat="1" applyFont="1" applyBorder="1" applyAlignment="1">
      <alignment horizontal="right"/>
    </xf>
    <xf numFmtId="2" fontId="23" fillId="0" borderId="13" xfId="0" applyNumberFormat="1" applyFont="1" applyBorder="1" applyAlignment="1">
      <alignment horizontal="right"/>
    </xf>
    <xf numFmtId="2" fontId="23" fillId="0" borderId="0" xfId="0" applyNumberFormat="1" applyFont="1" applyBorder="1" applyAlignment="1">
      <alignment horizontal="right"/>
    </xf>
    <xf numFmtId="2" fontId="23" fillId="0" borderId="29" xfId="0" applyNumberFormat="1" applyFont="1" applyBorder="1" applyAlignment="1">
      <alignment horizontal="right"/>
    </xf>
    <xf numFmtId="2" fontId="23" fillId="0" borderId="32" xfId="0" applyNumberFormat="1" applyFont="1" applyBorder="1" applyAlignment="1">
      <alignment horizontal="right"/>
    </xf>
    <xf numFmtId="2" fontId="23" fillId="0" borderId="8" xfId="0" applyNumberFormat="1" applyFont="1" applyBorder="1" applyAlignment="1">
      <alignment horizontal="right"/>
    </xf>
    <xf numFmtId="2" fontId="29" fillId="0" borderId="8" xfId="0" applyNumberFormat="1" applyFont="1" applyBorder="1" applyAlignment="1">
      <alignment horizontal="right"/>
    </xf>
    <xf numFmtId="2" fontId="23" fillId="0" borderId="44" xfId="0" applyNumberFormat="1" applyFont="1" applyBorder="1" applyAlignment="1">
      <alignment horizontal="right"/>
    </xf>
    <xf numFmtId="0" fontId="13" fillId="6" borderId="43" xfId="0" applyFont="1" applyFill="1" applyBorder="1"/>
    <xf numFmtId="2" fontId="34" fillId="0" borderId="0" xfId="0" applyNumberFormat="1" applyFont="1" applyBorder="1" applyAlignment="1">
      <alignment horizontal="right"/>
    </xf>
    <xf numFmtId="2" fontId="23" fillId="0" borderId="33" xfId="0" applyNumberFormat="1" applyFont="1" applyBorder="1" applyAlignment="1">
      <alignment horizontal="right"/>
    </xf>
    <xf numFmtId="0" fontId="23" fillId="0" borderId="13" xfId="0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2" fontId="23" fillId="0" borderId="48" xfId="0" applyNumberFormat="1" applyFont="1" applyBorder="1" applyAlignment="1">
      <alignment horizontal="right"/>
    </xf>
    <xf numFmtId="2" fontId="23" fillId="3" borderId="13" xfId="0" applyNumberFormat="1" applyFont="1" applyFill="1" applyBorder="1" applyAlignment="1">
      <alignment horizontal="right"/>
    </xf>
    <xf numFmtId="2" fontId="23" fillId="0" borderId="18" xfId="0" applyNumberFormat="1" applyFont="1" applyBorder="1" applyAlignment="1">
      <alignment horizontal="right"/>
    </xf>
    <xf numFmtId="0" fontId="23" fillId="0" borderId="0" xfId="0" applyFont="1" applyBorder="1" applyAlignment="1">
      <alignment horizontal="right"/>
    </xf>
    <xf numFmtId="0" fontId="13" fillId="2" borderId="11" xfId="0" applyFont="1" applyFill="1" applyBorder="1" applyAlignment="1">
      <alignment horizontal="right"/>
    </xf>
    <xf numFmtId="0" fontId="13" fillId="4" borderId="12" xfId="0" applyFont="1" applyFill="1" applyBorder="1"/>
    <xf numFmtId="0" fontId="7" fillId="0" borderId="12" xfId="0" applyFont="1" applyBorder="1"/>
    <xf numFmtId="0" fontId="11" fillId="0" borderId="47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13" fillId="4" borderId="29" xfId="0" applyFont="1" applyFill="1" applyBorder="1" applyAlignment="1"/>
    <xf numFmtId="0" fontId="13" fillId="2" borderId="19" xfId="0" applyFont="1" applyFill="1" applyBorder="1" applyAlignment="1">
      <alignment horizontal="center"/>
    </xf>
    <xf numFmtId="0" fontId="11" fillId="4" borderId="13" xfId="0" applyFont="1" applyFill="1" applyBorder="1"/>
    <xf numFmtId="0" fontId="13" fillId="4" borderId="13" xfId="0" applyFont="1" applyFill="1" applyBorder="1"/>
    <xf numFmtId="0" fontId="7" fillId="0" borderId="35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3" fillId="2" borderId="43" xfId="0" applyFont="1" applyFill="1" applyBorder="1" applyAlignment="1">
      <alignment horizontal="center"/>
    </xf>
    <xf numFmtId="2" fontId="13" fillId="0" borderId="0" xfId="0" applyNumberFormat="1" applyFont="1" applyBorder="1" applyAlignment="1">
      <alignment horizontal="right"/>
    </xf>
    <xf numFmtId="2" fontId="35" fillId="0" borderId="13" xfId="0" applyNumberFormat="1" applyFont="1" applyBorder="1" applyAlignment="1">
      <alignment horizontal="right"/>
    </xf>
    <xf numFmtId="2" fontId="23" fillId="0" borderId="25" xfId="0" applyNumberFormat="1" applyFont="1" applyBorder="1" applyAlignment="1">
      <alignment horizontal="right"/>
    </xf>
    <xf numFmtId="0" fontId="13" fillId="2" borderId="48" xfId="0" applyFont="1" applyFill="1" applyBorder="1" applyAlignment="1">
      <alignment horizontal="center"/>
    </xf>
    <xf numFmtId="0" fontId="13" fillId="2" borderId="49" xfId="0" applyFont="1" applyFill="1" applyBorder="1" applyAlignment="1">
      <alignment horizontal="center"/>
    </xf>
    <xf numFmtId="0" fontId="11" fillId="3" borderId="13" xfId="0" applyFont="1" applyFill="1" applyBorder="1"/>
    <xf numFmtId="0" fontId="30" fillId="4" borderId="12" xfId="0" applyFont="1" applyFill="1" applyBorder="1"/>
    <xf numFmtId="0" fontId="13" fillId="4" borderId="17" xfId="0" applyFont="1" applyFill="1" applyBorder="1"/>
    <xf numFmtId="4" fontId="27" fillId="4" borderId="13" xfId="0" applyNumberFormat="1" applyFont="1" applyFill="1" applyBorder="1" applyAlignment="1">
      <alignment horizontal="left"/>
    </xf>
    <xf numFmtId="0" fontId="23" fillId="0" borderId="48" xfId="0" applyFont="1" applyBorder="1" applyAlignment="1">
      <alignment horizontal="right"/>
    </xf>
    <xf numFmtId="2" fontId="23" fillId="3" borderId="18" xfId="0" applyNumberFormat="1" applyFont="1" applyFill="1" applyBorder="1" applyAlignment="1">
      <alignment horizontal="right"/>
    </xf>
    <xf numFmtId="0" fontId="30" fillId="4" borderId="13" xfId="0" applyFont="1" applyFill="1" applyBorder="1"/>
    <xf numFmtId="0" fontId="30" fillId="4" borderId="35" xfId="0" applyFont="1" applyFill="1" applyBorder="1" applyAlignment="1">
      <alignment horizontal="left"/>
    </xf>
    <xf numFmtId="0" fontId="11" fillId="3" borderId="12" xfId="0" applyFont="1" applyFill="1" applyBorder="1"/>
    <xf numFmtId="49" fontId="11" fillId="0" borderId="0" xfId="0" applyNumberFormat="1" applyFont="1" applyAlignment="1">
      <alignment horizontal="left"/>
    </xf>
    <xf numFmtId="0" fontId="17" fillId="0" borderId="29" xfId="0" applyFont="1" applyBorder="1" applyAlignment="1">
      <alignment horizontal="center"/>
    </xf>
    <xf numFmtId="0" fontId="17" fillId="0" borderId="32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3" borderId="13" xfId="0" applyFont="1" applyFill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42" xfId="0" applyFont="1" applyBorder="1" applyAlignment="1">
      <alignment horizontal="center"/>
    </xf>
    <xf numFmtId="0" fontId="17" fillId="3" borderId="8" xfId="0" applyFont="1" applyFill="1" applyBorder="1" applyAlignment="1">
      <alignment horizontal="center"/>
    </xf>
    <xf numFmtId="0" fontId="17" fillId="0" borderId="48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4" fillId="0" borderId="48" xfId="0" applyFont="1" applyBorder="1" applyAlignment="1">
      <alignment horizontal="center"/>
    </xf>
    <xf numFmtId="0" fontId="17" fillId="3" borderId="47" xfId="0" applyFont="1" applyFill="1" applyBorder="1" applyAlignment="1">
      <alignment horizontal="center"/>
    </xf>
    <xf numFmtId="0" fontId="17" fillId="0" borderId="46" xfId="0" applyFont="1" applyBorder="1" applyAlignment="1">
      <alignment horizontal="center"/>
    </xf>
    <xf numFmtId="0" fontId="17" fillId="3" borderId="46" xfId="0" applyFont="1" applyFill="1" applyBorder="1" applyAlignment="1">
      <alignment horizontal="center"/>
    </xf>
    <xf numFmtId="2" fontId="31" fillId="0" borderId="0" xfId="0" applyNumberFormat="1" applyFont="1" applyBorder="1" applyAlignment="1">
      <alignment horizontal="right"/>
    </xf>
    <xf numFmtId="2" fontId="31" fillId="0" borderId="32" xfId="0" applyNumberFormat="1" applyFont="1" applyBorder="1" applyAlignment="1">
      <alignment horizontal="center"/>
    </xf>
    <xf numFmtId="0" fontId="17" fillId="3" borderId="19" xfId="0" applyFont="1" applyFill="1" applyBorder="1" applyAlignment="1">
      <alignment horizontal="center"/>
    </xf>
    <xf numFmtId="49" fontId="7" fillId="3" borderId="7" xfId="0" applyNumberFormat="1" applyFont="1" applyFill="1" applyBorder="1" applyAlignment="1">
      <alignment horizontal="left"/>
    </xf>
    <xf numFmtId="2" fontId="23" fillId="3" borderId="0" xfId="0" applyNumberFormat="1" applyFont="1" applyFill="1" applyBorder="1" applyAlignment="1">
      <alignment horizontal="right"/>
    </xf>
    <xf numFmtId="0" fontId="13" fillId="6" borderId="8" xfId="0" applyFont="1" applyFill="1" applyBorder="1"/>
    <xf numFmtId="0" fontId="14" fillId="0" borderId="13" xfId="0" applyFont="1" applyBorder="1"/>
    <xf numFmtId="0" fontId="13" fillId="4" borderId="43" xfId="0" applyFont="1" applyFill="1" applyBorder="1"/>
    <xf numFmtId="49" fontId="17" fillId="0" borderId="35" xfId="0" applyNumberFormat="1" applyFont="1" applyBorder="1" applyAlignment="1">
      <alignment horizontal="left"/>
    </xf>
    <xf numFmtId="49" fontId="17" fillId="0" borderId="34" xfId="0" applyNumberFormat="1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49" fontId="15" fillId="0" borderId="38" xfId="0" applyNumberFormat="1" applyFont="1" applyBorder="1" applyAlignment="1">
      <alignment horizontal="left"/>
    </xf>
    <xf numFmtId="49" fontId="15" fillId="0" borderId="39" xfId="0" applyNumberFormat="1" applyFont="1" applyBorder="1" applyAlignment="1">
      <alignment horizontal="left"/>
    </xf>
    <xf numFmtId="0" fontId="14" fillId="0" borderId="29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13" fillId="3" borderId="13" xfId="0" applyFont="1" applyFill="1" applyBorder="1"/>
    <xf numFmtId="0" fontId="30" fillId="6" borderId="8" xfId="0" applyFont="1" applyFill="1" applyBorder="1"/>
    <xf numFmtId="0" fontId="13" fillId="6" borderId="13" xfId="0" applyFont="1" applyFill="1" applyBorder="1"/>
    <xf numFmtId="0" fontId="13" fillId="0" borderId="18" xfId="0" applyFont="1" applyBorder="1"/>
    <xf numFmtId="0" fontId="30" fillId="4" borderId="34" xfId="0" applyFont="1" applyFill="1" applyBorder="1"/>
    <xf numFmtId="0" fontId="13" fillId="3" borderId="8" xfId="0" applyFont="1" applyFill="1" applyBorder="1"/>
    <xf numFmtId="0" fontId="13" fillId="6" borderId="12" xfId="0" applyFont="1" applyFill="1" applyBorder="1"/>
    <xf numFmtId="0" fontId="13" fillId="3" borderId="18" xfId="0" applyFont="1" applyFill="1" applyBorder="1"/>
    <xf numFmtId="49" fontId="15" fillId="0" borderId="38" xfId="0" applyNumberFormat="1" applyFont="1" applyBorder="1" applyAlignment="1">
      <alignment horizontal="center"/>
    </xf>
    <xf numFmtId="49" fontId="15" fillId="0" borderId="39" xfId="0" applyNumberFormat="1" applyFont="1" applyBorder="1" applyAlignment="1">
      <alignment horizontal="center"/>
    </xf>
    <xf numFmtId="0" fontId="13" fillId="4" borderId="12" xfId="0" applyFont="1" applyFill="1" applyBorder="1" applyAlignment="1"/>
    <xf numFmtId="0" fontId="13" fillId="3" borderId="0" xfId="0" applyFont="1" applyFill="1" applyBorder="1" applyAlignment="1"/>
    <xf numFmtId="0" fontId="23" fillId="3" borderId="0" xfId="0" applyFont="1" applyFill="1" applyBorder="1" applyAlignment="1">
      <alignment horizontal="right"/>
    </xf>
    <xf numFmtId="0" fontId="24" fillId="0" borderId="0" xfId="0" applyFont="1" applyBorder="1" applyAlignment="1">
      <alignment horizontal="right"/>
    </xf>
    <xf numFmtId="0" fontId="35" fillId="0" borderId="0" xfId="0" applyFont="1" applyBorder="1" applyAlignment="1">
      <alignment horizontal="right"/>
    </xf>
    <xf numFmtId="2" fontId="35" fillId="0" borderId="0" xfId="0" applyNumberFormat="1" applyFont="1" applyBorder="1" applyAlignment="1">
      <alignment horizontal="right"/>
    </xf>
    <xf numFmtId="2" fontId="24" fillId="0" borderId="0" xfId="0" applyNumberFormat="1" applyFont="1" applyBorder="1" applyAlignment="1">
      <alignment horizontal="right"/>
    </xf>
    <xf numFmtId="49" fontId="7" fillId="0" borderId="62" xfId="0" applyNumberFormat="1" applyFont="1" applyBorder="1" applyAlignment="1">
      <alignment horizontal="left"/>
    </xf>
    <xf numFmtId="49" fontId="17" fillId="0" borderId="36" xfId="0" applyNumberFormat="1" applyFont="1" applyBorder="1" applyAlignment="1">
      <alignment horizontal="left"/>
    </xf>
    <xf numFmtId="0" fontId="11" fillId="3" borderId="12" xfId="0" applyFont="1" applyFill="1" applyBorder="1" applyAlignment="1">
      <alignment horizontal="right"/>
    </xf>
    <xf numFmtId="0" fontId="17" fillId="0" borderId="17" xfId="0" applyFont="1" applyBorder="1" applyAlignment="1">
      <alignment horizontal="left"/>
    </xf>
    <xf numFmtId="0" fontId="13" fillId="4" borderId="7" xfId="0" applyFont="1" applyFill="1" applyBorder="1"/>
    <xf numFmtId="0" fontId="17" fillId="0" borderId="12" xfId="0" applyFont="1" applyBorder="1" applyAlignment="1">
      <alignment horizontal="left"/>
    </xf>
    <xf numFmtId="0" fontId="11" fillId="0" borderId="46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2" xfId="0" applyFont="1" applyBorder="1" applyAlignment="1">
      <alignment horizontal="right"/>
    </xf>
    <xf numFmtId="0" fontId="11" fillId="0" borderId="19" xfId="0" applyFont="1" applyBorder="1" applyAlignment="1">
      <alignment horizontal="left"/>
    </xf>
    <xf numFmtId="0" fontId="17" fillId="0" borderId="47" xfId="0" applyFont="1" applyBorder="1" applyAlignment="1">
      <alignment horizontal="left"/>
    </xf>
    <xf numFmtId="0" fontId="11" fillId="0" borderId="12" xfId="0" applyFont="1" applyBorder="1" applyAlignment="1"/>
    <xf numFmtId="0" fontId="11" fillId="0" borderId="6" xfId="0" applyFont="1" applyBorder="1" applyAlignment="1">
      <alignment horizontal="left"/>
    </xf>
    <xf numFmtId="0" fontId="17" fillId="0" borderId="12" xfId="0" applyFont="1" applyBorder="1" applyAlignment="1"/>
    <xf numFmtId="2" fontId="32" fillId="0" borderId="35" xfId="0" applyNumberFormat="1" applyFont="1" applyBorder="1" applyAlignment="1">
      <alignment horizontal="right"/>
    </xf>
    <xf numFmtId="49" fontId="7" fillId="0" borderId="28" xfId="0" applyNumberFormat="1" applyFont="1" applyBorder="1" applyAlignment="1">
      <alignment horizontal="center"/>
    </xf>
    <xf numFmtId="49" fontId="7" fillId="0" borderId="31" xfId="0" applyNumberFormat="1" applyFont="1" applyBorder="1" applyAlignment="1">
      <alignment horizontal="center"/>
    </xf>
    <xf numFmtId="49" fontId="7" fillId="3" borderId="35" xfId="0" applyNumberFormat="1" applyFont="1" applyFill="1" applyBorder="1"/>
    <xf numFmtId="49" fontId="7" fillId="0" borderId="34" xfId="0" applyNumberFormat="1" applyFont="1" applyBorder="1" applyAlignment="1">
      <alignment horizontal="center"/>
    </xf>
    <xf numFmtId="49" fontId="7" fillId="0" borderId="35" xfId="0" applyNumberFormat="1" applyFont="1" applyBorder="1" applyAlignment="1">
      <alignment horizontal="left"/>
    </xf>
    <xf numFmtId="49" fontId="7" fillId="0" borderId="0" xfId="0" applyNumberFormat="1" applyFont="1" applyBorder="1"/>
    <xf numFmtId="49" fontId="7" fillId="0" borderId="39" xfId="0" applyNumberFormat="1" applyFont="1" applyBorder="1" applyAlignment="1">
      <alignment horizontal="center"/>
    </xf>
    <xf numFmtId="49" fontId="7" fillId="0" borderId="12" xfId="0" applyNumberFormat="1" applyFont="1" applyBorder="1"/>
    <xf numFmtId="49" fontId="7" fillId="3" borderId="12" xfId="0" applyNumberFormat="1" applyFont="1" applyFill="1" applyBorder="1"/>
    <xf numFmtId="0" fontId="11" fillId="0" borderId="43" xfId="0" applyFont="1" applyBorder="1" applyAlignment="1">
      <alignment horizontal="center"/>
    </xf>
    <xf numFmtId="0" fontId="13" fillId="7" borderId="43" xfId="0" applyFont="1" applyFill="1" applyBorder="1"/>
    <xf numFmtId="0" fontId="11" fillId="7" borderId="12" xfId="0" applyFont="1" applyFill="1" applyBorder="1"/>
    <xf numFmtId="49" fontId="13" fillId="0" borderId="0" xfId="0" applyNumberFormat="1" applyFont="1" applyAlignment="1">
      <alignment horizontal="left"/>
    </xf>
    <xf numFmtId="49" fontId="11" fillId="0" borderId="12" xfId="0" applyNumberFormat="1" applyFont="1" applyBorder="1" applyAlignment="1">
      <alignment horizontal="left"/>
    </xf>
    <xf numFmtId="49" fontId="13" fillId="0" borderId="38" xfId="0" applyNumberFormat="1" applyFont="1" applyBorder="1" applyAlignment="1">
      <alignment horizontal="left"/>
    </xf>
    <xf numFmtId="49" fontId="13" fillId="0" borderId="39" xfId="0" applyNumberFormat="1" applyFont="1" applyBorder="1" applyAlignment="1">
      <alignment horizontal="left"/>
    </xf>
    <xf numFmtId="0" fontId="13" fillId="0" borderId="0" xfId="0" applyFont="1" applyAlignment="1">
      <alignment horizontal="right"/>
    </xf>
    <xf numFmtId="0" fontId="13" fillId="0" borderId="31" xfId="0" applyFont="1" applyBorder="1" applyAlignment="1">
      <alignment horizontal="right"/>
    </xf>
    <xf numFmtId="0" fontId="13" fillId="0" borderId="28" xfId="0" applyFont="1" applyBorder="1" applyAlignment="1">
      <alignment horizontal="right"/>
    </xf>
    <xf numFmtId="0" fontId="13" fillId="7" borderId="17" xfId="0" applyFont="1" applyFill="1" applyBorder="1"/>
    <xf numFmtId="0" fontId="13" fillId="0" borderId="46" xfId="0" applyFont="1" applyBorder="1" applyAlignment="1">
      <alignment horizontal="center"/>
    </xf>
    <xf numFmtId="49" fontId="13" fillId="0" borderId="12" xfId="0" applyNumberFormat="1" applyFont="1" applyBorder="1" applyAlignment="1">
      <alignment horizontal="left"/>
    </xf>
    <xf numFmtId="1" fontId="23" fillId="0" borderId="0" xfId="0" applyNumberFormat="1" applyFont="1" applyBorder="1" applyAlignment="1">
      <alignment horizontal="right"/>
    </xf>
    <xf numFmtId="0" fontId="13" fillId="4" borderId="13" xfId="0" applyFont="1" applyFill="1" applyBorder="1" applyAlignment="1"/>
    <xf numFmtId="0" fontId="11" fillId="0" borderId="39" xfId="0" applyFont="1" applyBorder="1" applyAlignment="1">
      <alignment horizontal="left"/>
    </xf>
    <xf numFmtId="0" fontId="17" fillId="0" borderId="48" xfId="0" applyFont="1" applyBorder="1"/>
    <xf numFmtId="0" fontId="13" fillId="4" borderId="35" xfId="0" applyFont="1" applyFill="1" applyBorder="1"/>
    <xf numFmtId="49" fontId="17" fillId="0" borderId="0" xfId="0" applyNumberFormat="1" applyFont="1" applyAlignment="1">
      <alignment horizontal="left"/>
    </xf>
    <xf numFmtId="49" fontId="17" fillId="0" borderId="28" xfId="0" applyNumberFormat="1" applyFont="1" applyBorder="1" applyAlignment="1">
      <alignment horizontal="left"/>
    </xf>
    <xf numFmtId="49" fontId="17" fillId="0" borderId="31" xfId="0" applyNumberFormat="1" applyFont="1" applyBorder="1" applyAlignment="1">
      <alignment horizontal="left"/>
    </xf>
    <xf numFmtId="49" fontId="17" fillId="0" borderId="59" xfId="0" applyNumberFormat="1" applyFont="1" applyBorder="1" applyAlignment="1">
      <alignment horizontal="left"/>
    </xf>
    <xf numFmtId="49" fontId="14" fillId="0" borderId="28" xfId="0" applyNumberFormat="1" applyFont="1" applyBorder="1" applyAlignment="1">
      <alignment horizontal="left"/>
    </xf>
    <xf numFmtId="49" fontId="14" fillId="0" borderId="31" xfId="0" applyNumberFormat="1" applyFont="1" applyBorder="1" applyAlignment="1">
      <alignment horizontal="left"/>
    </xf>
    <xf numFmtId="0" fontId="14" fillId="0" borderId="48" xfId="0" applyFont="1" applyBorder="1"/>
    <xf numFmtId="0" fontId="17" fillId="0" borderId="48" xfId="0" applyFont="1" applyBorder="1" applyAlignment="1">
      <alignment horizontal="left"/>
    </xf>
    <xf numFmtId="49" fontId="17" fillId="3" borderId="35" xfId="0" applyNumberFormat="1" applyFont="1" applyFill="1" applyBorder="1" applyAlignment="1">
      <alignment horizontal="left"/>
    </xf>
    <xf numFmtId="49" fontId="17" fillId="3" borderId="36" xfId="0" applyNumberFormat="1" applyFont="1" applyFill="1" applyBorder="1" applyAlignment="1">
      <alignment horizontal="left"/>
    </xf>
    <xf numFmtId="49" fontId="14" fillId="0" borderId="28" xfId="0" applyNumberFormat="1" applyFont="1" applyBorder="1" applyAlignment="1">
      <alignment horizontal="center"/>
    </xf>
    <xf numFmtId="49" fontId="14" fillId="0" borderId="31" xfId="0" applyNumberFormat="1" applyFont="1" applyBorder="1" applyAlignment="1">
      <alignment horizontal="center"/>
    </xf>
    <xf numFmtId="49" fontId="17" fillId="3" borderId="34" xfId="0" applyNumberFormat="1" applyFont="1" applyFill="1" applyBorder="1" applyAlignment="1">
      <alignment horizontal="left"/>
    </xf>
    <xf numFmtId="0" fontId="17" fillId="3" borderId="0" xfId="0" applyFont="1" applyFill="1" applyBorder="1" applyAlignment="1">
      <alignment horizontal="center"/>
    </xf>
    <xf numFmtId="49" fontId="17" fillId="0" borderId="61" xfId="0" applyNumberFormat="1" applyFont="1" applyBorder="1" applyAlignment="1">
      <alignment horizontal="left"/>
    </xf>
    <xf numFmtId="0" fontId="17" fillId="0" borderId="0" xfId="0" applyFont="1"/>
    <xf numFmtId="0" fontId="14" fillId="0" borderId="0" xfId="0" applyFont="1"/>
    <xf numFmtId="0" fontId="17" fillId="0" borderId="13" xfId="0" applyFont="1" applyBorder="1"/>
    <xf numFmtId="0" fontId="14" fillId="0" borderId="35" xfId="0" applyFont="1" applyBorder="1" applyAlignment="1">
      <alignment horizontal="center"/>
    </xf>
    <xf numFmtId="0" fontId="17" fillId="0" borderId="11" xfId="0" applyFont="1" applyBorder="1"/>
    <xf numFmtId="0" fontId="14" fillId="0" borderId="11" xfId="0" applyFont="1" applyBorder="1" applyAlignment="1">
      <alignment horizontal="center"/>
    </xf>
    <xf numFmtId="0" fontId="17" fillId="0" borderId="6" xfId="0" applyFont="1" applyBorder="1"/>
    <xf numFmtId="0" fontId="14" fillId="0" borderId="11" xfId="0" applyFont="1" applyBorder="1"/>
    <xf numFmtId="0" fontId="17" fillId="0" borderId="24" xfId="0" applyFont="1" applyBorder="1"/>
    <xf numFmtId="0" fontId="17" fillId="0" borderId="36" xfId="0" applyFont="1" applyBorder="1" applyAlignment="1">
      <alignment horizontal="center"/>
    </xf>
    <xf numFmtId="0" fontId="17" fillId="0" borderId="61" xfId="0" applyFont="1" applyBorder="1" applyAlignment="1">
      <alignment horizontal="center"/>
    </xf>
    <xf numFmtId="0" fontId="17" fillId="3" borderId="34" xfId="0" applyFont="1" applyFill="1" applyBorder="1" applyAlignment="1">
      <alignment horizontal="center"/>
    </xf>
    <xf numFmtId="0" fontId="11" fillId="0" borderId="58" xfId="0" applyFont="1" applyBorder="1"/>
    <xf numFmtId="0" fontId="13" fillId="7" borderId="13" xfId="0" applyFont="1" applyFill="1" applyBorder="1"/>
    <xf numFmtId="2" fontId="23" fillId="0" borderId="13" xfId="0" applyNumberFormat="1" applyFont="1" applyBorder="1"/>
    <xf numFmtId="2" fontId="23" fillId="3" borderId="13" xfId="0" applyNumberFormat="1" applyFont="1" applyFill="1" applyBorder="1"/>
    <xf numFmtId="2" fontId="23" fillId="0" borderId="18" xfId="0" applyNumberFormat="1" applyFont="1" applyBorder="1"/>
    <xf numFmtId="2" fontId="38" fillId="0" borderId="13" xfId="0" applyNumberFormat="1" applyFont="1" applyBorder="1"/>
    <xf numFmtId="4" fontId="27" fillId="3" borderId="0" xfId="0" applyNumberFormat="1" applyFont="1" applyFill="1" applyBorder="1" applyAlignment="1">
      <alignment horizontal="center"/>
    </xf>
    <xf numFmtId="0" fontId="11" fillId="3" borderId="13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left"/>
    </xf>
    <xf numFmtId="0" fontId="14" fillId="0" borderId="33" xfId="0" applyFont="1" applyBorder="1" applyAlignment="1">
      <alignment horizontal="center"/>
    </xf>
    <xf numFmtId="49" fontId="17" fillId="0" borderId="58" xfId="0" applyNumberFormat="1" applyFont="1" applyBorder="1" applyAlignment="1">
      <alignment horizontal="center"/>
    </xf>
    <xf numFmtId="0" fontId="13" fillId="4" borderId="58" xfId="0" applyFont="1" applyFill="1" applyBorder="1" applyAlignment="1"/>
    <xf numFmtId="0" fontId="14" fillId="0" borderId="13" xfId="0" applyFont="1" applyBorder="1" applyAlignment="1">
      <alignment horizontal="center"/>
    </xf>
    <xf numFmtId="1" fontId="23" fillId="0" borderId="0" xfId="0" applyNumberFormat="1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35" xfId="0" applyFont="1" applyBorder="1"/>
    <xf numFmtId="2" fontId="28" fillId="0" borderId="0" xfId="0" applyNumberFormat="1" applyFont="1" applyAlignment="1">
      <alignment horizontal="right"/>
    </xf>
    <xf numFmtId="2" fontId="27" fillId="0" borderId="28" xfId="0" applyNumberFormat="1" applyFont="1" applyBorder="1" applyAlignment="1">
      <alignment horizontal="center"/>
    </xf>
    <xf numFmtId="2" fontId="27" fillId="0" borderId="31" xfId="0" applyNumberFormat="1" applyFont="1" applyBorder="1" applyAlignment="1">
      <alignment horizontal="center"/>
    </xf>
    <xf numFmtId="2" fontId="28" fillId="0" borderId="34" xfId="0" applyNumberFormat="1" applyFont="1" applyBorder="1" applyAlignment="1">
      <alignment horizontal="right"/>
    </xf>
    <xf numFmtId="2" fontId="28" fillId="0" borderId="35" xfId="0" applyNumberFormat="1" applyFont="1" applyBorder="1" applyAlignment="1">
      <alignment horizontal="right"/>
    </xf>
    <xf numFmtId="2" fontId="28" fillId="0" borderId="0" xfId="0" applyNumberFormat="1" applyFont="1" applyBorder="1" applyAlignment="1">
      <alignment horizontal="right"/>
    </xf>
    <xf numFmtId="2" fontId="39" fillId="0" borderId="35" xfId="0" applyNumberFormat="1" applyFont="1" applyBorder="1" applyAlignment="1">
      <alignment horizontal="right"/>
    </xf>
    <xf numFmtId="1" fontId="28" fillId="0" borderId="35" xfId="0" applyNumberFormat="1" applyFont="1" applyBorder="1" applyAlignment="1">
      <alignment horizontal="right"/>
    </xf>
    <xf numFmtId="2" fontId="21" fillId="0" borderId="35" xfId="0" applyNumberFormat="1" applyFont="1" applyBorder="1" applyAlignment="1">
      <alignment horizontal="right"/>
    </xf>
    <xf numFmtId="2" fontId="28" fillId="0" borderId="28" xfId="0" applyNumberFormat="1" applyFont="1" applyBorder="1" applyAlignment="1">
      <alignment horizontal="right"/>
    </xf>
    <xf numFmtId="1" fontId="23" fillId="0" borderId="13" xfId="0" applyNumberFormat="1" applyFont="1" applyBorder="1" applyAlignment="1">
      <alignment horizontal="right"/>
    </xf>
    <xf numFmtId="0" fontId="11" fillId="3" borderId="7" xfId="0" applyFont="1" applyFill="1" applyBorder="1" applyAlignment="1">
      <alignment horizontal="left"/>
    </xf>
    <xf numFmtId="0" fontId="11" fillId="3" borderId="58" xfId="0" applyFont="1" applyFill="1" applyBorder="1" applyAlignment="1">
      <alignment horizontal="left"/>
    </xf>
    <xf numFmtId="49" fontId="12" fillId="0" borderId="35" xfId="0" applyNumberFormat="1" applyFont="1" applyBorder="1" applyAlignment="1">
      <alignment horizontal="left"/>
    </xf>
    <xf numFmtId="49" fontId="12" fillId="3" borderId="35" xfId="0" applyNumberFormat="1" applyFont="1" applyFill="1" applyBorder="1"/>
    <xf numFmtId="0" fontId="7" fillId="0" borderId="0" xfId="0" applyFont="1"/>
    <xf numFmtId="0" fontId="15" fillId="0" borderId="0" xfId="0" applyFont="1"/>
    <xf numFmtId="0" fontId="15" fillId="0" borderId="28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5" xfId="0" applyFont="1" applyBorder="1"/>
    <xf numFmtId="0" fontId="7" fillId="0" borderId="35" xfId="0" applyFont="1" applyBorder="1"/>
    <xf numFmtId="0" fontId="7" fillId="0" borderId="0" xfId="0" applyFont="1" applyBorder="1"/>
    <xf numFmtId="9" fontId="7" fillId="0" borderId="35" xfId="0" applyNumberFormat="1" applyFont="1" applyBorder="1" applyAlignment="1">
      <alignment horizontal="left"/>
    </xf>
    <xf numFmtId="167" fontId="7" fillId="0" borderId="35" xfId="0" applyNumberFormat="1" applyFont="1" applyBorder="1" applyAlignment="1">
      <alignment horizontal="left"/>
    </xf>
    <xf numFmtId="2" fontId="25" fillId="3" borderId="0" xfId="0" applyNumberFormat="1" applyFont="1" applyFill="1"/>
    <xf numFmtId="0" fontId="25" fillId="3" borderId="0" xfId="0" applyFont="1" applyFill="1"/>
    <xf numFmtId="2" fontId="23" fillId="3" borderId="0" xfId="0" applyNumberFormat="1" applyFont="1" applyFill="1"/>
    <xf numFmtId="0" fontId="11" fillId="3" borderId="0" xfId="0" applyFont="1" applyFill="1"/>
    <xf numFmtId="2" fontId="25" fillId="3" borderId="0" xfId="0" applyNumberFormat="1" applyFont="1" applyFill="1" applyAlignment="1">
      <alignment horizontal="center"/>
    </xf>
    <xf numFmtId="14" fontId="25" fillId="3" borderId="0" xfId="0" applyNumberFormat="1" applyFont="1" applyFill="1"/>
    <xf numFmtId="2" fontId="25" fillId="3" borderId="0" xfId="0" applyNumberFormat="1" applyFont="1" applyFill="1" applyBorder="1"/>
    <xf numFmtId="2" fontId="23" fillId="3" borderId="0" xfId="0" applyNumberFormat="1" applyFont="1" applyFill="1" applyAlignment="1">
      <alignment horizontal="center"/>
    </xf>
    <xf numFmtId="0" fontId="25" fillId="3" borderId="0" xfId="0" applyFont="1" applyFill="1" applyBorder="1"/>
    <xf numFmtId="2" fontId="28" fillId="0" borderId="28" xfId="0" applyNumberFormat="1" applyFont="1" applyBorder="1" applyAlignment="1">
      <alignment horizontal="center"/>
    </xf>
    <xf numFmtId="2" fontId="28" fillId="0" borderId="31" xfId="0" applyNumberFormat="1" applyFont="1" applyBorder="1" applyAlignment="1">
      <alignment horizontal="center"/>
    </xf>
    <xf numFmtId="4" fontId="21" fillId="0" borderId="47" xfId="0" applyNumberFormat="1" applyFont="1" applyBorder="1" applyAlignment="1">
      <alignment horizontal="center"/>
    </xf>
    <xf numFmtId="2" fontId="23" fillId="0" borderId="48" xfId="0" applyNumberFormat="1" applyFont="1" applyBorder="1"/>
    <xf numFmtId="0" fontId="13" fillId="4" borderId="55" xfId="0" applyFont="1" applyFill="1" applyBorder="1"/>
    <xf numFmtId="0" fontId="13" fillId="4" borderId="5" xfId="0" applyFont="1" applyFill="1" applyBorder="1"/>
    <xf numFmtId="0" fontId="13" fillId="4" borderId="8" xfId="0" applyFont="1" applyFill="1" applyBorder="1" applyAlignment="1">
      <alignment horizontal="left"/>
    </xf>
    <xf numFmtId="0" fontId="14" fillId="0" borderId="36" xfId="0" applyFont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42" xfId="0" applyFont="1" applyBorder="1" applyAlignment="1">
      <alignment horizontal="center"/>
    </xf>
    <xf numFmtId="2" fontId="28" fillId="0" borderId="41" xfId="0" applyNumberFormat="1" applyFont="1" applyBorder="1" applyAlignment="1">
      <alignment horizontal="center"/>
    </xf>
    <xf numFmtId="2" fontId="28" fillId="0" borderId="42" xfId="0" applyNumberFormat="1" applyFont="1" applyBorder="1" applyAlignment="1">
      <alignment horizontal="center"/>
    </xf>
    <xf numFmtId="2" fontId="28" fillId="0" borderId="13" xfId="0" applyNumberFormat="1" applyFont="1" applyBorder="1" applyAlignment="1">
      <alignment horizontal="right"/>
    </xf>
    <xf numFmtId="0" fontId="27" fillId="0" borderId="35" xfId="0" applyFont="1" applyBorder="1" applyAlignment="1">
      <alignment horizontal="right"/>
    </xf>
    <xf numFmtId="1" fontId="23" fillId="0" borderId="13" xfId="0" applyNumberFormat="1" applyFont="1" applyBorder="1"/>
    <xf numFmtId="1" fontId="23" fillId="3" borderId="13" xfId="0" applyNumberFormat="1" applyFont="1" applyFill="1" applyBorder="1"/>
    <xf numFmtId="1" fontId="28" fillId="0" borderId="13" xfId="0" applyNumberFormat="1" applyFont="1" applyBorder="1" applyAlignment="1">
      <alignment horizontal="right"/>
    </xf>
    <xf numFmtId="1" fontId="28" fillId="3" borderId="13" xfId="0" applyNumberFormat="1" applyFont="1" applyFill="1" applyBorder="1" applyAlignment="1">
      <alignment horizontal="right"/>
    </xf>
    <xf numFmtId="49" fontId="17" fillId="0" borderId="28" xfId="0" applyNumberFormat="1" applyFont="1" applyBorder="1" applyAlignment="1">
      <alignment horizontal="center"/>
    </xf>
    <xf numFmtId="49" fontId="17" fillId="0" borderId="31" xfId="0" applyNumberFormat="1" applyFont="1" applyBorder="1" applyAlignment="1">
      <alignment horizontal="center"/>
    </xf>
    <xf numFmtId="0" fontId="27" fillId="0" borderId="13" xfId="0" applyFont="1" applyBorder="1" applyAlignment="1">
      <alignment horizontal="right"/>
    </xf>
    <xf numFmtId="4" fontId="27" fillId="0" borderId="48" xfId="0" applyNumberFormat="1" applyFont="1" applyBorder="1" applyAlignment="1">
      <alignment horizontal="center"/>
    </xf>
    <xf numFmtId="2" fontId="25" fillId="0" borderId="48" xfId="0" applyNumberFormat="1" applyFont="1" applyBorder="1"/>
    <xf numFmtId="0" fontId="25" fillId="0" borderId="48" xfId="0" applyFont="1" applyBorder="1"/>
    <xf numFmtId="0" fontId="14" fillId="3" borderId="34" xfId="0" applyFont="1" applyFill="1" applyBorder="1" applyAlignment="1">
      <alignment horizontal="center"/>
    </xf>
    <xf numFmtId="0" fontId="17" fillId="0" borderId="7" xfId="0" applyFont="1" applyBorder="1"/>
    <xf numFmtId="9" fontId="17" fillId="0" borderId="13" xfId="0" applyNumberFormat="1" applyFont="1" applyBorder="1" applyAlignment="1">
      <alignment horizontal="left"/>
    </xf>
    <xf numFmtId="2" fontId="28" fillId="0" borderId="41" xfId="0" applyNumberFormat="1" applyFont="1" applyBorder="1" applyAlignment="1">
      <alignment horizontal="right"/>
    </xf>
    <xf numFmtId="2" fontId="28" fillId="0" borderId="42" xfId="0" applyNumberFormat="1" applyFont="1" applyBorder="1" applyAlignment="1">
      <alignment horizontal="right"/>
    </xf>
    <xf numFmtId="2" fontId="28" fillId="3" borderId="35" xfId="0" applyNumberFormat="1" applyFont="1" applyFill="1" applyBorder="1" applyAlignment="1">
      <alignment horizontal="right"/>
    </xf>
    <xf numFmtId="2" fontId="28" fillId="3" borderId="13" xfId="0" applyNumberFormat="1" applyFont="1" applyFill="1" applyBorder="1" applyAlignment="1">
      <alignment horizontal="right"/>
    </xf>
    <xf numFmtId="2" fontId="28" fillId="0" borderId="18" xfId="0" applyNumberFormat="1" applyFont="1" applyBorder="1" applyAlignment="1">
      <alignment horizontal="right"/>
    </xf>
    <xf numFmtId="0" fontId="28" fillId="0" borderId="0" xfId="0" applyFont="1" applyBorder="1" applyAlignment="1">
      <alignment horizontal="right"/>
    </xf>
    <xf numFmtId="0" fontId="13" fillId="4" borderId="63" xfId="0" applyFont="1" applyFill="1" applyBorder="1" applyAlignment="1"/>
    <xf numFmtId="0" fontId="13" fillId="3" borderId="59" xfId="0" applyFont="1" applyFill="1" applyBorder="1" applyAlignment="1"/>
    <xf numFmtId="1" fontId="28" fillId="3" borderId="35" xfId="0" applyNumberFormat="1" applyFont="1" applyFill="1" applyBorder="1" applyAlignment="1">
      <alignment horizontal="right"/>
    </xf>
    <xf numFmtId="14" fontId="11" fillId="0" borderId="12" xfId="0" applyNumberFormat="1" applyFont="1" applyBorder="1"/>
    <xf numFmtId="166" fontId="28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0" fontId="17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3" fillId="4" borderId="43" xfId="0" applyFont="1" applyFill="1" applyBorder="1" applyAlignment="1">
      <alignment horizontal="center"/>
    </xf>
    <xf numFmtId="1" fontId="35" fillId="0" borderId="13" xfId="0" applyNumberFormat="1" applyFont="1" applyBorder="1" applyAlignment="1">
      <alignment horizontal="right"/>
    </xf>
    <xf numFmtId="0" fontId="14" fillId="4" borderId="35" xfId="0" applyFont="1" applyFill="1" applyBorder="1" applyAlignment="1">
      <alignment horizontal="center"/>
    </xf>
    <xf numFmtId="49" fontId="11" fillId="0" borderId="28" xfId="0" applyNumberFormat="1" applyFont="1" applyBorder="1" applyAlignment="1">
      <alignment horizontal="center"/>
    </xf>
    <xf numFmtId="49" fontId="11" fillId="0" borderId="31" xfId="0" applyNumberFormat="1" applyFont="1" applyBorder="1" applyAlignment="1">
      <alignment horizontal="center"/>
    </xf>
    <xf numFmtId="49" fontId="11" fillId="3" borderId="35" xfId="0" applyNumberFormat="1" applyFont="1" applyFill="1" applyBorder="1"/>
    <xf numFmtId="49" fontId="3" fillId="0" borderId="35" xfId="0" applyNumberFormat="1" applyFont="1" applyBorder="1"/>
    <xf numFmtId="49" fontId="11" fillId="0" borderId="36" xfId="0" applyNumberFormat="1" applyFont="1" applyBorder="1"/>
    <xf numFmtId="14" fontId="17" fillId="0" borderId="46" xfId="0" applyNumberFormat="1" applyFont="1" applyBorder="1" applyAlignment="1">
      <alignment horizontal="center"/>
    </xf>
    <xf numFmtId="0" fontId="17" fillId="3" borderId="11" xfId="0" applyFont="1" applyFill="1" applyBorder="1" applyAlignment="1">
      <alignment horizontal="center"/>
    </xf>
    <xf numFmtId="0" fontId="11" fillId="0" borderId="0" xfId="0" applyFont="1" applyBorder="1" applyAlignment="1"/>
    <xf numFmtId="0" fontId="11" fillId="5" borderId="12" xfId="0" applyFont="1" applyFill="1" applyBorder="1" applyAlignment="1">
      <alignment horizontal="left"/>
    </xf>
    <xf numFmtId="0" fontId="11" fillId="3" borderId="37" xfId="0" applyFont="1" applyFill="1" applyBorder="1"/>
    <xf numFmtId="0" fontId="23" fillId="0" borderId="29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23" fillId="0" borderId="29" xfId="0" applyFont="1" applyBorder="1" applyAlignment="1">
      <alignment horizontal="right"/>
    </xf>
    <xf numFmtId="0" fontId="23" fillId="0" borderId="32" xfId="0" applyFont="1" applyBorder="1" applyAlignment="1">
      <alignment horizontal="right"/>
    </xf>
    <xf numFmtId="0" fontId="30" fillId="6" borderId="0" xfId="0" applyFont="1" applyFill="1" applyBorder="1"/>
    <xf numFmtId="0" fontId="30" fillId="6" borderId="0" xfId="0" applyFont="1" applyFill="1" applyAlignment="1">
      <alignment horizontal="left"/>
    </xf>
    <xf numFmtId="0" fontId="17" fillId="6" borderId="0" xfId="0" applyFont="1" applyFill="1" applyBorder="1" applyAlignment="1">
      <alignment horizontal="center"/>
    </xf>
    <xf numFmtId="0" fontId="11" fillId="0" borderId="0" xfId="0" applyFont="1" applyAlignment="1">
      <alignment horizontal="right"/>
    </xf>
    <xf numFmtId="0" fontId="11" fillId="0" borderId="28" xfId="0" applyFont="1" applyBorder="1" applyAlignment="1">
      <alignment horizontal="right"/>
    </xf>
    <xf numFmtId="0" fontId="11" fillId="0" borderId="31" xfId="0" applyFont="1" applyBorder="1" applyAlignment="1">
      <alignment horizontal="right"/>
    </xf>
    <xf numFmtId="0" fontId="11" fillId="0" borderId="34" xfId="0" applyFont="1" applyBorder="1" applyAlignment="1">
      <alignment horizontal="right"/>
    </xf>
    <xf numFmtId="0" fontId="17" fillId="0" borderId="35" xfId="0" applyFont="1" applyBorder="1" applyAlignment="1">
      <alignment horizontal="right"/>
    </xf>
    <xf numFmtId="0" fontId="17" fillId="0" borderId="34" xfId="0" applyFont="1" applyBorder="1" applyAlignment="1">
      <alignment horizontal="right"/>
    </xf>
    <xf numFmtId="0" fontId="11" fillId="0" borderId="48" xfId="0" applyFont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11" fillId="0" borderId="37" xfId="0" applyFont="1" applyBorder="1" applyAlignment="1">
      <alignment horizontal="right"/>
    </xf>
    <xf numFmtId="2" fontId="11" fillId="0" borderId="35" xfId="0" applyNumberFormat="1" applyFont="1" applyBorder="1" applyAlignment="1">
      <alignment horizontal="right"/>
    </xf>
    <xf numFmtId="0" fontId="11" fillId="0" borderId="59" xfId="0" applyFont="1" applyBorder="1" applyAlignment="1">
      <alignment horizontal="right"/>
    </xf>
    <xf numFmtId="2" fontId="24" fillId="3" borderId="13" xfId="0" applyNumberFormat="1" applyFont="1" applyFill="1" applyBorder="1" applyAlignment="1">
      <alignment horizontal="right"/>
    </xf>
    <xf numFmtId="0" fontId="11" fillId="3" borderId="35" xfId="0" applyFont="1" applyFill="1" applyBorder="1" applyAlignment="1">
      <alignment horizontal="right"/>
    </xf>
    <xf numFmtId="0" fontId="17" fillId="3" borderId="35" xfId="0" applyFont="1" applyFill="1" applyBorder="1" applyAlignment="1">
      <alignment horizontal="right"/>
    </xf>
    <xf numFmtId="0" fontId="17" fillId="0" borderId="0" xfId="0" applyFont="1" applyBorder="1" applyAlignment="1">
      <alignment horizontal="right"/>
    </xf>
    <xf numFmtId="2" fontId="31" fillId="0" borderId="0" xfId="0" applyNumberFormat="1" applyFont="1" applyAlignment="1">
      <alignment horizontal="right"/>
    </xf>
    <xf numFmtId="2" fontId="31" fillId="0" borderId="28" xfId="0" applyNumberFormat="1" applyFont="1" applyBorder="1" applyAlignment="1">
      <alignment horizontal="right"/>
    </xf>
    <xf numFmtId="2" fontId="31" fillId="0" borderId="31" xfId="0" applyNumberFormat="1" applyFont="1" applyBorder="1" applyAlignment="1">
      <alignment horizontal="right"/>
    </xf>
    <xf numFmtId="2" fontId="31" fillId="0" borderId="35" xfId="0" applyNumberFormat="1" applyFont="1" applyBorder="1" applyAlignment="1">
      <alignment horizontal="right"/>
    </xf>
    <xf numFmtId="2" fontId="31" fillId="3" borderId="35" xfId="0" applyNumberFormat="1" applyFont="1" applyFill="1" applyBorder="1" applyAlignment="1">
      <alignment horizontal="right"/>
    </xf>
    <xf numFmtId="2" fontId="32" fillId="0" borderId="34" xfId="0" applyNumberFormat="1" applyFont="1" applyBorder="1" applyAlignment="1">
      <alignment horizontal="right"/>
    </xf>
    <xf numFmtId="2" fontId="25" fillId="0" borderId="28" xfId="0" applyNumberFormat="1" applyFont="1" applyBorder="1" applyAlignment="1">
      <alignment horizontal="right"/>
    </xf>
    <xf numFmtId="2" fontId="25" fillId="0" borderId="31" xfId="0" applyNumberFormat="1" applyFont="1" applyBorder="1" applyAlignment="1">
      <alignment horizontal="right"/>
    </xf>
    <xf numFmtId="2" fontId="31" fillId="0" borderId="34" xfId="0" applyNumberFormat="1" applyFont="1" applyBorder="1" applyAlignment="1">
      <alignment horizontal="right"/>
    </xf>
    <xf numFmtId="2" fontId="32" fillId="3" borderId="35" xfId="0" applyNumberFormat="1" applyFont="1" applyFill="1" applyBorder="1" applyAlignment="1">
      <alignment horizontal="right"/>
    </xf>
    <xf numFmtId="2" fontId="31" fillId="0" borderId="37" xfId="0" applyNumberFormat="1" applyFont="1" applyBorder="1" applyAlignment="1">
      <alignment horizontal="right"/>
    </xf>
    <xf numFmtId="0" fontId="11" fillId="4" borderId="35" xfId="0" applyFont="1" applyFill="1" applyBorder="1" applyAlignment="1">
      <alignment horizontal="center"/>
    </xf>
    <xf numFmtId="0" fontId="11" fillId="0" borderId="35" xfId="0" applyFont="1" applyBorder="1" applyAlignment="1"/>
    <xf numFmtId="0" fontId="11" fillId="3" borderId="13" xfId="0" applyFont="1" applyFill="1" applyBorder="1" applyAlignment="1"/>
    <xf numFmtId="0" fontId="0" fillId="3" borderId="0" xfId="0" applyFill="1"/>
    <xf numFmtId="49" fontId="7" fillId="0" borderId="34" xfId="0" applyNumberFormat="1" applyFont="1" applyBorder="1" applyAlignment="1">
      <alignment horizontal="left"/>
    </xf>
    <xf numFmtId="2" fontId="31" fillId="0" borderId="28" xfId="0" applyNumberFormat="1" applyFont="1" applyBorder="1" applyAlignment="1">
      <alignment horizontal="center"/>
    </xf>
    <xf numFmtId="2" fontId="31" fillId="0" borderId="31" xfId="0" applyNumberFormat="1" applyFont="1" applyBorder="1" applyAlignment="1">
      <alignment horizontal="center"/>
    </xf>
    <xf numFmtId="2" fontId="11" fillId="0" borderId="0" xfId="0" applyNumberFormat="1" applyFont="1" applyAlignment="1">
      <alignment horizontal="right"/>
    </xf>
    <xf numFmtId="2" fontId="13" fillId="0" borderId="28" xfId="0" applyNumberFormat="1" applyFont="1" applyBorder="1" applyAlignment="1">
      <alignment horizontal="right"/>
    </xf>
    <xf numFmtId="2" fontId="13" fillId="0" borderId="31" xfId="0" applyNumberFormat="1" applyFont="1" applyBorder="1" applyAlignment="1">
      <alignment horizontal="right"/>
    </xf>
    <xf numFmtId="2" fontId="13" fillId="0" borderId="59" xfId="0" applyNumberFormat="1" applyFont="1" applyBorder="1" applyAlignment="1">
      <alignment horizontal="right"/>
    </xf>
    <xf numFmtId="2" fontId="11" fillId="0" borderId="34" xfId="0" applyNumberFormat="1" applyFont="1" applyBorder="1" applyAlignment="1">
      <alignment horizontal="right"/>
    </xf>
    <xf numFmtId="2" fontId="29" fillId="0" borderId="34" xfId="0" applyNumberFormat="1" applyFont="1" applyBorder="1" applyAlignment="1">
      <alignment horizontal="right"/>
    </xf>
    <xf numFmtId="2" fontId="11" fillId="0" borderId="48" xfId="0" applyNumberFormat="1" applyFont="1" applyBorder="1" applyAlignment="1">
      <alignment horizontal="right"/>
    </xf>
    <xf numFmtId="2" fontId="11" fillId="0" borderId="0" xfId="0" applyNumberFormat="1" applyFont="1" applyBorder="1" applyAlignment="1">
      <alignment horizontal="right"/>
    </xf>
    <xf numFmtId="2" fontId="11" fillId="0" borderId="28" xfId="0" applyNumberFormat="1" applyFont="1" applyBorder="1" applyAlignment="1">
      <alignment horizontal="center"/>
    </xf>
    <xf numFmtId="2" fontId="11" fillId="0" borderId="31" xfId="0" applyNumberFormat="1" applyFont="1" applyBorder="1" applyAlignment="1">
      <alignment horizontal="center"/>
    </xf>
    <xf numFmtId="2" fontId="11" fillId="0" borderId="28" xfId="0" applyNumberFormat="1" applyFont="1" applyBorder="1" applyAlignment="1">
      <alignment horizontal="right"/>
    </xf>
    <xf numFmtId="2" fontId="11" fillId="0" borderId="31" xfId="0" applyNumberFormat="1" applyFont="1" applyBorder="1" applyAlignment="1">
      <alignment horizontal="right"/>
    </xf>
    <xf numFmtId="2" fontId="7" fillId="0" borderId="35" xfId="0" applyNumberFormat="1" applyFont="1" applyBorder="1" applyAlignment="1">
      <alignment horizontal="right"/>
    </xf>
    <xf numFmtId="2" fontId="11" fillId="0" borderId="37" xfId="0" applyNumberFormat="1" applyFont="1" applyBorder="1" applyAlignment="1">
      <alignment horizontal="right"/>
    </xf>
    <xf numFmtId="1" fontId="31" fillId="0" borderId="0" xfId="0" applyNumberFormat="1" applyFont="1"/>
    <xf numFmtId="1" fontId="31" fillId="0" borderId="28" xfId="0" applyNumberFormat="1" applyFont="1" applyBorder="1" applyAlignment="1">
      <alignment horizontal="center"/>
    </xf>
    <xf numFmtId="1" fontId="31" fillId="0" borderId="31" xfId="0" applyNumberFormat="1" applyFont="1" applyBorder="1" applyAlignment="1">
      <alignment horizontal="center"/>
    </xf>
    <xf numFmtId="1" fontId="31" fillId="0" borderId="35" xfId="0" applyNumberFormat="1" applyFont="1" applyBorder="1"/>
    <xf numFmtId="1" fontId="31" fillId="3" borderId="35" xfId="0" applyNumberFormat="1" applyFont="1" applyFill="1" applyBorder="1"/>
    <xf numFmtId="1" fontId="31" fillId="0" borderId="36" xfId="0" applyNumberFormat="1" applyFont="1" applyBorder="1"/>
    <xf numFmtId="1" fontId="31" fillId="0" borderId="0" xfId="0" applyNumberFormat="1" applyFont="1" applyBorder="1"/>
    <xf numFmtId="1" fontId="17" fillId="0" borderId="0" xfId="0" applyNumberFormat="1" applyFont="1" applyBorder="1" applyAlignment="1">
      <alignment horizontal="center"/>
    </xf>
    <xf numFmtId="1" fontId="31" fillId="0" borderId="0" xfId="0" applyNumberFormat="1" applyFont="1" applyBorder="1" applyAlignment="1">
      <alignment horizontal="left"/>
    </xf>
    <xf numFmtId="1" fontId="32" fillId="0" borderId="35" xfId="0" applyNumberFormat="1" applyFont="1" applyBorder="1"/>
    <xf numFmtId="0" fontId="32" fillId="0" borderId="35" xfId="0" applyFont="1" applyBorder="1" applyAlignment="1">
      <alignment horizontal="center"/>
    </xf>
    <xf numFmtId="0" fontId="11" fillId="7" borderId="12" xfId="0" applyFont="1" applyFill="1" applyBorder="1" applyAlignment="1">
      <alignment horizontal="left"/>
    </xf>
    <xf numFmtId="1" fontId="11" fillId="0" borderId="35" xfId="0" applyNumberFormat="1" applyFont="1" applyBorder="1" applyAlignment="1">
      <alignment horizontal="right"/>
    </xf>
    <xf numFmtId="1" fontId="7" fillId="0" borderId="35" xfId="0" applyNumberFormat="1" applyFont="1" applyBorder="1" applyAlignment="1">
      <alignment horizontal="right"/>
    </xf>
    <xf numFmtId="2" fontId="13" fillId="0" borderId="28" xfId="0" applyNumberFormat="1" applyFont="1" applyBorder="1" applyAlignment="1">
      <alignment horizontal="center"/>
    </xf>
    <xf numFmtId="2" fontId="13" fillId="0" borderId="31" xfId="0" applyNumberFormat="1" applyFont="1" applyBorder="1" applyAlignment="1">
      <alignment horizontal="center"/>
    </xf>
    <xf numFmtId="2" fontId="40" fillId="0" borderId="0" xfId="0" applyNumberFormat="1" applyFont="1" applyBorder="1" applyAlignment="1">
      <alignment horizontal="right"/>
    </xf>
    <xf numFmtId="2" fontId="28" fillId="0" borderId="29" xfId="0" applyNumberFormat="1" applyFont="1" applyBorder="1" applyAlignment="1">
      <alignment horizontal="center"/>
    </xf>
    <xf numFmtId="2" fontId="28" fillId="0" borderId="32" xfId="0" applyNumberFormat="1" applyFont="1" applyBorder="1" applyAlignment="1">
      <alignment horizontal="center"/>
    </xf>
    <xf numFmtId="0" fontId="28" fillId="0" borderId="13" xfId="0" applyFont="1" applyBorder="1" applyAlignment="1">
      <alignment horizontal="right"/>
    </xf>
    <xf numFmtId="2" fontId="28" fillId="0" borderId="8" xfId="0" applyNumberFormat="1" applyFont="1" applyBorder="1" applyAlignment="1">
      <alignment horizontal="right"/>
    </xf>
    <xf numFmtId="0" fontId="28" fillId="3" borderId="13" xfId="0" applyFont="1" applyFill="1" applyBorder="1" applyAlignment="1">
      <alignment horizontal="right"/>
    </xf>
    <xf numFmtId="2" fontId="28" fillId="0" borderId="29" xfId="0" applyNumberFormat="1" applyFont="1" applyBorder="1" applyAlignment="1">
      <alignment horizontal="right"/>
    </xf>
    <xf numFmtId="2" fontId="28" fillId="0" borderId="48" xfId="0" applyNumberFormat="1" applyFont="1" applyBorder="1" applyAlignment="1">
      <alignment horizontal="right"/>
    </xf>
    <xf numFmtId="2" fontId="28" fillId="0" borderId="33" xfId="0" applyNumberFormat="1" applyFont="1" applyBorder="1" applyAlignment="1">
      <alignment horizontal="right"/>
    </xf>
    <xf numFmtId="2" fontId="39" fillId="0" borderId="13" xfId="0" applyNumberFormat="1" applyFont="1" applyBorder="1" applyAlignment="1">
      <alignment horizontal="right"/>
    </xf>
    <xf numFmtId="0" fontId="28" fillId="0" borderId="48" xfId="0" applyFont="1" applyBorder="1" applyAlignment="1">
      <alignment horizontal="right"/>
    </xf>
    <xf numFmtId="2" fontId="28" fillId="0" borderId="32" xfId="0" applyNumberFormat="1" applyFont="1" applyBorder="1" applyAlignment="1">
      <alignment horizontal="right"/>
    </xf>
    <xf numFmtId="2" fontId="28" fillId="3" borderId="8" xfId="0" applyNumberFormat="1" applyFont="1" applyFill="1" applyBorder="1" applyAlignment="1">
      <alignment horizontal="right"/>
    </xf>
    <xf numFmtId="2" fontId="28" fillId="3" borderId="0" xfId="0" applyNumberFormat="1" applyFont="1" applyFill="1" applyBorder="1" applyAlignment="1">
      <alignment horizontal="right"/>
    </xf>
    <xf numFmtId="1" fontId="39" fillId="0" borderId="13" xfId="0" applyNumberFormat="1" applyFont="1" applyBorder="1" applyAlignment="1">
      <alignment horizontal="right"/>
    </xf>
    <xf numFmtId="2" fontId="28" fillId="0" borderId="44" xfId="0" applyNumberFormat="1" applyFont="1" applyBorder="1" applyAlignment="1">
      <alignment horizontal="right"/>
    </xf>
    <xf numFmtId="0" fontId="11" fillId="7" borderId="35" xfId="0" applyFont="1" applyFill="1" applyBorder="1" applyAlignment="1">
      <alignment horizontal="center"/>
    </xf>
    <xf numFmtId="0" fontId="11" fillId="7" borderId="11" xfId="0" applyFont="1" applyFill="1" applyBorder="1" applyAlignment="1">
      <alignment horizontal="left"/>
    </xf>
    <xf numFmtId="0" fontId="13" fillId="7" borderId="11" xfId="0" applyFont="1" applyFill="1" applyBorder="1" applyAlignment="1">
      <alignment horizontal="center"/>
    </xf>
    <xf numFmtId="49" fontId="17" fillId="7" borderId="12" xfId="0" applyNumberFormat="1" applyFont="1" applyFill="1" applyBorder="1"/>
    <xf numFmtId="49" fontId="7" fillId="7" borderId="35" xfId="0" applyNumberFormat="1" applyFont="1" applyFill="1" applyBorder="1"/>
    <xf numFmtId="2" fontId="31" fillId="7" borderId="35" xfId="0" applyNumberFormat="1" applyFont="1" applyFill="1" applyBorder="1" applyAlignment="1">
      <alignment horizontal="right"/>
    </xf>
    <xf numFmtId="2" fontId="23" fillId="7" borderId="13" xfId="0" applyNumberFormat="1" applyFont="1" applyFill="1" applyBorder="1" applyAlignment="1">
      <alignment horizontal="right"/>
    </xf>
    <xf numFmtId="2" fontId="13" fillId="0" borderId="0" xfId="0" applyNumberFormat="1" applyFont="1" applyBorder="1" applyAlignment="1">
      <alignment horizontal="left"/>
    </xf>
    <xf numFmtId="2" fontId="11" fillId="0" borderId="0" xfId="0" applyNumberFormat="1" applyFont="1" applyBorder="1" applyAlignment="1">
      <alignment horizontal="center"/>
    </xf>
    <xf numFmtId="0" fontId="11" fillId="7" borderId="35" xfId="0" applyFont="1" applyFill="1" applyBorder="1" applyAlignment="1">
      <alignment horizontal="right"/>
    </xf>
    <xf numFmtId="2" fontId="24" fillId="3" borderId="0" xfId="0" applyNumberFormat="1" applyFont="1" applyFill="1" applyBorder="1" applyAlignment="1">
      <alignment horizontal="right"/>
    </xf>
    <xf numFmtId="2" fontId="23" fillId="7" borderId="0" xfId="0" applyNumberFormat="1" applyFont="1" applyFill="1" applyBorder="1" applyAlignment="1">
      <alignment horizontal="right"/>
    </xf>
    <xf numFmtId="0" fontId="13" fillId="0" borderId="33" xfId="0" applyFont="1" applyBorder="1"/>
    <xf numFmtId="49" fontId="17" fillId="0" borderId="62" xfId="0" applyNumberFormat="1" applyFont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12" fillId="0" borderId="35" xfId="0" applyFont="1" applyBorder="1" applyAlignment="1">
      <alignment horizontal="left"/>
    </xf>
    <xf numFmtId="166" fontId="28" fillId="0" borderId="35" xfId="0" applyNumberFormat="1" applyFont="1" applyBorder="1" applyAlignment="1">
      <alignment horizontal="right"/>
    </xf>
    <xf numFmtId="166" fontId="23" fillId="0" borderId="0" xfId="0" applyNumberFormat="1" applyFont="1" applyBorder="1" applyAlignment="1">
      <alignment horizontal="right"/>
    </xf>
    <xf numFmtId="0" fontId="7" fillId="0" borderId="34" xfId="0" applyFont="1" applyBorder="1" applyAlignment="1">
      <alignment horizontal="center"/>
    </xf>
    <xf numFmtId="2" fontId="29" fillId="0" borderId="13" xfId="0" applyNumberFormat="1" applyFont="1" applyBorder="1" applyAlignment="1">
      <alignment horizontal="right"/>
    </xf>
    <xf numFmtId="1" fontId="29" fillId="0" borderId="13" xfId="0" applyNumberFormat="1" applyFont="1" applyBorder="1" applyAlignment="1">
      <alignment horizontal="right"/>
    </xf>
    <xf numFmtId="0" fontId="27" fillId="0" borderId="0" xfId="0" applyFont="1" applyBorder="1" applyAlignment="1">
      <alignment horizontal="right"/>
    </xf>
    <xf numFmtId="0" fontId="11" fillId="0" borderId="50" xfId="0" applyFont="1" applyBorder="1"/>
    <xf numFmtId="0" fontId="23" fillId="0" borderId="18" xfId="0" applyFont="1" applyBorder="1" applyAlignment="1">
      <alignment horizontal="right"/>
    </xf>
    <xf numFmtId="0" fontId="13" fillId="4" borderId="50" xfId="0" applyFont="1" applyFill="1" applyBorder="1"/>
    <xf numFmtId="0" fontId="11" fillId="0" borderId="18" xfId="0" applyFont="1" applyBorder="1" applyAlignment="1">
      <alignment horizontal="center"/>
    </xf>
    <xf numFmtId="0" fontId="28" fillId="0" borderId="18" xfId="0" applyFont="1" applyBorder="1" applyAlignment="1">
      <alignment horizontal="right"/>
    </xf>
    <xf numFmtId="0" fontId="11" fillId="4" borderId="12" xfId="0" applyFont="1" applyFill="1" applyBorder="1"/>
    <xf numFmtId="2" fontId="11" fillId="0" borderId="0" xfId="0" applyNumberFormat="1" applyFont="1"/>
    <xf numFmtId="2" fontId="13" fillId="0" borderId="0" xfId="0" applyNumberFormat="1" applyFont="1"/>
    <xf numFmtId="2" fontId="11" fillId="0" borderId="48" xfId="0" applyNumberFormat="1" applyFont="1" applyBorder="1"/>
    <xf numFmtId="2" fontId="11" fillId="0" borderId="0" xfId="0" applyNumberFormat="1" applyFont="1" applyBorder="1"/>
    <xf numFmtId="2" fontId="35" fillId="0" borderId="13" xfId="0" applyNumberFormat="1" applyFont="1" applyBorder="1" applyAlignment="1">
      <alignment horizontal="left"/>
    </xf>
    <xf numFmtId="0" fontId="13" fillId="3" borderId="8" xfId="0" applyFont="1" applyFill="1" applyBorder="1" applyAlignment="1">
      <alignment horizontal="left"/>
    </xf>
    <xf numFmtId="0" fontId="13" fillId="7" borderId="7" xfId="0" applyFont="1" applyFill="1" applyBorder="1"/>
    <xf numFmtId="0" fontId="7" fillId="0" borderId="7" xfId="0" applyFont="1" applyBorder="1"/>
    <xf numFmtId="0" fontId="12" fillId="0" borderId="47" xfId="0" applyFont="1" applyBorder="1" applyAlignment="1">
      <alignment horizontal="left"/>
    </xf>
    <xf numFmtId="0" fontId="12" fillId="3" borderId="13" xfId="0" applyFont="1" applyFill="1" applyBorder="1" applyAlignment="1">
      <alignment horizontal="left"/>
    </xf>
    <xf numFmtId="0" fontId="13" fillId="3" borderId="35" xfId="0" applyFont="1" applyFill="1" applyBorder="1" applyAlignment="1"/>
    <xf numFmtId="1" fontId="24" fillId="0" borderId="13" xfId="0" applyNumberFormat="1" applyFont="1" applyBorder="1"/>
    <xf numFmtId="0" fontId="13" fillId="4" borderId="43" xfId="0" applyFont="1" applyFill="1" applyBorder="1" applyAlignment="1"/>
    <xf numFmtId="2" fontId="38" fillId="0" borderId="13" xfId="0" applyNumberFormat="1" applyFont="1" applyBorder="1" applyAlignment="1">
      <alignment horizontal="right"/>
    </xf>
    <xf numFmtId="0" fontId="13" fillId="3" borderId="0" xfId="0" applyFont="1" applyFill="1" applyBorder="1" applyAlignment="1">
      <alignment horizontal="right"/>
    </xf>
    <xf numFmtId="0" fontId="13" fillId="2" borderId="41" xfId="0" applyFont="1" applyFill="1" applyBorder="1" applyAlignment="1">
      <alignment horizontal="right"/>
    </xf>
    <xf numFmtId="0" fontId="13" fillId="2" borderId="42" xfId="0" applyFont="1" applyFill="1" applyBorder="1" applyAlignment="1">
      <alignment horizontal="right"/>
    </xf>
    <xf numFmtId="0" fontId="13" fillId="2" borderId="23" xfId="0" applyFont="1" applyFill="1" applyBorder="1" applyAlignment="1">
      <alignment horizontal="right"/>
    </xf>
    <xf numFmtId="0" fontId="15" fillId="2" borderId="11" xfId="0" applyFont="1" applyFill="1" applyBorder="1" applyAlignment="1">
      <alignment horizontal="right"/>
    </xf>
    <xf numFmtId="0" fontId="13" fillId="0" borderId="44" xfId="0" applyFont="1" applyBorder="1" applyAlignment="1">
      <alignment horizontal="right"/>
    </xf>
    <xf numFmtId="0" fontId="14" fillId="2" borderId="11" xfId="0" applyFont="1" applyFill="1" applyBorder="1" applyAlignment="1">
      <alignment horizontal="right"/>
    </xf>
    <xf numFmtId="49" fontId="19" fillId="0" borderId="35" xfId="2" applyNumberFormat="1" applyBorder="1" applyAlignment="1" applyProtection="1">
      <alignment horizontal="left"/>
    </xf>
    <xf numFmtId="0" fontId="11" fillId="7" borderId="35" xfId="0" applyFont="1" applyFill="1" applyBorder="1"/>
    <xf numFmtId="0" fontId="13" fillId="3" borderId="12" xfId="0" applyFont="1" applyFill="1" applyBorder="1"/>
    <xf numFmtId="0" fontId="11" fillId="2" borderId="11" xfId="0" applyFont="1" applyFill="1" applyBorder="1" applyAlignment="1">
      <alignment horizontal="center"/>
    </xf>
    <xf numFmtId="4" fontId="27" fillId="3" borderId="13" xfId="0" applyNumberFormat="1" applyFont="1" applyFill="1" applyBorder="1" applyAlignment="1">
      <alignment horizontal="left"/>
    </xf>
    <xf numFmtId="16" fontId="17" fillId="0" borderId="13" xfId="0" applyNumberFormat="1" applyFont="1" applyBorder="1" applyAlignment="1">
      <alignment horizontal="center"/>
    </xf>
    <xf numFmtId="0" fontId="11" fillId="3" borderId="7" xfId="0" applyFont="1" applyFill="1" applyBorder="1"/>
    <xf numFmtId="1" fontId="29" fillId="0" borderId="0" xfId="0" applyNumberFormat="1" applyFont="1" applyBorder="1" applyAlignment="1">
      <alignment horizontal="right"/>
    </xf>
    <xf numFmtId="0" fontId="13" fillId="3" borderId="8" xfId="0" applyFont="1" applyFill="1" applyBorder="1" applyAlignment="1">
      <alignment horizontal="center"/>
    </xf>
    <xf numFmtId="0" fontId="13" fillId="3" borderId="7" xfId="0" applyFont="1" applyFill="1" applyBorder="1" applyAlignment="1">
      <alignment horizontal="center"/>
    </xf>
    <xf numFmtId="0" fontId="11" fillId="8" borderId="13" xfId="0" applyFont="1" applyFill="1" applyBorder="1"/>
    <xf numFmtId="0" fontId="11" fillId="8" borderId="12" xfId="0" applyFont="1" applyFill="1" applyBorder="1"/>
    <xf numFmtId="0" fontId="13" fillId="3" borderId="10" xfId="0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0" fontId="7" fillId="3" borderId="35" xfId="0" applyFont="1" applyFill="1" applyBorder="1"/>
    <xf numFmtId="2" fontId="35" fillId="3" borderId="13" xfId="0" applyNumberFormat="1" applyFont="1" applyFill="1" applyBorder="1" applyAlignment="1">
      <alignment horizontal="right"/>
    </xf>
    <xf numFmtId="1" fontId="23" fillId="3" borderId="13" xfId="0" applyNumberFormat="1" applyFont="1" applyFill="1" applyBorder="1" applyAlignment="1">
      <alignment horizontal="right"/>
    </xf>
    <xf numFmtId="0" fontId="13" fillId="8" borderId="12" xfId="0" applyFont="1" applyFill="1" applyBorder="1"/>
    <xf numFmtId="0" fontId="13" fillId="3" borderId="13" xfId="0" applyFont="1" applyFill="1" applyBorder="1" applyAlignment="1"/>
    <xf numFmtId="0" fontId="13" fillId="3" borderId="12" xfId="0" applyFont="1" applyFill="1" applyBorder="1" applyAlignment="1"/>
    <xf numFmtId="9" fontId="7" fillId="3" borderId="35" xfId="0" applyNumberFormat="1" applyFont="1" applyFill="1" applyBorder="1" applyAlignment="1">
      <alignment horizontal="left"/>
    </xf>
    <xf numFmtId="0" fontId="19" fillId="0" borderId="35" xfId="2" applyBorder="1" applyAlignment="1" applyProtection="1"/>
    <xf numFmtId="0" fontId="7" fillId="3" borderId="35" xfId="0" applyFont="1" applyFill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1" fillId="3" borderId="12" xfId="0" applyFont="1" applyFill="1" applyBorder="1" applyAlignment="1"/>
    <xf numFmtId="2" fontId="21" fillId="0" borderId="13" xfId="0" applyNumberFormat="1" applyFont="1" applyBorder="1" applyAlignment="1">
      <alignment horizontal="right"/>
    </xf>
    <xf numFmtId="2" fontId="82" fillId="3" borderId="13" xfId="0" applyNumberFormat="1" applyFont="1" applyFill="1" applyBorder="1" applyAlignment="1">
      <alignment horizontal="right"/>
    </xf>
    <xf numFmtId="0" fontId="12" fillId="0" borderId="12" xfId="0" applyFont="1" applyBorder="1"/>
    <xf numFmtId="2" fontId="23" fillId="0" borderId="35" xfId="0" applyNumberFormat="1" applyFont="1" applyBorder="1" applyAlignment="1">
      <alignment horizontal="right"/>
    </xf>
    <xf numFmtId="0" fontId="17" fillId="3" borderId="12" xfId="0" applyFont="1" applyFill="1" applyBorder="1" applyAlignment="1"/>
    <xf numFmtId="49" fontId="7" fillId="3" borderId="35" xfId="0" applyNumberFormat="1" applyFont="1" applyFill="1" applyBorder="1" applyAlignment="1">
      <alignment horizontal="left"/>
    </xf>
    <xf numFmtId="0" fontId="13" fillId="3" borderId="47" xfId="0" applyFont="1" applyFill="1" applyBorder="1"/>
    <xf numFmtId="49" fontId="19" fillId="0" borderId="35" xfId="2" applyNumberFormat="1" applyBorder="1" applyAlignment="1" applyProtection="1"/>
    <xf numFmtId="0" fontId="11" fillId="4" borderId="13" xfId="0" applyFont="1" applyFill="1" applyBorder="1" applyAlignment="1">
      <alignment horizontal="left"/>
    </xf>
    <xf numFmtId="0" fontId="13" fillId="4" borderId="11" xfId="0" applyFont="1" applyFill="1" applyBorder="1" applyAlignment="1">
      <alignment horizontal="center"/>
    </xf>
    <xf numFmtId="49" fontId="17" fillId="4" borderId="12" xfId="0" applyNumberFormat="1" applyFont="1" applyFill="1" applyBorder="1"/>
    <xf numFmtId="0" fontId="17" fillId="4" borderId="35" xfId="0" applyFont="1" applyFill="1" applyBorder="1" applyAlignment="1">
      <alignment horizontal="right"/>
    </xf>
    <xf numFmtId="2" fontId="32" fillId="4" borderId="35" xfId="0" applyNumberFormat="1" applyFont="1" applyFill="1" applyBorder="1" applyAlignment="1">
      <alignment horizontal="right"/>
    </xf>
    <xf numFmtId="2" fontId="24" fillId="4" borderId="13" xfId="0" applyNumberFormat="1" applyFont="1" applyFill="1" applyBorder="1" applyAlignment="1">
      <alignment horizontal="right"/>
    </xf>
    <xf numFmtId="0" fontId="11" fillId="4" borderId="7" xfId="0" applyFont="1" applyFill="1" applyBorder="1" applyAlignment="1"/>
    <xf numFmtId="0" fontId="17" fillId="4" borderId="12" xfId="0" applyFont="1" applyFill="1" applyBorder="1" applyAlignment="1"/>
    <xf numFmtId="49" fontId="12" fillId="4" borderId="35" xfId="0" applyNumberFormat="1" applyFont="1" applyFill="1" applyBorder="1"/>
    <xf numFmtId="0" fontId="17" fillId="4" borderId="12" xfId="0" applyFont="1" applyFill="1" applyBorder="1" applyAlignment="1">
      <alignment horizontal="left"/>
    </xf>
    <xf numFmtId="0" fontId="11" fillId="4" borderId="11" xfId="0" applyFont="1" applyFill="1" applyBorder="1" applyAlignment="1">
      <alignment horizontal="left"/>
    </xf>
    <xf numFmtId="2" fontId="24" fillId="4" borderId="8" xfId="0" applyNumberFormat="1" applyFont="1" applyFill="1" applyBorder="1" applyAlignment="1">
      <alignment horizontal="right"/>
    </xf>
    <xf numFmtId="0" fontId="11" fillId="4" borderId="12" xfId="0" applyFont="1" applyFill="1" applyBorder="1" applyAlignment="1">
      <alignment horizontal="left"/>
    </xf>
    <xf numFmtId="168" fontId="39" fillId="0" borderId="13" xfId="0" applyNumberFormat="1" applyFont="1" applyBorder="1" applyAlignment="1">
      <alignment horizontal="right"/>
    </xf>
    <xf numFmtId="0" fontId="17" fillId="7" borderId="12" xfId="0" applyFont="1" applyFill="1" applyBorder="1"/>
    <xf numFmtId="0" fontId="17" fillId="7" borderId="35" xfId="0" applyFont="1" applyFill="1" applyBorder="1" applyAlignment="1">
      <alignment horizontal="center"/>
    </xf>
    <xf numFmtId="0" fontId="17" fillId="7" borderId="13" xfId="0" applyFont="1" applyFill="1" applyBorder="1" applyAlignment="1">
      <alignment horizontal="center"/>
    </xf>
    <xf numFmtId="49" fontId="7" fillId="7" borderId="12" xfId="0" applyNumberFormat="1" applyFont="1" applyFill="1" applyBorder="1" applyAlignment="1">
      <alignment horizontal="left"/>
    </xf>
    <xf numFmtId="49" fontId="17" fillId="7" borderId="35" xfId="0" applyNumberFormat="1" applyFont="1" applyFill="1" applyBorder="1" applyAlignment="1">
      <alignment horizontal="left"/>
    </xf>
    <xf numFmtId="2" fontId="28" fillId="7" borderId="13" xfId="0" applyNumberFormat="1" applyFont="1" applyFill="1" applyBorder="1" applyAlignment="1">
      <alignment horizontal="right"/>
    </xf>
    <xf numFmtId="0" fontId="12" fillId="7" borderId="12" xfId="0" applyFont="1" applyFill="1" applyBorder="1"/>
    <xf numFmtId="168" fontId="39" fillId="7" borderId="13" xfId="0" applyNumberFormat="1" applyFont="1" applyFill="1" applyBorder="1" applyAlignment="1">
      <alignment horizontal="right"/>
    </xf>
    <xf numFmtId="0" fontId="30" fillId="3" borderId="35" xfId="0" applyFont="1" applyFill="1" applyBorder="1" applyAlignment="1">
      <alignment horizontal="left"/>
    </xf>
    <xf numFmtId="0" fontId="13" fillId="3" borderId="34" xfId="0" applyFont="1" applyFill="1" applyBorder="1" applyAlignment="1">
      <alignment horizontal="left"/>
    </xf>
    <xf numFmtId="0" fontId="30" fillId="3" borderId="13" xfId="0" applyFont="1" applyFill="1" applyBorder="1"/>
    <xf numFmtId="49" fontId="17" fillId="3" borderId="7" xfId="0" applyNumberFormat="1" applyFont="1" applyFill="1" applyBorder="1" applyAlignment="1">
      <alignment horizontal="left"/>
    </xf>
    <xf numFmtId="49" fontId="17" fillId="3" borderId="12" xfId="0" applyNumberFormat="1" applyFont="1" applyFill="1" applyBorder="1" applyAlignment="1">
      <alignment horizontal="left"/>
    </xf>
    <xf numFmtId="0" fontId="17" fillId="3" borderId="35" xfId="0" applyFont="1" applyFill="1" applyBorder="1" applyAlignment="1">
      <alignment horizontal="left"/>
    </xf>
    <xf numFmtId="0" fontId="11" fillId="3" borderId="34" xfId="0" applyFont="1" applyFill="1" applyBorder="1" applyAlignment="1">
      <alignment horizontal="left"/>
    </xf>
    <xf numFmtId="168" fontId="39" fillId="0" borderId="8" xfId="0" applyNumberFormat="1" applyFont="1" applyBorder="1" applyAlignment="1">
      <alignment horizontal="right"/>
    </xf>
    <xf numFmtId="2" fontId="39" fillId="0" borderId="8" xfId="0" applyNumberFormat="1" applyFont="1" applyBorder="1" applyAlignment="1">
      <alignment horizontal="right"/>
    </xf>
    <xf numFmtId="0" fontId="11" fillId="2" borderId="40" xfId="0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left"/>
    </xf>
    <xf numFmtId="0" fontId="11" fillId="0" borderId="10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1" fillId="2" borderId="43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11" fillId="2" borderId="47" xfId="0" applyFont="1" applyFill="1" applyBorder="1" applyAlignment="1">
      <alignment horizontal="center"/>
    </xf>
    <xf numFmtId="0" fontId="31" fillId="2" borderId="10" xfId="0" applyFont="1" applyFill="1" applyBorder="1" applyAlignment="1">
      <alignment horizontal="center"/>
    </xf>
    <xf numFmtId="0" fontId="11" fillId="2" borderId="57" xfId="0" applyFont="1" applyFill="1" applyBorder="1" applyAlignment="1">
      <alignment horizontal="center"/>
    </xf>
    <xf numFmtId="0" fontId="11" fillId="2" borderId="48" xfId="0" applyFont="1" applyFill="1" applyBorder="1" applyAlignment="1">
      <alignment horizontal="center"/>
    </xf>
    <xf numFmtId="0" fontId="17" fillId="2" borderId="43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31" fillId="2" borderId="47" xfId="0" applyFont="1" applyFill="1" applyBorder="1" applyAlignment="1">
      <alignment horizontal="center"/>
    </xf>
    <xf numFmtId="0" fontId="11" fillId="2" borderId="54" xfId="0" applyFont="1" applyFill="1" applyBorder="1"/>
    <xf numFmtId="0" fontId="11" fillId="2" borderId="50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1" fillId="2" borderId="41" xfId="0" applyFont="1" applyFill="1" applyBorder="1" applyAlignment="1">
      <alignment horizontal="center"/>
    </xf>
    <xf numFmtId="0" fontId="11" fillId="2" borderId="42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right"/>
    </xf>
    <xf numFmtId="0" fontId="11" fillId="2" borderId="16" xfId="0" applyFont="1" applyFill="1" applyBorder="1" applyAlignment="1">
      <alignment horizontal="center"/>
    </xf>
    <xf numFmtId="0" fontId="11" fillId="2" borderId="59" xfId="0" applyFont="1" applyFill="1" applyBorder="1" applyAlignment="1">
      <alignment horizontal="center"/>
    </xf>
    <xf numFmtId="0" fontId="11" fillId="2" borderId="35" xfId="0" applyFont="1" applyFill="1" applyBorder="1" applyAlignment="1">
      <alignment horizontal="center"/>
    </xf>
    <xf numFmtId="0" fontId="31" fillId="2" borderId="11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/>
    </xf>
    <xf numFmtId="0" fontId="11" fillId="2" borderId="44" xfId="0" applyFont="1" applyFill="1" applyBorder="1" applyAlignment="1">
      <alignment horizontal="center"/>
    </xf>
    <xf numFmtId="0" fontId="11" fillId="0" borderId="44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42" xfId="0" applyFont="1" applyBorder="1" applyAlignment="1">
      <alignment horizontal="center"/>
    </xf>
    <xf numFmtId="2" fontId="27" fillId="0" borderId="29" xfId="0" applyNumberFormat="1" applyFont="1" applyBorder="1" applyAlignment="1">
      <alignment horizontal="center"/>
    </xf>
    <xf numFmtId="2" fontId="27" fillId="0" borderId="32" xfId="0" applyNumberFormat="1" applyFont="1" applyBorder="1" applyAlignment="1">
      <alignment horizontal="center"/>
    </xf>
    <xf numFmtId="0" fontId="17" fillId="2" borderId="40" xfId="0" applyFont="1" applyFill="1" applyBorder="1" applyAlignment="1">
      <alignment horizontal="center"/>
    </xf>
    <xf numFmtId="0" fontId="17" fillId="2" borderId="20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17" fillId="2" borderId="47" xfId="0" applyFont="1" applyFill="1" applyBorder="1" applyAlignment="1">
      <alignment horizontal="center"/>
    </xf>
    <xf numFmtId="0" fontId="17" fillId="2" borderId="19" xfId="0" applyFont="1" applyFill="1" applyBorder="1" applyAlignment="1">
      <alignment horizontal="center"/>
    </xf>
    <xf numFmtId="0" fontId="17" fillId="2" borderId="12" xfId="0" applyFont="1" applyFill="1" applyBorder="1" applyAlignment="1">
      <alignment horizontal="center"/>
    </xf>
    <xf numFmtId="0" fontId="17" fillId="2" borderId="55" xfId="0" applyFont="1" applyFill="1" applyBorder="1" applyAlignment="1">
      <alignment horizontal="center"/>
    </xf>
    <xf numFmtId="0" fontId="17" fillId="3" borderId="10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3" borderId="36" xfId="0" applyFont="1" applyFill="1" applyBorder="1" applyAlignment="1">
      <alignment horizontal="center"/>
    </xf>
    <xf numFmtId="2" fontId="39" fillId="3" borderId="13" xfId="0" applyNumberFormat="1" applyFont="1" applyFill="1" applyBorder="1" applyAlignment="1">
      <alignment horizontal="right"/>
    </xf>
    <xf numFmtId="170" fontId="7" fillId="3" borderId="47" xfId="0" applyNumberFormat="1" applyFont="1" applyFill="1" applyBorder="1" applyAlignment="1">
      <alignment horizontal="left"/>
    </xf>
    <xf numFmtId="0" fontId="11" fillId="3" borderId="35" xfId="0" applyFont="1" applyFill="1" applyBorder="1" applyAlignment="1"/>
    <xf numFmtId="2" fontId="43" fillId="0" borderId="13" xfId="0" applyNumberFormat="1" applyFont="1" applyBorder="1" applyAlignment="1">
      <alignment horizontal="right"/>
    </xf>
    <xf numFmtId="0" fontId="12" fillId="3" borderId="13" xfId="0" applyFont="1" applyFill="1" applyBorder="1" applyAlignment="1">
      <alignment horizontal="center"/>
    </xf>
    <xf numFmtId="2" fontId="38" fillId="3" borderId="13" xfId="0" applyNumberFormat="1" applyFont="1" applyFill="1" applyBorder="1"/>
    <xf numFmtId="0" fontId="11" fillId="9" borderId="12" xfId="0" applyFont="1" applyFill="1" applyBorder="1"/>
    <xf numFmtId="0" fontId="17" fillId="9" borderId="35" xfId="0" applyFont="1" applyFill="1" applyBorder="1" applyAlignment="1">
      <alignment horizontal="center"/>
    </xf>
    <xf numFmtId="0" fontId="17" fillId="9" borderId="13" xfId="0" applyFont="1" applyFill="1" applyBorder="1" applyAlignment="1">
      <alignment horizontal="left"/>
    </xf>
    <xf numFmtId="49" fontId="7" fillId="9" borderId="12" xfId="0" applyNumberFormat="1" applyFont="1" applyFill="1" applyBorder="1"/>
    <xf numFmtId="0" fontId="11" fillId="9" borderId="35" xfId="0" applyFont="1" applyFill="1" applyBorder="1"/>
    <xf numFmtId="49" fontId="17" fillId="9" borderId="35" xfId="0" applyNumberFormat="1" applyFont="1" applyFill="1" applyBorder="1" applyAlignment="1">
      <alignment horizontal="left"/>
    </xf>
    <xf numFmtId="2" fontId="28" fillId="9" borderId="13" xfId="0" applyNumberFormat="1" applyFont="1" applyFill="1" applyBorder="1" applyAlignment="1">
      <alignment horizontal="right"/>
    </xf>
    <xf numFmtId="2" fontId="23" fillId="9" borderId="13" xfId="0" applyNumberFormat="1" applyFont="1" applyFill="1" applyBorder="1"/>
    <xf numFmtId="0" fontId="13" fillId="9" borderId="10" xfId="0" applyFont="1" applyFill="1" applyBorder="1" applyAlignment="1">
      <alignment horizontal="right"/>
    </xf>
    <xf numFmtId="0" fontId="13" fillId="9" borderId="50" xfId="0" applyFont="1" applyFill="1" applyBorder="1"/>
    <xf numFmtId="0" fontId="11" fillId="9" borderId="36" xfId="0" applyFont="1" applyFill="1" applyBorder="1"/>
    <xf numFmtId="49" fontId="17" fillId="9" borderId="36" xfId="0" applyNumberFormat="1" applyFont="1" applyFill="1" applyBorder="1" applyAlignment="1">
      <alignment horizontal="left"/>
    </xf>
    <xf numFmtId="2" fontId="28" fillId="9" borderId="18" xfId="0" applyNumberFormat="1" applyFont="1" applyFill="1" applyBorder="1" applyAlignment="1">
      <alignment horizontal="right"/>
    </xf>
    <xf numFmtId="2" fontId="23" fillId="9" borderId="18" xfId="0" applyNumberFormat="1" applyFont="1" applyFill="1" applyBorder="1"/>
    <xf numFmtId="0" fontId="13" fillId="9" borderId="43" xfId="0" applyFont="1" applyFill="1" applyBorder="1"/>
    <xf numFmtId="0" fontId="17" fillId="9" borderId="12" xfId="0" applyFont="1" applyFill="1" applyBorder="1"/>
    <xf numFmtId="0" fontId="13" fillId="3" borderId="43" xfId="0" applyFont="1" applyFill="1" applyBorder="1" applyAlignment="1"/>
    <xf numFmtId="0" fontId="13" fillId="0" borderId="50" xfId="0" applyFont="1" applyBorder="1" applyAlignment="1">
      <alignment horizontal="left"/>
    </xf>
    <xf numFmtId="49" fontId="17" fillId="0" borderId="18" xfId="0" applyNumberFormat="1" applyFont="1" applyBorder="1" applyAlignment="1">
      <alignment horizontal="left"/>
    </xf>
    <xf numFmtId="0" fontId="11" fillId="8" borderId="35" xfId="0" applyFont="1" applyFill="1" applyBorder="1"/>
    <xf numFmtId="0" fontId="17" fillId="8" borderId="11" xfId="0" applyFont="1" applyFill="1" applyBorder="1"/>
    <xf numFmtId="0" fontId="13" fillId="8" borderId="47" xfId="0" applyFont="1" applyFill="1" applyBorder="1" applyAlignment="1">
      <alignment horizontal="center"/>
    </xf>
    <xf numFmtId="0" fontId="13" fillId="8" borderId="11" xfId="0" applyFont="1" applyFill="1" applyBorder="1" applyAlignment="1">
      <alignment horizontal="center"/>
    </xf>
    <xf numFmtId="49" fontId="17" fillId="8" borderId="12" xfId="0" applyNumberFormat="1" applyFont="1" applyFill="1" applyBorder="1"/>
    <xf numFmtId="0" fontId="11" fillId="8" borderId="35" xfId="0" applyFont="1" applyFill="1" applyBorder="1" applyAlignment="1">
      <alignment horizontal="right"/>
    </xf>
    <xf numFmtId="0" fontId="17" fillId="8" borderId="35" xfId="0" applyFont="1" applyFill="1" applyBorder="1"/>
    <xf numFmtId="2" fontId="11" fillId="8" borderId="35" xfId="0" applyNumberFormat="1" applyFont="1" applyFill="1" applyBorder="1" applyAlignment="1">
      <alignment horizontal="right"/>
    </xf>
    <xf numFmtId="2" fontId="23" fillId="8" borderId="13" xfId="0" applyNumberFormat="1" applyFont="1" applyFill="1" applyBorder="1" applyAlignment="1">
      <alignment horizontal="right"/>
    </xf>
    <xf numFmtId="0" fontId="11" fillId="10" borderId="12" xfId="0" applyFont="1" applyFill="1" applyBorder="1"/>
    <xf numFmtId="0" fontId="11" fillId="10" borderId="35" xfId="0" applyFont="1" applyFill="1" applyBorder="1"/>
    <xf numFmtId="0" fontId="17" fillId="10" borderId="11" xfId="0" applyFont="1" applyFill="1" applyBorder="1"/>
    <xf numFmtId="0" fontId="13" fillId="10" borderId="47" xfId="0" applyFont="1" applyFill="1" applyBorder="1" applyAlignment="1">
      <alignment horizontal="center"/>
    </xf>
    <xf numFmtId="0" fontId="13" fillId="10" borderId="11" xfId="0" applyFont="1" applyFill="1" applyBorder="1" applyAlignment="1">
      <alignment horizontal="center"/>
    </xf>
    <xf numFmtId="49" fontId="17" fillId="10" borderId="12" xfId="0" applyNumberFormat="1" applyFont="1" applyFill="1" applyBorder="1" applyAlignment="1">
      <alignment horizontal="left"/>
    </xf>
    <xf numFmtId="0" fontId="11" fillId="10" borderId="35" xfId="0" applyFont="1" applyFill="1" applyBorder="1" applyAlignment="1">
      <alignment horizontal="right"/>
    </xf>
    <xf numFmtId="0" fontId="17" fillId="10" borderId="35" xfId="0" applyFont="1" applyFill="1" applyBorder="1"/>
    <xf numFmtId="2" fontId="11" fillId="10" borderId="35" xfId="0" applyNumberFormat="1" applyFont="1" applyFill="1" applyBorder="1" applyAlignment="1">
      <alignment horizontal="right"/>
    </xf>
    <xf numFmtId="2" fontId="35" fillId="10" borderId="13" xfId="0" applyNumberFormat="1" applyFont="1" applyFill="1" applyBorder="1" applyAlignment="1">
      <alignment horizontal="right"/>
    </xf>
    <xf numFmtId="2" fontId="23" fillId="10" borderId="13" xfId="0" applyNumberFormat="1" applyFont="1" applyFill="1" applyBorder="1" applyAlignment="1">
      <alignment horizontal="right"/>
    </xf>
    <xf numFmtId="49" fontId="17" fillId="10" borderId="12" xfId="0" applyNumberFormat="1" applyFont="1" applyFill="1" applyBorder="1"/>
    <xf numFmtId="0" fontId="17" fillId="3" borderId="11" xfId="0" applyFont="1" applyFill="1" applyBorder="1"/>
    <xf numFmtId="0" fontId="17" fillId="3" borderId="35" xfId="0" applyFont="1" applyFill="1" applyBorder="1"/>
    <xf numFmtId="2" fontId="11" fillId="3" borderId="35" xfId="0" applyNumberFormat="1" applyFont="1" applyFill="1" applyBorder="1" applyAlignment="1">
      <alignment horizontal="right"/>
    </xf>
    <xf numFmtId="0" fontId="13" fillId="3" borderId="43" xfId="0" applyFont="1" applyFill="1" applyBorder="1" applyAlignment="1">
      <alignment horizontal="center"/>
    </xf>
    <xf numFmtId="0" fontId="11" fillId="3" borderId="35" xfId="0" applyFont="1" applyFill="1" applyBorder="1" applyAlignment="1">
      <alignment horizontal="left"/>
    </xf>
    <xf numFmtId="0" fontId="13" fillId="3" borderId="47" xfId="0" applyFont="1" applyFill="1" applyBorder="1" applyAlignment="1">
      <alignment horizontal="center"/>
    </xf>
    <xf numFmtId="0" fontId="13" fillId="0" borderId="62" xfId="0" applyFont="1" applyBorder="1" applyAlignment="1">
      <alignment horizontal="center"/>
    </xf>
    <xf numFmtId="0" fontId="14" fillId="0" borderId="44" xfId="0" applyFont="1" applyBorder="1" applyAlignment="1">
      <alignment horizontal="center"/>
    </xf>
    <xf numFmtId="0" fontId="17" fillId="7" borderId="11" xfId="0" applyFont="1" applyFill="1" applyBorder="1"/>
    <xf numFmtId="0" fontId="17" fillId="7" borderId="35" xfId="0" applyFont="1" applyFill="1" applyBorder="1"/>
    <xf numFmtId="1" fontId="11" fillId="7" borderId="35" xfId="0" applyNumberFormat="1" applyFont="1" applyFill="1" applyBorder="1" applyAlignment="1">
      <alignment horizontal="right"/>
    </xf>
    <xf numFmtId="0" fontId="17" fillId="7" borderId="13" xfId="0" applyFont="1" applyFill="1" applyBorder="1"/>
    <xf numFmtId="0" fontId="13" fillId="3" borderId="6" xfId="0" applyFont="1" applyFill="1" applyBorder="1" applyAlignment="1">
      <alignment horizontal="center"/>
    </xf>
    <xf numFmtId="1" fontId="11" fillId="3" borderId="35" xfId="0" applyNumberFormat="1" applyFont="1" applyFill="1" applyBorder="1" applyAlignment="1">
      <alignment horizontal="right"/>
    </xf>
    <xf numFmtId="0" fontId="11" fillId="11" borderId="12" xfId="0" applyFont="1" applyFill="1" applyBorder="1"/>
    <xf numFmtId="0" fontId="11" fillId="11" borderId="35" xfId="0" applyFont="1" applyFill="1" applyBorder="1"/>
    <xf numFmtId="0" fontId="17" fillId="11" borderId="11" xfId="0" applyFont="1" applyFill="1" applyBorder="1"/>
    <xf numFmtId="0" fontId="13" fillId="11" borderId="11" xfId="0" applyFont="1" applyFill="1" applyBorder="1" applyAlignment="1">
      <alignment horizontal="center"/>
    </xf>
    <xf numFmtId="49" fontId="17" fillId="11" borderId="12" xfId="0" applyNumberFormat="1" applyFont="1" applyFill="1" applyBorder="1"/>
    <xf numFmtId="0" fontId="11" fillId="11" borderId="35" xfId="0" applyFont="1" applyFill="1" applyBorder="1" applyAlignment="1">
      <alignment horizontal="right"/>
    </xf>
    <xf numFmtId="0" fontId="17" fillId="11" borderId="35" xfId="0" applyFont="1" applyFill="1" applyBorder="1"/>
    <xf numFmtId="2" fontId="11" fillId="11" borderId="35" xfId="0" applyNumberFormat="1" applyFont="1" applyFill="1" applyBorder="1" applyAlignment="1">
      <alignment horizontal="right"/>
    </xf>
    <xf numFmtId="2" fontId="23" fillId="11" borderId="13" xfId="0" applyNumberFormat="1" applyFont="1" applyFill="1" applyBorder="1" applyAlignment="1">
      <alignment horizontal="right"/>
    </xf>
    <xf numFmtId="0" fontId="11" fillId="11" borderId="34" xfId="0" applyFont="1" applyFill="1" applyBorder="1" applyAlignment="1">
      <alignment horizontal="center"/>
    </xf>
    <xf numFmtId="0" fontId="17" fillId="11" borderId="8" xfId="0" applyFont="1" applyFill="1" applyBorder="1" applyAlignment="1">
      <alignment horizontal="center"/>
    </xf>
    <xf numFmtId="49" fontId="17" fillId="11" borderId="7" xfId="0" applyNumberFormat="1" applyFont="1" applyFill="1" applyBorder="1"/>
    <xf numFmtId="0" fontId="11" fillId="11" borderId="34" xfId="0" applyFont="1" applyFill="1" applyBorder="1" applyAlignment="1">
      <alignment horizontal="right"/>
    </xf>
    <xf numFmtId="0" fontId="17" fillId="11" borderId="34" xfId="0" applyFont="1" applyFill="1" applyBorder="1"/>
    <xf numFmtId="2" fontId="11" fillId="11" borderId="34" xfId="0" applyNumberFormat="1" applyFont="1" applyFill="1" applyBorder="1" applyAlignment="1">
      <alignment horizontal="right"/>
    </xf>
    <xf numFmtId="2" fontId="23" fillId="11" borderId="8" xfId="0" applyNumberFormat="1" applyFont="1" applyFill="1" applyBorder="1" applyAlignment="1">
      <alignment horizontal="right"/>
    </xf>
    <xf numFmtId="0" fontId="11" fillId="11" borderId="35" xfId="0" applyFont="1" applyFill="1" applyBorder="1" applyAlignment="1">
      <alignment horizontal="center"/>
    </xf>
    <xf numFmtId="0" fontId="17" fillId="11" borderId="13" xfId="0" applyFont="1" applyFill="1" applyBorder="1" applyAlignment="1">
      <alignment horizontal="center"/>
    </xf>
    <xf numFmtId="0" fontId="13" fillId="11" borderId="10" xfId="0" applyFont="1" applyFill="1" applyBorder="1" applyAlignment="1">
      <alignment horizontal="center"/>
    </xf>
    <xf numFmtId="0" fontId="4" fillId="11" borderId="10" xfId="0" applyFont="1" applyFill="1" applyBorder="1" applyAlignment="1">
      <alignment horizontal="center"/>
    </xf>
    <xf numFmtId="0" fontId="13" fillId="3" borderId="7" xfId="0" applyFont="1" applyFill="1" applyBorder="1"/>
    <xf numFmtId="0" fontId="11" fillId="0" borderId="11" xfId="0" applyFont="1" applyBorder="1" applyAlignment="1">
      <alignment horizontal="center"/>
    </xf>
    <xf numFmtId="0" fontId="23" fillId="2" borderId="11" xfId="0" applyFont="1" applyFill="1" applyBorder="1"/>
    <xf numFmtId="1" fontId="23" fillId="0" borderId="8" xfId="0" applyNumberFormat="1" applyFont="1" applyBorder="1" applyAlignment="1">
      <alignment horizontal="right"/>
    </xf>
    <xf numFmtId="0" fontId="10" fillId="3" borderId="12" xfId="0" applyFont="1" applyFill="1" applyBorder="1"/>
    <xf numFmtId="0" fontId="30" fillId="8" borderId="12" xfId="0" applyFont="1" applyFill="1" applyBorder="1"/>
    <xf numFmtId="0" fontId="13" fillId="8" borderId="33" xfId="0" applyFont="1" applyFill="1" applyBorder="1" applyAlignment="1"/>
    <xf numFmtId="0" fontId="13" fillId="8" borderId="58" xfId="0" applyFont="1" applyFill="1" applyBorder="1" applyAlignment="1"/>
    <xf numFmtId="0" fontId="14" fillId="3" borderId="35" xfId="0" applyFont="1" applyFill="1" applyBorder="1" applyAlignment="1">
      <alignment horizontal="center"/>
    </xf>
    <xf numFmtId="0" fontId="13" fillId="3" borderId="11" xfId="0" applyFont="1" applyFill="1" applyBorder="1" applyAlignment="1">
      <alignment horizontal="right"/>
    </xf>
    <xf numFmtId="0" fontId="14" fillId="3" borderId="11" xfId="0" applyFont="1" applyFill="1" applyBorder="1" applyAlignment="1">
      <alignment horizontal="right"/>
    </xf>
    <xf numFmtId="0" fontId="7" fillId="3" borderId="12" xfId="0" applyFont="1" applyFill="1" applyBorder="1"/>
    <xf numFmtId="0" fontId="13" fillId="3" borderId="50" xfId="0" applyFont="1" applyFill="1" applyBorder="1"/>
    <xf numFmtId="0" fontId="11" fillId="3" borderId="36" xfId="0" applyFont="1" applyFill="1" applyBorder="1"/>
    <xf numFmtId="2" fontId="28" fillId="3" borderId="18" xfId="0" applyNumberFormat="1" applyFont="1" applyFill="1" applyBorder="1" applyAlignment="1">
      <alignment horizontal="right"/>
    </xf>
    <xf numFmtId="2" fontId="23" fillId="3" borderId="18" xfId="0" applyNumberFormat="1" applyFont="1" applyFill="1" applyBorder="1"/>
    <xf numFmtId="2" fontId="11" fillId="3" borderId="35" xfId="0" applyNumberFormat="1" applyFont="1" applyFill="1" applyBorder="1"/>
    <xf numFmtId="0" fontId="17" fillId="3" borderId="43" xfId="0" applyFont="1" applyFill="1" applyBorder="1" applyAlignment="1">
      <alignment horizontal="center"/>
    </xf>
    <xf numFmtId="0" fontId="13" fillId="8" borderId="43" xfId="0" applyFont="1" applyFill="1" applyBorder="1"/>
    <xf numFmtId="0" fontId="11" fillId="9" borderId="35" xfId="0" applyFont="1" applyFill="1" applyBorder="1" applyAlignment="1">
      <alignment horizontal="right"/>
    </xf>
    <xf numFmtId="0" fontId="13" fillId="9" borderId="11" xfId="0" applyFont="1" applyFill="1" applyBorder="1" applyAlignment="1">
      <alignment horizontal="center"/>
    </xf>
    <xf numFmtId="49" fontId="17" fillId="9" borderId="12" xfId="0" applyNumberFormat="1" applyFont="1" applyFill="1" applyBorder="1"/>
    <xf numFmtId="2" fontId="23" fillId="9" borderId="13" xfId="0" applyNumberFormat="1" applyFont="1" applyFill="1" applyBorder="1" applyAlignment="1">
      <alignment horizontal="right"/>
    </xf>
    <xf numFmtId="0" fontId="14" fillId="3" borderId="11" xfId="0" applyFont="1" applyFill="1" applyBorder="1" applyAlignment="1">
      <alignment horizontal="center"/>
    </xf>
    <xf numFmtId="49" fontId="17" fillId="3" borderId="7" xfId="0" applyNumberFormat="1" applyFont="1" applyFill="1" applyBorder="1"/>
    <xf numFmtId="2" fontId="23" fillId="3" borderId="8" xfId="0" applyNumberFormat="1" applyFont="1" applyFill="1" applyBorder="1" applyAlignment="1">
      <alignment horizontal="right"/>
    </xf>
    <xf numFmtId="0" fontId="13" fillId="8" borderId="50" xfId="0" applyFont="1" applyFill="1" applyBorder="1" applyAlignment="1">
      <alignment horizontal="left"/>
    </xf>
    <xf numFmtId="0" fontId="11" fillId="8" borderId="12" xfId="0" applyFont="1" applyFill="1" applyBorder="1" applyAlignment="1">
      <alignment horizontal="left"/>
    </xf>
    <xf numFmtId="0" fontId="17" fillId="8" borderId="35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49" fontId="17" fillId="0" borderId="0" xfId="0" applyNumberFormat="1" applyFont="1" applyBorder="1" applyAlignment="1">
      <alignment horizontal="center"/>
    </xf>
    <xf numFmtId="2" fontId="32" fillId="0" borderId="0" xfId="0" applyNumberFormat="1" applyFont="1" applyBorder="1" applyAlignment="1">
      <alignment horizontal="right"/>
    </xf>
    <xf numFmtId="0" fontId="13" fillId="0" borderId="0" xfId="0" applyFont="1" applyAlignment="1"/>
    <xf numFmtId="0" fontId="11" fillId="0" borderId="0" xfId="0" applyFont="1" applyAlignment="1"/>
    <xf numFmtId="0" fontId="11" fillId="0" borderId="36" xfId="0" applyFont="1" applyBorder="1" applyAlignment="1">
      <alignment horizontal="center"/>
    </xf>
    <xf numFmtId="49" fontId="7" fillId="0" borderId="36" xfId="0" applyNumberFormat="1" applyFont="1" applyBorder="1"/>
    <xf numFmtId="0" fontId="12" fillId="0" borderId="11" xfId="0" applyFont="1" applyBorder="1" applyAlignment="1">
      <alignment horizontal="center"/>
    </xf>
    <xf numFmtId="0" fontId="13" fillId="8" borderId="13" xfId="0" applyFont="1" applyFill="1" applyBorder="1"/>
    <xf numFmtId="0" fontId="13" fillId="8" borderId="7" xfId="0" applyFont="1" applyFill="1" applyBorder="1"/>
    <xf numFmtId="0" fontId="17" fillId="8" borderId="34" xfId="0" applyFont="1" applyFill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12" xfId="0" applyFont="1" applyFill="1" applyBorder="1" applyAlignment="1">
      <alignment horizontal="center"/>
    </xf>
    <xf numFmtId="0" fontId="17" fillId="3" borderId="7" xfId="0" applyFont="1" applyFill="1" applyBorder="1"/>
    <xf numFmtId="0" fontId="11" fillId="8" borderId="43" xfId="0" applyFont="1" applyFill="1" applyBorder="1"/>
    <xf numFmtId="0" fontId="10" fillId="8" borderId="12" xfId="0" applyFont="1" applyFill="1" applyBorder="1"/>
    <xf numFmtId="0" fontId="10" fillId="8" borderId="35" xfId="0" applyFont="1" applyFill="1" applyBorder="1" applyAlignment="1">
      <alignment horizontal="center"/>
    </xf>
    <xf numFmtId="0" fontId="10" fillId="8" borderId="46" xfId="0" applyFont="1" applyFill="1" applyBorder="1" applyAlignment="1">
      <alignment horizontal="center"/>
    </xf>
    <xf numFmtId="0" fontId="11" fillId="8" borderId="17" xfId="0" applyFont="1" applyFill="1" applyBorder="1"/>
    <xf numFmtId="0" fontId="11" fillId="3" borderId="17" xfId="0" applyFont="1" applyFill="1" applyBorder="1"/>
    <xf numFmtId="0" fontId="11" fillId="3" borderId="43" xfId="0" applyFont="1" applyFill="1" applyBorder="1"/>
    <xf numFmtId="49" fontId="11" fillId="3" borderId="35" xfId="0" applyNumberFormat="1" applyFont="1" applyFill="1" applyBorder="1" applyAlignment="1">
      <alignment horizontal="left"/>
    </xf>
    <xf numFmtId="0" fontId="14" fillId="0" borderId="12" xfId="0" applyFont="1" applyBorder="1"/>
    <xf numFmtId="0" fontId="13" fillId="2" borderId="0" xfId="0" applyFont="1" applyFill="1" applyBorder="1" applyAlignment="1">
      <alignment horizontal="center"/>
    </xf>
    <xf numFmtId="0" fontId="12" fillId="0" borderId="35" xfId="0" applyFont="1" applyBorder="1"/>
    <xf numFmtId="0" fontId="30" fillId="8" borderId="35" xfId="0" applyFont="1" applyFill="1" applyBorder="1" applyAlignment="1">
      <alignment horizontal="left"/>
    </xf>
    <xf numFmtId="0" fontId="13" fillId="3" borderId="20" xfId="0" applyFont="1" applyFill="1" applyBorder="1" applyAlignment="1">
      <alignment horizontal="center"/>
    </xf>
    <xf numFmtId="0" fontId="14" fillId="3" borderId="43" xfId="0" applyFont="1" applyFill="1" applyBorder="1"/>
    <xf numFmtId="0" fontId="14" fillId="3" borderId="43" xfId="0" applyFont="1" applyFill="1" applyBorder="1" applyAlignment="1">
      <alignment horizontal="center"/>
    </xf>
    <xf numFmtId="0" fontId="14" fillId="3" borderId="55" xfId="0" applyFont="1" applyFill="1" applyBorder="1"/>
    <xf numFmtId="0" fontId="14" fillId="3" borderId="55" xfId="0" applyFont="1" applyFill="1" applyBorder="1" applyAlignment="1">
      <alignment horizontal="center"/>
    </xf>
    <xf numFmtId="0" fontId="13" fillId="3" borderId="32" xfId="0" applyFont="1" applyFill="1" applyBorder="1" applyAlignment="1">
      <alignment horizontal="center"/>
    </xf>
    <xf numFmtId="0" fontId="11" fillId="3" borderId="8" xfId="0" applyFont="1" applyFill="1" applyBorder="1"/>
    <xf numFmtId="0" fontId="13" fillId="3" borderId="54" xfId="0" applyFont="1" applyFill="1" applyBorder="1" applyAlignment="1"/>
    <xf numFmtId="0" fontId="13" fillId="3" borderId="57" xfId="0" applyFont="1" applyFill="1" applyBorder="1"/>
    <xf numFmtId="0" fontId="11" fillId="3" borderId="44" xfId="0" applyFont="1" applyFill="1" applyBorder="1"/>
    <xf numFmtId="0" fontId="13" fillId="3" borderId="51" xfId="0" applyFont="1" applyFill="1" applyBorder="1"/>
    <xf numFmtId="0" fontId="11" fillId="3" borderId="33" xfId="0" applyFont="1" applyFill="1" applyBorder="1"/>
    <xf numFmtId="0" fontId="13" fillId="3" borderId="19" xfId="0" applyFont="1" applyFill="1" applyBorder="1" applyAlignment="1">
      <alignment horizontal="center"/>
    </xf>
    <xf numFmtId="0" fontId="13" fillId="3" borderId="38" xfId="0" applyFont="1" applyFill="1" applyBorder="1" applyAlignment="1">
      <alignment horizontal="center"/>
    </xf>
    <xf numFmtId="0" fontId="13" fillId="3" borderId="39" xfId="0" applyFont="1" applyFill="1" applyBorder="1" applyAlignment="1">
      <alignment horizontal="center"/>
    </xf>
    <xf numFmtId="0" fontId="11" fillId="3" borderId="2" xfId="0" applyFont="1" applyFill="1" applyBorder="1"/>
    <xf numFmtId="2" fontId="19" fillId="0" borderId="13" xfId="2" applyNumberFormat="1" applyBorder="1" applyAlignment="1" applyProtection="1">
      <alignment horizontal="right"/>
    </xf>
    <xf numFmtId="1" fontId="19" fillId="0" borderId="13" xfId="2" applyNumberFormat="1" applyBorder="1" applyAlignment="1" applyProtection="1">
      <alignment horizontal="right"/>
    </xf>
    <xf numFmtId="1" fontId="39" fillId="0" borderId="35" xfId="0" applyNumberFormat="1" applyFont="1" applyBorder="1" applyAlignment="1">
      <alignment horizontal="right"/>
    </xf>
    <xf numFmtId="0" fontId="11" fillId="3" borderId="7" xfId="0" applyFont="1" applyFill="1" applyBorder="1" applyAlignment="1"/>
    <xf numFmtId="0" fontId="13" fillId="8" borderId="17" xfId="0" applyFont="1" applyFill="1" applyBorder="1" applyAlignment="1">
      <alignment horizontal="left"/>
    </xf>
    <xf numFmtId="49" fontId="12" fillId="0" borderId="34" xfId="0" applyNumberFormat="1" applyFont="1" applyBorder="1" applyAlignment="1">
      <alignment horizontal="left"/>
    </xf>
    <xf numFmtId="0" fontId="13" fillId="7" borderId="10" xfId="0" applyFont="1" applyFill="1" applyBorder="1"/>
    <xf numFmtId="2" fontId="23" fillId="7" borderId="13" xfId="0" applyNumberFormat="1" applyFont="1" applyFill="1" applyBorder="1"/>
    <xf numFmtId="0" fontId="14" fillId="7" borderId="35" xfId="0" applyFont="1" applyFill="1" applyBorder="1" applyAlignment="1">
      <alignment horizontal="center"/>
    </xf>
    <xf numFmtId="0" fontId="13" fillId="7" borderId="35" xfId="0" applyFont="1" applyFill="1" applyBorder="1"/>
    <xf numFmtId="2" fontId="27" fillId="7" borderId="13" xfId="0" applyNumberFormat="1" applyFont="1" applyFill="1" applyBorder="1" applyAlignment="1">
      <alignment horizontal="right"/>
    </xf>
    <xf numFmtId="49" fontId="19" fillId="0" borderId="34" xfId="2" applyNumberFormat="1" applyBorder="1" applyAlignment="1" applyProtection="1">
      <alignment horizontal="left"/>
    </xf>
    <xf numFmtId="2" fontId="35" fillId="7" borderId="13" xfId="0" applyNumberFormat="1" applyFont="1" applyFill="1" applyBorder="1" applyAlignment="1">
      <alignment horizontal="right"/>
    </xf>
    <xf numFmtId="2" fontId="35" fillId="3" borderId="0" xfId="0" applyNumberFormat="1" applyFont="1" applyFill="1" applyBorder="1" applyAlignment="1">
      <alignment horizontal="right"/>
    </xf>
    <xf numFmtId="2" fontId="23" fillId="3" borderId="0" xfId="0" applyNumberFormat="1" applyFont="1" applyFill="1" applyBorder="1"/>
    <xf numFmtId="49" fontId="7" fillId="0" borderId="7" xfId="0" applyNumberFormat="1" applyFont="1" applyBorder="1" applyAlignment="1">
      <alignment horizontal="left"/>
    </xf>
    <xf numFmtId="1" fontId="40" fillId="0" borderId="35" xfId="0" applyNumberFormat="1" applyFont="1" applyBorder="1" applyAlignment="1">
      <alignment horizontal="right"/>
    </xf>
    <xf numFmtId="0" fontId="11" fillId="0" borderId="48" xfId="0" applyFont="1" applyBorder="1" applyAlignment="1">
      <alignment horizontal="left"/>
    </xf>
    <xf numFmtId="0" fontId="7" fillId="0" borderId="36" xfId="0" applyFont="1" applyBorder="1" applyAlignment="1">
      <alignment horizontal="center"/>
    </xf>
    <xf numFmtId="0" fontId="14" fillId="2" borderId="45" xfId="0" applyFont="1" applyFill="1" applyBorder="1" applyAlignment="1">
      <alignment horizontal="center"/>
    </xf>
    <xf numFmtId="0" fontId="14" fillId="2" borderId="60" xfId="0" applyFont="1" applyFill="1" applyBorder="1" applyAlignment="1">
      <alignment horizontal="center"/>
    </xf>
    <xf numFmtId="0" fontId="17" fillId="0" borderId="61" xfId="0" applyFont="1" applyBorder="1" applyAlignment="1">
      <alignment horizontal="right"/>
    </xf>
    <xf numFmtId="2" fontId="24" fillId="0" borderId="18" xfId="0" applyNumberFormat="1" applyFont="1" applyBorder="1" applyAlignment="1">
      <alignment horizontal="right"/>
    </xf>
    <xf numFmtId="0" fontId="13" fillId="0" borderId="61" xfId="0" applyFont="1" applyBorder="1" applyAlignment="1">
      <alignment horizontal="left"/>
    </xf>
    <xf numFmtId="0" fontId="13" fillId="0" borderId="44" xfId="0" applyFont="1" applyBorder="1" applyAlignment="1">
      <alignment horizontal="left"/>
    </xf>
    <xf numFmtId="0" fontId="11" fillId="0" borderId="61" xfId="0" applyFont="1" applyBorder="1" applyAlignment="1">
      <alignment horizontal="right"/>
    </xf>
    <xf numFmtId="49" fontId="7" fillId="0" borderId="61" xfId="0" applyNumberFormat="1" applyFont="1" applyBorder="1" applyAlignment="1">
      <alignment horizontal="center"/>
    </xf>
    <xf numFmtId="2" fontId="31" fillId="0" borderId="61" xfId="0" applyNumberFormat="1" applyFont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11" fillId="0" borderId="51" xfId="0" applyFont="1" applyBorder="1" applyAlignment="1">
      <alignment horizontal="left"/>
    </xf>
    <xf numFmtId="0" fontId="13" fillId="0" borderId="51" xfId="0" applyFont="1" applyBorder="1" applyAlignment="1">
      <alignment horizontal="center"/>
    </xf>
    <xf numFmtId="0" fontId="13" fillId="0" borderId="51" xfId="0" applyFont="1" applyBorder="1" applyAlignment="1">
      <alignment horizontal="left"/>
    </xf>
    <xf numFmtId="0" fontId="13" fillId="0" borderId="51" xfId="0" applyFont="1" applyBorder="1"/>
    <xf numFmtId="49" fontId="17" fillId="0" borderId="51" xfId="0" applyNumberFormat="1" applyFont="1" applyBorder="1"/>
    <xf numFmtId="0" fontId="11" fillId="0" borderId="51" xfId="0" applyFont="1" applyBorder="1" applyAlignment="1">
      <alignment horizontal="right"/>
    </xf>
    <xf numFmtId="49" fontId="7" fillId="0" borderId="51" xfId="0" applyNumberFormat="1" applyFont="1" applyBorder="1"/>
    <xf numFmtId="2" fontId="31" fillId="0" borderId="51" xfId="0" applyNumberFormat="1" applyFont="1" applyBorder="1" applyAlignment="1">
      <alignment horizontal="right"/>
    </xf>
    <xf numFmtId="2" fontId="23" fillId="0" borderId="51" xfId="0" applyNumberFormat="1" applyFont="1" applyBorder="1" applyAlignment="1">
      <alignment horizontal="right"/>
    </xf>
    <xf numFmtId="0" fontId="13" fillId="9" borderId="0" xfId="0" applyFont="1" applyFill="1" applyAlignment="1">
      <alignment horizontal="left"/>
    </xf>
    <xf numFmtId="0" fontId="13" fillId="9" borderId="0" xfId="0" applyFont="1" applyFill="1" applyBorder="1" applyAlignment="1">
      <alignment horizontal="left"/>
    </xf>
    <xf numFmtId="0" fontId="13" fillId="9" borderId="0" xfId="0" applyFont="1" applyFill="1"/>
    <xf numFmtId="0" fontId="13" fillId="9" borderId="0" xfId="0" applyFont="1" applyFill="1" applyBorder="1" applyAlignment="1">
      <alignment horizontal="center"/>
    </xf>
    <xf numFmtId="0" fontId="7" fillId="0" borderId="35" xfId="0" applyFont="1" applyBorder="1" applyAlignment="1"/>
    <xf numFmtId="49" fontId="7" fillId="0" borderId="7" xfId="0" applyNumberFormat="1" applyFont="1" applyBorder="1"/>
    <xf numFmtId="49" fontId="7" fillId="0" borderId="12" xfId="0" applyNumberFormat="1" applyFont="1" applyBorder="1" applyAlignment="1">
      <alignment horizontal="center"/>
    </xf>
    <xf numFmtId="49" fontId="11" fillId="3" borderId="47" xfId="0" applyNumberFormat="1" applyFont="1" applyFill="1" applyBorder="1" applyAlignment="1">
      <alignment horizontal="left"/>
    </xf>
    <xf numFmtId="0" fontId="11" fillId="12" borderId="12" xfId="0" applyFont="1" applyFill="1" applyBorder="1" applyAlignment="1"/>
    <xf numFmtId="0" fontId="11" fillId="12" borderId="34" xfId="0" applyFont="1" applyFill="1" applyBorder="1" applyAlignment="1">
      <alignment horizontal="center"/>
    </xf>
    <xf numFmtId="0" fontId="11" fillId="12" borderId="6" xfId="0" applyFont="1" applyFill="1" applyBorder="1" applyAlignment="1">
      <alignment horizontal="left"/>
    </xf>
    <xf numFmtId="0" fontId="13" fillId="12" borderId="6" xfId="0" applyFont="1" applyFill="1" applyBorder="1" applyAlignment="1">
      <alignment horizontal="center"/>
    </xf>
    <xf numFmtId="49" fontId="17" fillId="12" borderId="12" xfId="0" applyNumberFormat="1" applyFont="1" applyFill="1" applyBorder="1"/>
    <xf numFmtId="0" fontId="17" fillId="12" borderId="34" xfId="0" applyFont="1" applyFill="1" applyBorder="1" applyAlignment="1">
      <alignment horizontal="right"/>
    </xf>
    <xf numFmtId="49" fontId="12" fillId="12" borderId="34" xfId="0" applyNumberFormat="1" applyFont="1" applyFill="1" applyBorder="1"/>
    <xf numFmtId="2" fontId="32" fillId="12" borderId="34" xfId="0" applyNumberFormat="1" applyFont="1" applyFill="1" applyBorder="1" applyAlignment="1">
      <alignment horizontal="right"/>
    </xf>
    <xf numFmtId="2" fontId="24" fillId="12" borderId="13" xfId="0" applyNumberFormat="1" applyFont="1" applyFill="1" applyBorder="1" applyAlignment="1">
      <alignment horizontal="right"/>
    </xf>
    <xf numFmtId="0" fontId="11" fillId="12" borderId="12" xfId="0" applyFont="1" applyFill="1" applyBorder="1" applyAlignment="1">
      <alignment horizontal="left"/>
    </xf>
    <xf numFmtId="0" fontId="11" fillId="12" borderId="35" xfId="0" applyFont="1" applyFill="1" applyBorder="1" applyAlignment="1">
      <alignment horizontal="center"/>
    </xf>
    <xf numFmtId="0" fontId="11" fillId="12" borderId="11" xfId="0" applyFont="1" applyFill="1" applyBorder="1" applyAlignment="1">
      <alignment horizontal="left"/>
    </xf>
    <xf numFmtId="0" fontId="13" fillId="12" borderId="11" xfId="0" applyFont="1" applyFill="1" applyBorder="1" applyAlignment="1">
      <alignment horizontal="center"/>
    </xf>
    <xf numFmtId="0" fontId="17" fillId="12" borderId="35" xfId="0" applyFont="1" applyFill="1" applyBorder="1" applyAlignment="1">
      <alignment horizontal="right"/>
    </xf>
    <xf numFmtId="49" fontId="12" fillId="12" borderId="35" xfId="0" applyNumberFormat="1" applyFont="1" applyFill="1" applyBorder="1"/>
    <xf numFmtId="2" fontId="32" fillId="12" borderId="35" xfId="0" applyNumberFormat="1" applyFont="1" applyFill="1" applyBorder="1" applyAlignment="1">
      <alignment horizontal="right"/>
    </xf>
    <xf numFmtId="0" fontId="11" fillId="12" borderId="7" xfId="0" applyFont="1" applyFill="1" applyBorder="1" applyAlignment="1">
      <alignment horizontal="right"/>
    </xf>
    <xf numFmtId="0" fontId="11" fillId="12" borderId="13" xfId="0" applyFont="1" applyFill="1" applyBorder="1" applyAlignment="1">
      <alignment horizontal="left"/>
    </xf>
    <xf numFmtId="49" fontId="12" fillId="12" borderId="35" xfId="0" applyNumberFormat="1" applyFont="1" applyFill="1" applyBorder="1" applyAlignment="1">
      <alignment horizontal="left"/>
    </xf>
    <xf numFmtId="0" fontId="11" fillId="12" borderId="7" xfId="0" applyFont="1" applyFill="1" applyBorder="1" applyAlignment="1"/>
    <xf numFmtId="0" fontId="17" fillId="3" borderId="11" xfId="0" applyFont="1" applyFill="1" applyBorder="1" applyAlignment="1">
      <alignment horizontal="left"/>
    </xf>
    <xf numFmtId="2" fontId="29" fillId="3" borderId="13" xfId="0" applyNumberFormat="1" applyFont="1" applyFill="1" applyBorder="1" applyAlignment="1">
      <alignment horizontal="right"/>
    </xf>
    <xf numFmtId="0" fontId="17" fillId="12" borderId="11" xfId="0" applyFont="1" applyFill="1" applyBorder="1" applyAlignment="1">
      <alignment horizontal="center"/>
    </xf>
    <xf numFmtId="0" fontId="83" fillId="2" borderId="11" xfId="0" applyFont="1" applyFill="1" applyBorder="1" applyAlignment="1">
      <alignment horizontal="center"/>
    </xf>
    <xf numFmtId="49" fontId="19" fillId="3" borderId="35" xfId="2" applyNumberFormat="1" applyFill="1" applyBorder="1" applyAlignment="1" applyProtection="1"/>
    <xf numFmtId="0" fontId="11" fillId="3" borderId="22" xfId="0" applyFont="1" applyFill="1" applyBorder="1" applyAlignment="1">
      <alignment horizontal="left"/>
    </xf>
    <xf numFmtId="0" fontId="11" fillId="3" borderId="59" xfId="0" applyFont="1" applyFill="1" applyBorder="1" applyAlignment="1">
      <alignment horizontal="center"/>
    </xf>
    <xf numFmtId="0" fontId="13" fillId="3" borderId="23" xfId="0" applyFont="1" applyFill="1" applyBorder="1" applyAlignment="1">
      <alignment horizontal="center"/>
    </xf>
    <xf numFmtId="0" fontId="11" fillId="3" borderId="46" xfId="0" applyFont="1" applyFill="1" applyBorder="1" applyAlignment="1">
      <alignment horizontal="left"/>
    </xf>
    <xf numFmtId="2" fontId="23" fillId="3" borderId="11" xfId="0" applyNumberFormat="1" applyFont="1" applyFill="1" applyBorder="1" applyAlignment="1">
      <alignment horizontal="right"/>
    </xf>
    <xf numFmtId="0" fontId="11" fillId="3" borderId="37" xfId="0" applyFont="1" applyFill="1" applyBorder="1" applyAlignment="1">
      <alignment horizontal="center"/>
    </xf>
    <xf numFmtId="0" fontId="11" fillId="3" borderId="34" xfId="0" applyFont="1" applyFill="1" applyBorder="1" applyAlignment="1">
      <alignment horizontal="center"/>
    </xf>
    <xf numFmtId="0" fontId="11" fillId="3" borderId="37" xfId="0" applyFont="1" applyFill="1" applyBorder="1" applyAlignment="1">
      <alignment horizontal="right"/>
    </xf>
    <xf numFmtId="2" fontId="31" fillId="3" borderId="37" xfId="0" applyNumberFormat="1" applyFont="1" applyFill="1" applyBorder="1" applyAlignment="1">
      <alignment horizontal="right"/>
    </xf>
    <xf numFmtId="0" fontId="11" fillId="0" borderId="8" xfId="0" applyFont="1" applyBorder="1" applyAlignment="1">
      <alignment horizontal="left"/>
    </xf>
    <xf numFmtId="49" fontId="19" fillId="3" borderId="37" xfId="2" applyNumberFormat="1" applyFill="1" applyBorder="1" applyAlignment="1" applyProtection="1"/>
    <xf numFmtId="0" fontId="13" fillId="3" borderId="30" xfId="0" applyFont="1" applyFill="1" applyBorder="1" applyAlignment="1">
      <alignment horizontal="center"/>
    </xf>
    <xf numFmtId="0" fontId="11" fillId="0" borderId="62" xfId="0" applyFont="1" applyBorder="1" applyAlignment="1">
      <alignment horizontal="left"/>
    </xf>
    <xf numFmtId="0" fontId="11" fillId="0" borderId="37" xfId="0" applyFont="1" applyBorder="1" applyAlignment="1">
      <alignment horizontal="center"/>
    </xf>
    <xf numFmtId="49" fontId="17" fillId="0" borderId="37" xfId="0" applyNumberFormat="1" applyFont="1" applyBorder="1" applyAlignment="1">
      <alignment horizontal="left"/>
    </xf>
    <xf numFmtId="49" fontId="17" fillId="0" borderId="39" xfId="0" applyNumberFormat="1" applyFont="1" applyBorder="1"/>
    <xf numFmtId="2" fontId="23" fillId="3" borderId="35" xfId="0" applyNumberFormat="1" applyFont="1" applyFill="1" applyBorder="1" applyAlignment="1">
      <alignment horizontal="right"/>
    </xf>
    <xf numFmtId="0" fontId="84" fillId="3" borderId="46" xfId="0" applyFont="1" applyFill="1" applyBorder="1" applyAlignment="1">
      <alignment horizontal="center"/>
    </xf>
    <xf numFmtId="0" fontId="13" fillId="2" borderId="64" xfId="0" applyFont="1" applyFill="1" applyBorder="1" applyAlignment="1">
      <alignment horizontal="center"/>
    </xf>
    <xf numFmtId="0" fontId="13" fillId="2" borderId="46" xfId="0" applyFont="1" applyFill="1" applyBorder="1" applyAlignment="1">
      <alignment horizontal="center"/>
    </xf>
    <xf numFmtId="0" fontId="85" fillId="3" borderId="46" xfId="0" applyFont="1" applyFill="1" applyBorder="1" applyAlignment="1">
      <alignment horizontal="center"/>
    </xf>
    <xf numFmtId="0" fontId="86" fillId="3" borderId="46" xfId="0" applyFont="1" applyFill="1" applyBorder="1" applyAlignment="1">
      <alignment horizontal="center"/>
    </xf>
    <xf numFmtId="0" fontId="13" fillId="4" borderId="11" xfId="0" applyFont="1" applyFill="1" applyBorder="1" applyAlignment="1"/>
    <xf numFmtId="0" fontId="13" fillId="4" borderId="10" xfId="0" applyFont="1" applyFill="1" applyBorder="1" applyAlignment="1"/>
    <xf numFmtId="0" fontId="13" fillId="12" borderId="6" xfId="0" applyFont="1" applyFill="1" applyBorder="1" applyAlignment="1"/>
    <xf numFmtId="0" fontId="13" fillId="12" borderId="11" xfId="0" applyFont="1" applyFill="1" applyBorder="1" applyAlignment="1"/>
    <xf numFmtId="0" fontId="13" fillId="12" borderId="10" xfId="0" applyFont="1" applyFill="1" applyBorder="1" applyAlignment="1"/>
    <xf numFmtId="49" fontId="19" fillId="3" borderId="35" xfId="2" applyNumberFormat="1" applyFill="1" applyBorder="1" applyAlignment="1" applyProtection="1">
      <alignment horizontal="left"/>
    </xf>
    <xf numFmtId="0" fontId="4" fillId="3" borderId="13" xfId="0" applyFont="1" applyFill="1" applyBorder="1" applyAlignment="1">
      <alignment horizontal="left"/>
    </xf>
    <xf numFmtId="49" fontId="14" fillId="3" borderId="35" xfId="0" applyNumberFormat="1" applyFont="1" applyFill="1" applyBorder="1" applyAlignment="1">
      <alignment horizontal="left"/>
    </xf>
    <xf numFmtId="2" fontId="27" fillId="3" borderId="13" xfId="0" applyNumberFormat="1" applyFont="1" applyFill="1" applyBorder="1" applyAlignment="1">
      <alignment horizontal="right"/>
    </xf>
    <xf numFmtId="0" fontId="14" fillId="3" borderId="12" xfId="0" applyFont="1" applyFill="1" applyBorder="1"/>
    <xf numFmtId="49" fontId="19" fillId="7" borderId="35" xfId="2" applyNumberFormat="1" applyFill="1" applyBorder="1" applyAlignment="1" applyProtection="1">
      <alignment horizontal="left"/>
    </xf>
    <xf numFmtId="2" fontId="24" fillId="0" borderId="13" xfId="0" applyNumberFormat="1" applyFont="1" applyBorder="1"/>
    <xf numFmtId="0" fontId="19" fillId="0" borderId="13" xfId="2" applyBorder="1" applyAlignment="1" applyProtection="1">
      <alignment horizontal="left"/>
    </xf>
    <xf numFmtId="0" fontId="15" fillId="0" borderId="12" xfId="0" applyFont="1" applyBorder="1"/>
    <xf numFmtId="0" fontId="11" fillId="7" borderId="6" xfId="0" applyFont="1" applyFill="1" applyBorder="1" applyAlignment="1">
      <alignment horizontal="center"/>
    </xf>
    <xf numFmtId="0" fontId="17" fillId="7" borderId="11" xfId="0" applyFont="1" applyFill="1" applyBorder="1" applyAlignment="1">
      <alignment horizontal="center"/>
    </xf>
    <xf numFmtId="0" fontId="13" fillId="8" borderId="10" xfId="0" applyFont="1" applyFill="1" applyBorder="1"/>
    <xf numFmtId="0" fontId="13" fillId="8" borderId="35" xfId="0" applyFont="1" applyFill="1" applyBorder="1"/>
    <xf numFmtId="0" fontId="14" fillId="7" borderId="5" xfId="0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2" fontId="29" fillId="7" borderId="34" xfId="0" applyNumberFormat="1" applyFont="1" applyFill="1" applyBorder="1" applyAlignment="1">
      <alignment horizontal="right"/>
    </xf>
    <xf numFmtId="170" fontId="7" fillId="0" borderId="35" xfId="0" applyNumberFormat="1" applyFont="1" applyBorder="1"/>
    <xf numFmtId="0" fontId="11" fillId="0" borderId="8" xfId="0" applyFont="1" applyBorder="1" applyAlignment="1">
      <alignment horizontal="center"/>
    </xf>
    <xf numFmtId="0" fontId="11" fillId="3" borderId="55" xfId="0" applyFont="1" applyFill="1" applyBorder="1"/>
    <xf numFmtId="0" fontId="13" fillId="2" borderId="55" xfId="0" applyFont="1" applyFill="1" applyBorder="1"/>
    <xf numFmtId="0" fontId="13" fillId="2" borderId="6" xfId="0" applyFont="1" applyFill="1" applyBorder="1" applyAlignment="1">
      <alignment horizontal="right"/>
    </xf>
    <xf numFmtId="2" fontId="23" fillId="0" borderId="8" xfId="0" applyNumberFormat="1" applyFont="1" applyBorder="1"/>
    <xf numFmtId="2" fontId="23" fillId="0" borderId="25" xfId="0" applyNumberFormat="1" applyFont="1" applyBorder="1"/>
    <xf numFmtId="0" fontId="11" fillId="3" borderId="62" xfId="0" applyFont="1" applyFill="1" applyBorder="1" applyAlignment="1"/>
    <xf numFmtId="49" fontId="7" fillId="7" borderId="12" xfId="0" applyNumberFormat="1" applyFont="1" applyFill="1" applyBorder="1"/>
    <xf numFmtId="49" fontId="7" fillId="3" borderId="2" xfId="0" applyNumberFormat="1" applyFont="1" applyFill="1" applyBorder="1"/>
    <xf numFmtId="2" fontId="43" fillId="3" borderId="13" xfId="0" applyNumberFormat="1" applyFont="1" applyFill="1" applyBorder="1" applyAlignment="1">
      <alignment horizontal="right"/>
    </xf>
    <xf numFmtId="1" fontId="23" fillId="3" borderId="33" xfId="0" applyNumberFormat="1" applyFont="1" applyFill="1" applyBorder="1" applyAlignment="1">
      <alignment horizontal="right"/>
    </xf>
    <xf numFmtId="168" fontId="39" fillId="3" borderId="13" xfId="0" applyNumberFormat="1" applyFont="1" applyFill="1" applyBorder="1" applyAlignment="1">
      <alignment horizontal="right"/>
    </xf>
    <xf numFmtId="2" fontId="42" fillId="0" borderId="13" xfId="0" applyNumberFormat="1" applyFont="1" applyBorder="1" applyAlignment="1">
      <alignment horizontal="right"/>
    </xf>
    <xf numFmtId="2" fontId="23" fillId="0" borderId="13" xfId="0" applyNumberFormat="1" applyFont="1" applyBorder="1" applyAlignment="1">
      <alignment horizontal="center"/>
    </xf>
    <xf numFmtId="2" fontId="38" fillId="0" borderId="13" xfId="0" applyNumberFormat="1" applyFont="1" applyBorder="1" applyAlignment="1">
      <alignment horizontal="left"/>
    </xf>
    <xf numFmtId="2" fontId="11" fillId="9" borderId="35" xfId="0" applyNumberFormat="1" applyFont="1" applyFill="1" applyBorder="1" applyAlignment="1">
      <alignment horizontal="right"/>
    </xf>
    <xf numFmtId="0" fontId="5" fillId="0" borderId="35" xfId="0" applyFont="1" applyBorder="1" applyAlignment="1">
      <alignment horizontal="left"/>
    </xf>
    <xf numFmtId="0" fontId="13" fillId="3" borderId="12" xfId="0" applyFont="1" applyFill="1" applyBorder="1" applyAlignment="1">
      <alignment horizontal="left"/>
    </xf>
    <xf numFmtId="0" fontId="17" fillId="0" borderId="11" xfId="0" applyFont="1" applyBorder="1" applyAlignment="1">
      <alignment horizontal="left"/>
    </xf>
    <xf numFmtId="0" fontId="10" fillId="0" borderId="0" xfId="0" applyFont="1" applyBorder="1"/>
    <xf numFmtId="0" fontId="10" fillId="3" borderId="0" xfId="0" applyFont="1" applyFill="1" applyBorder="1"/>
    <xf numFmtId="0" fontId="30" fillId="0" borderId="0" xfId="0" applyFont="1" applyBorder="1" applyAlignment="1">
      <alignment horizontal="center"/>
    </xf>
    <xf numFmtId="0" fontId="30" fillId="0" borderId="0" xfId="0" applyFont="1" applyBorder="1" applyAlignment="1">
      <alignment horizontal="left"/>
    </xf>
    <xf numFmtId="0" fontId="30" fillId="3" borderId="0" xfId="0" applyFont="1" applyFill="1" applyBorder="1"/>
    <xf numFmtId="0" fontId="30" fillId="3" borderId="0" xfId="0" applyFont="1" applyFill="1" applyBorder="1" applyAlignment="1">
      <alignment horizontal="center"/>
    </xf>
    <xf numFmtId="49" fontId="10" fillId="0" borderId="0" xfId="0" applyNumberFormat="1" applyFont="1" applyBorder="1"/>
    <xf numFmtId="49" fontId="10" fillId="0" borderId="0" xfId="0" applyNumberFormat="1" applyFont="1" applyBorder="1" applyAlignment="1">
      <alignment horizontal="left"/>
    </xf>
    <xf numFmtId="2" fontId="34" fillId="0" borderId="0" xfId="0" applyNumberFormat="1" applyFont="1" applyBorder="1"/>
    <xf numFmtId="0" fontId="10" fillId="0" borderId="0" xfId="0" applyFont="1" applyAlignment="1">
      <alignment horizontal="left"/>
    </xf>
    <xf numFmtId="0" fontId="30" fillId="0" borderId="0" xfId="0" applyFont="1"/>
    <xf numFmtId="49" fontId="10" fillId="0" borderId="0" xfId="0" applyNumberFormat="1" applyFont="1"/>
    <xf numFmtId="2" fontId="40" fillId="0" borderId="0" xfId="0" applyNumberFormat="1" applyFont="1" applyAlignment="1">
      <alignment horizontal="right"/>
    </xf>
    <xf numFmtId="0" fontId="30" fillId="0" borderId="0" xfId="0" applyFont="1" applyBorder="1" applyAlignment="1"/>
    <xf numFmtId="0" fontId="10" fillId="0" borderId="0" xfId="0" applyFont="1" applyBorder="1" applyAlignment="1">
      <alignment horizontal="left"/>
    </xf>
    <xf numFmtId="0" fontId="30" fillId="0" borderId="28" xfId="0" applyFont="1" applyBorder="1" applyAlignment="1">
      <alignment horizontal="center"/>
    </xf>
    <xf numFmtId="0" fontId="30" fillId="0" borderId="29" xfId="0" applyFont="1" applyBorder="1" applyAlignment="1">
      <alignment horizontal="center"/>
    </xf>
    <xf numFmtId="0" fontId="30" fillId="2" borderId="40" xfId="0" applyFont="1" applyFill="1" applyBorder="1" applyAlignment="1">
      <alignment horizontal="center"/>
    </xf>
    <xf numFmtId="0" fontId="30" fillId="2" borderId="41" xfId="0" applyFont="1" applyFill="1" applyBorder="1" applyAlignment="1">
      <alignment horizontal="center"/>
    </xf>
    <xf numFmtId="49" fontId="10" fillId="0" borderId="38" xfId="0" applyNumberFormat="1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49" fontId="10" fillId="0" borderId="28" xfId="0" applyNumberFormat="1" applyFont="1" applyBorder="1" applyAlignment="1">
      <alignment horizontal="center"/>
    </xf>
    <xf numFmtId="2" fontId="40" fillId="0" borderId="41" xfId="0" applyNumberFormat="1" applyFont="1" applyBorder="1" applyAlignment="1">
      <alignment horizontal="center"/>
    </xf>
    <xf numFmtId="2" fontId="34" fillId="0" borderId="29" xfId="0" applyNumberFormat="1" applyFont="1" applyBorder="1" applyAlignment="1">
      <alignment horizontal="center"/>
    </xf>
    <xf numFmtId="0" fontId="30" fillId="0" borderId="20" xfId="0" applyFont="1" applyBorder="1" applyAlignment="1">
      <alignment horizontal="center"/>
    </xf>
    <xf numFmtId="0" fontId="30" fillId="0" borderId="39" xfId="0" applyFont="1" applyBorder="1" applyAlignment="1">
      <alignment horizontal="left"/>
    </xf>
    <xf numFmtId="0" fontId="30" fillId="0" borderId="31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2" borderId="20" xfId="0" applyFont="1" applyFill="1" applyBorder="1" applyAlignment="1">
      <alignment horizontal="center"/>
    </xf>
    <xf numFmtId="0" fontId="30" fillId="2" borderId="42" xfId="0" applyFont="1" applyFill="1" applyBorder="1" applyAlignment="1">
      <alignment horizontal="center"/>
    </xf>
    <xf numFmtId="49" fontId="10" fillId="0" borderId="39" xfId="0" applyNumberFormat="1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49" fontId="10" fillId="0" borderId="31" xfId="0" applyNumberFormat="1" applyFont="1" applyBorder="1" applyAlignment="1">
      <alignment horizontal="center"/>
    </xf>
    <xf numFmtId="2" fontId="40" fillId="0" borderId="42" xfId="0" applyNumberFormat="1" applyFont="1" applyBorder="1" applyAlignment="1">
      <alignment horizontal="center"/>
    </xf>
    <xf numFmtId="2" fontId="34" fillId="0" borderId="32" xfId="0" applyNumberFormat="1" applyFont="1" applyBorder="1" applyAlignment="1">
      <alignment horizontal="center"/>
    </xf>
    <xf numFmtId="0" fontId="30" fillId="4" borderId="43" xfId="0" applyFont="1" applyFill="1" applyBorder="1"/>
    <xf numFmtId="0" fontId="30" fillId="4" borderId="35" xfId="0" applyFont="1" applyFill="1" applyBorder="1"/>
    <xf numFmtId="0" fontId="30" fillId="3" borderId="35" xfId="0" applyFont="1" applyFill="1" applyBorder="1" applyAlignment="1">
      <alignment horizontal="center"/>
    </xf>
    <xf numFmtId="0" fontId="30" fillId="0" borderId="47" xfId="0" applyFont="1" applyBorder="1" applyAlignment="1">
      <alignment horizontal="left"/>
    </xf>
    <xf numFmtId="0" fontId="30" fillId="2" borderId="54" xfId="0" applyFont="1" applyFill="1" applyBorder="1"/>
    <xf numFmtId="0" fontId="30" fillId="2" borderId="23" xfId="0" applyFont="1" applyFill="1" applyBorder="1" applyAlignment="1">
      <alignment horizontal="center"/>
    </xf>
    <xf numFmtId="49" fontId="10" fillId="0" borderId="12" xfId="0" applyNumberFormat="1" applyFont="1" applyBorder="1"/>
    <xf numFmtId="0" fontId="10" fillId="0" borderId="35" xfId="0" applyFont="1" applyBorder="1"/>
    <xf numFmtId="49" fontId="10" fillId="0" borderId="35" xfId="0" applyNumberFormat="1" applyFont="1" applyBorder="1" applyAlignment="1">
      <alignment horizontal="left"/>
    </xf>
    <xf numFmtId="2" fontId="40" fillId="0" borderId="28" xfId="0" applyNumberFormat="1" applyFont="1" applyBorder="1" applyAlignment="1">
      <alignment horizontal="right"/>
    </xf>
    <xf numFmtId="2" fontId="34" fillId="0" borderId="13" xfId="0" applyNumberFormat="1" applyFont="1" applyBorder="1"/>
    <xf numFmtId="0" fontId="30" fillId="0" borderId="43" xfId="0" applyFont="1" applyBorder="1"/>
    <xf numFmtId="0" fontId="10" fillId="0" borderId="12" xfId="0" applyFont="1" applyBorder="1"/>
    <xf numFmtId="0" fontId="10" fillId="0" borderId="35" xfId="0" applyFont="1" applyBorder="1" applyAlignment="1">
      <alignment horizontal="center"/>
    </xf>
    <xf numFmtId="0" fontId="10" fillId="0" borderId="47" xfId="0" applyFont="1" applyBorder="1" applyAlignment="1">
      <alignment horizontal="left"/>
    </xf>
    <xf numFmtId="0" fontId="30" fillId="2" borderId="43" xfId="0" applyFont="1" applyFill="1" applyBorder="1"/>
    <xf numFmtId="0" fontId="30" fillId="2" borderId="11" xfId="0" applyFont="1" applyFill="1" applyBorder="1" applyAlignment="1">
      <alignment horizontal="center"/>
    </xf>
    <xf numFmtId="2" fontId="40" fillId="0" borderId="35" xfId="0" applyNumberFormat="1" applyFont="1" applyBorder="1" applyAlignment="1">
      <alignment horizontal="right"/>
    </xf>
    <xf numFmtId="0" fontId="30" fillId="0" borderId="13" xfId="0" applyFont="1" applyBorder="1"/>
    <xf numFmtId="2" fontId="40" fillId="0" borderId="13" xfId="0" applyNumberFormat="1" applyFont="1" applyBorder="1" applyAlignment="1">
      <alignment horizontal="right"/>
    </xf>
    <xf numFmtId="14" fontId="10" fillId="0" borderId="47" xfId="0" applyNumberFormat="1" applyFont="1" applyBorder="1" applyAlignment="1">
      <alignment horizontal="left"/>
    </xf>
    <xf numFmtId="2" fontId="34" fillId="3" borderId="13" xfId="0" applyNumberFormat="1" applyFont="1" applyFill="1" applyBorder="1"/>
    <xf numFmtId="0" fontId="10" fillId="3" borderId="35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left"/>
    </xf>
    <xf numFmtId="0" fontId="30" fillId="3" borderId="10" xfId="0" applyFont="1" applyFill="1" applyBorder="1"/>
    <xf numFmtId="0" fontId="30" fillId="3" borderId="11" xfId="0" applyFont="1" applyFill="1" applyBorder="1" applyAlignment="1">
      <alignment horizontal="center"/>
    </xf>
    <xf numFmtId="49" fontId="10" fillId="3" borderId="12" xfId="0" applyNumberFormat="1" applyFont="1" applyFill="1" applyBorder="1"/>
    <xf numFmtId="0" fontId="10" fillId="3" borderId="35" xfId="0" applyFont="1" applyFill="1" applyBorder="1"/>
    <xf numFmtId="49" fontId="45" fillId="3" borderId="35" xfId="2" applyNumberFormat="1" applyFont="1" applyFill="1" applyBorder="1" applyAlignment="1" applyProtection="1">
      <alignment horizontal="left"/>
    </xf>
    <xf numFmtId="2" fontId="40" fillId="3" borderId="13" xfId="0" applyNumberFormat="1" applyFont="1" applyFill="1" applyBorder="1" applyAlignment="1">
      <alignment horizontal="right"/>
    </xf>
    <xf numFmtId="0" fontId="30" fillId="0" borderId="13" xfId="0" applyFont="1" applyBorder="1" applyAlignment="1">
      <alignment horizontal="center"/>
    </xf>
    <xf numFmtId="0" fontId="10" fillId="3" borderId="47" xfId="0" applyFont="1" applyFill="1" applyBorder="1" applyAlignment="1">
      <alignment horizontal="left"/>
    </xf>
    <xf numFmtId="0" fontId="30" fillId="3" borderId="43" xfId="0" applyFont="1" applyFill="1" applyBorder="1"/>
    <xf numFmtId="49" fontId="10" fillId="3" borderId="35" xfId="0" applyNumberFormat="1" applyFont="1" applyFill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4" borderId="12" xfId="0" applyFont="1" applyFill="1" applyBorder="1"/>
    <xf numFmtId="0" fontId="10" fillId="4" borderId="35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left"/>
    </xf>
    <xf numFmtId="49" fontId="10" fillId="4" borderId="12" xfId="0" applyNumberFormat="1" applyFont="1" applyFill="1" applyBorder="1"/>
    <xf numFmtId="0" fontId="10" fillId="4" borderId="35" xfId="0" applyFont="1" applyFill="1" applyBorder="1"/>
    <xf numFmtId="49" fontId="10" fillId="4" borderId="35" xfId="0" applyNumberFormat="1" applyFont="1" applyFill="1" applyBorder="1" applyAlignment="1">
      <alignment horizontal="left"/>
    </xf>
    <xf numFmtId="2" fontId="40" fillId="4" borderId="13" xfId="0" applyNumberFormat="1" applyFont="1" applyFill="1" applyBorder="1" applyAlignment="1">
      <alignment horizontal="right"/>
    </xf>
    <xf numFmtId="2" fontId="34" fillId="4" borderId="13" xfId="0" applyNumberFormat="1" applyFont="1" applyFill="1" applyBorder="1"/>
    <xf numFmtId="0" fontId="40" fillId="0" borderId="0" xfId="0" applyFont="1" applyBorder="1" applyAlignment="1">
      <alignment horizontal="right"/>
    </xf>
    <xf numFmtId="0" fontId="30" fillId="0" borderId="29" xfId="0" applyFont="1" applyBorder="1" applyAlignment="1">
      <alignment horizontal="left"/>
    </xf>
    <xf numFmtId="0" fontId="30" fillId="0" borderId="32" xfId="0" applyFont="1" applyBorder="1" applyAlignment="1">
      <alignment horizontal="left"/>
    </xf>
    <xf numFmtId="0" fontId="30" fillId="4" borderId="54" xfId="0" applyFont="1" applyFill="1" applyBorder="1" applyAlignment="1"/>
    <xf numFmtId="0" fontId="30" fillId="3" borderId="59" xfId="0" applyFont="1" applyFill="1" applyBorder="1" applyAlignment="1"/>
    <xf numFmtId="0" fontId="10" fillId="0" borderId="11" xfId="0" applyFont="1" applyBorder="1" applyAlignment="1">
      <alignment horizontal="center"/>
    </xf>
    <xf numFmtId="1" fontId="46" fillId="0" borderId="35" xfId="0" applyNumberFormat="1" applyFont="1" applyBorder="1"/>
    <xf numFmtId="0" fontId="30" fillId="0" borderId="35" xfId="0" applyFont="1" applyBorder="1" applyAlignment="1">
      <alignment horizontal="center"/>
    </xf>
    <xf numFmtId="0" fontId="30" fillId="2" borderId="12" xfId="0" applyFont="1" applyFill="1" applyBorder="1"/>
    <xf numFmtId="49" fontId="10" fillId="0" borderId="10" xfId="0" applyNumberFormat="1" applyFont="1" applyBorder="1"/>
    <xf numFmtId="0" fontId="10" fillId="0" borderId="13" xfId="0" applyFont="1" applyBorder="1" applyAlignment="1">
      <alignment horizontal="center"/>
    </xf>
    <xf numFmtId="0" fontId="30" fillId="3" borderId="35" xfId="0" applyFont="1" applyFill="1" applyBorder="1" applyAlignment="1"/>
    <xf numFmtId="0" fontId="30" fillId="3" borderId="13" xfId="0" applyFont="1" applyFill="1" applyBorder="1" applyAlignment="1">
      <alignment horizontal="center"/>
    </xf>
    <xf numFmtId="49" fontId="10" fillId="3" borderId="36" xfId="0" applyNumberFormat="1" applyFont="1" applyFill="1" applyBorder="1" applyAlignment="1">
      <alignment horizontal="left"/>
    </xf>
    <xf numFmtId="2" fontId="34" fillId="3" borderId="18" xfId="0" applyNumberFormat="1" applyFont="1" applyFill="1" applyBorder="1"/>
    <xf numFmtId="0" fontId="10" fillId="3" borderId="17" xfId="0" applyFont="1" applyFill="1" applyBorder="1"/>
    <xf numFmtId="0" fontId="10" fillId="3" borderId="36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left"/>
    </xf>
    <xf numFmtId="0" fontId="30" fillId="3" borderId="50" xfId="0" applyFont="1" applyFill="1" applyBorder="1"/>
    <xf numFmtId="0" fontId="30" fillId="3" borderId="16" xfId="0" applyFont="1" applyFill="1" applyBorder="1" applyAlignment="1">
      <alignment horizontal="center"/>
    </xf>
    <xf numFmtId="49" fontId="10" fillId="3" borderId="17" xfId="0" applyNumberFormat="1" applyFont="1" applyFill="1" applyBorder="1"/>
    <xf numFmtId="2" fontId="10" fillId="3" borderId="36" xfId="0" applyNumberFormat="1" applyFont="1" applyFill="1" applyBorder="1"/>
    <xf numFmtId="2" fontId="40" fillId="3" borderId="18" xfId="0" applyNumberFormat="1" applyFont="1" applyFill="1" applyBorder="1" applyAlignment="1">
      <alignment horizontal="right"/>
    </xf>
    <xf numFmtId="0" fontId="30" fillId="2" borderId="0" xfId="0" applyFont="1" applyFill="1" applyBorder="1"/>
    <xf numFmtId="0" fontId="30" fillId="2" borderId="0" xfId="0" applyFont="1" applyFill="1" applyBorder="1" applyAlignment="1">
      <alignment horizontal="center"/>
    </xf>
    <xf numFmtId="2" fontId="10" fillId="0" borderId="0" xfId="0" applyNumberFormat="1" applyFont="1" applyBorder="1"/>
    <xf numFmtId="0" fontId="10" fillId="2" borderId="43" xfId="0" applyFont="1" applyFill="1" applyBorder="1"/>
    <xf numFmtId="0" fontId="10" fillId="2" borderId="11" xfId="0" applyFont="1" applyFill="1" applyBorder="1" applyAlignment="1">
      <alignment horizontal="center"/>
    </xf>
    <xf numFmtId="0" fontId="30" fillId="3" borderId="12" xfId="0" applyFont="1" applyFill="1" applyBorder="1"/>
    <xf numFmtId="1" fontId="40" fillId="0" borderId="13" xfId="0" applyNumberFormat="1" applyFont="1" applyBorder="1" applyAlignment="1">
      <alignment horizontal="right"/>
    </xf>
    <xf numFmtId="49" fontId="10" fillId="0" borderId="36" xfId="0" applyNumberFormat="1" applyFont="1" applyBorder="1" applyAlignment="1">
      <alignment horizontal="left"/>
    </xf>
    <xf numFmtId="2" fontId="10" fillId="0" borderId="35" xfId="0" applyNumberFormat="1" applyFont="1" applyBorder="1"/>
    <xf numFmtId="2" fontId="10" fillId="4" borderId="35" xfId="0" applyNumberFormat="1" applyFont="1" applyFill="1" applyBorder="1"/>
    <xf numFmtId="49" fontId="10" fillId="4" borderId="36" xfId="0" applyNumberFormat="1" applyFont="1" applyFill="1" applyBorder="1" applyAlignment="1">
      <alignment horizontal="left"/>
    </xf>
    <xf numFmtId="0" fontId="10" fillId="4" borderId="47" xfId="0" applyFont="1" applyFill="1" applyBorder="1" applyAlignment="1">
      <alignment horizontal="left"/>
    </xf>
    <xf numFmtId="2" fontId="34" fillId="0" borderId="18" xfId="0" applyNumberFormat="1" applyFont="1" applyBorder="1"/>
    <xf numFmtId="0" fontId="30" fillId="0" borderId="18" xfId="0" applyFont="1" applyBorder="1" applyAlignment="1">
      <alignment horizontal="center"/>
    </xf>
    <xf numFmtId="0" fontId="30" fillId="0" borderId="13" xfId="0" applyFont="1" applyBorder="1" applyAlignment="1">
      <alignment horizontal="left"/>
    </xf>
    <xf numFmtId="49" fontId="10" fillId="0" borderId="28" xfId="0" applyNumberFormat="1" applyFont="1" applyBorder="1" applyAlignment="1">
      <alignment horizontal="left"/>
    </xf>
    <xf numFmtId="2" fontId="40" fillId="0" borderId="41" xfId="0" applyNumberFormat="1" applyFont="1" applyBorder="1" applyAlignment="1">
      <alignment horizontal="right"/>
    </xf>
    <xf numFmtId="49" fontId="10" fillId="0" borderId="31" xfId="0" applyNumberFormat="1" applyFont="1" applyBorder="1" applyAlignment="1">
      <alignment horizontal="left"/>
    </xf>
    <xf numFmtId="2" fontId="40" fillId="0" borderId="42" xfId="0" applyNumberFormat="1" applyFont="1" applyBorder="1" applyAlignment="1">
      <alignment horizontal="right"/>
    </xf>
    <xf numFmtId="0" fontId="10" fillId="0" borderId="43" xfId="0" applyFont="1" applyBorder="1"/>
    <xf numFmtId="0" fontId="30" fillId="6" borderId="35" xfId="0" applyFont="1" applyFill="1" applyBorder="1" applyAlignment="1"/>
    <xf numFmtId="0" fontId="10" fillId="3" borderId="34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46" fillId="2" borderId="55" xfId="0" applyFont="1" applyFill="1" applyBorder="1"/>
    <xf numFmtId="0" fontId="46" fillId="2" borderId="23" xfId="0" applyFont="1" applyFill="1" applyBorder="1" applyAlignment="1">
      <alignment horizontal="center"/>
    </xf>
    <xf numFmtId="0" fontId="30" fillId="0" borderId="59" xfId="0" applyFont="1" applyBorder="1" applyAlignment="1">
      <alignment horizontal="left"/>
    </xf>
    <xf numFmtId="0" fontId="10" fillId="0" borderId="33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10" fillId="0" borderId="7" xfId="0" applyFont="1" applyBorder="1"/>
    <xf numFmtId="0" fontId="10" fillId="0" borderId="34" xfId="0" applyFont="1" applyBorder="1" applyAlignment="1">
      <alignment horizontal="center"/>
    </xf>
    <xf numFmtId="49" fontId="10" fillId="0" borderId="7" xfId="0" applyNumberFormat="1" applyFont="1" applyBorder="1" applyAlignment="1">
      <alignment horizontal="left"/>
    </xf>
    <xf numFmtId="0" fontId="10" fillId="0" borderId="34" xfId="0" applyFont="1" applyBorder="1" applyAlignment="1">
      <alignment horizontal="right"/>
    </xf>
    <xf numFmtId="0" fontId="10" fillId="0" borderId="34" xfId="0" applyFont="1" applyBorder="1"/>
    <xf numFmtId="1" fontId="40" fillId="0" borderId="34" xfId="0" applyNumberFormat="1" applyFont="1" applyBorder="1" applyAlignment="1">
      <alignment horizontal="right"/>
    </xf>
    <xf numFmtId="2" fontId="34" fillId="0" borderId="8" xfId="0" applyNumberFormat="1" applyFont="1" applyBorder="1" applyAlignment="1">
      <alignment horizontal="right"/>
    </xf>
    <xf numFmtId="0" fontId="46" fillId="2" borderId="11" xfId="0" applyFont="1" applyFill="1" applyBorder="1"/>
    <xf numFmtId="0" fontId="10" fillId="0" borderId="35" xfId="0" applyFont="1" applyBorder="1" applyAlignment="1">
      <alignment horizontal="right"/>
    </xf>
    <xf numFmtId="0" fontId="46" fillId="2" borderId="43" xfId="0" applyFont="1" applyFill="1" applyBorder="1"/>
    <xf numFmtId="49" fontId="10" fillId="0" borderId="12" xfId="0" applyNumberFormat="1" applyFont="1" applyBorder="1" applyAlignment="1">
      <alignment horizontal="left"/>
    </xf>
    <xf numFmtId="2" fontId="34" fillId="0" borderId="8" xfId="0" applyNumberFormat="1" applyFont="1" applyBorder="1" applyAlignment="1">
      <alignment horizontal="left"/>
    </xf>
    <xf numFmtId="0" fontId="10" fillId="0" borderId="62" xfId="0" applyFont="1" applyBorder="1"/>
    <xf numFmtId="1" fontId="34" fillId="0" borderId="8" xfId="0" applyNumberFormat="1" applyFont="1" applyBorder="1" applyAlignment="1">
      <alignment horizontal="right"/>
    </xf>
    <xf numFmtId="0" fontId="10" fillId="0" borderId="12" xfId="0" applyFont="1" applyBorder="1" applyAlignment="1">
      <alignment horizontal="left"/>
    </xf>
    <xf numFmtId="0" fontId="30" fillId="0" borderId="10" xfId="0" applyFont="1" applyBorder="1"/>
    <xf numFmtId="0" fontId="30" fillId="2" borderId="10" xfId="0" applyFont="1" applyFill="1" applyBorder="1" applyAlignment="1">
      <alignment horizontal="center"/>
    </xf>
    <xf numFmtId="49" fontId="30" fillId="0" borderId="12" xfId="0" applyNumberFormat="1" applyFont="1" applyBorder="1"/>
    <xf numFmtId="0" fontId="30" fillId="0" borderId="35" xfId="0" applyFont="1" applyBorder="1"/>
    <xf numFmtId="0" fontId="47" fillId="0" borderId="0" xfId="0" applyFont="1"/>
    <xf numFmtId="0" fontId="47" fillId="0" borderId="0" xfId="0" applyFont="1" applyAlignment="1">
      <alignment horizontal="right"/>
    </xf>
    <xf numFmtId="0" fontId="30" fillId="3" borderId="47" xfId="0" applyFont="1" applyFill="1" applyBorder="1" applyAlignment="1">
      <alignment horizontal="left"/>
    </xf>
    <xf numFmtId="0" fontId="30" fillId="3" borderId="54" xfId="0" applyFont="1" applyFill="1" applyBorder="1"/>
    <xf numFmtId="0" fontId="30" fillId="3" borderId="23" xfId="0" applyFont="1" applyFill="1" applyBorder="1" applyAlignment="1">
      <alignment horizontal="center"/>
    </xf>
    <xf numFmtId="2" fontId="40" fillId="3" borderId="28" xfId="0" applyNumberFormat="1" applyFont="1" applyFill="1" applyBorder="1" applyAlignment="1">
      <alignment horizontal="right"/>
    </xf>
    <xf numFmtId="2" fontId="10" fillId="3" borderId="35" xfId="0" applyNumberFormat="1" applyFont="1" applyFill="1" applyBorder="1"/>
    <xf numFmtId="2" fontId="40" fillId="3" borderId="35" xfId="0" applyNumberFormat="1" applyFont="1" applyFill="1" applyBorder="1" applyAlignment="1">
      <alignment horizontal="right"/>
    </xf>
    <xf numFmtId="0" fontId="30" fillId="3" borderId="47" xfId="0" applyFont="1" applyFill="1" applyBorder="1"/>
    <xf numFmtId="0" fontId="30" fillId="3" borderId="18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left"/>
    </xf>
    <xf numFmtId="1" fontId="40" fillId="3" borderId="13" xfId="0" applyNumberFormat="1" applyFont="1" applyFill="1" applyBorder="1" applyAlignment="1">
      <alignment horizontal="right"/>
    </xf>
    <xf numFmtId="0" fontId="13" fillId="13" borderId="11" xfId="0" applyFont="1" applyFill="1" applyBorder="1" applyAlignment="1">
      <alignment horizontal="center"/>
    </xf>
    <xf numFmtId="49" fontId="17" fillId="13" borderId="12" xfId="0" applyNumberFormat="1" applyFont="1" applyFill="1" applyBorder="1"/>
    <xf numFmtId="0" fontId="17" fillId="11" borderId="12" xfId="0" applyFont="1" applyFill="1" applyBorder="1"/>
    <xf numFmtId="2" fontId="48" fillId="0" borderId="13" xfId="0" applyNumberFormat="1" applyFont="1" applyBorder="1" applyAlignment="1">
      <alignment horizontal="right"/>
    </xf>
    <xf numFmtId="0" fontId="17" fillId="8" borderId="47" xfId="0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/>
    </xf>
    <xf numFmtId="0" fontId="11" fillId="3" borderId="23" xfId="0" applyFont="1" applyFill="1" applyBorder="1" applyAlignment="1">
      <alignment horizontal="center"/>
    </xf>
    <xf numFmtId="0" fontId="17" fillId="3" borderId="18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11" fillId="3" borderId="43" xfId="0" applyFont="1" applyFill="1" applyBorder="1" applyAlignment="1">
      <alignment horizontal="center"/>
    </xf>
    <xf numFmtId="49" fontId="12" fillId="3" borderId="35" xfId="0" applyNumberFormat="1" applyFont="1" applyFill="1" applyBorder="1" applyAlignment="1">
      <alignment horizontal="left"/>
    </xf>
    <xf numFmtId="2" fontId="28" fillId="3" borderId="29" xfId="0" applyNumberFormat="1" applyFont="1" applyFill="1" applyBorder="1" applyAlignment="1">
      <alignment horizontal="right"/>
    </xf>
    <xf numFmtId="0" fontId="17" fillId="3" borderId="48" xfId="0" applyFont="1" applyFill="1" applyBorder="1" applyAlignment="1">
      <alignment horizontal="center"/>
    </xf>
    <xf numFmtId="0" fontId="17" fillId="3" borderId="12" xfId="0" applyFont="1" applyFill="1" applyBorder="1"/>
    <xf numFmtId="0" fontId="12" fillId="3" borderId="12" xfId="0" applyFont="1" applyFill="1" applyBorder="1"/>
    <xf numFmtId="0" fontId="7" fillId="3" borderId="7" xfId="0" applyFont="1" applyFill="1" applyBorder="1"/>
    <xf numFmtId="0" fontId="14" fillId="3" borderId="13" xfId="0" applyFont="1" applyFill="1" applyBorder="1" applyAlignment="1">
      <alignment horizontal="center"/>
    </xf>
    <xf numFmtId="49" fontId="14" fillId="3" borderId="47" xfId="0" applyNumberFormat="1" applyFont="1" applyFill="1" applyBorder="1" applyAlignment="1">
      <alignment horizontal="left"/>
    </xf>
    <xf numFmtId="0" fontId="87" fillId="3" borderId="12" xfId="0" applyFont="1" applyFill="1" applyBorder="1"/>
    <xf numFmtId="0" fontId="88" fillId="3" borderId="35" xfId="0" applyFont="1" applyFill="1" applyBorder="1" applyAlignment="1">
      <alignment horizontal="center"/>
    </xf>
    <xf numFmtId="0" fontId="88" fillId="3" borderId="13" xfId="0" applyFont="1" applyFill="1" applyBorder="1" applyAlignment="1">
      <alignment horizontal="center"/>
    </xf>
    <xf numFmtId="0" fontId="87" fillId="3" borderId="10" xfId="0" applyFont="1" applyFill="1" applyBorder="1" applyAlignment="1">
      <alignment horizontal="center"/>
    </xf>
    <xf numFmtId="0" fontId="87" fillId="3" borderId="11" xfId="0" applyFont="1" applyFill="1" applyBorder="1" applyAlignment="1">
      <alignment horizontal="center"/>
    </xf>
    <xf numFmtId="49" fontId="87" fillId="3" borderId="47" xfId="0" applyNumberFormat="1" applyFont="1" applyFill="1" applyBorder="1" applyAlignment="1">
      <alignment horizontal="left"/>
    </xf>
    <xf numFmtId="49" fontId="87" fillId="3" borderId="35" xfId="0" applyNumberFormat="1" applyFont="1" applyFill="1" applyBorder="1" applyAlignment="1">
      <alignment horizontal="left"/>
    </xf>
    <xf numFmtId="2" fontId="87" fillId="3" borderId="13" xfId="0" applyNumberFormat="1" applyFont="1" applyFill="1" applyBorder="1" applyAlignment="1">
      <alignment horizontal="right"/>
    </xf>
    <xf numFmtId="2" fontId="89" fillId="3" borderId="13" xfId="0" applyNumberFormat="1" applyFont="1" applyFill="1" applyBorder="1" applyAlignment="1">
      <alignment horizontal="right"/>
    </xf>
    <xf numFmtId="0" fontId="2" fillId="3" borderId="13" xfId="0" applyFont="1" applyFill="1" applyBorder="1" applyAlignment="1">
      <alignment horizontal="center"/>
    </xf>
    <xf numFmtId="16" fontId="17" fillId="3" borderId="13" xfId="0" applyNumberFormat="1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1" fontId="39" fillId="3" borderId="13" xfId="0" applyNumberFormat="1" applyFont="1" applyFill="1" applyBorder="1" applyAlignment="1">
      <alignment horizontal="right"/>
    </xf>
    <xf numFmtId="0" fontId="11" fillId="3" borderId="47" xfId="0" applyFont="1" applyFill="1" applyBorder="1"/>
    <xf numFmtId="0" fontId="11" fillId="3" borderId="12" xfId="0" applyFont="1" applyFill="1" applyBorder="1" applyAlignment="1">
      <alignment horizontal="center"/>
    </xf>
    <xf numFmtId="0" fontId="13" fillId="3" borderId="62" xfId="0" applyFont="1" applyFill="1" applyBorder="1" applyAlignment="1">
      <alignment horizontal="left"/>
    </xf>
    <xf numFmtId="0" fontId="17" fillId="3" borderId="61" xfId="0" applyFont="1" applyFill="1" applyBorder="1" applyAlignment="1">
      <alignment horizontal="center"/>
    </xf>
    <xf numFmtId="0" fontId="17" fillId="3" borderId="44" xfId="0" applyFont="1" applyFill="1" applyBorder="1" applyAlignment="1">
      <alignment horizontal="center"/>
    </xf>
    <xf numFmtId="0" fontId="11" fillId="3" borderId="57" xfId="0" applyFont="1" applyFill="1" applyBorder="1" applyAlignment="1">
      <alignment horizontal="center"/>
    </xf>
    <xf numFmtId="0" fontId="11" fillId="3" borderId="44" xfId="0" applyFont="1" applyFill="1" applyBorder="1" applyAlignment="1">
      <alignment horizontal="center"/>
    </xf>
    <xf numFmtId="49" fontId="7" fillId="3" borderId="62" xfId="0" applyNumberFormat="1" applyFont="1" applyFill="1" applyBorder="1" applyAlignment="1">
      <alignment horizontal="left"/>
    </xf>
    <xf numFmtId="49" fontId="17" fillId="3" borderId="61" xfId="0" applyNumberFormat="1" applyFont="1" applyFill="1" applyBorder="1" applyAlignment="1">
      <alignment horizontal="left"/>
    </xf>
    <xf numFmtId="2" fontId="28" fillId="3" borderId="44" xfId="0" applyNumberFormat="1" applyFont="1" applyFill="1" applyBorder="1" applyAlignment="1">
      <alignment horizontal="right"/>
    </xf>
    <xf numFmtId="2" fontId="23" fillId="3" borderId="44" xfId="0" applyNumberFormat="1" applyFont="1" applyFill="1" applyBorder="1" applyAlignment="1">
      <alignment horizontal="right"/>
    </xf>
    <xf numFmtId="0" fontId="11" fillId="3" borderId="47" xfId="0" applyFont="1" applyFill="1" applyBorder="1" applyAlignment="1">
      <alignment horizontal="center"/>
    </xf>
    <xf numFmtId="0" fontId="13" fillId="3" borderId="50" xfId="0" applyFont="1" applyFill="1" applyBorder="1" applyAlignment="1">
      <alignment horizontal="center"/>
    </xf>
    <xf numFmtId="0" fontId="11" fillId="3" borderId="48" xfId="0" applyFont="1" applyFill="1" applyBorder="1" applyAlignment="1">
      <alignment horizontal="center"/>
    </xf>
    <xf numFmtId="0" fontId="17" fillId="3" borderId="36" xfId="0" applyFont="1" applyFill="1" applyBorder="1" applyAlignment="1">
      <alignment horizontal="right"/>
    </xf>
    <xf numFmtId="0" fontId="13" fillId="3" borderId="63" xfId="0" applyFont="1" applyFill="1" applyBorder="1" applyAlignment="1"/>
    <xf numFmtId="0" fontId="11" fillId="3" borderId="54" xfId="0" applyFont="1" applyFill="1" applyBorder="1"/>
    <xf numFmtId="2" fontId="28" fillId="3" borderId="28" xfId="0" applyNumberFormat="1" applyFont="1" applyFill="1" applyBorder="1" applyAlignment="1">
      <alignment horizontal="right"/>
    </xf>
    <xf numFmtId="0" fontId="17" fillId="3" borderId="47" xfId="0" applyFont="1" applyFill="1" applyBorder="1" applyAlignment="1">
      <alignment horizontal="left"/>
    </xf>
    <xf numFmtId="49" fontId="7" fillId="3" borderId="47" xfId="0" applyNumberFormat="1" applyFont="1" applyFill="1" applyBorder="1"/>
    <xf numFmtId="1" fontId="27" fillId="3" borderId="13" xfId="0" applyNumberFormat="1" applyFont="1" applyFill="1" applyBorder="1"/>
    <xf numFmtId="0" fontId="11" fillId="3" borderId="43" xfId="0" applyFont="1" applyFill="1" applyBorder="1" applyAlignment="1">
      <alignment horizontal="left"/>
    </xf>
    <xf numFmtId="0" fontId="11" fillId="3" borderId="19" xfId="0" applyFont="1" applyFill="1" applyBorder="1" applyAlignment="1">
      <alignment horizontal="center"/>
    </xf>
    <xf numFmtId="0" fontId="13" fillId="3" borderId="17" xfId="0" applyFont="1" applyFill="1" applyBorder="1" applyAlignment="1">
      <alignment horizontal="left"/>
    </xf>
    <xf numFmtId="0" fontId="11" fillId="3" borderId="17" xfId="0" applyFont="1" applyFill="1" applyBorder="1" applyAlignment="1">
      <alignment horizontal="left"/>
    </xf>
    <xf numFmtId="0" fontId="17" fillId="3" borderId="17" xfId="0" applyFont="1" applyFill="1" applyBorder="1" applyAlignment="1">
      <alignment horizontal="left"/>
    </xf>
    <xf numFmtId="0" fontId="31" fillId="3" borderId="47" xfId="0" applyFont="1" applyFill="1" applyBorder="1" applyAlignment="1">
      <alignment horizontal="center"/>
    </xf>
    <xf numFmtId="0" fontId="31" fillId="3" borderId="11" xfId="0" applyFont="1" applyFill="1" applyBorder="1" applyAlignment="1">
      <alignment horizontal="center"/>
    </xf>
    <xf numFmtId="0" fontId="13" fillId="3" borderId="35" xfId="0" applyFont="1" applyFill="1" applyBorder="1" applyAlignment="1">
      <alignment horizontal="left"/>
    </xf>
    <xf numFmtId="2" fontId="49" fillId="0" borderId="35" xfId="0" applyNumberFormat="1" applyFont="1" applyBorder="1"/>
    <xf numFmtId="0" fontId="7" fillId="3" borderId="35" xfId="0" applyFont="1" applyFill="1" applyBorder="1" applyAlignment="1"/>
    <xf numFmtId="0" fontId="11" fillId="8" borderId="17" xfId="0" applyFont="1" applyFill="1" applyBorder="1" applyAlignment="1">
      <alignment horizontal="left"/>
    </xf>
    <xf numFmtId="0" fontId="17" fillId="0" borderId="37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2" fontId="28" fillId="0" borderId="25" xfId="0" applyNumberFormat="1" applyFont="1" applyBorder="1" applyAlignment="1">
      <alignment horizontal="right"/>
    </xf>
    <xf numFmtId="2" fontId="23" fillId="0" borderId="37" xfId="0" applyNumberFormat="1" applyFont="1" applyBorder="1" applyAlignment="1">
      <alignment horizontal="right"/>
    </xf>
    <xf numFmtId="49" fontId="11" fillId="0" borderId="7" xfId="0" applyNumberFormat="1" applyFont="1" applyBorder="1" applyAlignment="1">
      <alignment horizontal="left"/>
    </xf>
    <xf numFmtId="2" fontId="23" fillId="0" borderId="34" xfId="0" applyNumberFormat="1" applyFont="1" applyBorder="1" applyAlignment="1">
      <alignment horizontal="right"/>
    </xf>
    <xf numFmtId="0" fontId="17" fillId="0" borderId="25" xfId="0" applyFont="1" applyBorder="1" applyAlignment="1">
      <alignment horizontal="center"/>
    </xf>
    <xf numFmtId="49" fontId="11" fillId="0" borderId="2" xfId="0" applyNumberFormat="1" applyFont="1" applyBorder="1" applyAlignment="1">
      <alignment horizontal="left"/>
    </xf>
    <xf numFmtId="2" fontId="24" fillId="0" borderId="37" xfId="0" applyNumberFormat="1" applyFont="1" applyBorder="1" applyAlignment="1">
      <alignment horizontal="right"/>
    </xf>
    <xf numFmtId="0" fontId="11" fillId="0" borderId="7" xfId="0" applyFont="1" applyBorder="1" applyAlignment="1"/>
    <xf numFmtId="0" fontId="13" fillId="3" borderId="55" xfId="0" applyFont="1" applyFill="1" applyBorder="1" applyAlignment="1"/>
    <xf numFmtId="0" fontId="13" fillId="3" borderId="65" xfId="0" applyFont="1" applyFill="1" applyBorder="1"/>
    <xf numFmtId="0" fontId="11" fillId="0" borderId="2" xfId="0" applyFont="1" applyBorder="1" applyAlignment="1"/>
    <xf numFmtId="0" fontId="17" fillId="0" borderId="37" xfId="0" applyFont="1" applyBorder="1" applyAlignment="1">
      <alignment horizontal="right"/>
    </xf>
    <xf numFmtId="0" fontId="13" fillId="3" borderId="55" xfId="0" applyFont="1" applyFill="1" applyBorder="1"/>
    <xf numFmtId="0" fontId="17" fillId="0" borderId="7" xfId="0" applyFont="1" applyBorder="1" applyAlignment="1"/>
    <xf numFmtId="0" fontId="83" fillId="2" borderId="6" xfId="0" applyFont="1" applyFill="1" applyBorder="1" applyAlignment="1">
      <alignment horizontal="center"/>
    </xf>
    <xf numFmtId="0" fontId="90" fillId="2" borderId="11" xfId="0" applyFont="1" applyFill="1" applyBorder="1" applyAlignment="1">
      <alignment horizontal="center"/>
    </xf>
    <xf numFmtId="0" fontId="90" fillId="12" borderId="11" xfId="0" applyFont="1" applyFill="1" applyBorder="1" applyAlignment="1">
      <alignment horizontal="center"/>
    </xf>
    <xf numFmtId="0" fontId="13" fillId="4" borderId="47" xfId="0" applyFont="1" applyFill="1" applyBorder="1" applyAlignment="1">
      <alignment horizontal="left"/>
    </xf>
    <xf numFmtId="2" fontId="29" fillId="0" borderId="35" xfId="0" applyNumberFormat="1" applyFont="1" applyBorder="1"/>
    <xf numFmtId="2" fontId="11" fillId="0" borderId="13" xfId="0" applyNumberFormat="1" applyFont="1" applyBorder="1" applyAlignment="1">
      <alignment horizontal="center"/>
    </xf>
    <xf numFmtId="0" fontId="17" fillId="2" borderId="43" xfId="0" applyFont="1" applyFill="1" applyBorder="1"/>
    <xf numFmtId="49" fontId="44" fillId="4" borderId="35" xfId="2" applyNumberFormat="1" applyFont="1" applyFill="1" applyBorder="1" applyAlignment="1" applyProtection="1"/>
    <xf numFmtId="49" fontId="91" fillId="4" borderId="35" xfId="2" applyNumberFormat="1" applyFont="1" applyFill="1" applyBorder="1" applyAlignment="1" applyProtection="1"/>
    <xf numFmtId="0" fontId="13" fillId="13" borderId="10" xfId="0" applyFont="1" applyFill="1" applyBorder="1" applyAlignment="1"/>
    <xf numFmtId="0" fontId="14" fillId="8" borderId="35" xfId="0" applyFont="1" applyFill="1" applyBorder="1" applyAlignment="1">
      <alignment horizontal="center"/>
    </xf>
    <xf numFmtId="0" fontId="12" fillId="7" borderId="35" xfId="0" applyFont="1" applyFill="1" applyBorder="1" applyAlignment="1">
      <alignment horizontal="center"/>
    </xf>
    <xf numFmtId="0" fontId="19" fillId="0" borderId="13" xfId="2" applyBorder="1" applyAlignment="1" applyProtection="1">
      <alignment horizontal="right"/>
    </xf>
    <xf numFmtId="0" fontId="11" fillId="0" borderId="18" xfId="0" applyFont="1" applyBorder="1"/>
    <xf numFmtId="0" fontId="17" fillId="7" borderId="46" xfId="0" applyFont="1" applyFill="1" applyBorder="1" applyAlignment="1">
      <alignment horizontal="center"/>
    </xf>
    <xf numFmtId="49" fontId="11" fillId="7" borderId="35" xfId="0" applyNumberFormat="1" applyFont="1" applyFill="1" applyBorder="1"/>
    <xf numFmtId="1" fontId="31" fillId="7" borderId="35" xfId="0" applyNumberFormat="1" applyFont="1" applyFill="1" applyBorder="1"/>
    <xf numFmtId="0" fontId="13" fillId="7" borderId="47" xfId="0" applyFont="1" applyFill="1" applyBorder="1"/>
    <xf numFmtId="0" fontId="13" fillId="8" borderId="35" xfId="0" applyFont="1" applyFill="1" applyBorder="1" applyAlignment="1">
      <alignment horizontal="left"/>
    </xf>
    <xf numFmtId="0" fontId="17" fillId="4" borderId="35" xfId="0" applyFont="1" applyFill="1" applyBorder="1" applyAlignment="1">
      <alignment horizontal="center"/>
    </xf>
    <xf numFmtId="0" fontId="17" fillId="4" borderId="46" xfId="0" applyFont="1" applyFill="1" applyBorder="1" applyAlignment="1">
      <alignment horizontal="center"/>
    </xf>
    <xf numFmtId="0" fontId="11" fillId="4" borderId="35" xfId="0" applyFont="1" applyFill="1" applyBorder="1"/>
    <xf numFmtId="49" fontId="11" fillId="4" borderId="35" xfId="0" applyNumberFormat="1" applyFont="1" applyFill="1" applyBorder="1"/>
    <xf numFmtId="1" fontId="31" fillId="4" borderId="35" xfId="0" applyNumberFormat="1" applyFont="1" applyFill="1" applyBorder="1"/>
    <xf numFmtId="2" fontId="23" fillId="4" borderId="13" xfId="0" applyNumberFormat="1" applyFont="1" applyFill="1" applyBorder="1" applyAlignment="1">
      <alignment horizontal="right"/>
    </xf>
    <xf numFmtId="49" fontId="3" fillId="4" borderId="35" xfId="0" applyNumberFormat="1" applyFont="1" applyFill="1" applyBorder="1"/>
    <xf numFmtId="0" fontId="17" fillId="4" borderId="12" xfId="0" applyFont="1" applyFill="1" applyBorder="1" applyAlignment="1">
      <alignment horizontal="center"/>
    </xf>
    <xf numFmtId="0" fontId="11" fillId="4" borderId="17" xfId="0" applyFont="1" applyFill="1" applyBorder="1"/>
    <xf numFmtId="0" fontId="17" fillId="4" borderId="17" xfId="0" applyFont="1" applyFill="1" applyBorder="1" applyAlignment="1">
      <alignment horizontal="center"/>
    </xf>
    <xf numFmtId="0" fontId="17" fillId="4" borderId="66" xfId="0" applyFont="1" applyFill="1" applyBorder="1" applyAlignment="1">
      <alignment horizontal="center"/>
    </xf>
    <xf numFmtId="0" fontId="25" fillId="4" borderId="48" xfId="0" applyFont="1" applyFill="1" applyBorder="1"/>
    <xf numFmtId="0" fontId="25" fillId="4" borderId="16" xfId="0" applyFont="1" applyFill="1" applyBorder="1" applyAlignment="1">
      <alignment horizontal="center"/>
    </xf>
    <xf numFmtId="49" fontId="17" fillId="4" borderId="17" xfId="0" applyNumberFormat="1" applyFont="1" applyFill="1" applyBorder="1"/>
    <xf numFmtId="0" fontId="11" fillId="4" borderId="36" xfId="0" applyFont="1" applyFill="1" applyBorder="1"/>
    <xf numFmtId="49" fontId="11" fillId="4" borderId="36" xfId="0" applyNumberFormat="1" applyFont="1" applyFill="1" applyBorder="1"/>
    <xf numFmtId="1" fontId="31" fillId="4" borderId="36" xfId="0" applyNumberFormat="1" applyFont="1" applyFill="1" applyBorder="1"/>
    <xf numFmtId="2" fontId="23" fillId="4" borderId="18" xfId="0" applyNumberFormat="1" applyFont="1" applyFill="1" applyBorder="1" applyAlignment="1">
      <alignment horizontal="right"/>
    </xf>
    <xf numFmtId="0" fontId="17" fillId="7" borderId="12" xfId="0" applyFont="1" applyFill="1" applyBorder="1" applyAlignment="1">
      <alignment horizontal="center"/>
    </xf>
    <xf numFmtId="0" fontId="15" fillId="7" borderId="11" xfId="0" applyFont="1" applyFill="1" applyBorder="1" applyAlignment="1">
      <alignment horizontal="center"/>
    </xf>
    <xf numFmtId="0" fontId="13" fillId="7" borderId="12" xfId="0" applyFont="1" applyFill="1" applyBorder="1"/>
    <xf numFmtId="0" fontId="11" fillId="8" borderId="35" xfId="0" applyFont="1" applyFill="1" applyBorder="1" applyAlignment="1">
      <alignment horizontal="left"/>
    </xf>
    <xf numFmtId="0" fontId="13" fillId="8" borderId="35" xfId="0" applyFont="1" applyFill="1" applyBorder="1" applyAlignment="1">
      <alignment horizontal="center"/>
    </xf>
    <xf numFmtId="0" fontId="11" fillId="0" borderId="37" xfId="0" applyFont="1" applyBorder="1" applyAlignment="1"/>
    <xf numFmtId="0" fontId="17" fillId="6" borderId="35" xfId="0" applyFont="1" applyFill="1" applyBorder="1" applyAlignment="1">
      <alignment horizontal="center"/>
    </xf>
    <xf numFmtId="0" fontId="11" fillId="6" borderId="12" xfId="0" applyFont="1" applyFill="1" applyBorder="1"/>
    <xf numFmtId="0" fontId="17" fillId="6" borderId="35" xfId="0" applyFont="1" applyFill="1" applyBorder="1"/>
    <xf numFmtId="0" fontId="11" fillId="6" borderId="11" xfId="0" applyFont="1" applyFill="1" applyBorder="1" applyAlignment="1">
      <alignment horizontal="center"/>
    </xf>
    <xf numFmtId="49" fontId="17" fillId="6" borderId="35" xfId="0" applyNumberFormat="1" applyFont="1" applyFill="1" applyBorder="1" applyAlignment="1">
      <alignment horizontal="left"/>
    </xf>
    <xf numFmtId="0" fontId="11" fillId="6" borderId="43" xfId="0" applyFont="1" applyFill="1" applyBorder="1"/>
    <xf numFmtId="0" fontId="17" fillId="6" borderId="47" xfId="0" applyFont="1" applyFill="1" applyBorder="1" applyAlignment="1">
      <alignment horizontal="left"/>
    </xf>
    <xf numFmtId="49" fontId="7" fillId="6" borderId="47" xfId="0" applyNumberFormat="1" applyFont="1" applyFill="1" applyBorder="1"/>
    <xf numFmtId="1" fontId="27" fillId="6" borderId="13" xfId="0" applyNumberFormat="1" applyFont="1" applyFill="1" applyBorder="1"/>
    <xf numFmtId="1" fontId="28" fillId="6" borderId="35" xfId="0" applyNumberFormat="1" applyFont="1" applyFill="1" applyBorder="1" applyAlignment="1">
      <alignment horizontal="right"/>
    </xf>
    <xf numFmtId="167" fontId="7" fillId="3" borderId="35" xfId="0" applyNumberFormat="1" applyFont="1" applyFill="1" applyBorder="1" applyAlignment="1">
      <alignment horizontal="left"/>
    </xf>
    <xf numFmtId="2" fontId="21" fillId="3" borderId="35" xfId="0" applyNumberFormat="1" applyFont="1" applyFill="1" applyBorder="1" applyAlignment="1">
      <alignment horizontal="right"/>
    </xf>
    <xf numFmtId="1" fontId="35" fillId="3" borderId="13" xfId="0" applyNumberFormat="1" applyFont="1" applyFill="1" applyBorder="1" applyAlignment="1">
      <alignment horizontal="right"/>
    </xf>
    <xf numFmtId="0" fontId="17" fillId="3" borderId="12" xfId="0" applyFont="1" applyFill="1" applyBorder="1" applyAlignment="1">
      <alignment horizontal="center"/>
    </xf>
    <xf numFmtId="49" fontId="13" fillId="0" borderId="13" xfId="0" applyNumberFormat="1" applyFont="1" applyBorder="1" applyAlignment="1">
      <alignment horizontal="left"/>
    </xf>
    <xf numFmtId="49" fontId="13" fillId="0" borderId="46" xfId="0" applyNumberFormat="1" applyFont="1" applyBorder="1" applyAlignment="1">
      <alignment horizontal="left"/>
    </xf>
    <xf numFmtId="0" fontId="17" fillId="4" borderId="12" xfId="0" applyFont="1" applyFill="1" applyBorder="1"/>
    <xf numFmtId="0" fontId="17" fillId="4" borderId="13" xfId="0" applyFont="1" applyFill="1" applyBorder="1" applyAlignment="1">
      <alignment horizontal="center"/>
    </xf>
    <xf numFmtId="0" fontId="17" fillId="4" borderId="10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9" fontId="7" fillId="4" borderId="35" xfId="0" applyNumberFormat="1" applyFont="1" applyFill="1" applyBorder="1" applyAlignment="1">
      <alignment horizontal="left"/>
    </xf>
    <xf numFmtId="1" fontId="28" fillId="4" borderId="35" xfId="0" applyNumberFormat="1" applyFont="1" applyFill="1" applyBorder="1" applyAlignment="1">
      <alignment horizontal="right"/>
    </xf>
    <xf numFmtId="1" fontId="23" fillId="4" borderId="13" xfId="0" applyNumberFormat="1" applyFont="1" applyFill="1" applyBorder="1" applyAlignment="1">
      <alignment horizontal="right"/>
    </xf>
    <xf numFmtId="0" fontId="13" fillId="8" borderId="13" xfId="0" applyFont="1" applyFill="1" applyBorder="1" applyAlignment="1"/>
    <xf numFmtId="0" fontId="13" fillId="8" borderId="12" xfId="0" applyFont="1" applyFill="1" applyBorder="1" applyAlignment="1"/>
    <xf numFmtId="0" fontId="13" fillId="14" borderId="17" xfId="0" applyFont="1" applyFill="1" applyBorder="1" applyAlignment="1">
      <alignment horizontal="left"/>
    </xf>
    <xf numFmtId="0" fontId="13" fillId="8" borderId="35" xfId="0" applyFont="1" applyFill="1" applyBorder="1" applyAlignment="1"/>
    <xf numFmtId="0" fontId="12" fillId="3" borderId="35" xfId="0" applyFont="1" applyFill="1" applyBorder="1"/>
    <xf numFmtId="0" fontId="5" fillId="7" borderId="13" xfId="0" applyFont="1" applyFill="1" applyBorder="1" applyAlignment="1">
      <alignment horizontal="left"/>
    </xf>
    <xf numFmtId="0" fontId="90" fillId="7" borderId="11" xfId="0" applyFont="1" applyFill="1" applyBorder="1" applyAlignment="1">
      <alignment horizontal="right"/>
    </xf>
    <xf numFmtId="0" fontId="90" fillId="3" borderId="11" xfId="0" applyFont="1" applyFill="1" applyBorder="1" applyAlignment="1">
      <alignment horizontal="center"/>
    </xf>
    <xf numFmtId="0" fontId="11" fillId="8" borderId="34" xfId="0" applyFont="1" applyFill="1" applyBorder="1"/>
    <xf numFmtId="0" fontId="15" fillId="8" borderId="13" xfId="0" applyFont="1" applyFill="1" applyBorder="1" applyAlignment="1">
      <alignment horizontal="center"/>
    </xf>
    <xf numFmtId="0" fontId="11" fillId="3" borderId="34" xfId="0" applyFont="1" applyFill="1" applyBorder="1"/>
    <xf numFmtId="0" fontId="15" fillId="3" borderId="13" xfId="0" applyFont="1" applyFill="1" applyBorder="1" applyAlignment="1">
      <alignment horizontal="center"/>
    </xf>
    <xf numFmtId="0" fontId="11" fillId="3" borderId="45" xfId="0" applyFont="1" applyFill="1" applyBorder="1"/>
    <xf numFmtId="0" fontId="13" fillId="15" borderId="5" xfId="0" applyFont="1" applyFill="1" applyBorder="1"/>
    <xf numFmtId="0" fontId="14" fillId="15" borderId="34" xfId="0" applyFont="1" applyFill="1" applyBorder="1" applyAlignment="1">
      <alignment horizontal="center"/>
    </xf>
    <xf numFmtId="0" fontId="13" fillId="15" borderId="8" xfId="0" applyFont="1" applyFill="1" applyBorder="1" applyAlignment="1">
      <alignment horizontal="left"/>
    </xf>
    <xf numFmtId="49" fontId="7" fillId="15" borderId="12" xfId="0" applyNumberFormat="1" applyFont="1" applyFill="1" applyBorder="1"/>
    <xf numFmtId="0" fontId="11" fillId="15" borderId="35" xfId="0" applyFont="1" applyFill="1" applyBorder="1"/>
    <xf numFmtId="49" fontId="17" fillId="15" borderId="35" xfId="0" applyNumberFormat="1" applyFont="1" applyFill="1" applyBorder="1" applyAlignment="1">
      <alignment horizontal="left"/>
    </xf>
    <xf numFmtId="2" fontId="28" fillId="15" borderId="28" xfId="0" applyNumberFormat="1" applyFont="1" applyFill="1" applyBorder="1" applyAlignment="1">
      <alignment horizontal="right"/>
    </xf>
    <xf numFmtId="2" fontId="23" fillId="15" borderId="13" xfId="0" applyNumberFormat="1" applyFont="1" applyFill="1" applyBorder="1"/>
    <xf numFmtId="0" fontId="11" fillId="15" borderId="7" xfId="0" applyFont="1" applyFill="1" applyBorder="1"/>
    <xf numFmtId="0" fontId="14" fillId="15" borderId="35" xfId="0" applyFont="1" applyFill="1" applyBorder="1" applyAlignment="1">
      <alignment horizontal="center"/>
    </xf>
    <xf numFmtId="0" fontId="11" fillId="15" borderId="13" xfId="0" applyFont="1" applyFill="1" applyBorder="1" applyAlignment="1">
      <alignment horizontal="left"/>
    </xf>
    <xf numFmtId="1" fontId="28" fillId="15" borderId="13" xfId="0" applyNumberFormat="1" applyFont="1" applyFill="1" applyBorder="1" applyAlignment="1">
      <alignment horizontal="right"/>
    </xf>
    <xf numFmtId="2" fontId="52" fillId="0" borderId="13" xfId="0" applyNumberFormat="1" applyFont="1" applyBorder="1" applyAlignment="1">
      <alignment horizontal="right"/>
    </xf>
    <xf numFmtId="0" fontId="7" fillId="0" borderId="13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7" fillId="2" borderId="11" xfId="0" applyFont="1" applyFill="1" applyBorder="1" applyAlignment="1">
      <alignment horizontal="center"/>
    </xf>
    <xf numFmtId="2" fontId="21" fillId="3" borderId="13" xfId="0" applyNumberFormat="1" applyFont="1" applyFill="1" applyBorder="1" applyAlignment="1">
      <alignment horizontal="right"/>
    </xf>
    <xf numFmtId="0" fontId="15" fillId="3" borderId="35" xfId="0" applyFont="1" applyFill="1" applyBorder="1"/>
    <xf numFmtId="0" fontId="11" fillId="8" borderId="35" xfId="0" applyFont="1" applyFill="1" applyBorder="1" applyAlignment="1">
      <alignment horizontal="center"/>
    </xf>
    <xf numFmtId="2" fontId="17" fillId="0" borderId="13" xfId="0" applyNumberFormat="1" applyFont="1" applyBorder="1" applyAlignment="1">
      <alignment horizontal="center"/>
    </xf>
    <xf numFmtId="0" fontId="13" fillId="0" borderId="57" xfId="0" applyFont="1" applyBorder="1" applyAlignment="1">
      <alignment horizontal="center"/>
    </xf>
    <xf numFmtId="0" fontId="13" fillId="0" borderId="62" xfId="0" applyFont="1" applyBorder="1" applyAlignment="1">
      <alignment horizontal="left"/>
    </xf>
    <xf numFmtId="0" fontId="13" fillId="0" borderId="60" xfId="0" applyFont="1" applyBorder="1" applyAlignment="1">
      <alignment horizontal="left"/>
    </xf>
    <xf numFmtId="49" fontId="11" fillId="9" borderId="12" xfId="0" applyNumberFormat="1" applyFont="1" applyFill="1" applyBorder="1" applyAlignment="1">
      <alignment horizontal="left"/>
    </xf>
    <xf numFmtId="0" fontId="17" fillId="3" borderId="13" xfId="0" applyFont="1" applyFill="1" applyBorder="1"/>
    <xf numFmtId="4" fontId="27" fillId="8" borderId="13" xfId="0" applyNumberFormat="1" applyFont="1" applyFill="1" applyBorder="1" applyAlignment="1">
      <alignment horizontal="left"/>
    </xf>
    <xf numFmtId="2" fontId="92" fillId="3" borderId="13" xfId="0" applyNumberFormat="1" applyFont="1" applyFill="1" applyBorder="1" applyAlignment="1">
      <alignment horizontal="right"/>
    </xf>
    <xf numFmtId="0" fontId="21" fillId="0" borderId="13" xfId="0" applyFont="1" applyBorder="1" applyAlignment="1">
      <alignment horizontal="right"/>
    </xf>
    <xf numFmtId="0" fontId="17" fillId="3" borderId="6" xfId="0" applyFont="1" applyFill="1" applyBorder="1" applyAlignment="1">
      <alignment horizontal="center"/>
    </xf>
    <xf numFmtId="0" fontId="7" fillId="3" borderId="34" xfId="0" applyFont="1" applyFill="1" applyBorder="1"/>
    <xf numFmtId="2" fontId="28" fillId="3" borderId="34" xfId="0" applyNumberFormat="1" applyFont="1" applyFill="1" applyBorder="1" applyAlignment="1">
      <alignment horizontal="right"/>
    </xf>
    <xf numFmtId="0" fontId="13" fillId="4" borderId="33" xfId="0" applyFont="1" applyFill="1" applyBorder="1" applyAlignment="1"/>
    <xf numFmtId="0" fontId="12" fillId="3" borderId="35" xfId="0" applyFont="1" applyFill="1" applyBorder="1" applyAlignment="1">
      <alignment horizontal="center"/>
    </xf>
    <xf numFmtId="0" fontId="17" fillId="7" borderId="37" xfId="0" applyFont="1" applyFill="1" applyBorder="1" applyAlignment="1">
      <alignment horizontal="center"/>
    </xf>
    <xf numFmtId="0" fontId="11" fillId="3" borderId="62" xfId="0" applyFont="1" applyFill="1" applyBorder="1"/>
    <xf numFmtId="0" fontId="17" fillId="3" borderId="7" xfId="0" applyFont="1" applyFill="1" applyBorder="1" applyAlignment="1">
      <alignment horizontal="center"/>
    </xf>
    <xf numFmtId="49" fontId="11" fillId="3" borderId="34" xfId="0" applyNumberFormat="1" applyFont="1" applyFill="1" applyBorder="1"/>
    <xf numFmtId="1" fontId="31" fillId="3" borderId="34" xfId="0" applyNumberFormat="1" applyFont="1" applyFill="1" applyBorder="1"/>
    <xf numFmtId="0" fontId="14" fillId="3" borderId="58" xfId="0" applyFont="1" applyFill="1" applyBorder="1" applyAlignment="1">
      <alignment horizontal="center"/>
    </xf>
    <xf numFmtId="0" fontId="17" fillId="3" borderId="33" xfId="0" applyFont="1" applyFill="1" applyBorder="1" applyAlignment="1">
      <alignment horizontal="center"/>
    </xf>
    <xf numFmtId="0" fontId="13" fillId="3" borderId="54" xfId="0" applyFont="1" applyFill="1" applyBorder="1" applyAlignment="1">
      <alignment horizontal="center"/>
    </xf>
    <xf numFmtId="49" fontId="17" fillId="3" borderId="58" xfId="0" applyNumberFormat="1" applyFont="1" applyFill="1" applyBorder="1" applyAlignment="1">
      <alignment horizontal="center"/>
    </xf>
    <xf numFmtId="0" fontId="13" fillId="3" borderId="59" xfId="0" applyFont="1" applyFill="1" applyBorder="1" applyAlignment="1">
      <alignment horizontal="center"/>
    </xf>
    <xf numFmtId="49" fontId="11" fillId="3" borderId="59" xfId="0" applyNumberFormat="1" applyFont="1" applyFill="1" applyBorder="1" applyAlignment="1">
      <alignment horizontal="center"/>
    </xf>
    <xf numFmtId="1" fontId="31" fillId="3" borderId="59" xfId="0" applyNumberFormat="1" applyFont="1" applyFill="1" applyBorder="1" applyAlignment="1">
      <alignment horizontal="center"/>
    </xf>
    <xf numFmtId="2" fontId="23" fillId="3" borderId="33" xfId="0" applyNumberFormat="1" applyFont="1" applyFill="1" applyBorder="1" applyAlignment="1">
      <alignment horizontal="right"/>
    </xf>
    <xf numFmtId="0" fontId="14" fillId="3" borderId="62" xfId="0" applyFont="1" applyFill="1" applyBorder="1" applyAlignment="1">
      <alignment horizontal="center"/>
    </xf>
    <xf numFmtId="0" fontId="13" fillId="3" borderId="57" xfId="0" applyFont="1" applyFill="1" applyBorder="1" applyAlignment="1">
      <alignment horizontal="center"/>
    </xf>
    <xf numFmtId="0" fontId="13" fillId="3" borderId="60" xfId="0" applyFont="1" applyFill="1" applyBorder="1" applyAlignment="1">
      <alignment horizontal="center"/>
    </xf>
    <xf numFmtId="49" fontId="17" fillId="3" borderId="62" xfId="0" applyNumberFormat="1" applyFont="1" applyFill="1" applyBorder="1" applyAlignment="1">
      <alignment horizontal="center"/>
    </xf>
    <xf numFmtId="0" fontId="13" fillId="3" borderId="61" xfId="0" applyFont="1" applyFill="1" applyBorder="1" applyAlignment="1">
      <alignment horizontal="center"/>
    </xf>
    <xf numFmtId="49" fontId="11" fillId="3" borderId="61" xfId="0" applyNumberFormat="1" applyFont="1" applyFill="1" applyBorder="1" applyAlignment="1">
      <alignment horizontal="center"/>
    </xf>
    <xf numFmtId="1" fontId="31" fillId="3" borderId="61" xfId="0" applyNumberFormat="1" applyFont="1" applyFill="1" applyBorder="1" applyAlignment="1">
      <alignment horizontal="center"/>
    </xf>
    <xf numFmtId="49" fontId="17" fillId="3" borderId="35" xfId="0" applyNumberFormat="1" applyFont="1" applyFill="1" applyBorder="1"/>
    <xf numFmtId="0" fontId="17" fillId="10" borderId="12" xfId="0" applyFont="1" applyFill="1" applyBorder="1" applyAlignment="1">
      <alignment horizontal="center"/>
    </xf>
    <xf numFmtId="0" fontId="14" fillId="10" borderId="43" xfId="0" applyFont="1" applyFill="1" applyBorder="1"/>
    <xf numFmtId="0" fontId="14" fillId="10" borderId="11" xfId="0" applyFont="1" applyFill="1" applyBorder="1" applyAlignment="1">
      <alignment horizontal="center"/>
    </xf>
    <xf numFmtId="49" fontId="17" fillId="10" borderId="35" xfId="0" applyNumberFormat="1" applyFont="1" applyFill="1" applyBorder="1"/>
    <xf numFmtId="1" fontId="31" fillId="10" borderId="35" xfId="0" applyNumberFormat="1" applyFont="1" applyFill="1" applyBorder="1"/>
    <xf numFmtId="0" fontId="17" fillId="10" borderId="35" xfId="0" applyFont="1" applyFill="1" applyBorder="1" applyAlignment="1">
      <alignment horizontal="center"/>
    </xf>
    <xf numFmtId="0" fontId="17" fillId="10" borderId="46" xfId="0" applyFont="1" applyFill="1" applyBorder="1" applyAlignment="1">
      <alignment horizontal="center"/>
    </xf>
    <xf numFmtId="49" fontId="11" fillId="10" borderId="35" xfId="0" applyNumberFormat="1" applyFont="1" applyFill="1" applyBorder="1"/>
    <xf numFmtId="0" fontId="11" fillId="10" borderId="47" xfId="0" applyFont="1" applyFill="1" applyBorder="1"/>
    <xf numFmtId="0" fontId="17" fillId="10" borderId="11" xfId="0" applyFont="1" applyFill="1" applyBorder="1" applyAlignment="1">
      <alignment horizontal="center"/>
    </xf>
    <xf numFmtId="0" fontId="13" fillId="10" borderId="47" xfId="0" applyFont="1" applyFill="1" applyBorder="1"/>
    <xf numFmtId="49" fontId="11" fillId="10" borderId="5" xfId="0" applyNumberFormat="1" applyFont="1" applyFill="1" applyBorder="1"/>
    <xf numFmtId="0" fontId="13" fillId="10" borderId="34" xfId="0" applyFont="1" applyFill="1" applyBorder="1" applyAlignment="1">
      <alignment horizontal="center"/>
    </xf>
    <xf numFmtId="0" fontId="13" fillId="10" borderId="35" xfId="0" applyFont="1" applyFill="1" applyBorder="1" applyAlignment="1">
      <alignment horizontal="center"/>
    </xf>
    <xf numFmtId="0" fontId="11" fillId="10" borderId="19" xfId="0" applyFont="1" applyFill="1" applyBorder="1"/>
    <xf numFmtId="0" fontId="11" fillId="10" borderId="62" xfId="0" applyFont="1" applyFill="1" applyBorder="1"/>
    <xf numFmtId="0" fontId="17" fillId="10" borderId="7" xfId="0" applyFont="1" applyFill="1" applyBorder="1" applyAlignment="1">
      <alignment horizontal="center"/>
    </xf>
    <xf numFmtId="0" fontId="17" fillId="10" borderId="8" xfId="0" applyFont="1" applyFill="1" applyBorder="1" applyAlignment="1">
      <alignment horizontal="center"/>
    </xf>
    <xf numFmtId="0" fontId="13" fillId="10" borderId="55" xfId="0" applyFont="1" applyFill="1" applyBorder="1"/>
    <xf numFmtId="0" fontId="13" fillId="10" borderId="6" xfId="0" applyFont="1" applyFill="1" applyBorder="1" applyAlignment="1">
      <alignment horizontal="center"/>
    </xf>
    <xf numFmtId="49" fontId="17" fillId="10" borderId="7" xfId="0" applyNumberFormat="1" applyFont="1" applyFill="1" applyBorder="1"/>
    <xf numFmtId="0" fontId="11" fillId="10" borderId="34" xfId="0" applyFont="1" applyFill="1" applyBorder="1"/>
    <xf numFmtId="49" fontId="11" fillId="10" borderId="34" xfId="0" applyNumberFormat="1" applyFont="1" applyFill="1" applyBorder="1"/>
    <xf numFmtId="1" fontId="31" fillId="10" borderId="34" xfId="0" applyNumberFormat="1" applyFont="1" applyFill="1" applyBorder="1"/>
    <xf numFmtId="0" fontId="17" fillId="10" borderId="13" xfId="0" applyFont="1" applyFill="1" applyBorder="1" applyAlignment="1">
      <alignment horizontal="center"/>
    </xf>
    <xf numFmtId="0" fontId="11" fillId="10" borderId="2" xfId="0" applyFont="1" applyFill="1" applyBorder="1"/>
    <xf numFmtId="0" fontId="17" fillId="10" borderId="37" xfId="0" applyFont="1" applyFill="1" applyBorder="1" applyAlignment="1">
      <alignment horizontal="center"/>
    </xf>
    <xf numFmtId="0" fontId="17" fillId="10" borderId="25" xfId="0" applyFont="1" applyFill="1" applyBorder="1" applyAlignment="1">
      <alignment horizontal="center"/>
    </xf>
    <xf numFmtId="0" fontId="14" fillId="10" borderId="65" xfId="0" applyFont="1" applyFill="1" applyBorder="1"/>
    <xf numFmtId="0" fontId="14" fillId="10" borderId="24" xfId="0" applyFont="1" applyFill="1" applyBorder="1" applyAlignment="1">
      <alignment horizontal="center"/>
    </xf>
    <xf numFmtId="49" fontId="17" fillId="10" borderId="2" xfId="0" applyNumberFormat="1" applyFont="1" applyFill="1" applyBorder="1"/>
    <xf numFmtId="0" fontId="17" fillId="10" borderId="37" xfId="0" applyFont="1" applyFill="1" applyBorder="1"/>
    <xf numFmtId="49" fontId="17" fillId="10" borderId="37" xfId="0" applyNumberFormat="1" applyFont="1" applyFill="1" applyBorder="1"/>
    <xf numFmtId="1" fontId="31" fillId="10" borderId="37" xfId="0" applyNumberFormat="1" applyFont="1" applyFill="1" applyBorder="1"/>
    <xf numFmtId="2" fontId="34" fillId="3" borderId="13" xfId="0" applyNumberFormat="1" applyFont="1" applyFill="1" applyBorder="1" applyAlignment="1">
      <alignment horizontal="right"/>
    </xf>
    <xf numFmtId="49" fontId="13" fillId="3" borderId="12" xfId="0" applyNumberFormat="1" applyFont="1" applyFill="1" applyBorder="1" applyAlignment="1">
      <alignment horizontal="left"/>
    </xf>
    <xf numFmtId="0" fontId="13" fillId="8" borderId="62" xfId="0" applyFont="1" applyFill="1" applyBorder="1" applyAlignment="1">
      <alignment horizontal="left"/>
    </xf>
    <xf numFmtId="0" fontId="13" fillId="3" borderId="19" xfId="0" applyFont="1" applyFill="1" applyBorder="1"/>
    <xf numFmtId="0" fontId="14" fillId="8" borderId="46" xfId="0" applyFont="1" applyFill="1" applyBorder="1" applyAlignment="1">
      <alignment horizontal="center"/>
    </xf>
    <xf numFmtId="0" fontId="17" fillId="8" borderId="13" xfId="0" applyFont="1" applyFill="1" applyBorder="1" applyAlignment="1">
      <alignment horizontal="left"/>
    </xf>
    <xf numFmtId="0" fontId="11" fillId="8" borderId="13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30" fillId="8" borderId="13" xfId="0" applyFont="1" applyFill="1" applyBorder="1"/>
    <xf numFmtId="0" fontId="13" fillId="8" borderId="63" xfId="0" applyFont="1" applyFill="1" applyBorder="1" applyAlignment="1"/>
    <xf numFmtId="0" fontId="30" fillId="8" borderId="5" xfId="0" applyFont="1" applyFill="1" applyBorder="1"/>
    <xf numFmtId="0" fontId="17" fillId="8" borderId="13" xfId="0" applyFont="1" applyFill="1" applyBorder="1" applyAlignment="1">
      <alignment horizontal="center"/>
    </xf>
    <xf numFmtId="0" fontId="30" fillId="8" borderId="12" xfId="0" applyFont="1" applyFill="1" applyBorder="1" applyAlignment="1">
      <alignment horizontal="center"/>
    </xf>
    <xf numFmtId="49" fontId="10" fillId="9" borderId="12" xfId="0" applyNumberFormat="1" applyFont="1" applyFill="1" applyBorder="1"/>
    <xf numFmtId="2" fontId="28" fillId="4" borderId="13" xfId="0" applyNumberFormat="1" applyFont="1" applyFill="1" applyBorder="1" applyAlignment="1">
      <alignment horizontal="right"/>
    </xf>
    <xf numFmtId="1" fontId="29" fillId="0" borderId="13" xfId="0" applyNumberFormat="1" applyFont="1" applyBorder="1"/>
    <xf numFmtId="0" fontId="10" fillId="0" borderId="10" xfId="0" applyFont="1" applyBorder="1"/>
    <xf numFmtId="49" fontId="2" fillId="0" borderId="35" xfId="0" applyNumberFormat="1" applyFont="1" applyBorder="1" applyAlignment="1">
      <alignment horizontal="left"/>
    </xf>
    <xf numFmtId="0" fontId="13" fillId="3" borderId="54" xfId="0" applyFont="1" applyFill="1" applyBorder="1"/>
    <xf numFmtId="0" fontId="11" fillId="3" borderId="58" xfId="0" applyFont="1" applyFill="1" applyBorder="1"/>
    <xf numFmtId="0" fontId="17" fillId="3" borderId="59" xfId="0" applyFont="1" applyFill="1" applyBorder="1" applyAlignment="1">
      <alignment horizontal="center"/>
    </xf>
    <xf numFmtId="0" fontId="93" fillId="3" borderId="40" xfId="0" applyFont="1" applyFill="1" applyBorder="1" applyAlignment="1"/>
    <xf numFmtId="49" fontId="14" fillId="3" borderId="35" xfId="0" applyNumberFormat="1" applyFont="1" applyFill="1" applyBorder="1"/>
    <xf numFmtId="2" fontId="29" fillId="3" borderId="35" xfId="0" applyNumberFormat="1" applyFont="1" applyFill="1" applyBorder="1"/>
    <xf numFmtId="2" fontId="11" fillId="3" borderId="13" xfId="0" applyNumberFormat="1" applyFont="1" applyFill="1" applyBorder="1" applyAlignment="1">
      <alignment horizontal="center"/>
    </xf>
    <xf numFmtId="1" fontId="32" fillId="3" borderId="35" xfId="0" applyNumberFormat="1" applyFont="1" applyFill="1" applyBorder="1"/>
    <xf numFmtId="1" fontId="32" fillId="10" borderId="35" xfId="0" applyNumberFormat="1" applyFont="1" applyFill="1" applyBorder="1"/>
    <xf numFmtId="1" fontId="51" fillId="10" borderId="35" xfId="0" applyNumberFormat="1" applyFont="1" applyFill="1" applyBorder="1"/>
    <xf numFmtId="0" fontId="11" fillId="3" borderId="0" xfId="0" applyFont="1" applyFill="1" applyBorder="1" applyAlignment="1">
      <alignment horizontal="left"/>
    </xf>
    <xf numFmtId="49" fontId="17" fillId="3" borderId="0" xfId="0" applyNumberFormat="1" applyFont="1" applyFill="1" applyBorder="1"/>
    <xf numFmtId="0" fontId="17" fillId="3" borderId="0" xfId="0" applyFont="1" applyFill="1" applyBorder="1" applyAlignment="1">
      <alignment horizontal="right"/>
    </xf>
    <xf numFmtId="49" fontId="12" fillId="3" borderId="0" xfId="0" applyNumberFormat="1" applyFont="1" applyFill="1" applyBorder="1"/>
    <xf numFmtId="2" fontId="32" fillId="3" borderId="0" xfId="0" applyNumberFormat="1" applyFont="1" applyFill="1" applyBorder="1" applyAlignment="1">
      <alignment horizontal="right"/>
    </xf>
    <xf numFmtId="0" fontId="53" fillId="2" borderId="43" xfId="0" applyFont="1" applyFill="1" applyBorder="1"/>
    <xf numFmtId="0" fontId="53" fillId="2" borderId="11" xfId="0" applyFont="1" applyFill="1" applyBorder="1"/>
    <xf numFmtId="0" fontId="11" fillId="3" borderId="64" xfId="0" applyFont="1" applyFill="1" applyBorder="1" applyAlignment="1">
      <alignment horizontal="left"/>
    </xf>
    <xf numFmtId="2" fontId="24" fillId="3" borderId="11" xfId="0" applyNumberFormat="1" applyFont="1" applyFill="1" applyBorder="1" applyAlignment="1">
      <alignment horizontal="right"/>
    </xf>
    <xf numFmtId="0" fontId="11" fillId="3" borderId="36" xfId="0" applyFont="1" applyFill="1" applyBorder="1" applyAlignment="1">
      <alignment horizontal="center"/>
    </xf>
    <xf numFmtId="0" fontId="11" fillId="3" borderId="66" xfId="0" applyFont="1" applyFill="1" applyBorder="1" applyAlignment="1">
      <alignment horizontal="left"/>
    </xf>
    <xf numFmtId="0" fontId="13" fillId="3" borderId="16" xfId="0" applyFont="1" applyFill="1" applyBorder="1" applyAlignment="1">
      <alignment horizontal="center"/>
    </xf>
    <xf numFmtId="49" fontId="17" fillId="3" borderId="17" xfId="0" applyNumberFormat="1" applyFont="1" applyFill="1" applyBorder="1"/>
    <xf numFmtId="0" fontId="11" fillId="3" borderId="36" xfId="0" applyFont="1" applyFill="1" applyBorder="1" applyAlignment="1">
      <alignment horizontal="right"/>
    </xf>
    <xf numFmtId="49" fontId="7" fillId="3" borderId="36" xfId="0" applyNumberFormat="1" applyFont="1" applyFill="1" applyBorder="1"/>
    <xf numFmtId="2" fontId="31" fillId="3" borderId="36" xfId="0" applyNumberFormat="1" applyFont="1" applyFill="1" applyBorder="1" applyAlignment="1">
      <alignment horizontal="right"/>
    </xf>
    <xf numFmtId="0" fontId="13" fillId="3" borderId="17" xfId="0" applyFont="1" applyFill="1" applyBorder="1"/>
    <xf numFmtId="0" fontId="13" fillId="3" borderId="18" xfId="0" applyFont="1" applyFill="1" applyBorder="1" applyAlignment="1">
      <alignment horizontal="left"/>
    </xf>
    <xf numFmtId="49" fontId="7" fillId="3" borderId="17" xfId="0" applyNumberFormat="1" applyFont="1" applyFill="1" applyBorder="1" applyAlignment="1">
      <alignment horizontal="left"/>
    </xf>
    <xf numFmtId="0" fontId="27" fillId="3" borderId="18" xfId="0" applyFont="1" applyFill="1" applyBorder="1" applyAlignment="1">
      <alignment horizontal="right"/>
    </xf>
    <xf numFmtId="0" fontId="23" fillId="3" borderId="18" xfId="0" applyFont="1" applyFill="1" applyBorder="1" applyAlignment="1">
      <alignment horizontal="right"/>
    </xf>
    <xf numFmtId="0" fontId="11" fillId="3" borderId="18" xfId="0" applyFont="1" applyFill="1" applyBorder="1" applyAlignment="1">
      <alignment horizontal="center"/>
    </xf>
    <xf numFmtId="0" fontId="28" fillId="3" borderId="18" xfId="0" applyFont="1" applyFill="1" applyBorder="1" applyAlignment="1">
      <alignment horizontal="right"/>
    </xf>
    <xf numFmtId="0" fontId="90" fillId="3" borderId="16" xfId="0" applyFont="1" applyFill="1" applyBorder="1" applyAlignment="1">
      <alignment horizontal="center"/>
    </xf>
    <xf numFmtId="0" fontId="11" fillId="4" borderId="59" xfId="0" applyFont="1" applyFill="1" applyBorder="1" applyAlignment="1">
      <alignment horizontal="center"/>
    </xf>
    <xf numFmtId="0" fontId="11" fillId="4" borderId="67" xfId="0" applyFont="1" applyFill="1" applyBorder="1" applyAlignment="1">
      <alignment horizontal="left"/>
    </xf>
    <xf numFmtId="0" fontId="13" fillId="4" borderId="23" xfId="0" applyFont="1" applyFill="1" applyBorder="1" applyAlignment="1">
      <alignment horizontal="center"/>
    </xf>
    <xf numFmtId="49" fontId="17" fillId="4" borderId="58" xfId="0" applyNumberFormat="1" applyFont="1" applyFill="1" applyBorder="1"/>
    <xf numFmtId="0" fontId="11" fillId="4" borderId="59" xfId="0" applyFont="1" applyFill="1" applyBorder="1" applyAlignment="1">
      <alignment horizontal="right"/>
    </xf>
    <xf numFmtId="49" fontId="19" fillId="4" borderId="59" xfId="2" applyNumberFormat="1" applyFill="1" applyBorder="1" applyAlignment="1" applyProtection="1"/>
    <xf numFmtId="2" fontId="31" fillId="4" borderId="59" xfId="0" applyNumberFormat="1" applyFont="1" applyFill="1" applyBorder="1" applyAlignment="1">
      <alignment horizontal="right"/>
    </xf>
    <xf numFmtId="0" fontId="11" fillId="4" borderId="46" xfId="0" applyFont="1" applyFill="1" applyBorder="1" applyAlignment="1">
      <alignment horizontal="left"/>
    </xf>
    <xf numFmtId="0" fontId="11" fillId="4" borderId="35" xfId="0" applyFont="1" applyFill="1" applyBorder="1" applyAlignment="1">
      <alignment horizontal="right"/>
    </xf>
    <xf numFmtId="49" fontId="7" fillId="4" borderId="35" xfId="0" applyNumberFormat="1" applyFont="1" applyFill="1" applyBorder="1"/>
    <xf numFmtId="2" fontId="31" fillId="4" borderId="35" xfId="0" applyNumberFormat="1" applyFont="1" applyFill="1" applyBorder="1" applyAlignment="1">
      <alignment horizontal="right"/>
    </xf>
    <xf numFmtId="0" fontId="90" fillId="4" borderId="11" xfId="0" applyFont="1" applyFill="1" applyBorder="1" applyAlignment="1">
      <alignment horizontal="center"/>
    </xf>
    <xf numFmtId="49" fontId="19" fillId="4" borderId="35" xfId="2" applyNumberFormat="1" applyFill="1" applyBorder="1" applyAlignment="1" applyProtection="1"/>
    <xf numFmtId="0" fontId="11" fillId="11" borderId="5" xfId="0" applyFont="1" applyFill="1" applyBorder="1" applyAlignment="1">
      <alignment horizontal="center"/>
    </xf>
    <xf numFmtId="0" fontId="11" fillId="11" borderId="6" xfId="0" applyFont="1" applyFill="1" applyBorder="1" applyAlignment="1">
      <alignment horizontal="center"/>
    </xf>
    <xf numFmtId="0" fontId="11" fillId="3" borderId="50" xfId="0" applyFont="1" applyFill="1" applyBorder="1"/>
    <xf numFmtId="49" fontId="7" fillId="3" borderId="0" xfId="0" applyNumberFormat="1" applyFont="1" applyFill="1" applyBorder="1"/>
    <xf numFmtId="0" fontId="7" fillId="3" borderId="0" xfId="0" applyFont="1" applyFill="1" applyBorder="1"/>
    <xf numFmtId="1" fontId="28" fillId="3" borderId="0" xfId="0" applyNumberFormat="1" applyFont="1" applyFill="1" applyBorder="1" applyAlignment="1">
      <alignment horizontal="right"/>
    </xf>
    <xf numFmtId="1" fontId="23" fillId="3" borderId="0" xfId="0" applyNumberFormat="1" applyFont="1" applyFill="1" applyBorder="1" applyAlignment="1">
      <alignment horizontal="right"/>
    </xf>
    <xf numFmtId="2" fontId="17" fillId="3" borderId="36" xfId="0" applyNumberFormat="1" applyFont="1" applyFill="1" applyBorder="1"/>
    <xf numFmtId="49" fontId="12" fillId="3" borderId="36" xfId="0" applyNumberFormat="1" applyFont="1" applyFill="1" applyBorder="1" applyAlignment="1">
      <alignment horizontal="left"/>
    </xf>
    <xf numFmtId="0" fontId="2" fillId="3" borderId="46" xfId="0" applyFont="1" applyFill="1" applyBorder="1" applyAlignment="1">
      <alignment horizontal="left"/>
    </xf>
    <xf numFmtId="0" fontId="17" fillId="9" borderId="11" xfId="0" applyFont="1" applyFill="1" applyBorder="1"/>
    <xf numFmtId="0" fontId="13" fillId="9" borderId="47" xfId="0" applyFont="1" applyFill="1" applyBorder="1" applyAlignment="1">
      <alignment horizontal="center"/>
    </xf>
    <xf numFmtId="0" fontId="12" fillId="0" borderId="34" xfId="0" applyFont="1" applyBorder="1" applyAlignment="1"/>
    <xf numFmtId="0" fontId="12" fillId="0" borderId="35" xfId="0" applyFont="1" applyBorder="1" applyAlignment="1"/>
    <xf numFmtId="0" fontId="13" fillId="3" borderId="11" xfId="0" applyFont="1" applyFill="1" applyBorder="1" applyAlignment="1">
      <alignment horizontal="left"/>
    </xf>
    <xf numFmtId="0" fontId="12" fillId="10" borderId="35" xfId="0" applyFont="1" applyFill="1" applyBorder="1"/>
    <xf numFmtId="0" fontId="17" fillId="10" borderId="12" xfId="0" applyFont="1" applyFill="1" applyBorder="1"/>
    <xf numFmtId="0" fontId="17" fillId="8" borderId="12" xfId="0" applyFont="1" applyFill="1" applyBorder="1"/>
    <xf numFmtId="0" fontId="94" fillId="9" borderId="11" xfId="0" applyFont="1" applyFill="1" applyBorder="1" applyAlignment="1">
      <alignment horizontal="right"/>
    </xf>
    <xf numFmtId="0" fontId="94" fillId="2" borderId="11" xfId="0" applyFont="1" applyFill="1" applyBorder="1" applyAlignment="1">
      <alignment horizontal="right"/>
    </xf>
    <xf numFmtId="49" fontId="91" fillId="0" borderId="35" xfId="2" applyNumberFormat="1" applyFont="1" applyBorder="1" applyAlignment="1" applyProtection="1"/>
    <xf numFmtId="0" fontId="7" fillId="0" borderId="12" xfId="0" applyFont="1" applyBorder="1" applyAlignment="1">
      <alignment horizontal="left"/>
    </xf>
    <xf numFmtId="0" fontId="95" fillId="2" borderId="11" xfId="0" applyFont="1" applyFill="1" applyBorder="1" applyAlignment="1">
      <alignment horizontal="center"/>
    </xf>
    <xf numFmtId="0" fontId="96" fillId="2" borderId="11" xfId="0" applyFont="1" applyFill="1" applyBorder="1" applyAlignment="1">
      <alignment horizontal="center"/>
    </xf>
    <xf numFmtId="0" fontId="90" fillId="3" borderId="6" xfId="0" applyFont="1" applyFill="1" applyBorder="1" applyAlignment="1">
      <alignment horizontal="center"/>
    </xf>
    <xf numFmtId="0" fontId="11" fillId="3" borderId="34" xfId="0" applyFont="1" applyFill="1" applyBorder="1" applyAlignment="1">
      <alignment horizontal="right"/>
    </xf>
    <xf numFmtId="49" fontId="19" fillId="3" borderId="34" xfId="2" applyNumberFormat="1" applyFill="1" applyBorder="1" applyAlignment="1" applyProtection="1"/>
    <xf numFmtId="2" fontId="31" fillId="3" borderId="34" xfId="0" applyNumberFormat="1" applyFont="1" applyFill="1" applyBorder="1" applyAlignment="1">
      <alignment horizontal="right"/>
    </xf>
    <xf numFmtId="2" fontId="23" fillId="3" borderId="6" xfId="0" applyNumberFormat="1" applyFont="1" applyFill="1" applyBorder="1" applyAlignment="1">
      <alignment horizontal="right"/>
    </xf>
    <xf numFmtId="2" fontId="23" fillId="7" borderId="35" xfId="0" applyNumberFormat="1" applyFont="1" applyFill="1" applyBorder="1" applyAlignment="1">
      <alignment horizontal="right"/>
    </xf>
    <xf numFmtId="0" fontId="12" fillId="0" borderId="34" xfId="0" applyFont="1" applyBorder="1"/>
    <xf numFmtId="2" fontId="35" fillId="0" borderId="8" xfId="0" applyNumberFormat="1" applyFont="1" applyBorder="1" applyAlignment="1">
      <alignment horizontal="right"/>
    </xf>
    <xf numFmtId="0" fontId="11" fillId="0" borderId="49" xfId="0" applyFont="1" applyBorder="1" applyAlignment="1">
      <alignment horizontal="left"/>
    </xf>
    <xf numFmtId="0" fontId="17" fillId="0" borderId="49" xfId="0" applyFont="1" applyBorder="1" applyAlignment="1">
      <alignment horizontal="left"/>
    </xf>
    <xf numFmtId="0" fontId="11" fillId="7" borderId="19" xfId="0" applyFont="1" applyFill="1" applyBorder="1" applyAlignment="1">
      <alignment horizontal="left"/>
    </xf>
    <xf numFmtId="0" fontId="11" fillId="7" borderId="34" xfId="0" applyFont="1" applyFill="1" applyBorder="1" applyAlignment="1">
      <alignment horizontal="left"/>
    </xf>
    <xf numFmtId="0" fontId="17" fillId="7" borderId="34" xfId="0" applyFont="1" applyFill="1" applyBorder="1" applyAlignment="1">
      <alignment horizontal="center"/>
    </xf>
    <xf numFmtId="0" fontId="17" fillId="7" borderId="34" xfId="0" applyFont="1" applyFill="1" applyBorder="1" applyAlignment="1">
      <alignment horizontal="right"/>
    </xf>
    <xf numFmtId="0" fontId="17" fillId="7" borderId="34" xfId="0" applyFont="1" applyFill="1" applyBorder="1"/>
    <xf numFmtId="2" fontId="38" fillId="7" borderId="8" xfId="0" applyNumberFormat="1" applyFont="1" applyFill="1" applyBorder="1" applyAlignment="1">
      <alignment horizontal="right"/>
    </xf>
    <xf numFmtId="0" fontId="11" fillId="0" borderId="25" xfId="0" applyFont="1" applyBorder="1"/>
    <xf numFmtId="0" fontId="11" fillId="7" borderId="49" xfId="0" applyFont="1" applyFill="1" applyBorder="1" applyAlignment="1">
      <alignment horizontal="left"/>
    </xf>
    <xf numFmtId="0" fontId="11" fillId="7" borderId="37" xfId="0" applyFont="1" applyFill="1" applyBorder="1" applyAlignment="1">
      <alignment horizontal="left"/>
    </xf>
    <xf numFmtId="0" fontId="13" fillId="8" borderId="0" xfId="0" applyFont="1" applyFill="1"/>
    <xf numFmtId="0" fontId="13" fillId="8" borderId="0" xfId="0" applyFont="1" applyFill="1" applyBorder="1" applyAlignment="1">
      <alignment horizontal="left"/>
    </xf>
    <xf numFmtId="0" fontId="2" fillId="8" borderId="35" xfId="0" applyFont="1" applyFill="1" applyBorder="1"/>
    <xf numFmtId="0" fontId="2" fillId="3" borderId="35" xfId="0" applyFont="1" applyFill="1" applyBorder="1"/>
    <xf numFmtId="49" fontId="54" fillId="0" borderId="35" xfId="0" applyNumberFormat="1" applyFont="1" applyBorder="1"/>
    <xf numFmtId="0" fontId="12" fillId="4" borderId="12" xfId="0" applyFont="1" applyFill="1" applyBorder="1" applyAlignment="1"/>
    <xf numFmtId="49" fontId="7" fillId="3" borderId="7" xfId="0" applyNumberFormat="1" applyFont="1" applyFill="1" applyBorder="1"/>
    <xf numFmtId="2" fontId="23" fillId="3" borderId="8" xfId="0" applyNumberFormat="1" applyFont="1" applyFill="1" applyBorder="1"/>
    <xf numFmtId="0" fontId="17" fillId="3" borderId="25" xfId="0" applyFont="1" applyFill="1" applyBorder="1" applyAlignment="1">
      <alignment horizontal="left"/>
    </xf>
    <xf numFmtId="0" fontId="13" fillId="2" borderId="65" xfId="0" applyFont="1" applyFill="1" applyBorder="1"/>
    <xf numFmtId="0" fontId="94" fillId="2" borderId="24" xfId="0" applyFont="1" applyFill="1" applyBorder="1" applyAlignment="1">
      <alignment horizontal="right"/>
    </xf>
    <xf numFmtId="0" fontId="17" fillId="3" borderId="8" xfId="0" applyFont="1" applyFill="1" applyBorder="1" applyAlignment="1">
      <alignment horizontal="left"/>
    </xf>
    <xf numFmtId="0" fontId="94" fillId="2" borderId="6" xfId="0" applyFont="1" applyFill="1" applyBorder="1" applyAlignment="1">
      <alignment horizontal="right"/>
    </xf>
    <xf numFmtId="0" fontId="19" fillId="0" borderId="8" xfId="2" applyBorder="1" applyAlignment="1" applyProtection="1">
      <alignment horizontal="left"/>
    </xf>
    <xf numFmtId="2" fontId="38" fillId="3" borderId="8" xfId="0" applyNumberFormat="1" applyFont="1" applyFill="1" applyBorder="1"/>
    <xf numFmtId="0" fontId="13" fillId="2" borderId="24" xfId="0" applyFont="1" applyFill="1" applyBorder="1" applyAlignment="1">
      <alignment horizontal="right"/>
    </xf>
    <xf numFmtId="2" fontId="38" fillId="0" borderId="25" xfId="0" applyNumberFormat="1" applyFont="1" applyBorder="1"/>
    <xf numFmtId="0" fontId="14" fillId="3" borderId="7" xfId="0" applyFont="1" applyFill="1" applyBorder="1"/>
    <xf numFmtId="0" fontId="14" fillId="3" borderId="8" xfId="0" applyFont="1" applyFill="1" applyBorder="1" applyAlignment="1">
      <alignment horizontal="left"/>
    </xf>
    <xf numFmtId="0" fontId="13" fillId="3" borderId="5" xfId="0" applyFont="1" applyFill="1" applyBorder="1"/>
    <xf numFmtId="0" fontId="13" fillId="3" borderId="6" xfId="0" applyFont="1" applyFill="1" applyBorder="1" applyAlignment="1">
      <alignment horizontal="right"/>
    </xf>
    <xf numFmtId="49" fontId="14" fillId="3" borderId="34" xfId="0" applyNumberFormat="1" applyFont="1" applyFill="1" applyBorder="1" applyAlignment="1">
      <alignment horizontal="left"/>
    </xf>
    <xf numFmtId="2" fontId="27" fillId="3" borderId="8" xfId="0" applyNumberFormat="1" applyFont="1" applyFill="1" applyBorder="1" applyAlignment="1">
      <alignment horizontal="right"/>
    </xf>
    <xf numFmtId="0" fontId="15" fillId="3" borderId="2" xfId="0" applyFont="1" applyFill="1" applyBorder="1"/>
    <xf numFmtId="0" fontId="15" fillId="3" borderId="37" xfId="0" applyFont="1" applyFill="1" applyBorder="1" applyAlignment="1">
      <alignment horizontal="center"/>
    </xf>
    <xf numFmtId="0" fontId="12" fillId="3" borderId="25" xfId="0" applyFont="1" applyFill="1" applyBorder="1" applyAlignment="1">
      <alignment horizontal="left"/>
    </xf>
    <xf numFmtId="0" fontId="13" fillId="3" borderId="1" xfId="0" applyFont="1" applyFill="1" applyBorder="1"/>
    <xf numFmtId="0" fontId="13" fillId="3" borderId="24" xfId="0" applyFont="1" applyFill="1" applyBorder="1" applyAlignment="1">
      <alignment horizontal="right"/>
    </xf>
    <xf numFmtId="49" fontId="14" fillId="3" borderId="37" xfId="0" applyNumberFormat="1" applyFont="1" applyFill="1" applyBorder="1" applyAlignment="1">
      <alignment horizontal="left"/>
    </xf>
    <xf numFmtId="2" fontId="28" fillId="3" borderId="25" xfId="0" applyNumberFormat="1" applyFont="1" applyFill="1" applyBorder="1" applyAlignment="1">
      <alignment horizontal="right"/>
    </xf>
    <xf numFmtId="2" fontId="23" fillId="3" borderId="25" xfId="0" applyNumberFormat="1" applyFont="1" applyFill="1" applyBorder="1"/>
    <xf numFmtId="0" fontId="11" fillId="9" borderId="7" xfId="0" applyFont="1" applyFill="1" applyBorder="1"/>
    <xf numFmtId="0" fontId="17" fillId="9" borderId="34" xfId="0" applyFont="1" applyFill="1" applyBorder="1" applyAlignment="1">
      <alignment horizontal="center"/>
    </xf>
    <xf numFmtId="0" fontId="17" fillId="9" borderId="8" xfId="0" applyFont="1" applyFill="1" applyBorder="1" applyAlignment="1">
      <alignment horizontal="left"/>
    </xf>
    <xf numFmtId="0" fontId="13" fillId="9" borderId="5" xfId="0" applyFont="1" applyFill="1" applyBorder="1"/>
    <xf numFmtId="0" fontId="94" fillId="9" borderId="6" xfId="0" applyFont="1" applyFill="1" applyBorder="1" applyAlignment="1">
      <alignment horizontal="right"/>
    </xf>
    <xf numFmtId="49" fontId="7" fillId="9" borderId="7" xfId="0" applyNumberFormat="1" applyFont="1" applyFill="1" applyBorder="1"/>
    <xf numFmtId="0" fontId="11" fillId="9" borderId="34" xfId="0" applyFont="1" applyFill="1" applyBorder="1"/>
    <xf numFmtId="49" fontId="17" fillId="9" borderId="61" xfId="0" applyNumberFormat="1" applyFont="1" applyFill="1" applyBorder="1" applyAlignment="1">
      <alignment horizontal="left"/>
    </xf>
    <xf numFmtId="2" fontId="28" fillId="9" borderId="8" xfId="0" applyNumberFormat="1" applyFont="1" applyFill="1" applyBorder="1" applyAlignment="1">
      <alignment horizontal="right"/>
    </xf>
    <xf numFmtId="2" fontId="23" fillId="9" borderId="8" xfId="0" applyNumberFormat="1" applyFont="1" applyFill="1" applyBorder="1"/>
    <xf numFmtId="0" fontId="14" fillId="3" borderId="10" xfId="0" applyFont="1" applyFill="1" applyBorder="1"/>
    <xf numFmtId="49" fontId="11" fillId="3" borderId="10" xfId="0" applyNumberFormat="1" applyFont="1" applyFill="1" applyBorder="1"/>
    <xf numFmtId="0" fontId="17" fillId="3" borderId="37" xfId="0" applyFont="1" applyFill="1" applyBorder="1" applyAlignment="1">
      <alignment horizontal="center"/>
    </xf>
    <xf numFmtId="0" fontId="17" fillId="3" borderId="24" xfId="0" applyFont="1" applyFill="1" applyBorder="1" applyAlignment="1">
      <alignment horizontal="center"/>
    </xf>
    <xf numFmtId="49" fontId="11" fillId="3" borderId="1" xfId="0" applyNumberFormat="1" applyFont="1" applyFill="1" applyBorder="1"/>
    <xf numFmtId="1" fontId="31" fillId="3" borderId="37" xfId="0" applyNumberFormat="1" applyFont="1" applyFill="1" applyBorder="1"/>
    <xf numFmtId="2" fontId="23" fillId="3" borderId="25" xfId="0" applyNumberFormat="1" applyFont="1" applyFill="1" applyBorder="1" applyAlignment="1">
      <alignment horizontal="right"/>
    </xf>
    <xf numFmtId="49" fontId="17" fillId="3" borderId="37" xfId="0" applyNumberFormat="1" applyFont="1" applyFill="1" applyBorder="1"/>
    <xf numFmtId="0" fontId="11" fillId="3" borderId="19" xfId="0" applyFont="1" applyFill="1" applyBorder="1"/>
    <xf numFmtId="0" fontId="8" fillId="8" borderId="58" xfId="0" applyFont="1" applyFill="1" applyBorder="1" applyAlignment="1">
      <alignment horizontal="left"/>
    </xf>
    <xf numFmtId="0" fontId="17" fillId="3" borderId="22" xfId="0" applyFont="1" applyFill="1" applyBorder="1" applyAlignment="1">
      <alignment horizontal="left"/>
    </xf>
    <xf numFmtId="49" fontId="2" fillId="7" borderId="35" xfId="0" applyNumberFormat="1" applyFont="1" applyFill="1" applyBorder="1" applyAlignment="1">
      <alignment horizontal="left"/>
    </xf>
    <xf numFmtId="0" fontId="14" fillId="8" borderId="12" xfId="0" applyFont="1" applyFill="1" applyBorder="1" applyAlignment="1">
      <alignment horizontal="left"/>
    </xf>
    <xf numFmtId="0" fontId="13" fillId="8" borderId="46" xfId="0" applyFont="1" applyFill="1" applyBorder="1" applyAlignment="1"/>
    <xf numFmtId="0" fontId="17" fillId="0" borderId="35" xfId="0" applyFont="1" applyBorder="1" applyAlignment="1"/>
    <xf numFmtId="0" fontId="83" fillId="3" borderId="35" xfId="0" applyFont="1" applyFill="1" applyBorder="1" applyAlignment="1">
      <alignment horizontal="center"/>
    </xf>
    <xf numFmtId="0" fontId="83" fillId="3" borderId="11" xfId="0" applyFont="1" applyFill="1" applyBorder="1" applyAlignment="1">
      <alignment horizontal="left"/>
    </xf>
    <xf numFmtId="49" fontId="97" fillId="3" borderId="12" xfId="0" applyNumberFormat="1" applyFont="1" applyFill="1" applyBorder="1"/>
    <xf numFmtId="0" fontId="83" fillId="3" borderId="35" xfId="0" applyFont="1" applyFill="1" applyBorder="1" applyAlignment="1">
      <alignment horizontal="right"/>
    </xf>
    <xf numFmtId="49" fontId="98" fillId="3" borderId="35" xfId="0" applyNumberFormat="1" applyFont="1" applyFill="1" applyBorder="1"/>
    <xf numFmtId="2" fontId="83" fillId="3" borderId="35" xfId="0" applyNumberFormat="1" applyFont="1" applyFill="1" applyBorder="1" applyAlignment="1">
      <alignment horizontal="right"/>
    </xf>
    <xf numFmtId="2" fontId="90" fillId="3" borderId="13" xfId="0" applyNumberFormat="1" applyFont="1" applyFill="1" applyBorder="1" applyAlignment="1">
      <alignment horizontal="right"/>
    </xf>
    <xf numFmtId="0" fontId="83" fillId="0" borderId="35" xfId="0" applyFont="1" applyBorder="1" applyAlignment="1">
      <alignment horizontal="center"/>
    </xf>
    <xf numFmtId="0" fontId="83" fillId="0" borderId="11" xfId="0" applyFont="1" applyBorder="1" applyAlignment="1">
      <alignment horizontal="left"/>
    </xf>
    <xf numFmtId="0" fontId="90" fillId="2" borderId="11" xfId="0" applyFont="1" applyFill="1" applyBorder="1"/>
    <xf numFmtId="49" fontId="97" fillId="0" borderId="12" xfId="0" applyNumberFormat="1" applyFont="1" applyBorder="1"/>
    <xf numFmtId="0" fontId="83" fillId="0" borderId="35" xfId="0" applyFont="1" applyBorder="1" applyAlignment="1">
      <alignment horizontal="right"/>
    </xf>
    <xf numFmtId="49" fontId="98" fillId="0" borderId="35" xfId="0" applyNumberFormat="1" applyFont="1" applyBorder="1"/>
    <xf numFmtId="2" fontId="83" fillId="0" borderId="35" xfId="0" applyNumberFormat="1" applyFont="1" applyBorder="1" applyAlignment="1">
      <alignment horizontal="right"/>
    </xf>
    <xf numFmtId="2" fontId="90" fillId="0" borderId="13" xfId="0" applyNumberFormat="1" applyFont="1" applyBorder="1" applyAlignment="1">
      <alignment horizontal="right"/>
    </xf>
    <xf numFmtId="0" fontId="7" fillId="11" borderId="34" xfId="0" applyFont="1" applyFill="1" applyBorder="1"/>
    <xf numFmtId="0" fontId="19" fillId="8" borderId="35" xfId="2" applyFill="1" applyBorder="1" applyAlignment="1" applyProtection="1"/>
    <xf numFmtId="0" fontId="19" fillId="10" borderId="35" xfId="2" applyFill="1" applyBorder="1" applyAlignment="1" applyProtection="1"/>
    <xf numFmtId="0" fontId="4" fillId="2" borderId="11" xfId="0" applyFont="1" applyFill="1" applyBorder="1" applyAlignment="1">
      <alignment horizontal="center"/>
    </xf>
    <xf numFmtId="49" fontId="4" fillId="0" borderId="35" xfId="0" applyNumberFormat="1" applyFont="1" applyBorder="1"/>
    <xf numFmtId="0" fontId="15" fillId="3" borderId="11" xfId="0" applyFont="1" applyFill="1" applyBorder="1" applyAlignment="1">
      <alignment horizontal="center"/>
    </xf>
    <xf numFmtId="2" fontId="29" fillId="3" borderId="8" xfId="0" applyNumberFormat="1" applyFont="1" applyFill="1" applyBorder="1" applyAlignment="1">
      <alignment horizontal="right"/>
    </xf>
    <xf numFmtId="0" fontId="13" fillId="13" borderId="43" xfId="0" applyFont="1" applyFill="1" applyBorder="1"/>
    <xf numFmtId="0" fontId="14" fillId="13" borderId="43" xfId="0" applyFont="1" applyFill="1" applyBorder="1"/>
    <xf numFmtId="0" fontId="14" fillId="13" borderId="11" xfId="0" applyFont="1" applyFill="1" applyBorder="1" applyAlignment="1">
      <alignment horizontal="center"/>
    </xf>
    <xf numFmtId="0" fontId="13" fillId="13" borderId="19" xfId="0" applyFont="1" applyFill="1" applyBorder="1"/>
    <xf numFmtId="0" fontId="13" fillId="13" borderId="6" xfId="0" applyFont="1" applyFill="1" applyBorder="1" applyAlignment="1">
      <alignment horizontal="center"/>
    </xf>
    <xf numFmtId="0" fontId="13" fillId="13" borderId="47" xfId="0" applyFont="1" applyFill="1" applyBorder="1"/>
    <xf numFmtId="0" fontId="15" fillId="13" borderId="11" xfId="0" applyFont="1" applyFill="1" applyBorder="1" applyAlignment="1">
      <alignment horizontal="center"/>
    </xf>
    <xf numFmtId="0" fontId="7" fillId="0" borderId="47" xfId="0" applyFont="1" applyBorder="1" applyAlignment="1">
      <alignment horizontal="left"/>
    </xf>
    <xf numFmtId="1" fontId="32" fillId="4" borderId="35" xfId="0" applyNumberFormat="1" applyFont="1" applyFill="1" applyBorder="1"/>
    <xf numFmtId="0" fontId="10" fillId="3" borderId="13" xfId="0" applyFont="1" applyFill="1" applyBorder="1" applyAlignment="1">
      <alignment horizontal="center"/>
    </xf>
    <xf numFmtId="2" fontId="99" fillId="3" borderId="13" xfId="0" applyNumberFormat="1" applyFont="1" applyFill="1" applyBorder="1" applyAlignment="1">
      <alignment horizontal="right"/>
    </xf>
    <xf numFmtId="14" fontId="12" fillId="3" borderId="35" xfId="0" applyNumberFormat="1" applyFont="1" applyFill="1" applyBorder="1"/>
    <xf numFmtId="2" fontId="39" fillId="3" borderId="35" xfId="0" applyNumberFormat="1" applyFont="1" applyFill="1" applyBorder="1" applyAlignment="1">
      <alignment horizontal="right"/>
    </xf>
    <xf numFmtId="0" fontId="7" fillId="3" borderId="2" xfId="0" applyFont="1" applyFill="1" applyBorder="1"/>
    <xf numFmtId="0" fontId="17" fillId="12" borderId="47" xfId="0" applyFont="1" applyFill="1" applyBorder="1" applyAlignment="1">
      <alignment horizontal="center"/>
    </xf>
    <xf numFmtId="0" fontId="11" fillId="12" borderId="11" xfId="0" applyFont="1" applyFill="1" applyBorder="1" applyAlignment="1">
      <alignment horizontal="center"/>
    </xf>
    <xf numFmtId="0" fontId="83" fillId="12" borderId="11" xfId="0" applyFont="1" applyFill="1" applyBorder="1" applyAlignment="1">
      <alignment horizontal="center"/>
    </xf>
    <xf numFmtId="2" fontId="55" fillId="0" borderId="35" xfId="0" applyNumberFormat="1" applyFont="1" applyBorder="1" applyAlignment="1">
      <alignment horizontal="right"/>
    </xf>
    <xf numFmtId="0" fontId="25" fillId="2" borderId="55" xfId="0" applyFont="1" applyFill="1" applyBorder="1"/>
    <xf numFmtId="0" fontId="12" fillId="0" borderId="19" xfId="0" applyFont="1" applyBorder="1" applyAlignment="1">
      <alignment horizontal="left"/>
    </xf>
    <xf numFmtId="49" fontId="19" fillId="3" borderId="34" xfId="2" applyNumberFormat="1" applyFill="1" applyBorder="1" applyAlignment="1" applyProtection="1">
      <alignment horizontal="left"/>
    </xf>
    <xf numFmtId="0" fontId="17" fillId="0" borderId="2" xfId="0" applyFont="1" applyBorder="1"/>
    <xf numFmtId="0" fontId="12" fillId="0" borderId="49" xfId="0" applyFont="1" applyBorder="1" applyAlignment="1">
      <alignment horizontal="left"/>
    </xf>
    <xf numFmtId="49" fontId="7" fillId="0" borderId="2" xfId="0" applyNumberFormat="1" applyFont="1" applyBorder="1"/>
    <xf numFmtId="0" fontId="14" fillId="8" borderId="12" xfId="0" applyFont="1" applyFill="1" applyBorder="1"/>
    <xf numFmtId="0" fontId="11" fillId="12" borderId="6" xfId="0" applyFont="1" applyFill="1" applyBorder="1" applyAlignment="1">
      <alignment horizontal="center"/>
    </xf>
    <xf numFmtId="0" fontId="13" fillId="3" borderId="25" xfId="0" applyFont="1" applyFill="1" applyBorder="1"/>
    <xf numFmtId="0" fontId="17" fillId="0" borderId="24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2" fillId="3" borderId="34" xfId="0" applyFont="1" applyFill="1" applyBorder="1"/>
    <xf numFmtId="1" fontId="28" fillId="3" borderId="34" xfId="0" applyNumberFormat="1" applyFont="1" applyFill="1" applyBorder="1" applyAlignment="1">
      <alignment horizontal="right"/>
    </xf>
    <xf numFmtId="0" fontId="11" fillId="3" borderId="49" xfId="0" applyFont="1" applyFill="1" applyBorder="1" applyAlignment="1">
      <alignment horizontal="center"/>
    </xf>
    <xf numFmtId="0" fontId="11" fillId="3" borderId="24" xfId="0" applyFont="1" applyFill="1" applyBorder="1" applyAlignment="1">
      <alignment horizontal="center"/>
    </xf>
    <xf numFmtId="2" fontId="28" fillId="0" borderId="37" xfId="0" applyNumberFormat="1" applyFont="1" applyBorder="1" applyAlignment="1">
      <alignment horizontal="right"/>
    </xf>
    <xf numFmtId="0" fontId="17" fillId="2" borderId="49" xfId="0" applyFont="1" applyFill="1" applyBorder="1" applyAlignment="1">
      <alignment horizontal="center"/>
    </xf>
    <xf numFmtId="0" fontId="12" fillId="3" borderId="37" xfId="0" applyFont="1" applyFill="1" applyBorder="1"/>
    <xf numFmtId="1" fontId="28" fillId="3" borderId="37" xfId="0" applyNumberFormat="1" applyFont="1" applyFill="1" applyBorder="1" applyAlignment="1">
      <alignment horizontal="right"/>
    </xf>
    <xf numFmtId="0" fontId="12" fillId="6" borderId="35" xfId="0" applyFont="1" applyFill="1" applyBorder="1"/>
    <xf numFmtId="0" fontId="12" fillId="6" borderId="37" xfId="0" applyFont="1" applyFill="1" applyBorder="1"/>
    <xf numFmtId="0" fontId="2" fillId="0" borderId="13" xfId="0" applyFont="1" applyBorder="1"/>
    <xf numFmtId="0" fontId="12" fillId="3" borderId="13" xfId="0" applyFont="1" applyFill="1" applyBorder="1"/>
    <xf numFmtId="0" fontId="11" fillId="4" borderId="46" xfId="0" applyFont="1" applyFill="1" applyBorder="1" applyAlignment="1">
      <alignment horizontal="center"/>
    </xf>
    <xf numFmtId="0" fontId="13" fillId="4" borderId="11" xfId="0" applyFont="1" applyFill="1" applyBorder="1"/>
    <xf numFmtId="49" fontId="11" fillId="4" borderId="12" xfId="0" applyNumberFormat="1" applyFont="1" applyFill="1" applyBorder="1" applyAlignment="1">
      <alignment horizontal="left"/>
    </xf>
    <xf numFmtId="168" fontId="17" fillId="4" borderId="35" xfId="0" applyNumberFormat="1" applyFont="1" applyFill="1" applyBorder="1"/>
    <xf numFmtId="0" fontId="11" fillId="4" borderId="35" xfId="0" applyFont="1" applyFill="1" applyBorder="1" applyAlignment="1">
      <alignment horizontal="left"/>
    </xf>
    <xf numFmtId="0" fontId="13" fillId="4" borderId="35" xfId="0" applyFont="1" applyFill="1" applyBorder="1" applyAlignment="1">
      <alignment horizontal="right"/>
    </xf>
    <xf numFmtId="0" fontId="23" fillId="4" borderId="13" xfId="0" applyFont="1" applyFill="1" applyBorder="1" applyAlignment="1">
      <alignment horizontal="right"/>
    </xf>
    <xf numFmtId="0" fontId="13" fillId="4" borderId="6" xfId="0" applyFont="1" applyFill="1" applyBorder="1"/>
    <xf numFmtId="49" fontId="11" fillId="4" borderId="35" xfId="0" applyNumberFormat="1" applyFont="1" applyFill="1" applyBorder="1" applyAlignment="1">
      <alignment horizontal="left"/>
    </xf>
    <xf numFmtId="2" fontId="13" fillId="4" borderId="35" xfId="0" applyNumberFormat="1" applyFont="1" applyFill="1" applyBorder="1" applyAlignment="1">
      <alignment horizontal="right"/>
    </xf>
    <xf numFmtId="0" fontId="11" fillId="4" borderId="47" xfId="0" applyFont="1" applyFill="1" applyBorder="1" applyAlignment="1">
      <alignment horizontal="center"/>
    </xf>
    <xf numFmtId="0" fontId="14" fillId="4" borderId="35" xfId="0" applyFont="1" applyFill="1" applyBorder="1"/>
    <xf numFmtId="2" fontId="39" fillId="0" borderId="0" xfId="0" applyNumberFormat="1" applyFont="1" applyBorder="1" applyAlignment="1">
      <alignment horizontal="right"/>
    </xf>
    <xf numFmtId="2" fontId="38" fillId="0" borderId="0" xfId="0" applyNumberFormat="1" applyFont="1" applyBorder="1" applyAlignment="1">
      <alignment horizontal="right"/>
    </xf>
    <xf numFmtId="0" fontId="14" fillId="3" borderId="0" xfId="0" applyFont="1" applyFill="1" applyBorder="1" applyAlignment="1">
      <alignment horizontal="right"/>
    </xf>
    <xf numFmtId="0" fontId="15" fillId="3" borderId="0" xfId="0" applyFont="1" applyFill="1" applyBorder="1"/>
    <xf numFmtId="14" fontId="4" fillId="0" borderId="10" xfId="0" applyNumberFormat="1" applyFont="1" applyBorder="1"/>
    <xf numFmtId="0" fontId="13" fillId="8" borderId="17" xfId="0" applyFont="1" applyFill="1" applyBorder="1"/>
    <xf numFmtId="2" fontId="19" fillId="3" borderId="13" xfId="2" applyNumberFormat="1" applyFill="1" applyBorder="1" applyAlignment="1" applyProtection="1">
      <alignment horizontal="right"/>
    </xf>
    <xf numFmtId="0" fontId="7" fillId="3" borderId="13" xfId="0" applyFont="1" applyFill="1" applyBorder="1" applyAlignment="1">
      <alignment horizontal="left"/>
    </xf>
    <xf numFmtId="2" fontId="38" fillId="0" borderId="37" xfId="0" applyNumberFormat="1" applyFont="1" applyBorder="1" applyAlignment="1">
      <alignment horizontal="right"/>
    </xf>
    <xf numFmtId="0" fontId="2" fillId="0" borderId="47" xfId="0" applyFont="1" applyBorder="1" applyAlignment="1">
      <alignment horizontal="left"/>
    </xf>
    <xf numFmtId="1" fontId="21" fillId="0" borderId="35" xfId="0" applyNumberFormat="1" applyFont="1" applyBorder="1" applyAlignment="1">
      <alignment horizontal="right"/>
    </xf>
    <xf numFmtId="0" fontId="13" fillId="3" borderId="40" xfId="0" applyFont="1" applyFill="1" applyBorder="1" applyAlignment="1"/>
    <xf numFmtId="0" fontId="30" fillId="8" borderId="63" xfId="0" applyFont="1" applyFill="1" applyBorder="1" applyAlignment="1"/>
    <xf numFmtId="168" fontId="24" fillId="3" borderId="13" xfId="0" applyNumberFormat="1" applyFont="1" applyFill="1" applyBorder="1" applyAlignment="1">
      <alignment horizontal="right"/>
    </xf>
    <xf numFmtId="0" fontId="11" fillId="3" borderId="25" xfId="0" applyFont="1" applyFill="1" applyBorder="1" applyAlignment="1"/>
    <xf numFmtId="2" fontId="24" fillId="3" borderId="25" xfId="0" applyNumberFormat="1" applyFont="1" applyFill="1" applyBorder="1" applyAlignment="1">
      <alignment horizontal="right"/>
    </xf>
    <xf numFmtId="0" fontId="7" fillId="3" borderId="11" xfId="0" applyFont="1" applyFill="1" applyBorder="1" applyAlignment="1">
      <alignment horizontal="center"/>
    </xf>
    <xf numFmtId="1" fontId="51" fillId="3" borderId="35" xfId="0" applyNumberFormat="1" applyFont="1" applyFill="1" applyBorder="1"/>
    <xf numFmtId="49" fontId="11" fillId="3" borderId="30" xfId="0" applyNumberFormat="1" applyFont="1" applyFill="1" applyBorder="1"/>
    <xf numFmtId="49" fontId="11" fillId="3" borderId="37" xfId="0" applyNumberFormat="1" applyFont="1" applyFill="1" applyBorder="1"/>
    <xf numFmtId="1" fontId="32" fillId="3" borderId="37" xfId="0" applyNumberFormat="1" applyFont="1" applyFill="1" applyBorder="1"/>
    <xf numFmtId="0" fontId="17" fillId="9" borderId="6" xfId="0" applyFont="1" applyFill="1" applyBorder="1" applyAlignment="1">
      <alignment horizontal="center"/>
    </xf>
    <xf numFmtId="49" fontId="11" fillId="9" borderId="5" xfId="0" applyNumberFormat="1" applyFont="1" applyFill="1" applyBorder="1"/>
    <xf numFmtId="49" fontId="11" fillId="9" borderId="34" xfId="0" applyNumberFormat="1" applyFont="1" applyFill="1" applyBorder="1"/>
    <xf numFmtId="1" fontId="31" fillId="9" borderId="34" xfId="0" applyNumberFormat="1" applyFont="1" applyFill="1" applyBorder="1"/>
    <xf numFmtId="2" fontId="24" fillId="9" borderId="8" xfId="0" applyNumberFormat="1" applyFont="1" applyFill="1" applyBorder="1" applyAlignment="1">
      <alignment horizontal="right"/>
    </xf>
    <xf numFmtId="0" fontId="17" fillId="9" borderId="11" xfId="0" applyFont="1" applyFill="1" applyBorder="1" applyAlignment="1">
      <alignment horizontal="center"/>
    </xf>
    <xf numFmtId="49" fontId="11" fillId="9" borderId="10" xfId="0" applyNumberFormat="1" applyFont="1" applyFill="1" applyBorder="1"/>
    <xf numFmtId="49" fontId="11" fillId="9" borderId="35" xfId="0" applyNumberFormat="1" applyFont="1" applyFill="1" applyBorder="1"/>
    <xf numFmtId="2" fontId="24" fillId="9" borderId="13" xfId="0" applyNumberFormat="1" applyFont="1" applyFill="1" applyBorder="1" applyAlignment="1">
      <alignment horizontal="right"/>
    </xf>
    <xf numFmtId="0" fontId="7" fillId="9" borderId="11" xfId="0" applyFont="1" applyFill="1" applyBorder="1" applyAlignment="1">
      <alignment horizontal="center"/>
    </xf>
    <xf numFmtId="1" fontId="51" fillId="9" borderId="35" xfId="0" applyNumberFormat="1" applyFont="1" applyFill="1" applyBorder="1"/>
    <xf numFmtId="0" fontId="10" fillId="11" borderId="35" xfId="0" applyFont="1" applyFill="1" applyBorder="1"/>
    <xf numFmtId="0" fontId="10" fillId="11" borderId="11" xfId="0" applyFont="1" applyFill="1" applyBorder="1"/>
    <xf numFmtId="49" fontId="11" fillId="11" borderId="12" xfId="0" applyNumberFormat="1" applyFont="1" applyFill="1" applyBorder="1"/>
    <xf numFmtId="0" fontId="11" fillId="0" borderId="25" xfId="0" applyFont="1" applyBorder="1" applyAlignment="1">
      <alignment horizontal="left"/>
    </xf>
    <xf numFmtId="0" fontId="13" fillId="8" borderId="34" xfId="0" applyFont="1" applyFill="1" applyBorder="1"/>
    <xf numFmtId="14" fontId="7" fillId="3" borderId="10" xfId="0" applyNumberFormat="1" applyFont="1" applyFill="1" applyBorder="1"/>
    <xf numFmtId="0" fontId="11" fillId="15" borderId="17" xfId="0" applyFont="1" applyFill="1" applyBorder="1"/>
    <xf numFmtId="0" fontId="11" fillId="15" borderId="35" xfId="0" applyFont="1" applyFill="1" applyBorder="1" applyAlignment="1">
      <alignment horizontal="center"/>
    </xf>
    <xf numFmtId="0" fontId="11" fillId="15" borderId="46" xfId="0" applyFont="1" applyFill="1" applyBorder="1" applyAlignment="1">
      <alignment horizontal="center"/>
    </xf>
    <xf numFmtId="0" fontId="13" fillId="15" borderId="47" xfId="0" applyFont="1" applyFill="1" applyBorder="1"/>
    <xf numFmtId="49" fontId="11" fillId="15" borderId="35" xfId="0" applyNumberFormat="1" applyFont="1" applyFill="1" applyBorder="1" applyAlignment="1">
      <alignment horizontal="left"/>
    </xf>
    <xf numFmtId="2" fontId="13" fillId="15" borderId="35" xfId="0" applyNumberFormat="1" applyFont="1" applyFill="1" applyBorder="1" applyAlignment="1">
      <alignment horizontal="right"/>
    </xf>
    <xf numFmtId="49" fontId="7" fillId="3" borderId="34" xfId="0" applyNumberFormat="1" applyFont="1" applyFill="1" applyBorder="1"/>
    <xf numFmtId="49" fontId="19" fillId="0" borderId="34" xfId="2" applyNumberFormat="1" applyBorder="1" applyAlignment="1" applyProtection="1"/>
    <xf numFmtId="0" fontId="17" fillId="13" borderId="12" xfId="0" applyFont="1" applyFill="1" applyBorder="1" applyAlignment="1">
      <alignment horizontal="left"/>
    </xf>
    <xf numFmtId="0" fontId="17" fillId="13" borderId="35" xfId="0" applyFont="1" applyFill="1" applyBorder="1" applyAlignment="1">
      <alignment horizontal="right"/>
    </xf>
    <xf numFmtId="49" fontId="12" fillId="13" borderId="35" xfId="0" applyNumberFormat="1" applyFont="1" applyFill="1" applyBorder="1"/>
    <xf numFmtId="2" fontId="32" fillId="13" borderId="35" xfId="0" applyNumberFormat="1" applyFont="1" applyFill="1" applyBorder="1" applyAlignment="1">
      <alignment horizontal="right"/>
    </xf>
    <xf numFmtId="2" fontId="24" fillId="13" borderId="13" xfId="0" applyNumberFormat="1" applyFont="1" applyFill="1" applyBorder="1" applyAlignment="1">
      <alignment horizontal="right"/>
    </xf>
    <xf numFmtId="0" fontId="100" fillId="13" borderId="11" xfId="0" applyFont="1" applyFill="1" applyBorder="1" applyAlignment="1">
      <alignment horizontal="center"/>
    </xf>
    <xf numFmtId="49" fontId="19" fillId="13" borderId="35" xfId="2" applyNumberFormat="1" applyFill="1" applyBorder="1" applyAlignment="1" applyProtection="1"/>
    <xf numFmtId="0" fontId="101" fillId="3" borderId="6" xfId="0" applyFont="1" applyFill="1" applyBorder="1" applyAlignment="1">
      <alignment horizontal="center"/>
    </xf>
    <xf numFmtId="0" fontId="102" fillId="3" borderId="11" xfId="0" applyFont="1" applyFill="1" applyBorder="1" applyAlignment="1">
      <alignment horizontal="center"/>
    </xf>
    <xf numFmtId="0" fontId="15" fillId="12" borderId="12" xfId="0" applyFont="1" applyFill="1" applyBorder="1" applyAlignment="1"/>
    <xf numFmtId="0" fontId="17" fillId="12" borderId="13" xfId="0" applyFont="1" applyFill="1" applyBorder="1" applyAlignment="1">
      <alignment horizontal="center"/>
    </xf>
    <xf numFmtId="0" fontId="13" fillId="12" borderId="10" xfId="0" applyFont="1" applyFill="1" applyBorder="1" applyAlignment="1">
      <alignment horizontal="center"/>
    </xf>
    <xf numFmtId="0" fontId="11" fillId="12" borderId="35" xfId="0" applyFont="1" applyFill="1" applyBorder="1" applyAlignment="1">
      <alignment horizontal="right"/>
    </xf>
    <xf numFmtId="0" fontId="17" fillId="12" borderId="35" xfId="0" applyFont="1" applyFill="1" applyBorder="1"/>
    <xf numFmtId="2" fontId="11" fillId="12" borderId="35" xfId="0" applyNumberFormat="1" applyFont="1" applyFill="1" applyBorder="1" applyAlignment="1">
      <alignment horizontal="right"/>
    </xf>
    <xf numFmtId="2" fontId="23" fillId="12" borderId="13" xfId="0" applyNumberFormat="1" applyFont="1" applyFill="1" applyBorder="1" applyAlignment="1">
      <alignment horizontal="right"/>
    </xf>
    <xf numFmtId="0" fontId="7" fillId="12" borderId="34" xfId="0" applyFont="1" applyFill="1" applyBorder="1"/>
    <xf numFmtId="0" fontId="15" fillId="12" borderId="12" xfId="0" applyFont="1" applyFill="1" applyBorder="1"/>
    <xf numFmtId="0" fontId="13" fillId="12" borderId="35" xfId="0" applyFont="1" applyFill="1" applyBorder="1" applyAlignment="1">
      <alignment horizontal="center"/>
    </xf>
    <xf numFmtId="0" fontId="12" fillId="12" borderId="12" xfId="0" applyFont="1" applyFill="1" applyBorder="1"/>
    <xf numFmtId="2" fontId="17" fillId="12" borderId="35" xfId="0" applyNumberFormat="1" applyFont="1" applyFill="1" applyBorder="1" applyAlignment="1">
      <alignment horizontal="right"/>
    </xf>
    <xf numFmtId="0" fontId="11" fillId="12" borderId="12" xfId="0" applyFont="1" applyFill="1" applyBorder="1"/>
    <xf numFmtId="0" fontId="7" fillId="11" borderId="12" xfId="0" applyFont="1" applyFill="1" applyBorder="1"/>
    <xf numFmtId="0" fontId="11" fillId="4" borderId="13" xfId="0" applyFont="1" applyFill="1" applyBorder="1" applyAlignment="1">
      <alignment horizontal="center"/>
    </xf>
    <xf numFmtId="0" fontId="94" fillId="4" borderId="11" xfId="0" applyFont="1" applyFill="1" applyBorder="1" applyAlignment="1">
      <alignment horizontal="right"/>
    </xf>
    <xf numFmtId="49" fontId="7" fillId="4" borderId="12" xfId="0" applyNumberFormat="1" applyFont="1" applyFill="1" applyBorder="1"/>
    <xf numFmtId="2" fontId="23" fillId="4" borderId="13" xfId="0" applyNumberFormat="1" applyFont="1" applyFill="1" applyBorder="1"/>
    <xf numFmtId="0" fontId="7" fillId="4" borderId="12" xfId="0" applyFont="1" applyFill="1" applyBorder="1"/>
    <xf numFmtId="0" fontId="13" fillId="4" borderId="10" xfId="0" applyFont="1" applyFill="1" applyBorder="1"/>
    <xf numFmtId="0" fontId="90" fillId="4" borderId="11" xfId="0" applyFont="1" applyFill="1" applyBorder="1" applyAlignment="1">
      <alignment horizontal="right"/>
    </xf>
    <xf numFmtId="0" fontId="19" fillId="4" borderId="13" xfId="2" applyFill="1" applyBorder="1" applyAlignment="1" applyProtection="1">
      <alignment horizontal="left"/>
    </xf>
    <xf numFmtId="0" fontId="17" fillId="4" borderId="13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right"/>
    </xf>
    <xf numFmtId="49" fontId="19" fillId="4" borderId="35" xfId="2" applyNumberFormat="1" applyFill="1" applyBorder="1" applyAlignment="1" applyProtection="1">
      <alignment horizontal="left"/>
    </xf>
    <xf numFmtId="49" fontId="7" fillId="4" borderId="12" xfId="0" applyNumberFormat="1" applyFont="1" applyFill="1" applyBorder="1" applyAlignment="1">
      <alignment horizontal="left"/>
    </xf>
    <xf numFmtId="0" fontId="17" fillId="2" borderId="50" xfId="0" applyFont="1" applyFill="1" applyBorder="1" applyAlignment="1">
      <alignment horizontal="center"/>
    </xf>
    <xf numFmtId="0" fontId="11" fillId="2" borderId="60" xfId="0" applyFont="1" applyFill="1" applyBorder="1" applyAlignment="1">
      <alignment horizontal="center"/>
    </xf>
    <xf numFmtId="49" fontId="7" fillId="0" borderId="17" xfId="0" applyNumberFormat="1" applyFont="1" applyBorder="1"/>
    <xf numFmtId="0" fontId="7" fillId="0" borderId="36" xfId="0" applyFont="1" applyBorder="1"/>
    <xf numFmtId="1" fontId="28" fillId="0" borderId="36" xfId="0" applyNumberFormat="1" applyFont="1" applyBorder="1" applyAlignment="1">
      <alignment horizontal="right"/>
    </xf>
    <xf numFmtId="1" fontId="23" fillId="0" borderId="18" xfId="0" applyNumberFormat="1" applyFont="1" applyBorder="1" applyAlignment="1">
      <alignment horizontal="right"/>
    </xf>
    <xf numFmtId="0" fontId="11" fillId="7" borderId="7" xfId="0" applyFont="1" applyFill="1" applyBorder="1"/>
    <xf numFmtId="0" fontId="11" fillId="7" borderId="34" xfId="0" applyFont="1" applyFill="1" applyBorder="1" applyAlignment="1">
      <alignment horizontal="center"/>
    </xf>
    <xf numFmtId="0" fontId="17" fillId="7" borderId="8" xfId="0" applyFont="1" applyFill="1" applyBorder="1" applyAlignment="1">
      <alignment horizontal="center"/>
    </xf>
    <xf numFmtId="0" fontId="17" fillId="7" borderId="55" xfId="0" applyFont="1" applyFill="1" applyBorder="1" applyAlignment="1">
      <alignment horizontal="center"/>
    </xf>
    <xf numFmtId="49" fontId="7" fillId="7" borderId="7" xfId="0" applyNumberFormat="1" applyFont="1" applyFill="1" applyBorder="1"/>
    <xf numFmtId="0" fontId="11" fillId="7" borderId="34" xfId="0" applyFont="1" applyFill="1" applyBorder="1"/>
    <xf numFmtId="0" fontId="7" fillId="7" borderId="34" xfId="0" applyFont="1" applyFill="1" applyBorder="1"/>
    <xf numFmtId="1" fontId="28" fillId="7" borderId="34" xfId="0" applyNumberFormat="1" applyFont="1" applyFill="1" applyBorder="1" applyAlignment="1">
      <alignment horizontal="right"/>
    </xf>
    <xf numFmtId="1" fontId="23" fillId="7" borderId="8" xfId="0" applyNumberFormat="1" applyFont="1" applyFill="1" applyBorder="1" applyAlignment="1">
      <alignment horizontal="right"/>
    </xf>
    <xf numFmtId="0" fontId="11" fillId="3" borderId="68" xfId="0" applyFont="1" applyFill="1" applyBorder="1"/>
    <xf numFmtId="0" fontId="11" fillId="0" borderId="69" xfId="0" applyFont="1" applyBorder="1" applyAlignment="1">
      <alignment horizontal="center"/>
    </xf>
    <xf numFmtId="0" fontId="17" fillId="0" borderId="70" xfId="0" applyFont="1" applyBorder="1" applyAlignment="1">
      <alignment horizontal="center"/>
    </xf>
    <xf numFmtId="49" fontId="7" fillId="0" borderId="68" xfId="0" applyNumberFormat="1" applyFont="1" applyBorder="1"/>
    <xf numFmtId="0" fontId="11" fillId="0" borderId="69" xfId="0" applyFont="1" applyBorder="1"/>
    <xf numFmtId="1" fontId="28" fillId="0" borderId="18" xfId="0" applyNumberFormat="1" applyFont="1" applyBorder="1" applyAlignment="1">
      <alignment horizontal="right"/>
    </xf>
    <xf numFmtId="1" fontId="23" fillId="0" borderId="18" xfId="0" applyNumberFormat="1" applyFont="1" applyBorder="1"/>
    <xf numFmtId="0" fontId="11" fillId="3" borderId="69" xfId="0" applyFont="1" applyFill="1" applyBorder="1" applyAlignment="1">
      <alignment horizontal="center"/>
    </xf>
    <xf numFmtId="0" fontId="11" fillId="0" borderId="70" xfId="0" applyFont="1" applyBorder="1" applyAlignment="1">
      <alignment horizontal="center"/>
    </xf>
    <xf numFmtId="0" fontId="13" fillId="2" borderId="71" xfId="0" applyFont="1" applyFill="1" applyBorder="1"/>
    <xf numFmtId="49" fontId="17" fillId="0" borderId="69" xfId="0" applyNumberFormat="1" applyFont="1" applyBorder="1" applyAlignment="1">
      <alignment horizontal="left"/>
    </xf>
    <xf numFmtId="1" fontId="28" fillId="0" borderId="70" xfId="0" applyNumberFormat="1" applyFont="1" applyBorder="1" applyAlignment="1">
      <alignment horizontal="right"/>
    </xf>
    <xf numFmtId="1" fontId="23" fillId="0" borderId="70" xfId="0" applyNumberFormat="1" applyFont="1" applyBorder="1"/>
    <xf numFmtId="0" fontId="11" fillId="0" borderId="62" xfId="0" applyFont="1" applyBorder="1"/>
    <xf numFmtId="0" fontId="14" fillId="0" borderId="34" xfId="0" applyFont="1" applyBorder="1" applyAlignment="1">
      <alignment horizontal="center"/>
    </xf>
    <xf numFmtId="1" fontId="28" fillId="0" borderId="8" xfId="0" applyNumberFormat="1" applyFont="1" applyBorder="1" applyAlignment="1">
      <alignment horizontal="right"/>
    </xf>
    <xf numFmtId="1" fontId="23" fillId="0" borderId="8" xfId="0" applyNumberFormat="1" applyFont="1" applyBorder="1"/>
    <xf numFmtId="0" fontId="11" fillId="0" borderId="68" xfId="0" applyFont="1" applyBorder="1"/>
    <xf numFmtId="0" fontId="17" fillId="0" borderId="72" xfId="0" applyFont="1" applyBorder="1" applyAlignment="1">
      <alignment horizontal="center"/>
    </xf>
    <xf numFmtId="0" fontId="52" fillId="15" borderId="13" xfId="0" applyFont="1" applyFill="1" applyBorder="1" applyAlignment="1">
      <alignment horizontal="right"/>
    </xf>
    <xf numFmtId="0" fontId="14" fillId="15" borderId="11" xfId="0" applyFont="1" applyFill="1" applyBorder="1"/>
    <xf numFmtId="0" fontId="11" fillId="15" borderId="12" xfId="0" applyFont="1" applyFill="1" applyBorder="1"/>
    <xf numFmtId="0" fontId="30" fillId="3" borderId="54" xfId="0" applyFont="1" applyFill="1" applyBorder="1" applyAlignment="1"/>
    <xf numFmtId="0" fontId="94" fillId="3" borderId="6" xfId="0" applyFont="1" applyFill="1" applyBorder="1" applyAlignment="1">
      <alignment horizontal="right"/>
    </xf>
    <xf numFmtId="0" fontId="94" fillId="3" borderId="11" xfId="0" applyFont="1" applyFill="1" applyBorder="1" applyAlignment="1">
      <alignment horizontal="right"/>
    </xf>
    <xf numFmtId="0" fontId="13" fillId="3" borderId="10" xfId="0" applyFont="1" applyFill="1" applyBorder="1" applyAlignment="1">
      <alignment horizontal="right"/>
    </xf>
    <xf numFmtId="0" fontId="11" fillId="2" borderId="55" xfId="0" applyFont="1" applyFill="1" applyBorder="1"/>
    <xf numFmtId="0" fontId="11" fillId="2" borderId="6" xfId="0" applyFont="1" applyFill="1" applyBorder="1" applyAlignment="1">
      <alignment horizontal="right"/>
    </xf>
    <xf numFmtId="0" fontId="11" fillId="3" borderId="71" xfId="0" applyFont="1" applyFill="1" applyBorder="1"/>
    <xf numFmtId="0" fontId="11" fillId="2" borderId="71" xfId="0" applyFont="1" applyFill="1" applyBorder="1"/>
    <xf numFmtId="0" fontId="11" fillId="2" borderId="72" xfId="0" applyFont="1" applyFill="1" applyBorder="1" applyAlignment="1">
      <alignment horizontal="right"/>
    </xf>
    <xf numFmtId="170" fontId="7" fillId="0" borderId="69" xfId="0" applyNumberFormat="1" applyFont="1" applyBorder="1"/>
    <xf numFmtId="2" fontId="28" fillId="0" borderId="70" xfId="0" applyNumberFormat="1" applyFont="1" applyBorder="1" applyAlignment="1">
      <alignment horizontal="right"/>
    </xf>
    <xf numFmtId="2" fontId="23" fillId="0" borderId="70" xfId="0" applyNumberFormat="1" applyFont="1" applyBorder="1" applyAlignment="1">
      <alignment horizontal="right"/>
    </xf>
    <xf numFmtId="2" fontId="23" fillId="0" borderId="70" xfId="0" applyNumberFormat="1" applyFont="1" applyBorder="1"/>
    <xf numFmtId="0" fontId="19" fillId="0" borderId="35" xfId="2" applyBorder="1" applyAlignment="1" applyProtection="1">
      <alignment horizontal="left"/>
    </xf>
    <xf numFmtId="0" fontId="17" fillId="0" borderId="17" xfId="0" applyFont="1" applyBorder="1"/>
    <xf numFmtId="0" fontId="90" fillId="2" borderId="11" xfId="0" applyFont="1" applyFill="1" applyBorder="1" applyAlignment="1">
      <alignment horizontal="right"/>
    </xf>
    <xf numFmtId="0" fontId="17" fillId="2" borderId="47" xfId="0" applyFont="1" applyFill="1" applyBorder="1"/>
    <xf numFmtId="2" fontId="55" fillId="0" borderId="13" xfId="0" applyNumberFormat="1" applyFont="1" applyBorder="1" applyAlignment="1">
      <alignment horizontal="right"/>
    </xf>
    <xf numFmtId="0" fontId="13" fillId="0" borderId="55" xfId="0" applyFont="1" applyBorder="1"/>
    <xf numFmtId="165" fontId="11" fillId="3" borderId="35" xfId="3" applyFont="1" applyFill="1" applyBorder="1" applyAlignment="1"/>
    <xf numFmtId="2" fontId="24" fillId="3" borderId="8" xfId="0" applyNumberFormat="1" applyFont="1" applyFill="1" applyBorder="1" applyAlignment="1">
      <alignment horizontal="right"/>
    </xf>
    <xf numFmtId="14" fontId="17" fillId="0" borderId="12" xfId="0" applyNumberFormat="1" applyFont="1" applyBorder="1"/>
    <xf numFmtId="0" fontId="14" fillId="8" borderId="35" xfId="0" applyFont="1" applyFill="1" applyBorder="1" applyAlignment="1">
      <alignment horizontal="left"/>
    </xf>
    <xf numFmtId="0" fontId="11" fillId="2" borderId="10" xfId="0" applyFont="1" applyFill="1" applyBorder="1" applyAlignment="1">
      <alignment horizontal="right"/>
    </xf>
    <xf numFmtId="0" fontId="13" fillId="8" borderId="55" xfId="0" applyFont="1" applyFill="1" applyBorder="1"/>
    <xf numFmtId="0" fontId="13" fillId="0" borderId="71" xfId="0" applyFont="1" applyBorder="1"/>
    <xf numFmtId="0" fontId="11" fillId="3" borderId="69" xfId="0" applyFont="1" applyFill="1" applyBorder="1"/>
    <xf numFmtId="0" fontId="13" fillId="0" borderId="57" xfId="0" applyFont="1" applyBorder="1"/>
    <xf numFmtId="0" fontId="11" fillId="0" borderId="73" xfId="0" applyFont="1" applyBorder="1"/>
    <xf numFmtId="0" fontId="13" fillId="4" borderId="70" xfId="0" applyFont="1" applyFill="1" applyBorder="1"/>
    <xf numFmtId="0" fontId="15" fillId="2" borderId="50" xfId="0" applyFont="1" applyFill="1" applyBorder="1"/>
    <xf numFmtId="49" fontId="7" fillId="3" borderId="17" xfId="0" applyNumberFormat="1" applyFont="1" applyFill="1" applyBorder="1"/>
    <xf numFmtId="0" fontId="7" fillId="3" borderId="36" xfId="0" applyFont="1" applyFill="1" applyBorder="1"/>
    <xf numFmtId="1" fontId="28" fillId="3" borderId="36" xfId="0" applyNumberFormat="1" applyFont="1" applyFill="1" applyBorder="1" applyAlignment="1">
      <alignment horizontal="right"/>
    </xf>
    <xf numFmtId="1" fontId="23" fillId="3" borderId="18" xfId="0" applyNumberFormat="1" applyFont="1" applyFill="1" applyBorder="1" applyAlignment="1">
      <alignment horizontal="right"/>
    </xf>
    <xf numFmtId="0" fontId="11" fillId="3" borderId="74" xfId="0" applyFont="1" applyFill="1" applyBorder="1"/>
    <xf numFmtId="0" fontId="7" fillId="3" borderId="74" xfId="0" applyFont="1" applyFill="1" applyBorder="1"/>
    <xf numFmtId="1" fontId="28" fillId="3" borderId="74" xfId="0" applyNumberFormat="1" applyFont="1" applyFill="1" applyBorder="1" applyAlignment="1">
      <alignment horizontal="right"/>
    </xf>
    <xf numFmtId="1" fontId="23" fillId="3" borderId="75" xfId="0" applyNumberFormat="1" applyFont="1" applyFill="1" applyBorder="1" applyAlignment="1">
      <alignment horizontal="right"/>
    </xf>
    <xf numFmtId="1" fontId="23" fillId="3" borderId="35" xfId="0" applyNumberFormat="1" applyFont="1" applyFill="1" applyBorder="1" applyAlignment="1">
      <alignment horizontal="right"/>
    </xf>
    <xf numFmtId="0" fontId="17" fillId="2" borderId="11" xfId="0" applyFont="1" applyFill="1" applyBorder="1" applyAlignment="1">
      <alignment horizontal="center" vertical="center"/>
    </xf>
    <xf numFmtId="0" fontId="12" fillId="13" borderId="12" xfId="0" applyFont="1" applyFill="1" applyBorder="1" applyAlignment="1">
      <alignment horizontal="left"/>
    </xf>
    <xf numFmtId="0" fontId="11" fillId="13" borderId="35" xfId="0" applyFont="1" applyFill="1" applyBorder="1" applyAlignment="1">
      <alignment horizontal="center"/>
    </xf>
    <xf numFmtId="0" fontId="11" fillId="13" borderId="11" xfId="0" applyFont="1" applyFill="1" applyBorder="1" applyAlignment="1">
      <alignment horizontal="left"/>
    </xf>
    <xf numFmtId="0" fontId="11" fillId="13" borderId="47" xfId="0" applyFont="1" applyFill="1" applyBorder="1"/>
    <xf numFmtId="0" fontId="17" fillId="13" borderId="47" xfId="0" applyFont="1" applyFill="1" applyBorder="1"/>
    <xf numFmtId="0" fontId="30" fillId="8" borderId="35" xfId="0" applyFont="1" applyFill="1" applyBorder="1"/>
    <xf numFmtId="0" fontId="56" fillId="3" borderId="13" xfId="2" applyFont="1" applyFill="1" applyBorder="1" applyAlignment="1" applyProtection="1">
      <alignment horizontal="left"/>
    </xf>
    <xf numFmtId="0" fontId="90" fillId="3" borderId="11" xfId="0" applyFont="1" applyFill="1" applyBorder="1" applyAlignment="1">
      <alignment horizontal="right"/>
    </xf>
    <xf numFmtId="0" fontId="14" fillId="0" borderId="47" xfId="0" applyFont="1" applyBorder="1" applyAlignment="1">
      <alignment horizontal="left"/>
    </xf>
    <xf numFmtId="0" fontId="15" fillId="0" borderId="47" xfId="0" applyFont="1" applyBorder="1" applyAlignment="1">
      <alignment horizontal="left"/>
    </xf>
    <xf numFmtId="2" fontId="11" fillId="0" borderId="18" xfId="0" applyNumberFormat="1" applyFont="1" applyBorder="1" applyAlignment="1">
      <alignment horizontal="center"/>
    </xf>
    <xf numFmtId="0" fontId="11" fillId="2" borderId="50" xfId="0" applyFont="1" applyFill="1" applyBorder="1"/>
    <xf numFmtId="0" fontId="17" fillId="2" borderId="10" xfId="0" applyFont="1" applyFill="1" applyBorder="1"/>
    <xf numFmtId="0" fontId="30" fillId="4" borderId="58" xfId="0" applyFont="1" applyFill="1" applyBorder="1" applyAlignment="1"/>
    <xf numFmtId="0" fontId="10" fillId="3" borderId="35" xfId="0" applyFont="1" applyFill="1" applyBorder="1" applyAlignment="1"/>
    <xf numFmtId="4" fontId="30" fillId="3" borderId="11" xfId="0" applyNumberFormat="1" applyFont="1" applyFill="1" applyBorder="1" applyAlignment="1">
      <alignment horizontal="center"/>
    </xf>
    <xf numFmtId="0" fontId="10" fillId="11" borderId="12" xfId="0" applyFont="1" applyFill="1" applyBorder="1"/>
    <xf numFmtId="0" fontId="10" fillId="11" borderId="35" xfId="0" applyFont="1" applyFill="1" applyBorder="1" applyAlignment="1">
      <alignment horizontal="center"/>
    </xf>
    <xf numFmtId="0" fontId="10" fillId="11" borderId="13" xfId="0" applyFont="1" applyFill="1" applyBorder="1" applyAlignment="1">
      <alignment horizontal="left"/>
    </xf>
    <xf numFmtId="0" fontId="30" fillId="11" borderId="10" xfId="0" applyFont="1" applyFill="1" applyBorder="1"/>
    <xf numFmtId="0" fontId="30" fillId="11" borderId="11" xfId="0" applyFont="1" applyFill="1" applyBorder="1" applyAlignment="1">
      <alignment horizontal="center"/>
    </xf>
    <xf numFmtId="49" fontId="10" fillId="11" borderId="12" xfId="0" applyNumberFormat="1" applyFont="1" applyFill="1" applyBorder="1"/>
    <xf numFmtId="2" fontId="10" fillId="11" borderId="35" xfId="0" applyNumberFormat="1" applyFont="1" applyFill="1" applyBorder="1"/>
    <xf numFmtId="49" fontId="10" fillId="11" borderId="36" xfId="0" applyNumberFormat="1" applyFont="1" applyFill="1" applyBorder="1" applyAlignment="1">
      <alignment horizontal="left"/>
    </xf>
    <xf numFmtId="2" fontId="40" fillId="11" borderId="13" xfId="0" applyNumberFormat="1" applyFont="1" applyFill="1" applyBorder="1" applyAlignment="1">
      <alignment horizontal="right"/>
    </xf>
    <xf numFmtId="2" fontId="34" fillId="11" borderId="13" xfId="0" applyNumberFormat="1" applyFont="1" applyFill="1" applyBorder="1"/>
    <xf numFmtId="0" fontId="13" fillId="16" borderId="7" xfId="0" applyFont="1" applyFill="1" applyBorder="1"/>
    <xf numFmtId="0" fontId="25" fillId="2" borderId="6" xfId="0" applyFont="1" applyFill="1" applyBorder="1"/>
    <xf numFmtId="1" fontId="28" fillId="0" borderId="34" xfId="0" applyNumberFormat="1" applyFont="1" applyBorder="1" applyAlignment="1">
      <alignment horizontal="right"/>
    </xf>
    <xf numFmtId="0" fontId="23" fillId="2" borderId="19" xfId="0" applyFont="1" applyFill="1" applyBorder="1"/>
    <xf numFmtId="0" fontId="23" fillId="2" borderId="6" xfId="0" applyFont="1" applyFill="1" applyBorder="1"/>
    <xf numFmtId="0" fontId="23" fillId="2" borderId="47" xfId="0" applyFont="1" applyFill="1" applyBorder="1"/>
    <xf numFmtId="0" fontId="13" fillId="0" borderId="62" xfId="0" applyFont="1" applyBorder="1"/>
    <xf numFmtId="0" fontId="23" fillId="2" borderId="43" xfId="0" applyFont="1" applyFill="1" applyBorder="1"/>
    <xf numFmtId="2" fontId="34" fillId="0" borderId="0" xfId="0" applyNumberFormat="1" applyFont="1" applyBorder="1" applyAlignment="1">
      <alignment horizontal="center"/>
    </xf>
    <xf numFmtId="2" fontId="34" fillId="0" borderId="0" xfId="0" applyNumberFormat="1" applyFont="1" applyBorder="1" applyAlignment="1">
      <alignment horizontal="left"/>
    </xf>
    <xf numFmtId="1" fontId="34" fillId="0" borderId="0" xfId="0" applyNumberFormat="1" applyFont="1" applyBorder="1" applyAlignment="1">
      <alignment horizontal="right"/>
    </xf>
    <xf numFmtId="0" fontId="47" fillId="0" borderId="0" xfId="0" applyFont="1" applyBorder="1"/>
    <xf numFmtId="0" fontId="10" fillId="3" borderId="0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left"/>
    </xf>
    <xf numFmtId="49" fontId="10" fillId="3" borderId="0" xfId="0" applyNumberFormat="1" applyFont="1" applyFill="1" applyBorder="1"/>
    <xf numFmtId="2" fontId="10" fillId="3" borderId="0" xfId="0" applyNumberFormat="1" applyFont="1" applyFill="1" applyBorder="1"/>
    <xf numFmtId="49" fontId="10" fillId="3" borderId="0" xfId="0" applyNumberFormat="1" applyFont="1" applyFill="1" applyBorder="1" applyAlignment="1">
      <alignment horizontal="left"/>
    </xf>
    <xf numFmtId="2" fontId="40" fillId="3" borderId="0" xfId="0" applyNumberFormat="1" applyFont="1" applyFill="1" applyBorder="1" applyAlignment="1">
      <alignment horizontal="right"/>
    </xf>
    <xf numFmtId="2" fontId="34" fillId="3" borderId="0" xfId="0" applyNumberFormat="1" applyFont="1" applyFill="1" applyBorder="1"/>
    <xf numFmtId="0" fontId="17" fillId="8" borderId="11" xfId="0" applyFont="1" applyFill="1" applyBorder="1" applyAlignment="1">
      <alignment horizontal="center"/>
    </xf>
    <xf numFmtId="0" fontId="10" fillId="3" borderId="43" xfId="0" applyFont="1" applyFill="1" applyBorder="1"/>
    <xf numFmtId="0" fontId="10" fillId="3" borderId="11" xfId="0" applyFont="1" applyFill="1" applyBorder="1" applyAlignment="1">
      <alignment horizontal="center"/>
    </xf>
    <xf numFmtId="2" fontId="11" fillId="0" borderId="13" xfId="0" applyNumberFormat="1" applyFont="1" applyBorder="1" applyAlignment="1">
      <alignment horizontal="right"/>
    </xf>
    <xf numFmtId="2" fontId="17" fillId="0" borderId="13" xfId="0" applyNumberFormat="1" applyFont="1" applyBorder="1" applyAlignment="1">
      <alignment horizontal="right"/>
    </xf>
    <xf numFmtId="0" fontId="11" fillId="0" borderId="13" xfId="0" applyFont="1" applyBorder="1" applyAlignment="1"/>
    <xf numFmtId="49" fontId="57" fillId="0" borderId="35" xfId="2" applyNumberFormat="1" applyFont="1" applyBorder="1" applyAlignment="1" applyProtection="1">
      <alignment horizontal="left"/>
    </xf>
    <xf numFmtId="0" fontId="17" fillId="2" borderId="35" xfId="0" applyFont="1" applyFill="1" applyBorder="1" applyAlignment="1">
      <alignment horizontal="center"/>
    </xf>
    <xf numFmtId="49" fontId="11" fillId="3" borderId="35" xfId="0" applyNumberFormat="1" applyFont="1" applyFill="1" applyBorder="1" applyAlignment="1"/>
    <xf numFmtId="0" fontId="17" fillId="3" borderId="35" xfId="0" applyFont="1" applyFill="1" applyBorder="1" applyAlignment="1"/>
    <xf numFmtId="49" fontId="11" fillId="0" borderId="13" xfId="0" applyNumberFormat="1" applyFont="1" applyBorder="1" applyAlignment="1">
      <alignment horizontal="left"/>
    </xf>
    <xf numFmtId="49" fontId="17" fillId="0" borderId="46" xfId="0" applyNumberFormat="1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30" fillId="8" borderId="12" xfId="0" applyFont="1" applyFill="1" applyBorder="1" applyAlignment="1">
      <alignment horizontal="left"/>
    </xf>
    <xf numFmtId="0" fontId="30" fillId="8" borderId="35" xfId="0" applyFont="1" applyFill="1" applyBorder="1" applyAlignment="1">
      <alignment horizontal="center"/>
    </xf>
    <xf numFmtId="0" fontId="23" fillId="2" borderId="10" xfId="0" applyFont="1" applyFill="1" applyBorder="1"/>
    <xf numFmtId="0" fontId="23" fillId="3" borderId="10" xfId="0" applyFont="1" applyFill="1" applyBorder="1"/>
    <xf numFmtId="0" fontId="7" fillId="0" borderId="13" xfId="0" applyFont="1" applyBorder="1"/>
    <xf numFmtId="0" fontId="23" fillId="2" borderId="0" xfId="0" applyFont="1" applyFill="1" applyBorder="1"/>
    <xf numFmtId="49" fontId="82" fillId="0" borderId="0" xfId="0" applyNumberFormat="1" applyFont="1" applyBorder="1" applyAlignment="1">
      <alignment horizontal="left"/>
    </xf>
    <xf numFmtId="0" fontId="87" fillId="0" borderId="0" xfId="0" applyFont="1" applyBorder="1"/>
    <xf numFmtId="0" fontId="88" fillId="0" borderId="0" xfId="0" applyFont="1" applyBorder="1"/>
    <xf numFmtId="2" fontId="89" fillId="0" borderId="0" xfId="0" applyNumberFormat="1" applyFont="1" applyBorder="1"/>
    <xf numFmtId="164" fontId="2" fillId="0" borderId="13" xfId="8" applyFont="1" applyBorder="1"/>
    <xf numFmtId="0" fontId="90" fillId="2" borderId="46" xfId="0" applyFont="1" applyFill="1" applyBorder="1" applyAlignment="1">
      <alignment horizontal="center"/>
    </xf>
    <xf numFmtId="0" fontId="10" fillId="0" borderId="13" xfId="0" applyFont="1" applyBorder="1"/>
    <xf numFmtId="0" fontId="10" fillId="0" borderId="47" xfId="0" applyFont="1" applyBorder="1"/>
    <xf numFmtId="0" fontId="10" fillId="3" borderId="13" xfId="0" applyFont="1" applyFill="1" applyBorder="1"/>
    <xf numFmtId="0" fontId="10" fillId="3" borderId="54" xfId="0" applyFont="1" applyFill="1" applyBorder="1" applyAlignment="1"/>
    <xf numFmtId="0" fontId="13" fillId="3" borderId="32" xfId="0" applyFont="1" applyFill="1" applyBorder="1"/>
    <xf numFmtId="0" fontId="17" fillId="0" borderId="39" xfId="0" applyFont="1" applyBorder="1"/>
    <xf numFmtId="0" fontId="11" fillId="12" borderId="42" xfId="0" applyFont="1" applyFill="1" applyBorder="1" applyAlignment="1">
      <alignment horizontal="center"/>
    </xf>
    <xf numFmtId="0" fontId="11" fillId="0" borderId="31" xfId="0" applyFont="1" applyBorder="1"/>
    <xf numFmtId="0" fontId="7" fillId="0" borderId="31" xfId="0" applyFont="1" applyBorder="1"/>
    <xf numFmtId="2" fontId="21" fillId="0" borderId="31" xfId="0" applyNumberFormat="1" applyFont="1" applyBorder="1" applyAlignment="1">
      <alignment horizontal="right"/>
    </xf>
    <xf numFmtId="0" fontId="7" fillId="0" borderId="17" xfId="0" applyFont="1" applyBorder="1" applyAlignment="1">
      <alignment horizontal="left"/>
    </xf>
    <xf numFmtId="0" fontId="3" fillId="0" borderId="12" xfId="0" applyFont="1" applyBorder="1"/>
    <xf numFmtId="0" fontId="12" fillId="0" borderId="13" xfId="0" applyFont="1" applyBorder="1" applyAlignment="1">
      <alignment horizontal="center"/>
    </xf>
    <xf numFmtId="0" fontId="12" fillId="3" borderId="12" xfId="0" applyFont="1" applyFill="1" applyBorder="1" applyAlignment="1"/>
    <xf numFmtId="0" fontId="12" fillId="3" borderId="17" xfId="0" applyFont="1" applyFill="1" applyBorder="1" applyAlignment="1"/>
    <xf numFmtId="0" fontId="12" fillId="3" borderId="7" xfId="0" applyFont="1" applyFill="1" applyBorder="1" applyAlignment="1"/>
    <xf numFmtId="0" fontId="12" fillId="0" borderId="12" xfId="0" applyFont="1" applyBorder="1" applyAlignment="1">
      <alignment horizontal="left"/>
    </xf>
    <xf numFmtId="0" fontId="12" fillId="9" borderId="35" xfId="0" applyFont="1" applyFill="1" applyBorder="1"/>
    <xf numFmtId="0" fontId="17" fillId="4" borderId="27" xfId="0" applyFont="1" applyFill="1" applyBorder="1" applyAlignment="1">
      <alignment horizontal="left"/>
    </xf>
    <xf numFmtId="0" fontId="17" fillId="4" borderId="35" xfId="0" applyFont="1" applyFill="1" applyBorder="1" applyAlignment="1">
      <alignment horizontal="left"/>
    </xf>
    <xf numFmtId="0" fontId="12" fillId="12" borderId="13" xfId="0" applyFont="1" applyFill="1" applyBorder="1" applyAlignment="1">
      <alignment horizontal="center"/>
    </xf>
    <xf numFmtId="0" fontId="5" fillId="12" borderId="47" xfId="0" applyFont="1" applyFill="1" applyBorder="1" applyAlignment="1"/>
    <xf numFmtId="0" fontId="26" fillId="12" borderId="47" xfId="0" applyFont="1" applyFill="1" applyBorder="1" applyAlignment="1"/>
    <xf numFmtId="0" fontId="12" fillId="3" borderId="7" xfId="0" applyFont="1" applyFill="1" applyBorder="1"/>
    <xf numFmtId="49" fontId="2" fillId="3" borderId="35" xfId="0" applyNumberFormat="1" applyFont="1" applyFill="1" applyBorder="1"/>
    <xf numFmtId="0" fontId="12" fillId="3" borderId="1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59" fillId="3" borderId="11" xfId="0" applyFont="1" applyFill="1" applyBorder="1" applyAlignment="1">
      <alignment horizontal="center"/>
    </xf>
    <xf numFmtId="0" fontId="31" fillId="3" borderId="47" xfId="0" applyFont="1" applyFill="1" applyBorder="1"/>
    <xf numFmtId="0" fontId="11" fillId="3" borderId="49" xfId="0" applyFont="1" applyFill="1" applyBorder="1"/>
    <xf numFmtId="0" fontId="2" fillId="10" borderId="13" xfId="0" applyFont="1" applyFill="1" applyBorder="1" applyAlignment="1">
      <alignment horizontal="center"/>
    </xf>
    <xf numFmtId="1" fontId="51" fillId="3" borderId="34" xfId="0" applyNumberFormat="1" applyFont="1" applyFill="1" applyBorder="1"/>
    <xf numFmtId="49" fontId="12" fillId="9" borderId="34" xfId="0" applyNumberFormat="1" applyFont="1" applyFill="1" applyBorder="1"/>
    <xf numFmtId="0" fontId="11" fillId="9" borderId="19" xfId="0" applyFont="1" applyFill="1" applyBorder="1"/>
    <xf numFmtId="0" fontId="11" fillId="9" borderId="47" xfId="0" applyFont="1" applyFill="1" applyBorder="1"/>
    <xf numFmtId="0" fontId="12" fillId="9" borderId="6" xfId="0" applyFont="1" applyFill="1" applyBorder="1" applyAlignment="1">
      <alignment horizontal="center"/>
    </xf>
    <xf numFmtId="0" fontId="12" fillId="9" borderId="11" xfId="0" applyFont="1" applyFill="1" applyBorder="1" applyAlignment="1">
      <alignment horizontal="center"/>
    </xf>
    <xf numFmtId="2" fontId="7" fillId="0" borderId="35" xfId="0" applyNumberFormat="1" applyFont="1" applyBorder="1"/>
    <xf numFmtId="0" fontId="11" fillId="3" borderId="8" xfId="0" applyFont="1" applyFill="1" applyBorder="1" applyAlignment="1">
      <alignment horizontal="left"/>
    </xf>
    <xf numFmtId="2" fontId="23" fillId="0" borderId="41" xfId="0" applyNumberFormat="1" applyFont="1" applyBorder="1" applyAlignment="1">
      <alignment horizontal="right"/>
    </xf>
    <xf numFmtId="2" fontId="23" fillId="0" borderId="42" xfId="0" applyNumberFormat="1" applyFont="1" applyBorder="1" applyAlignment="1">
      <alignment horizontal="right"/>
    </xf>
    <xf numFmtId="0" fontId="13" fillId="0" borderId="27" xfId="0" applyFont="1" applyBorder="1" applyAlignment="1"/>
    <xf numFmtId="0" fontId="11" fillId="3" borderId="61" xfId="0" applyFont="1" applyFill="1" applyBorder="1"/>
    <xf numFmtId="0" fontId="11" fillId="3" borderId="7" xfId="0" applyFont="1" applyFill="1" applyBorder="1" applyAlignment="1">
      <alignment horizontal="center"/>
    </xf>
    <xf numFmtId="0" fontId="11" fillId="3" borderId="25" xfId="0" applyFont="1" applyFill="1" applyBorder="1"/>
    <xf numFmtId="0" fontId="11" fillId="3" borderId="37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center"/>
    </xf>
    <xf numFmtId="0" fontId="85" fillId="3" borderId="26" xfId="0" applyFont="1" applyFill="1" applyBorder="1" applyAlignment="1">
      <alignment horizontal="center"/>
    </xf>
    <xf numFmtId="2" fontId="23" fillId="3" borderId="37" xfId="0" applyNumberFormat="1" applyFont="1" applyFill="1" applyBorder="1" applyAlignment="1">
      <alignment horizontal="right"/>
    </xf>
    <xf numFmtId="0" fontId="86" fillId="3" borderId="64" xfId="0" applyFont="1" applyFill="1" applyBorder="1" applyAlignment="1">
      <alignment horizontal="center"/>
    </xf>
    <xf numFmtId="2" fontId="23" fillId="3" borderId="34" xfId="0" applyNumberFormat="1" applyFont="1" applyFill="1" applyBorder="1" applyAlignment="1">
      <alignment horizontal="right"/>
    </xf>
    <xf numFmtId="0" fontId="11" fillId="3" borderId="70" xfId="0" applyFont="1" applyFill="1" applyBorder="1"/>
    <xf numFmtId="0" fontId="11" fillId="0" borderId="69" xfId="0" applyFont="1" applyBorder="1" applyAlignment="1">
      <alignment horizontal="left"/>
    </xf>
    <xf numFmtId="0" fontId="11" fillId="0" borderId="70" xfId="0" applyFont="1" applyBorder="1" applyAlignment="1">
      <alignment horizontal="left"/>
    </xf>
    <xf numFmtId="0" fontId="13" fillId="2" borderId="76" xfId="0" applyFont="1" applyFill="1" applyBorder="1" applyAlignment="1">
      <alignment horizontal="center"/>
    </xf>
    <xf numFmtId="0" fontId="90" fillId="2" borderId="77" xfId="0" applyFont="1" applyFill="1" applyBorder="1" applyAlignment="1">
      <alignment horizontal="center"/>
    </xf>
    <xf numFmtId="49" fontId="17" fillId="0" borderId="68" xfId="0" applyNumberFormat="1" applyFont="1" applyBorder="1"/>
    <xf numFmtId="0" fontId="11" fillId="0" borderId="69" xfId="0" applyFont="1" applyBorder="1" applyAlignment="1">
      <alignment horizontal="right"/>
    </xf>
    <xf numFmtId="49" fontId="7" fillId="0" borderId="69" xfId="0" applyNumberFormat="1" applyFont="1" applyBorder="1"/>
    <xf numFmtId="2" fontId="31" fillId="0" borderId="69" xfId="0" applyNumberFormat="1" applyFont="1" applyBorder="1" applyAlignment="1">
      <alignment horizontal="right"/>
    </xf>
    <xf numFmtId="2" fontId="23" fillId="0" borderId="69" xfId="0" applyNumberFormat="1" applyFont="1" applyBorder="1" applyAlignment="1">
      <alignment horizontal="right"/>
    </xf>
    <xf numFmtId="0" fontId="13" fillId="2" borderId="1" xfId="0" applyFont="1" applyFill="1" applyBorder="1" applyAlignment="1">
      <alignment horizontal="center"/>
    </xf>
    <xf numFmtId="0" fontId="13" fillId="2" borderId="26" xfId="0" applyFont="1" applyFill="1" applyBorder="1" applyAlignment="1">
      <alignment horizontal="center"/>
    </xf>
    <xf numFmtId="0" fontId="13" fillId="3" borderId="64" xfId="0" applyFont="1" applyFill="1" applyBorder="1" applyAlignment="1">
      <alignment horizontal="center"/>
    </xf>
    <xf numFmtId="0" fontId="13" fillId="2" borderId="69" xfId="0" applyFont="1" applyFill="1" applyBorder="1" applyAlignment="1">
      <alignment horizontal="center"/>
    </xf>
    <xf numFmtId="2" fontId="12" fillId="0" borderId="69" xfId="0" applyNumberFormat="1" applyFont="1" applyBorder="1" applyAlignment="1">
      <alignment horizontal="right"/>
    </xf>
    <xf numFmtId="0" fontId="11" fillId="0" borderId="2" xfId="0" applyFont="1" applyBorder="1" applyAlignment="1">
      <alignment horizontal="center"/>
    </xf>
    <xf numFmtId="49" fontId="17" fillId="3" borderId="12" xfId="0" applyNumberFormat="1" applyFont="1" applyFill="1" applyBorder="1" applyAlignment="1">
      <alignment horizontal="center"/>
    </xf>
    <xf numFmtId="0" fontId="17" fillId="3" borderId="12" xfId="0" applyFont="1" applyFill="1" applyBorder="1" applyAlignment="1">
      <alignment horizontal="left"/>
    </xf>
    <xf numFmtId="2" fontId="32" fillId="3" borderId="34" xfId="0" applyNumberFormat="1" applyFont="1" applyFill="1" applyBorder="1" applyAlignment="1">
      <alignment horizontal="right"/>
    </xf>
    <xf numFmtId="0" fontId="19" fillId="3" borderId="35" xfId="2" applyFill="1" applyBorder="1" applyAlignment="1" applyProtection="1"/>
    <xf numFmtId="0" fontId="13" fillId="3" borderId="75" xfId="0" applyFont="1" applyFill="1" applyBorder="1" applyAlignment="1">
      <alignment horizontal="center"/>
    </xf>
    <xf numFmtId="0" fontId="11" fillId="0" borderId="74" xfId="0" applyFont="1" applyBorder="1" applyAlignment="1">
      <alignment horizontal="left"/>
    </xf>
    <xf numFmtId="0" fontId="11" fillId="0" borderId="74" xfId="0" applyFont="1" applyBorder="1" applyAlignment="1">
      <alignment horizontal="center"/>
    </xf>
    <xf numFmtId="0" fontId="11" fillId="0" borderId="75" xfId="0" applyFont="1" applyBorder="1" applyAlignment="1">
      <alignment horizontal="left"/>
    </xf>
    <xf numFmtId="0" fontId="13" fillId="2" borderId="78" xfId="0" applyFont="1" applyFill="1" applyBorder="1" applyAlignment="1">
      <alignment horizontal="center"/>
    </xf>
    <xf numFmtId="0" fontId="13" fillId="2" borderId="79" xfId="0" applyFont="1" applyFill="1" applyBorder="1" applyAlignment="1">
      <alignment horizontal="center"/>
    </xf>
    <xf numFmtId="49" fontId="17" fillId="0" borderId="73" xfId="0" applyNumberFormat="1" applyFont="1" applyBorder="1"/>
    <xf numFmtId="0" fontId="11" fillId="0" borderId="74" xfId="0" applyFont="1" applyBorder="1" applyAlignment="1">
      <alignment horizontal="right"/>
    </xf>
    <xf numFmtId="49" fontId="19" fillId="0" borderId="74" xfId="2" applyNumberFormat="1" applyBorder="1" applyAlignment="1" applyProtection="1"/>
    <xf numFmtId="2" fontId="31" fillId="0" borderId="74" xfId="0" applyNumberFormat="1" applyFont="1" applyBorder="1" applyAlignment="1">
      <alignment horizontal="right"/>
    </xf>
    <xf numFmtId="2" fontId="23" fillId="0" borderId="74" xfId="0" applyNumberFormat="1" applyFont="1" applyBorder="1" applyAlignment="1">
      <alignment horizontal="right"/>
    </xf>
    <xf numFmtId="0" fontId="61" fillId="4" borderId="35" xfId="0" applyFont="1" applyFill="1" applyBorder="1" applyAlignment="1"/>
    <xf numFmtId="0" fontId="11" fillId="0" borderId="72" xfId="0" applyFont="1" applyBorder="1" applyAlignment="1">
      <alignment horizontal="left"/>
    </xf>
    <xf numFmtId="0" fontId="13" fillId="2" borderId="72" xfId="0" applyFont="1" applyFill="1" applyBorder="1" applyAlignment="1">
      <alignment horizontal="center"/>
    </xf>
    <xf numFmtId="0" fontId="11" fillId="3" borderId="80" xfId="0" applyFont="1" applyFill="1" applyBorder="1" applyAlignment="1">
      <alignment horizontal="left"/>
    </xf>
    <xf numFmtId="0" fontId="11" fillId="3" borderId="72" xfId="0" applyFont="1" applyFill="1" applyBorder="1" applyAlignment="1">
      <alignment horizontal="left"/>
    </xf>
    <xf numFmtId="0" fontId="90" fillId="2" borderId="72" xfId="0" applyFont="1" applyFill="1" applyBorder="1" applyAlignment="1">
      <alignment horizontal="center"/>
    </xf>
    <xf numFmtId="49" fontId="17" fillId="3" borderId="68" xfId="0" applyNumberFormat="1" applyFont="1" applyFill="1" applyBorder="1"/>
    <xf numFmtId="0" fontId="17" fillId="3" borderId="69" xfId="0" applyFont="1" applyFill="1" applyBorder="1" applyAlignment="1">
      <alignment horizontal="right"/>
    </xf>
    <xf numFmtId="2" fontId="32" fillId="3" borderId="69" xfId="0" applyNumberFormat="1" applyFont="1" applyFill="1" applyBorder="1" applyAlignment="1">
      <alignment horizontal="right"/>
    </xf>
    <xf numFmtId="2" fontId="24" fillId="3" borderId="70" xfId="0" applyNumberFormat="1" applyFont="1" applyFill="1" applyBorder="1" applyAlignment="1">
      <alignment horizontal="right"/>
    </xf>
    <xf numFmtId="0" fontId="12" fillId="3" borderId="10" xfId="0" applyFont="1" applyFill="1" applyBorder="1" applyAlignment="1">
      <alignment horizontal="left"/>
    </xf>
    <xf numFmtId="0" fontId="13" fillId="2" borderId="81" xfId="0" applyFont="1" applyFill="1" applyBorder="1" applyAlignment="1">
      <alignment horizontal="center"/>
    </xf>
    <xf numFmtId="0" fontId="11" fillId="3" borderId="47" xfId="0" applyFont="1" applyFill="1" applyBorder="1" applyAlignment="1">
      <alignment horizontal="left"/>
    </xf>
    <xf numFmtId="0" fontId="17" fillId="0" borderId="19" xfId="0" applyFont="1" applyBorder="1" applyAlignment="1"/>
    <xf numFmtId="0" fontId="11" fillId="0" borderId="68" xfId="0" applyFont="1" applyBorder="1" applyAlignment="1">
      <alignment horizontal="left"/>
    </xf>
    <xf numFmtId="0" fontId="13" fillId="2" borderId="82" xfId="0" applyFont="1" applyFill="1" applyBorder="1" applyAlignment="1">
      <alignment horizontal="center"/>
    </xf>
    <xf numFmtId="0" fontId="17" fillId="0" borderId="74" xfId="0" applyFont="1" applyBorder="1" applyAlignment="1">
      <alignment horizontal="right"/>
    </xf>
    <xf numFmtId="2" fontId="32" fillId="0" borderId="74" xfId="0" applyNumberFormat="1" applyFont="1" applyBorder="1" applyAlignment="1">
      <alignment horizontal="right"/>
    </xf>
    <xf numFmtId="2" fontId="24" fillId="0" borderId="75" xfId="0" applyNumberFormat="1" applyFont="1" applyBorder="1" applyAlignment="1">
      <alignment horizontal="right"/>
    </xf>
    <xf numFmtId="0" fontId="11" fillId="11" borderId="7" xfId="0" applyFont="1" applyFill="1" applyBorder="1"/>
    <xf numFmtId="0" fontId="17" fillId="11" borderId="7" xfId="0" applyFont="1" applyFill="1" applyBorder="1" applyAlignment="1"/>
    <xf numFmtId="0" fontId="11" fillId="11" borderId="6" xfId="0" applyFont="1" applyFill="1" applyBorder="1" applyAlignment="1">
      <alignment horizontal="left"/>
    </xf>
    <xf numFmtId="0" fontId="13" fillId="11" borderId="19" xfId="0" applyFont="1" applyFill="1" applyBorder="1" applyAlignment="1">
      <alignment horizontal="center"/>
    </xf>
    <xf numFmtId="0" fontId="103" fillId="11" borderId="6" xfId="0" applyFont="1" applyFill="1" applyBorder="1" applyAlignment="1">
      <alignment horizontal="center"/>
    </xf>
    <xf numFmtId="0" fontId="17" fillId="11" borderId="34" xfId="0" applyFont="1" applyFill="1" applyBorder="1" applyAlignment="1">
      <alignment horizontal="right"/>
    </xf>
    <xf numFmtId="49" fontId="7" fillId="11" borderId="34" xfId="0" applyNumberFormat="1" applyFont="1" applyFill="1" applyBorder="1"/>
    <xf numFmtId="2" fontId="32" fillId="11" borderId="34" xfId="0" applyNumberFormat="1" applyFont="1" applyFill="1" applyBorder="1" applyAlignment="1">
      <alignment horizontal="right"/>
    </xf>
    <xf numFmtId="2" fontId="24" fillId="11" borderId="8" xfId="0" applyNumberFormat="1" applyFont="1" applyFill="1" applyBorder="1" applyAlignment="1">
      <alignment horizontal="right"/>
    </xf>
    <xf numFmtId="0" fontId="11" fillId="11" borderId="12" xfId="0" applyFont="1" applyFill="1" applyBorder="1" applyAlignment="1"/>
    <xf numFmtId="0" fontId="11" fillId="11" borderId="11" xfId="0" applyFont="1" applyFill="1" applyBorder="1" applyAlignment="1">
      <alignment horizontal="left"/>
    </xf>
    <xf numFmtId="0" fontId="13" fillId="11" borderId="47" xfId="0" applyFont="1" applyFill="1" applyBorder="1" applyAlignment="1">
      <alignment horizontal="center"/>
    </xf>
    <xf numFmtId="0" fontId="103" fillId="11" borderId="11" xfId="0" applyFont="1" applyFill="1" applyBorder="1" applyAlignment="1">
      <alignment horizontal="center"/>
    </xf>
    <xf numFmtId="0" fontId="17" fillId="11" borderId="35" xfId="0" applyFont="1" applyFill="1" applyBorder="1" applyAlignment="1">
      <alignment horizontal="right"/>
    </xf>
    <xf numFmtId="2" fontId="32" fillId="11" borderId="35" xfId="0" applyNumberFormat="1" applyFont="1" applyFill="1" applyBorder="1" applyAlignment="1">
      <alignment horizontal="right"/>
    </xf>
    <xf numFmtId="2" fontId="24" fillId="11" borderId="13" xfId="0" applyNumberFormat="1" applyFont="1" applyFill="1" applyBorder="1" applyAlignment="1">
      <alignment horizontal="right"/>
    </xf>
    <xf numFmtId="0" fontId="17" fillId="11" borderId="12" xfId="0" applyFont="1" applyFill="1" applyBorder="1" applyAlignment="1"/>
    <xf numFmtId="0" fontId="13" fillId="11" borderId="6" xfId="0" applyFont="1" applyFill="1" applyBorder="1" applyAlignment="1">
      <alignment horizontal="center"/>
    </xf>
    <xf numFmtId="0" fontId="83" fillId="11" borderId="6" xfId="0" applyFont="1" applyFill="1" applyBorder="1" applyAlignment="1">
      <alignment horizontal="center"/>
    </xf>
    <xf numFmtId="49" fontId="19" fillId="11" borderId="34" xfId="2" applyNumberFormat="1" applyFill="1" applyBorder="1" applyAlignment="1" applyProtection="1"/>
    <xf numFmtId="0" fontId="11" fillId="11" borderId="17" xfId="0" applyFont="1" applyFill="1" applyBorder="1"/>
    <xf numFmtId="0" fontId="11" fillId="11" borderId="17" xfId="0" applyFont="1" applyFill="1" applyBorder="1" applyAlignment="1"/>
    <xf numFmtId="0" fontId="11" fillId="11" borderId="36" xfId="0" applyFont="1" applyFill="1" applyBorder="1" applyAlignment="1">
      <alignment horizontal="center"/>
    </xf>
    <xf numFmtId="0" fontId="11" fillId="11" borderId="16" xfId="0" applyFont="1" applyFill="1" applyBorder="1" applyAlignment="1">
      <alignment horizontal="left"/>
    </xf>
    <xf numFmtId="0" fontId="13" fillId="11" borderId="12" xfId="0" applyFont="1" applyFill="1" applyBorder="1"/>
    <xf numFmtId="0" fontId="13" fillId="11" borderId="68" xfId="0" applyFont="1" applyFill="1" applyBorder="1"/>
    <xf numFmtId="0" fontId="17" fillId="11" borderId="68" xfId="0" applyFont="1" applyFill="1" applyBorder="1" applyAlignment="1"/>
    <xf numFmtId="0" fontId="11" fillId="11" borderId="69" xfId="0" applyFont="1" applyFill="1" applyBorder="1" applyAlignment="1">
      <alignment horizontal="center"/>
    </xf>
    <xf numFmtId="0" fontId="11" fillId="11" borderId="72" xfId="0" applyFont="1" applyFill="1" applyBorder="1" applyAlignment="1">
      <alignment horizontal="left"/>
    </xf>
    <xf numFmtId="0" fontId="13" fillId="11" borderId="72" xfId="0" applyFont="1" applyFill="1" applyBorder="1" applyAlignment="1">
      <alignment horizontal="center"/>
    </xf>
    <xf numFmtId="0" fontId="83" fillId="11" borderId="72" xfId="0" applyFont="1" applyFill="1" applyBorder="1" applyAlignment="1">
      <alignment horizontal="center"/>
    </xf>
    <xf numFmtId="49" fontId="17" fillId="11" borderId="68" xfId="0" applyNumberFormat="1" applyFont="1" applyFill="1" applyBorder="1"/>
    <xf numFmtId="0" fontId="17" fillId="11" borderId="69" xfId="0" applyFont="1" applyFill="1" applyBorder="1" applyAlignment="1">
      <alignment horizontal="right"/>
    </xf>
    <xf numFmtId="49" fontId="19" fillId="11" borderId="69" xfId="2" applyNumberFormat="1" applyFill="1" applyBorder="1" applyAlignment="1" applyProtection="1"/>
    <xf numFmtId="2" fontId="32" fillId="11" borderId="69" xfId="0" applyNumberFormat="1" applyFont="1" applyFill="1" applyBorder="1" applyAlignment="1">
      <alignment horizontal="right"/>
    </xf>
    <xf numFmtId="2" fontId="24" fillId="11" borderId="70" xfId="0" applyNumberFormat="1" applyFont="1" applyFill="1" applyBorder="1" applyAlignment="1">
      <alignment horizontal="right"/>
    </xf>
    <xf numFmtId="0" fontId="90" fillId="3" borderId="46" xfId="0" applyFont="1" applyFill="1" applyBorder="1" applyAlignment="1">
      <alignment horizontal="center"/>
    </xf>
    <xf numFmtId="0" fontId="11" fillId="0" borderId="35" xfId="0" applyNumberFormat="1" applyFont="1" applyBorder="1" applyAlignment="1">
      <alignment horizontal="right"/>
    </xf>
    <xf numFmtId="2" fontId="20" fillId="0" borderId="0" xfId="1" applyNumberFormat="1" applyAlignment="1" applyProtection="1"/>
    <xf numFmtId="0" fontId="2" fillId="0" borderId="35" xfId="0" applyFont="1" applyBorder="1" applyAlignment="1">
      <alignment horizontal="center"/>
    </xf>
    <xf numFmtId="0" fontId="12" fillId="3" borderId="35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60" fillId="7" borderId="35" xfId="0" applyFont="1" applyFill="1" applyBorder="1" applyAlignment="1">
      <alignment horizontal="left"/>
    </xf>
    <xf numFmtId="0" fontId="11" fillId="7" borderId="35" xfId="0" applyFont="1" applyFill="1" applyBorder="1" applyAlignment="1">
      <alignment horizontal="left"/>
    </xf>
    <xf numFmtId="0" fontId="13" fillId="7" borderId="35" xfId="0" applyFont="1" applyFill="1" applyBorder="1" applyAlignment="1">
      <alignment horizontal="center"/>
    </xf>
    <xf numFmtId="49" fontId="17" fillId="7" borderId="35" xfId="0" applyNumberFormat="1" applyFont="1" applyFill="1" applyBorder="1"/>
    <xf numFmtId="0" fontId="90" fillId="7" borderId="35" xfId="0" applyFont="1" applyFill="1" applyBorder="1" applyAlignment="1">
      <alignment horizontal="center"/>
    </xf>
    <xf numFmtId="0" fontId="12" fillId="7" borderId="35" xfId="0" applyFont="1" applyFill="1" applyBorder="1" applyAlignment="1">
      <alignment horizontal="left"/>
    </xf>
    <xf numFmtId="0" fontId="12" fillId="3" borderId="12" xfId="0" applyFont="1" applyFill="1" applyBorder="1" applyAlignment="1">
      <alignment horizontal="left"/>
    </xf>
    <xf numFmtId="49" fontId="17" fillId="0" borderId="69" xfId="0" applyNumberFormat="1" applyFont="1" applyBorder="1"/>
    <xf numFmtId="2" fontId="31" fillId="3" borderId="69" xfId="0" applyNumberFormat="1" applyFont="1" applyFill="1" applyBorder="1" applyAlignment="1">
      <alignment horizontal="right"/>
    </xf>
    <xf numFmtId="0" fontId="13" fillId="3" borderId="44" xfId="0" applyFont="1" applyFill="1" applyBorder="1" applyAlignment="1">
      <alignment horizontal="center"/>
    </xf>
    <xf numFmtId="0" fontId="11" fillId="0" borderId="61" xfId="0" applyFont="1" applyBorder="1" applyAlignment="1">
      <alignment horizontal="left"/>
    </xf>
    <xf numFmtId="0" fontId="11" fillId="0" borderId="44" xfId="0" applyFont="1" applyBorder="1" applyAlignment="1">
      <alignment horizontal="left"/>
    </xf>
    <xf numFmtId="0" fontId="13" fillId="2" borderId="45" xfId="0" applyFont="1" applyFill="1" applyBorder="1" applyAlignment="1">
      <alignment horizontal="center"/>
    </xf>
    <xf numFmtId="0" fontId="13" fillId="2" borderId="56" xfId="0" applyFont="1" applyFill="1" applyBorder="1" applyAlignment="1">
      <alignment horizontal="center"/>
    </xf>
    <xf numFmtId="49" fontId="17" fillId="0" borderId="62" xfId="0" applyNumberFormat="1" applyFont="1" applyBorder="1"/>
    <xf numFmtId="49" fontId="19" fillId="0" borderId="61" xfId="2" applyNumberFormat="1" applyBorder="1" applyAlignment="1" applyProtection="1"/>
    <xf numFmtId="49" fontId="17" fillId="3" borderId="7" xfId="0" applyNumberFormat="1" applyFont="1" applyFill="1" applyBorder="1" applyAlignment="1">
      <alignment horizontal="center"/>
    </xf>
    <xf numFmtId="0" fontId="17" fillId="3" borderId="34" xfId="0" applyFont="1" applyFill="1" applyBorder="1" applyAlignment="1">
      <alignment horizontal="right"/>
    </xf>
    <xf numFmtId="0" fontId="17" fillId="10" borderId="12" xfId="0" applyFont="1" applyFill="1" applyBorder="1" applyAlignment="1">
      <alignment horizontal="left"/>
    </xf>
    <xf numFmtId="0" fontId="11" fillId="10" borderId="35" xfId="0" applyFont="1" applyFill="1" applyBorder="1" applyAlignment="1">
      <alignment horizontal="center"/>
    </xf>
    <xf numFmtId="0" fontId="11" fillId="10" borderId="11" xfId="0" applyFont="1" applyFill="1" applyBorder="1" applyAlignment="1">
      <alignment horizontal="left"/>
    </xf>
    <xf numFmtId="49" fontId="7" fillId="10" borderId="35" xfId="0" applyNumberFormat="1" applyFont="1" applyFill="1" applyBorder="1"/>
    <xf numFmtId="2" fontId="31" fillId="10" borderId="35" xfId="0" applyNumberFormat="1" applyFont="1" applyFill="1" applyBorder="1" applyAlignment="1">
      <alignment horizontal="right"/>
    </xf>
    <xf numFmtId="2" fontId="29" fillId="10" borderId="13" xfId="0" applyNumberFormat="1" applyFont="1" applyFill="1" applyBorder="1" applyAlignment="1">
      <alignment horizontal="right"/>
    </xf>
    <xf numFmtId="0" fontId="2" fillId="0" borderId="12" xfId="0" applyFont="1" applyBorder="1" applyAlignment="1">
      <alignment horizontal="left"/>
    </xf>
    <xf numFmtId="0" fontId="11" fillId="0" borderId="31" xfId="0" applyFont="1" applyBorder="1" applyAlignment="1">
      <alignment horizontal="left"/>
    </xf>
    <xf numFmtId="0" fontId="7" fillId="0" borderId="46" xfId="0" applyFont="1" applyBorder="1" applyAlignment="1">
      <alignment horizontal="center"/>
    </xf>
    <xf numFmtId="1" fontId="51" fillId="3" borderId="61" xfId="0" applyNumberFormat="1" applyFont="1" applyFill="1" applyBorder="1" applyAlignment="1">
      <alignment horizontal="center"/>
    </xf>
    <xf numFmtId="2" fontId="24" fillId="3" borderId="44" xfId="0" applyNumberFormat="1" applyFont="1" applyFill="1" applyBorder="1" applyAlignment="1">
      <alignment horizontal="right"/>
    </xf>
    <xf numFmtId="0" fontId="7" fillId="3" borderId="12" xfId="0" applyFont="1" applyFill="1" applyBorder="1" applyAlignment="1">
      <alignment horizontal="center"/>
    </xf>
    <xf numFmtId="0" fontId="4" fillId="7" borderId="35" xfId="0" applyFont="1" applyFill="1" applyBorder="1" applyAlignment="1">
      <alignment horizontal="left"/>
    </xf>
    <xf numFmtId="0" fontId="7" fillId="6" borderId="35" xfId="0" applyFont="1" applyFill="1" applyBorder="1" applyAlignment="1">
      <alignment horizontal="left"/>
    </xf>
    <xf numFmtId="0" fontId="11" fillId="6" borderId="34" xfId="0" applyFont="1" applyFill="1" applyBorder="1" applyAlignment="1">
      <alignment horizontal="center"/>
    </xf>
    <xf numFmtId="0" fontId="11" fillId="6" borderId="64" xfId="0" applyFont="1" applyFill="1" applyBorder="1" applyAlignment="1">
      <alignment horizontal="left"/>
    </xf>
    <xf numFmtId="0" fontId="13" fillId="6" borderId="6" xfId="0" applyFont="1" applyFill="1" applyBorder="1" applyAlignment="1">
      <alignment horizontal="center"/>
    </xf>
    <xf numFmtId="0" fontId="90" fillId="6" borderId="6" xfId="0" applyFont="1" applyFill="1" applyBorder="1" applyAlignment="1">
      <alignment horizontal="center"/>
    </xf>
    <xf numFmtId="49" fontId="17" fillId="6" borderId="7" xfId="0" applyNumberFormat="1" applyFont="1" applyFill="1" applyBorder="1"/>
    <xf numFmtId="0" fontId="11" fillId="6" borderId="34" xfId="0" applyFont="1" applyFill="1" applyBorder="1" applyAlignment="1">
      <alignment horizontal="right"/>
    </xf>
    <xf numFmtId="49" fontId="19" fillId="6" borderId="34" xfId="2" applyNumberFormat="1" applyFill="1" applyBorder="1" applyAlignment="1" applyProtection="1"/>
    <xf numFmtId="2" fontId="31" fillId="6" borderId="34" xfId="0" applyNumberFormat="1" applyFont="1" applyFill="1" applyBorder="1" applyAlignment="1">
      <alignment horizontal="right"/>
    </xf>
    <xf numFmtId="0" fontId="11" fillId="6" borderId="35" xfId="0" applyFont="1" applyFill="1" applyBorder="1" applyAlignment="1">
      <alignment horizontal="center"/>
    </xf>
    <xf numFmtId="0" fontId="11" fillId="6" borderId="46" xfId="0" applyFont="1" applyFill="1" applyBorder="1" applyAlignment="1">
      <alignment horizontal="left"/>
    </xf>
    <xf numFmtId="0" fontId="13" fillId="6" borderId="11" xfId="0" applyFont="1" applyFill="1" applyBorder="1" applyAlignment="1">
      <alignment horizontal="center"/>
    </xf>
    <xf numFmtId="49" fontId="17" fillId="6" borderId="12" xfId="0" applyNumberFormat="1" applyFont="1" applyFill="1" applyBorder="1"/>
    <xf numFmtId="0" fontId="11" fillId="6" borderId="35" xfId="0" applyFont="1" applyFill="1" applyBorder="1" applyAlignment="1">
      <alignment horizontal="right"/>
    </xf>
    <xf numFmtId="49" fontId="7" fillId="6" borderId="35" xfId="0" applyNumberFormat="1" applyFont="1" applyFill="1" applyBorder="1"/>
    <xf numFmtId="2" fontId="31" fillId="6" borderId="35" xfId="0" applyNumberFormat="1" applyFont="1" applyFill="1" applyBorder="1" applyAlignment="1">
      <alignment horizontal="right"/>
    </xf>
    <xf numFmtId="0" fontId="25" fillId="6" borderId="11" xfId="0" applyFont="1" applyFill="1" applyBorder="1" applyAlignment="1">
      <alignment horizontal="center"/>
    </xf>
    <xf numFmtId="0" fontId="90" fillId="6" borderId="11" xfId="0" applyFont="1" applyFill="1" applyBorder="1" applyAlignment="1">
      <alignment horizontal="center"/>
    </xf>
    <xf numFmtId="2" fontId="11" fillId="3" borderId="6" xfId="0" applyNumberFormat="1" applyFont="1" applyFill="1" applyBorder="1" applyAlignment="1">
      <alignment horizontal="right"/>
    </xf>
    <xf numFmtId="2" fontId="11" fillId="3" borderId="11" xfId="0" applyNumberFormat="1" applyFont="1" applyFill="1" applyBorder="1" applyAlignment="1">
      <alignment horizontal="right"/>
    </xf>
    <xf numFmtId="0" fontId="12" fillId="3" borderId="0" xfId="0" applyFont="1" applyFill="1" applyBorder="1" applyAlignment="1"/>
    <xf numFmtId="0" fontId="90" fillId="3" borderId="0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right"/>
    </xf>
    <xf numFmtId="2" fontId="31" fillId="3" borderId="0" xfId="0" applyNumberFormat="1" applyFont="1" applyFill="1" applyBorder="1" applyAlignment="1">
      <alignment horizontal="right"/>
    </xf>
    <xf numFmtId="2" fontId="11" fillId="3" borderId="0" xfId="0" applyNumberFormat="1" applyFont="1" applyFill="1" applyBorder="1" applyAlignment="1">
      <alignment horizontal="right"/>
    </xf>
    <xf numFmtId="2" fontId="43" fillId="0" borderId="8" xfId="0" applyNumberFormat="1" applyFont="1" applyBorder="1" applyAlignment="1">
      <alignment horizontal="right"/>
    </xf>
    <xf numFmtId="0" fontId="90" fillId="2" borderId="6" xfId="0" applyFont="1" applyFill="1" applyBorder="1" applyAlignment="1">
      <alignment horizontal="center"/>
    </xf>
    <xf numFmtId="49" fontId="62" fillId="0" borderId="35" xfId="2" applyNumberFormat="1" applyFont="1" applyBorder="1" applyAlignment="1" applyProtection="1">
      <alignment horizontal="left"/>
    </xf>
    <xf numFmtId="0" fontId="13" fillId="5" borderId="35" xfId="0" applyFont="1" applyFill="1" applyBorder="1" applyAlignment="1">
      <alignment horizontal="center"/>
    </xf>
    <xf numFmtId="2" fontId="63" fillId="0" borderId="13" xfId="0" applyNumberFormat="1" applyFont="1" applyBorder="1"/>
    <xf numFmtId="0" fontId="64" fillId="8" borderId="35" xfId="2" applyFont="1" applyFill="1" applyBorder="1" applyAlignment="1" applyProtection="1"/>
    <xf numFmtId="49" fontId="17" fillId="0" borderId="36" xfId="0" applyNumberFormat="1" applyFont="1" applyBorder="1"/>
    <xf numFmtId="0" fontId="17" fillId="0" borderId="13" xfId="0" applyFont="1" applyBorder="1" applyAlignment="1"/>
    <xf numFmtId="0" fontId="11" fillId="10" borderId="55" xfId="0" applyFont="1" applyFill="1" applyBorder="1"/>
    <xf numFmtId="0" fontId="11" fillId="10" borderId="50" xfId="0" applyFont="1" applyFill="1" applyBorder="1"/>
    <xf numFmtId="0" fontId="11" fillId="10" borderId="11" xfId="0" applyFont="1" applyFill="1" applyBorder="1" applyAlignment="1">
      <alignment horizontal="center"/>
    </xf>
    <xf numFmtId="0" fontId="2" fillId="4" borderId="12" xfId="0" applyFont="1" applyFill="1" applyBorder="1" applyAlignment="1"/>
    <xf numFmtId="2" fontId="38" fillId="0" borderId="61" xfId="0" applyNumberFormat="1" applyFont="1" applyBorder="1" applyAlignment="1">
      <alignment horizontal="right"/>
    </xf>
    <xf numFmtId="0" fontId="2" fillId="0" borderId="44" xfId="0" applyFont="1" applyBorder="1" applyAlignment="1">
      <alignment horizontal="left"/>
    </xf>
    <xf numFmtId="0" fontId="7" fillId="13" borderId="11" xfId="0" applyFont="1" applyFill="1" applyBorder="1" applyAlignment="1">
      <alignment horizontal="left"/>
    </xf>
    <xf numFmtId="2" fontId="11" fillId="3" borderId="13" xfId="0" applyNumberFormat="1" applyFont="1" applyFill="1" applyBorder="1" applyAlignment="1">
      <alignment horizontal="right"/>
    </xf>
    <xf numFmtId="2" fontId="11" fillId="3" borderId="18" xfId="0" applyNumberFormat="1" applyFont="1" applyFill="1" applyBorder="1" applyAlignment="1">
      <alignment horizontal="right"/>
    </xf>
    <xf numFmtId="0" fontId="3" fillId="0" borderId="8" xfId="0" applyFont="1" applyBorder="1" applyAlignment="1">
      <alignment horizontal="left"/>
    </xf>
    <xf numFmtId="0" fontId="12" fillId="0" borderId="13" xfId="0" applyFont="1" applyBorder="1"/>
    <xf numFmtId="2" fontId="35" fillId="3" borderId="13" xfId="0" applyNumberFormat="1" applyFont="1" applyFill="1" applyBorder="1"/>
    <xf numFmtId="0" fontId="12" fillId="0" borderId="12" xfId="0" applyFont="1" applyFill="1" applyBorder="1" applyAlignment="1">
      <alignment horizontal="left"/>
    </xf>
    <xf numFmtId="0" fontId="11" fillId="0" borderId="35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left"/>
    </xf>
    <xf numFmtId="0" fontId="17" fillId="0" borderId="47" xfId="0" applyFont="1" applyFill="1" applyBorder="1"/>
    <xf numFmtId="0" fontId="100" fillId="0" borderId="11" xfId="0" applyFont="1" applyFill="1" applyBorder="1" applyAlignment="1">
      <alignment horizontal="center"/>
    </xf>
    <xf numFmtId="49" fontId="17" fillId="0" borderId="12" xfId="0" applyNumberFormat="1" applyFont="1" applyFill="1" applyBorder="1"/>
    <xf numFmtId="0" fontId="17" fillId="0" borderId="35" xfId="0" applyFont="1" applyFill="1" applyBorder="1" applyAlignment="1">
      <alignment horizontal="right"/>
    </xf>
    <xf numFmtId="49" fontId="19" fillId="0" borderId="35" xfId="2" applyNumberFormat="1" applyFill="1" applyBorder="1" applyAlignment="1" applyProtection="1"/>
    <xf numFmtId="2" fontId="32" fillId="0" borderId="35" xfId="0" applyNumberFormat="1" applyFont="1" applyFill="1" applyBorder="1" applyAlignment="1">
      <alignment horizontal="right"/>
    </xf>
    <xf numFmtId="2" fontId="24" fillId="0" borderId="13" xfId="0" applyNumberFormat="1" applyFont="1" applyFill="1" applyBorder="1" applyAlignment="1">
      <alignment horizontal="right"/>
    </xf>
    <xf numFmtId="0" fontId="7" fillId="0" borderId="11" xfId="0" applyFont="1" applyFill="1" applyBorder="1" applyAlignment="1">
      <alignment horizontal="left"/>
    </xf>
    <xf numFmtId="0" fontId="17" fillId="0" borderId="12" xfId="0" applyFont="1" applyFill="1" applyBorder="1" applyAlignment="1">
      <alignment horizontal="left"/>
    </xf>
    <xf numFmtId="0" fontId="11" fillId="0" borderId="12" xfId="0" applyFont="1" applyFill="1" applyBorder="1"/>
    <xf numFmtId="0" fontId="13" fillId="0" borderId="11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right"/>
    </xf>
    <xf numFmtId="49" fontId="7" fillId="0" borderId="35" xfId="0" applyNumberFormat="1" applyFont="1" applyFill="1" applyBorder="1"/>
    <xf numFmtId="2" fontId="31" fillId="0" borderId="35" xfId="0" applyNumberFormat="1" applyFont="1" applyFill="1" applyBorder="1" applyAlignment="1">
      <alignment horizontal="right"/>
    </xf>
    <xf numFmtId="2" fontId="29" fillId="0" borderId="13" xfId="0" applyNumberFormat="1" applyFont="1" applyFill="1" applyBorder="1" applyAlignment="1">
      <alignment horizontal="right"/>
    </xf>
    <xf numFmtId="0" fontId="2" fillId="2" borderId="11" xfId="0" applyFont="1" applyFill="1" applyBorder="1" applyAlignment="1">
      <alignment horizontal="center"/>
    </xf>
    <xf numFmtId="14" fontId="14" fillId="0" borderId="10" xfId="0" applyNumberFormat="1" applyFont="1" applyBorder="1"/>
    <xf numFmtId="14" fontId="15" fillId="0" borderId="5" xfId="0" applyNumberFormat="1" applyFont="1" applyBorder="1"/>
    <xf numFmtId="14" fontId="7" fillId="0" borderId="10" xfId="0" applyNumberFormat="1" applyFont="1" applyBorder="1"/>
    <xf numFmtId="2" fontId="17" fillId="3" borderId="13" xfId="0" applyNumberFormat="1" applyFont="1" applyFill="1" applyBorder="1" applyAlignment="1">
      <alignment horizontal="center"/>
    </xf>
    <xf numFmtId="49" fontId="11" fillId="3" borderId="58" xfId="0" applyNumberFormat="1" applyFont="1" applyFill="1" applyBorder="1" applyAlignment="1">
      <alignment horizontal="left"/>
    </xf>
    <xf numFmtId="0" fontId="8" fillId="0" borderId="0" xfId="0" applyFont="1" applyBorder="1" applyAlignment="1"/>
    <xf numFmtId="0" fontId="17" fillId="3" borderId="7" xfId="0" applyFont="1" applyFill="1" applyBorder="1" applyAlignment="1">
      <alignment horizontal="left"/>
    </xf>
    <xf numFmtId="0" fontId="13" fillId="17" borderId="34" xfId="0" applyFont="1" applyFill="1" applyBorder="1"/>
    <xf numFmtId="0" fontId="11" fillId="17" borderId="34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left"/>
    </xf>
    <xf numFmtId="0" fontId="4" fillId="3" borderId="47" xfId="0" applyFont="1" applyFill="1" applyBorder="1" applyAlignment="1">
      <alignment horizontal="left"/>
    </xf>
    <xf numFmtId="0" fontId="15" fillId="3" borderId="7" xfId="0" applyFont="1" applyFill="1" applyBorder="1" applyAlignment="1">
      <alignment horizontal="left"/>
    </xf>
    <xf numFmtId="49" fontId="11" fillId="3" borderId="35" xfId="0" applyNumberFormat="1" applyFont="1" applyFill="1" applyBorder="1" applyAlignment="1">
      <alignment horizontal="center"/>
    </xf>
    <xf numFmtId="0" fontId="7" fillId="3" borderId="47" xfId="0" applyFont="1" applyFill="1" applyBorder="1" applyAlignment="1">
      <alignment horizontal="left"/>
    </xf>
    <xf numFmtId="49" fontId="13" fillId="3" borderId="35" xfId="0" applyNumberFormat="1" applyFont="1" applyFill="1" applyBorder="1" applyAlignment="1">
      <alignment horizontal="center"/>
    </xf>
    <xf numFmtId="0" fontId="14" fillId="7" borderId="7" xfId="0" applyFont="1" applyFill="1" applyBorder="1" applyAlignment="1">
      <alignment horizontal="left"/>
    </xf>
    <xf numFmtId="0" fontId="15" fillId="7" borderId="7" xfId="0" applyFont="1" applyFill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0" fillId="0" borderId="58" xfId="0" applyFont="1" applyBorder="1" applyAlignment="1">
      <alignment horizontal="left"/>
    </xf>
    <xf numFmtId="49" fontId="7" fillId="3" borderId="59" xfId="0" applyNumberFormat="1" applyFont="1" applyFill="1" applyBorder="1" applyAlignment="1">
      <alignment horizontal="center"/>
    </xf>
    <xf numFmtId="0" fontId="15" fillId="3" borderId="35" xfId="0" applyFont="1" applyFill="1" applyBorder="1" applyAlignment="1">
      <alignment horizontal="center"/>
    </xf>
    <xf numFmtId="0" fontId="57" fillId="4" borderId="13" xfId="2" applyFont="1" applyFill="1" applyBorder="1" applyAlignment="1" applyProtection="1">
      <alignment horizontal="left"/>
    </xf>
    <xf numFmtId="0" fontId="4" fillId="3" borderId="7" xfId="0" applyFont="1" applyFill="1" applyBorder="1" applyAlignment="1">
      <alignment horizontal="left"/>
    </xf>
    <xf numFmtId="2" fontId="13" fillId="0" borderId="35" xfId="0" applyNumberFormat="1" applyFont="1" applyBorder="1"/>
    <xf numFmtId="2" fontId="13" fillId="3" borderId="35" xfId="0" applyNumberFormat="1" applyFont="1" applyFill="1" applyBorder="1"/>
    <xf numFmtId="2" fontId="5" fillId="0" borderId="35" xfId="0" applyNumberFormat="1" applyFont="1" applyBorder="1"/>
    <xf numFmtId="0" fontId="5" fillId="2" borderId="11" xfId="0" applyFont="1" applyFill="1" applyBorder="1" applyAlignment="1">
      <alignment horizontal="center"/>
    </xf>
    <xf numFmtId="2" fontId="104" fillId="0" borderId="13" xfId="0" applyNumberFormat="1" applyFont="1" applyBorder="1" applyAlignment="1">
      <alignment horizontal="right"/>
    </xf>
    <xf numFmtId="2" fontId="104" fillId="3" borderId="13" xfId="0" applyNumberFormat="1" applyFont="1" applyFill="1" applyBorder="1" applyAlignment="1">
      <alignment horizontal="right"/>
    </xf>
    <xf numFmtId="49" fontId="12" fillId="8" borderId="12" xfId="0" applyNumberFormat="1" applyFont="1" applyFill="1" applyBorder="1" applyAlignment="1">
      <alignment horizontal="left"/>
    </xf>
    <xf numFmtId="2" fontId="10" fillId="3" borderId="35" xfId="0" applyNumberFormat="1" applyFont="1" applyFill="1" applyBorder="1" applyAlignment="1">
      <alignment horizontal="right"/>
    </xf>
    <xf numFmtId="2" fontId="10" fillId="3" borderId="13" xfId="0" applyNumberFormat="1" applyFont="1" applyFill="1" applyBorder="1"/>
    <xf numFmtId="0" fontId="13" fillId="8" borderId="54" xfId="0" applyFont="1" applyFill="1" applyBorder="1" applyAlignment="1">
      <alignment horizontal="left"/>
    </xf>
    <xf numFmtId="0" fontId="13" fillId="8" borderId="58" xfId="0" applyFont="1" applyFill="1" applyBorder="1" applyAlignment="1">
      <alignment horizontal="left"/>
    </xf>
    <xf numFmtId="0" fontId="11" fillId="12" borderId="11" xfId="0" applyFont="1" applyFill="1" applyBorder="1" applyAlignment="1">
      <alignment horizontal="right"/>
    </xf>
    <xf numFmtId="0" fontId="11" fillId="2" borderId="48" xfId="0" applyFont="1" applyFill="1" applyBorder="1"/>
    <xf numFmtId="0" fontId="17" fillId="2" borderId="12" xfId="0" applyFont="1" applyFill="1" applyBorder="1"/>
    <xf numFmtId="49" fontId="11" fillId="7" borderId="10" xfId="0" applyNumberFormat="1" applyFont="1" applyFill="1" applyBorder="1"/>
    <xf numFmtId="49" fontId="11" fillId="7" borderId="5" xfId="0" applyNumberFormat="1" applyFont="1" applyFill="1" applyBorder="1"/>
    <xf numFmtId="0" fontId="17" fillId="10" borderId="43" xfId="0" applyFont="1" applyFill="1" applyBorder="1"/>
    <xf numFmtId="0" fontId="31" fillId="10" borderId="11" xfId="0" applyFont="1" applyFill="1" applyBorder="1" applyAlignment="1">
      <alignment horizontal="center"/>
    </xf>
    <xf numFmtId="2" fontId="24" fillId="3" borderId="33" xfId="0" applyNumberFormat="1" applyFont="1" applyFill="1" applyBorder="1" applyAlignment="1">
      <alignment horizontal="right"/>
    </xf>
    <xf numFmtId="0" fontId="17" fillId="10" borderId="34" xfId="0" applyFont="1" applyFill="1" applyBorder="1" applyAlignment="1">
      <alignment horizontal="center"/>
    </xf>
    <xf numFmtId="0" fontId="17" fillId="10" borderId="47" xfId="0" applyFont="1" applyFill="1" applyBorder="1"/>
    <xf numFmtId="49" fontId="11" fillId="7" borderId="12" xfId="0" applyNumberFormat="1" applyFont="1" applyFill="1" applyBorder="1" applyAlignment="1">
      <alignment horizontal="left"/>
    </xf>
    <xf numFmtId="0" fontId="11" fillId="2" borderId="12" xfId="0" applyFont="1" applyFill="1" applyBorder="1"/>
    <xf numFmtId="14" fontId="13" fillId="3" borderId="10" xfId="0" applyNumberFormat="1" applyFont="1" applyFill="1" applyBorder="1"/>
    <xf numFmtId="49" fontId="3" fillId="0" borderId="35" xfId="0" applyNumberFormat="1" applyFont="1" applyBorder="1" applyAlignment="1">
      <alignment horizontal="left"/>
    </xf>
    <xf numFmtId="0" fontId="11" fillId="2" borderId="47" xfId="0" applyFont="1" applyFill="1" applyBorder="1"/>
    <xf numFmtId="0" fontId="15" fillId="2" borderId="11" xfId="0" applyFont="1" applyFill="1" applyBorder="1" applyAlignment="1">
      <alignment horizontal="center"/>
    </xf>
    <xf numFmtId="2" fontId="15" fillId="0" borderId="35" xfId="0" applyNumberFormat="1" applyFont="1" applyBorder="1"/>
    <xf numFmtId="2" fontId="15" fillId="0" borderId="36" xfId="0" applyNumberFormat="1" applyFont="1" applyBorder="1"/>
    <xf numFmtId="0" fontId="14" fillId="8" borderId="12" xfId="0" applyFont="1" applyFill="1" applyBorder="1" applyAlignment="1">
      <alignment horizontal="center"/>
    </xf>
    <xf numFmtId="169" fontId="21" fillId="0" borderId="8" xfId="0" applyNumberFormat="1" applyFont="1" applyBorder="1" applyAlignment="1">
      <alignment horizontal="right"/>
    </xf>
    <xf numFmtId="2" fontId="49" fillId="0" borderId="8" xfId="0" applyNumberFormat="1" applyFont="1" applyBorder="1" applyAlignment="1">
      <alignment horizontal="right"/>
    </xf>
    <xf numFmtId="2" fontId="49" fillId="0" borderId="13" xfId="0" applyNumberFormat="1" applyFont="1" applyBorder="1" applyAlignment="1">
      <alignment horizontal="right"/>
    </xf>
    <xf numFmtId="0" fontId="67" fillId="0" borderId="13" xfId="0" applyFont="1" applyBorder="1"/>
    <xf numFmtId="0" fontId="5" fillId="3" borderId="47" xfId="0" applyFont="1" applyFill="1" applyBorder="1" applyAlignment="1"/>
    <xf numFmtId="0" fontId="15" fillId="3" borderId="12" xfId="0" applyFont="1" applyFill="1" applyBorder="1" applyAlignment="1"/>
    <xf numFmtId="0" fontId="15" fillId="3" borderId="12" xfId="0" applyFont="1" applyFill="1" applyBorder="1"/>
    <xf numFmtId="0" fontId="66" fillId="0" borderId="8" xfId="0" applyFont="1" applyBorder="1"/>
    <xf numFmtId="0" fontId="7" fillId="12" borderId="12" xfId="0" applyFont="1" applyFill="1" applyBorder="1" applyAlignment="1"/>
    <xf numFmtId="0" fontId="11" fillId="12" borderId="10" xfId="0" applyFont="1" applyFill="1" applyBorder="1" applyAlignment="1">
      <alignment horizontal="center"/>
    </xf>
    <xf numFmtId="0" fontId="13" fillId="17" borderId="29" xfId="0" applyFont="1" applyFill="1" applyBorder="1" applyAlignment="1"/>
    <xf numFmtId="0" fontId="13" fillId="17" borderId="58" xfId="0" applyFont="1" applyFill="1" applyBorder="1" applyAlignment="1"/>
    <xf numFmtId="0" fontId="13" fillId="17" borderId="59" xfId="0" applyFont="1" applyFill="1" applyBorder="1" applyAlignment="1">
      <alignment horizontal="center"/>
    </xf>
    <xf numFmtId="0" fontId="14" fillId="17" borderId="33" xfId="0" applyFont="1" applyFill="1" applyBorder="1" applyAlignment="1">
      <alignment horizontal="center"/>
    </xf>
    <xf numFmtId="0" fontId="13" fillId="17" borderId="54" xfId="0" applyFont="1" applyFill="1" applyBorder="1" applyAlignment="1">
      <alignment horizontal="center"/>
    </xf>
    <xf numFmtId="0" fontId="13" fillId="17" borderId="23" xfId="0" applyFont="1" applyFill="1" applyBorder="1" applyAlignment="1">
      <alignment horizontal="center"/>
    </xf>
    <xf numFmtId="49" fontId="17" fillId="17" borderId="58" xfId="0" applyNumberFormat="1" applyFont="1" applyFill="1" applyBorder="1" applyAlignment="1">
      <alignment horizontal="center"/>
    </xf>
    <xf numFmtId="0" fontId="11" fillId="17" borderId="59" xfId="0" applyFont="1" applyFill="1" applyBorder="1" applyAlignment="1">
      <alignment horizontal="right"/>
    </xf>
    <xf numFmtId="0" fontId="17" fillId="17" borderId="59" xfId="0" applyFont="1" applyFill="1" applyBorder="1" applyAlignment="1">
      <alignment horizontal="center"/>
    </xf>
    <xf numFmtId="2" fontId="13" fillId="17" borderId="59" xfId="0" applyNumberFormat="1" applyFont="1" applyFill="1" applyBorder="1" applyAlignment="1">
      <alignment horizontal="right"/>
    </xf>
    <xf numFmtId="2" fontId="23" fillId="17" borderId="33" xfId="0" applyNumberFormat="1" applyFont="1" applyFill="1" applyBorder="1" applyAlignment="1">
      <alignment horizontal="right"/>
    </xf>
    <xf numFmtId="0" fontId="7" fillId="2" borderId="43" xfId="0" applyFont="1" applyFill="1" applyBorder="1"/>
    <xf numFmtId="0" fontId="12" fillId="11" borderId="12" xfId="0" applyFont="1" applyFill="1" applyBorder="1"/>
    <xf numFmtId="0" fontId="66" fillId="3" borderId="13" xfId="0" applyFont="1" applyFill="1" applyBorder="1"/>
    <xf numFmtId="0" fontId="11" fillId="7" borderId="43" xfId="0" applyFont="1" applyFill="1" applyBorder="1" applyAlignment="1">
      <alignment horizontal="center"/>
    </xf>
    <xf numFmtId="0" fontId="11" fillId="7" borderId="47" xfId="0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13" fillId="3" borderId="44" xfId="0" applyFont="1" applyFill="1" applyBorder="1"/>
    <xf numFmtId="2" fontId="11" fillId="0" borderId="83" xfId="0" applyNumberFormat="1" applyFont="1" applyBorder="1" applyAlignment="1">
      <alignment horizontal="right"/>
    </xf>
    <xf numFmtId="2" fontId="7" fillId="0" borderId="13" xfId="0" applyNumberFormat="1" applyFont="1" applyBorder="1" applyAlignment="1">
      <alignment horizontal="right"/>
    </xf>
    <xf numFmtId="2" fontId="11" fillId="0" borderId="13" xfId="0" applyNumberFormat="1" applyFont="1" applyBorder="1"/>
    <xf numFmtId="2" fontId="43" fillId="0" borderId="35" xfId="0" applyNumberFormat="1" applyFont="1" applyBorder="1" applyAlignment="1">
      <alignment horizontal="right"/>
    </xf>
    <xf numFmtId="0" fontId="17" fillId="0" borderId="33" xfId="0" applyFont="1" applyBorder="1" applyAlignment="1">
      <alignment horizontal="center"/>
    </xf>
    <xf numFmtId="0" fontId="11" fillId="2" borderId="81" xfId="0" applyFont="1" applyFill="1" applyBorder="1" applyAlignment="1">
      <alignment horizontal="right"/>
    </xf>
    <xf numFmtId="2" fontId="10" fillId="0" borderId="13" xfId="0" applyNumberFormat="1" applyFont="1" applyBorder="1"/>
    <xf numFmtId="0" fontId="13" fillId="6" borderId="10" xfId="0" applyFont="1" applyFill="1" applyBorder="1"/>
    <xf numFmtId="2" fontId="17" fillId="0" borderId="35" xfId="0" applyNumberFormat="1" applyFont="1" applyBorder="1"/>
    <xf numFmtId="0" fontId="11" fillId="2" borderId="11" xfId="0" applyFont="1" applyFill="1" applyBorder="1"/>
    <xf numFmtId="2" fontId="12" fillId="0" borderId="13" xfId="0" applyNumberFormat="1" applyFont="1" applyBorder="1" applyAlignment="1">
      <alignment horizontal="right"/>
    </xf>
    <xf numFmtId="2" fontId="11" fillId="3" borderId="13" xfId="0" applyNumberFormat="1" applyFont="1" applyFill="1" applyBorder="1"/>
    <xf numFmtId="1" fontId="11" fillId="3" borderId="13" xfId="0" applyNumberFormat="1" applyFont="1" applyFill="1" applyBorder="1" applyAlignment="1">
      <alignment horizontal="right"/>
    </xf>
    <xf numFmtId="1" fontId="11" fillId="0" borderId="13" xfId="0" applyNumberFormat="1" applyFont="1" applyBorder="1" applyAlignment="1">
      <alignment horizontal="right"/>
    </xf>
    <xf numFmtId="49" fontId="17" fillId="9" borderId="7" xfId="0" applyNumberFormat="1" applyFont="1" applyFill="1" applyBorder="1"/>
    <xf numFmtId="0" fontId="105" fillId="19" borderId="12" xfId="0" applyFont="1" applyFill="1" applyBorder="1"/>
    <xf numFmtId="0" fontId="105" fillId="19" borderId="35" xfId="0" applyFont="1" applyFill="1" applyBorder="1"/>
    <xf numFmtId="0" fontId="106" fillId="19" borderId="11" xfId="0" applyFont="1" applyFill="1" applyBorder="1"/>
    <xf numFmtId="0" fontId="107" fillId="19" borderId="47" xfId="0" applyFont="1" applyFill="1" applyBorder="1" applyAlignment="1">
      <alignment horizontal="center"/>
    </xf>
    <xf numFmtId="0" fontId="107" fillId="19" borderId="11" xfId="0" applyFont="1" applyFill="1" applyBorder="1" applyAlignment="1">
      <alignment horizontal="center"/>
    </xf>
    <xf numFmtId="0" fontId="105" fillId="19" borderId="35" xfId="0" applyFont="1" applyFill="1" applyBorder="1" applyAlignment="1">
      <alignment horizontal="right"/>
    </xf>
    <xf numFmtId="0" fontId="106" fillId="19" borderId="35" xfId="0" applyFont="1" applyFill="1" applyBorder="1"/>
    <xf numFmtId="2" fontId="105" fillId="19" borderId="35" xfId="0" applyNumberFormat="1" applyFont="1" applyFill="1" applyBorder="1" applyAlignment="1">
      <alignment horizontal="right"/>
    </xf>
    <xf numFmtId="2" fontId="107" fillId="19" borderId="13" xfId="0" applyNumberFormat="1" applyFont="1" applyFill="1" applyBorder="1" applyAlignment="1">
      <alignment horizontal="right"/>
    </xf>
    <xf numFmtId="0" fontId="108" fillId="19" borderId="35" xfId="2" applyFont="1" applyFill="1" applyBorder="1" applyAlignment="1" applyProtection="1"/>
    <xf numFmtId="0" fontId="109" fillId="19" borderId="35" xfId="0" applyFont="1" applyFill="1" applyBorder="1"/>
    <xf numFmtId="0" fontId="110" fillId="19" borderId="35" xfId="2" applyFont="1" applyFill="1" applyBorder="1" applyAlignment="1" applyProtection="1"/>
    <xf numFmtId="0" fontId="38" fillId="3" borderId="18" xfId="0" applyFont="1" applyFill="1" applyBorder="1" applyAlignment="1">
      <alignment horizontal="right"/>
    </xf>
    <xf numFmtId="0" fontId="26" fillId="0" borderId="13" xfId="0" applyFont="1" applyBorder="1" applyAlignment="1">
      <alignment horizontal="left"/>
    </xf>
    <xf numFmtId="0" fontId="12" fillId="2" borderId="43" xfId="0" applyFont="1" applyFill="1" applyBorder="1"/>
    <xf numFmtId="0" fontId="105" fillId="3" borderId="12" xfId="0" applyFont="1" applyFill="1" applyBorder="1"/>
    <xf numFmtId="0" fontId="105" fillId="3" borderId="35" xfId="0" applyFont="1" applyFill="1" applyBorder="1"/>
    <xf numFmtId="0" fontId="106" fillId="3" borderId="11" xfId="0" applyFont="1" applyFill="1" applyBorder="1"/>
    <xf numFmtId="0" fontId="107" fillId="3" borderId="47" xfId="0" applyFont="1" applyFill="1" applyBorder="1" applyAlignment="1">
      <alignment horizontal="center"/>
    </xf>
    <xf numFmtId="0" fontId="107" fillId="3" borderId="11" xfId="0" applyFont="1" applyFill="1" applyBorder="1" applyAlignment="1">
      <alignment horizontal="center"/>
    </xf>
    <xf numFmtId="49" fontId="106" fillId="3" borderId="12" xfId="0" applyNumberFormat="1" applyFont="1" applyFill="1" applyBorder="1"/>
    <xf numFmtId="0" fontId="105" fillId="3" borderId="35" xfId="0" applyFont="1" applyFill="1" applyBorder="1" applyAlignment="1">
      <alignment horizontal="right"/>
    </xf>
    <xf numFmtId="0" fontId="106" fillId="3" borderId="35" xfId="0" applyFont="1" applyFill="1" applyBorder="1"/>
    <xf numFmtId="2" fontId="105" fillId="3" borderId="35" xfId="0" applyNumberFormat="1" applyFont="1" applyFill="1" applyBorder="1" applyAlignment="1">
      <alignment horizontal="right"/>
    </xf>
    <xf numFmtId="2" fontId="107" fillId="3" borderId="13" xfId="0" applyNumberFormat="1" applyFont="1" applyFill="1" applyBorder="1" applyAlignment="1">
      <alignment horizontal="right"/>
    </xf>
    <xf numFmtId="0" fontId="106" fillId="3" borderId="12" xfId="0" applyFont="1" applyFill="1" applyBorder="1"/>
    <xf numFmtId="0" fontId="109" fillId="3" borderId="35" xfId="0" applyFont="1" applyFill="1" applyBorder="1"/>
    <xf numFmtId="0" fontId="110" fillId="3" borderId="35" xfId="2" applyFont="1" applyFill="1" applyBorder="1" applyAlignment="1" applyProtection="1"/>
    <xf numFmtId="0" fontId="111" fillId="3" borderId="35" xfId="0" applyFont="1" applyFill="1" applyBorder="1"/>
    <xf numFmtId="49" fontId="11" fillId="9" borderId="47" xfId="0" applyNumberFormat="1" applyFont="1" applyFill="1" applyBorder="1" applyAlignment="1">
      <alignment horizontal="left"/>
    </xf>
    <xf numFmtId="49" fontId="11" fillId="9" borderId="49" xfId="0" applyNumberFormat="1" applyFont="1" applyFill="1" applyBorder="1" applyAlignment="1">
      <alignment horizontal="left"/>
    </xf>
    <xf numFmtId="0" fontId="4" fillId="0" borderId="43" xfId="0" applyFont="1" applyBorder="1"/>
    <xf numFmtId="0" fontId="5" fillId="3" borderId="35" xfId="0" applyFont="1" applyFill="1" applyBorder="1"/>
    <xf numFmtId="49" fontId="7" fillId="9" borderId="12" xfId="0" applyNumberFormat="1" applyFont="1" applyFill="1" applyBorder="1" applyAlignment="1">
      <alignment horizontal="left"/>
    </xf>
    <xf numFmtId="49" fontId="11" fillId="9" borderId="12" xfId="0" applyNumberFormat="1" applyFont="1" applyFill="1" applyBorder="1"/>
    <xf numFmtId="49" fontId="17" fillId="9" borderId="12" xfId="0" applyNumberFormat="1" applyFont="1" applyFill="1" applyBorder="1" applyAlignment="1">
      <alignment horizontal="left"/>
    </xf>
    <xf numFmtId="49" fontId="17" fillId="9" borderId="7" xfId="0" applyNumberFormat="1" applyFont="1" applyFill="1" applyBorder="1" applyAlignment="1">
      <alignment horizontal="left"/>
    </xf>
    <xf numFmtId="0" fontId="2" fillId="12" borderId="34" xfId="0" applyFont="1" applyFill="1" applyBorder="1"/>
    <xf numFmtId="14" fontId="11" fillId="12" borderId="11" xfId="0" applyNumberFormat="1" applyFont="1" applyFill="1" applyBorder="1" applyAlignment="1">
      <alignment horizontal="center"/>
    </xf>
    <xf numFmtId="0" fontId="7" fillId="12" borderId="35" xfId="0" applyFont="1" applyFill="1" applyBorder="1" applyAlignment="1">
      <alignment horizontal="center"/>
    </xf>
    <xf numFmtId="49" fontId="7" fillId="9" borderId="17" xfId="0" applyNumberFormat="1" applyFont="1" applyFill="1" applyBorder="1" applyAlignment="1">
      <alignment horizontal="left"/>
    </xf>
    <xf numFmtId="0" fontId="7" fillId="2" borderId="11" xfId="0" applyFont="1" applyFill="1" applyBorder="1" applyAlignment="1">
      <alignment horizontal="right"/>
    </xf>
    <xf numFmtId="170" fontId="7" fillId="9" borderId="35" xfId="0" applyNumberFormat="1" applyFont="1" applyFill="1" applyBorder="1"/>
    <xf numFmtId="0" fontId="11" fillId="3" borderId="59" xfId="0" applyFont="1" applyFill="1" applyBorder="1" applyAlignment="1"/>
    <xf numFmtId="49" fontId="7" fillId="9" borderId="47" xfId="0" applyNumberFormat="1" applyFont="1" applyFill="1" applyBorder="1"/>
    <xf numFmtId="1" fontId="28" fillId="3" borderId="13" xfId="0" applyNumberFormat="1" applyFont="1" applyFill="1" applyBorder="1"/>
    <xf numFmtId="0" fontId="13" fillId="4" borderId="46" xfId="0" applyFont="1" applyFill="1" applyBorder="1" applyAlignment="1">
      <alignment horizontal="left"/>
    </xf>
    <xf numFmtId="0" fontId="17" fillId="0" borderId="10" xfId="0" applyFont="1" applyBorder="1"/>
    <xf numFmtId="49" fontId="7" fillId="9" borderId="68" xfId="0" applyNumberFormat="1" applyFont="1" applyFill="1" applyBorder="1"/>
    <xf numFmtId="0" fontId="26" fillId="2" borderId="11" xfId="0" applyFont="1" applyFill="1" applyBorder="1" applyAlignment="1">
      <alignment horizontal="right"/>
    </xf>
    <xf numFmtId="0" fontId="112" fillId="2" borderId="43" xfId="0" applyFont="1" applyFill="1" applyBorder="1"/>
    <xf numFmtId="0" fontId="113" fillId="2" borderId="11" xfId="0" applyFont="1" applyFill="1" applyBorder="1" applyAlignment="1">
      <alignment horizontal="right"/>
    </xf>
    <xf numFmtId="49" fontId="114" fillId="0" borderId="12" xfId="0" applyNumberFormat="1" applyFont="1" applyBorder="1"/>
    <xf numFmtId="49" fontId="115" fillId="0" borderId="35" xfId="0" applyNumberFormat="1" applyFont="1" applyBorder="1" applyAlignment="1">
      <alignment horizontal="left"/>
    </xf>
    <xf numFmtId="2" fontId="112" fillId="0" borderId="13" xfId="0" applyNumberFormat="1" applyFont="1" applyBorder="1"/>
    <xf numFmtId="0" fontId="11" fillId="2" borderId="16" xfId="0" applyFont="1" applyFill="1" applyBorder="1" applyAlignment="1">
      <alignment horizontal="right"/>
    </xf>
    <xf numFmtId="49" fontId="7" fillId="9" borderId="17" xfId="0" applyNumberFormat="1" applyFont="1" applyFill="1" applyBorder="1"/>
    <xf numFmtId="14" fontId="13" fillId="0" borderId="5" xfId="0" applyNumberFormat="1" applyFont="1" applyBorder="1"/>
    <xf numFmtId="0" fontId="9" fillId="0" borderId="76" xfId="0" applyFont="1" applyBorder="1"/>
    <xf numFmtId="0" fontId="9" fillId="0" borderId="72" xfId="0" applyFont="1" applyBorder="1"/>
    <xf numFmtId="0" fontId="9" fillId="0" borderId="68" xfId="0" applyFont="1" applyBorder="1"/>
    <xf numFmtId="0" fontId="9" fillId="0" borderId="76" xfId="0" applyFont="1" applyBorder="1" applyAlignment="1">
      <alignment horizontal="center"/>
    </xf>
    <xf numFmtId="0" fontId="17" fillId="12" borderId="35" xfId="0" applyFont="1" applyFill="1" applyBorder="1" applyAlignment="1">
      <alignment horizontal="center"/>
    </xf>
    <xf numFmtId="0" fontId="17" fillId="0" borderId="64" xfId="0" applyFont="1" applyBorder="1" applyAlignment="1">
      <alignment horizontal="center"/>
    </xf>
    <xf numFmtId="49" fontId="11" fillId="0" borderId="34" xfId="0" applyNumberFormat="1" applyFont="1" applyBorder="1"/>
    <xf numFmtId="1" fontId="31" fillId="0" borderId="34" xfId="0" applyNumberFormat="1" applyFont="1" applyBorder="1"/>
    <xf numFmtId="0" fontId="11" fillId="0" borderId="70" xfId="0" applyFont="1" applyBorder="1"/>
    <xf numFmtId="0" fontId="11" fillId="4" borderId="68" xfId="0" applyFont="1" applyFill="1" applyBorder="1"/>
    <xf numFmtId="0" fontId="17" fillId="4" borderId="69" xfId="0" applyFont="1" applyFill="1" applyBorder="1" applyAlignment="1">
      <alignment horizontal="center"/>
    </xf>
    <xf numFmtId="0" fontId="17" fillId="4" borderId="77" xfId="0" applyFont="1" applyFill="1" applyBorder="1" applyAlignment="1">
      <alignment horizontal="center"/>
    </xf>
    <xf numFmtId="0" fontId="13" fillId="4" borderId="80" xfId="0" applyFont="1" applyFill="1" applyBorder="1"/>
    <xf numFmtId="0" fontId="13" fillId="4" borderId="72" xfId="0" applyFont="1" applyFill="1" applyBorder="1" applyAlignment="1">
      <alignment horizontal="center"/>
    </xf>
    <xf numFmtId="49" fontId="17" fillId="4" borderId="68" xfId="0" applyNumberFormat="1" applyFont="1" applyFill="1" applyBorder="1"/>
    <xf numFmtId="0" fontId="11" fillId="4" borderId="69" xfId="0" applyFont="1" applyFill="1" applyBorder="1"/>
    <xf numFmtId="49" fontId="11" fillId="4" borderId="69" xfId="0" applyNumberFormat="1" applyFont="1" applyFill="1" applyBorder="1"/>
    <xf numFmtId="1" fontId="31" fillId="4" borderId="69" xfId="0" applyNumberFormat="1" applyFont="1" applyFill="1" applyBorder="1"/>
    <xf numFmtId="2" fontId="23" fillId="4" borderId="70" xfId="0" applyNumberFormat="1" applyFont="1" applyFill="1" applyBorder="1" applyAlignment="1">
      <alignment horizontal="right"/>
    </xf>
    <xf numFmtId="0" fontId="10" fillId="0" borderId="35" xfId="0" applyFont="1" applyBorder="1" applyAlignment="1">
      <alignment horizontal="left"/>
    </xf>
    <xf numFmtId="0" fontId="17" fillId="3" borderId="10" xfId="0" applyFont="1" applyFill="1" applyBorder="1"/>
    <xf numFmtId="0" fontId="17" fillId="0" borderId="7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7" fillId="3" borderId="10" xfId="0" applyFont="1" applyFill="1" applyBorder="1"/>
    <xf numFmtId="0" fontId="7" fillId="0" borderId="10" xfId="0" applyFont="1" applyBorder="1"/>
    <xf numFmtId="0" fontId="7" fillId="0" borderId="11" xfId="0" applyFont="1" applyBorder="1"/>
    <xf numFmtId="0" fontId="10" fillId="3" borderId="10" xfId="0" applyFont="1" applyFill="1" applyBorder="1"/>
    <xf numFmtId="49" fontId="11" fillId="0" borderId="35" xfId="0" applyNumberFormat="1" applyFont="1" applyBorder="1" applyAlignment="1">
      <alignment horizontal="center"/>
    </xf>
    <xf numFmtId="49" fontId="10" fillId="3" borderId="35" xfId="0" applyNumberFormat="1" applyFont="1" applyFill="1" applyBorder="1" applyAlignment="1">
      <alignment horizontal="center"/>
    </xf>
    <xf numFmtId="0" fontId="7" fillId="3" borderId="12" xfId="0" applyFont="1" applyFill="1" applyBorder="1" applyAlignment="1"/>
    <xf numFmtId="14" fontId="17" fillId="9" borderId="35" xfId="0" applyNumberFormat="1" applyFont="1" applyFill="1" applyBorder="1"/>
    <xf numFmtId="0" fontId="26" fillId="2" borderId="10" xfId="0" applyFont="1" applyFill="1" applyBorder="1" applyAlignment="1">
      <alignment horizontal="center"/>
    </xf>
    <xf numFmtId="0" fontId="30" fillId="3" borderId="12" xfId="0" applyFont="1" applyFill="1" applyBorder="1" applyAlignment="1">
      <alignment horizontal="left"/>
    </xf>
    <xf numFmtId="0" fontId="17" fillId="2" borderId="11" xfId="0" applyFont="1" applyFill="1" applyBorder="1" applyAlignment="1">
      <alignment horizontal="right"/>
    </xf>
    <xf numFmtId="49" fontId="7" fillId="9" borderId="73" xfId="0" applyNumberFormat="1" applyFont="1" applyFill="1" applyBorder="1"/>
    <xf numFmtId="0" fontId="13" fillId="3" borderId="50" xfId="0" applyFont="1" applyFill="1" applyBorder="1" applyAlignment="1">
      <alignment horizontal="left"/>
    </xf>
    <xf numFmtId="2" fontId="26" fillId="0" borderId="13" xfId="0" applyNumberFormat="1" applyFont="1" applyBorder="1" applyAlignment="1">
      <alignment horizontal="center"/>
    </xf>
    <xf numFmtId="0" fontId="13" fillId="3" borderId="33" xfId="0" applyFont="1" applyFill="1" applyBorder="1" applyAlignment="1"/>
    <xf numFmtId="0" fontId="13" fillId="3" borderId="71" xfId="0" applyFont="1" applyFill="1" applyBorder="1"/>
    <xf numFmtId="170" fontId="7" fillId="3" borderId="35" xfId="0" applyNumberFormat="1" applyFont="1" applyFill="1" applyBorder="1"/>
    <xf numFmtId="170" fontId="7" fillId="3" borderId="69" xfId="0" applyNumberFormat="1" applyFont="1" applyFill="1" applyBorder="1"/>
    <xf numFmtId="49" fontId="17" fillId="3" borderId="69" xfId="0" applyNumberFormat="1" applyFont="1" applyFill="1" applyBorder="1" applyAlignment="1">
      <alignment horizontal="left"/>
    </xf>
    <xf numFmtId="49" fontId="7" fillId="3" borderId="68" xfId="0" applyNumberFormat="1" applyFont="1" applyFill="1" applyBorder="1"/>
    <xf numFmtId="0" fontId="17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19" fillId="0" borderId="0" xfId="2" applyBorder="1" applyAlignment="1" applyProtection="1"/>
    <xf numFmtId="14" fontId="17" fillId="3" borderId="35" xfId="0" applyNumberFormat="1" applyFont="1" applyFill="1" applyBorder="1"/>
    <xf numFmtId="0" fontId="11" fillId="0" borderId="77" xfId="0" applyFont="1" applyBorder="1" applyAlignment="1">
      <alignment horizontal="center"/>
    </xf>
    <xf numFmtId="49" fontId="11" fillId="0" borderId="68" xfId="0" applyNumberFormat="1" applyFont="1" applyBorder="1" applyAlignment="1">
      <alignment horizontal="left"/>
    </xf>
    <xf numFmtId="0" fontId="69" fillId="0" borderId="13" xfId="0" applyFont="1" applyBorder="1" applyAlignment="1">
      <alignment horizontal="right"/>
    </xf>
    <xf numFmtId="0" fontId="49" fillId="0" borderId="13" xfId="0" applyFont="1" applyBorder="1" applyAlignment="1">
      <alignment horizontal="right"/>
    </xf>
    <xf numFmtId="0" fontId="17" fillId="0" borderId="69" xfId="0" applyFont="1" applyBorder="1" applyAlignment="1">
      <alignment horizontal="left"/>
    </xf>
    <xf numFmtId="0" fontId="50" fillId="0" borderId="8" xfId="0" applyFont="1" applyBorder="1" applyAlignment="1">
      <alignment horizontal="right"/>
    </xf>
    <xf numFmtId="0" fontId="11" fillId="2" borderId="72" xfId="0" applyFont="1" applyFill="1" applyBorder="1"/>
    <xf numFmtId="0" fontId="70" fillId="0" borderId="70" xfId="0" applyFont="1" applyBorder="1" applyAlignment="1">
      <alignment horizontal="right"/>
    </xf>
    <xf numFmtId="0" fontId="11" fillId="2" borderId="80" xfId="0" applyFont="1" applyFill="1" applyBorder="1"/>
    <xf numFmtId="0" fontId="31" fillId="2" borderId="55" xfId="0" applyFont="1" applyFill="1" applyBorder="1"/>
    <xf numFmtId="0" fontId="71" fillId="2" borderId="11" xfId="0" applyFont="1" applyFill="1" applyBorder="1"/>
    <xf numFmtId="49" fontId="72" fillId="0" borderId="35" xfId="0" applyNumberFormat="1" applyFont="1" applyBorder="1"/>
    <xf numFmtId="0" fontId="2" fillId="0" borderId="35" xfId="0" applyFont="1" applyBorder="1"/>
    <xf numFmtId="0" fontId="65" fillId="0" borderId="35" xfId="0" applyFont="1" applyBorder="1"/>
    <xf numFmtId="2" fontId="13" fillId="0" borderId="13" xfId="0" applyNumberFormat="1" applyFont="1" applyBorder="1" applyAlignment="1">
      <alignment horizontal="right"/>
    </xf>
    <xf numFmtId="0" fontId="11" fillId="3" borderId="11" xfId="0" applyFont="1" applyFill="1" applyBorder="1"/>
    <xf numFmtId="49" fontId="12" fillId="9" borderId="12" xfId="0" applyNumberFormat="1" applyFont="1" applyFill="1" applyBorder="1" applyAlignment="1">
      <alignment horizontal="left"/>
    </xf>
    <xf numFmtId="49" fontId="17" fillId="4" borderId="7" xfId="0" applyNumberFormat="1" applyFont="1" applyFill="1" applyBorder="1" applyAlignment="1">
      <alignment horizontal="left"/>
    </xf>
    <xf numFmtId="1" fontId="11" fillId="0" borderId="35" xfId="0" applyNumberFormat="1" applyFont="1" applyBorder="1"/>
    <xf numFmtId="0" fontId="12" fillId="2" borderId="10" xfId="0" applyFont="1" applyFill="1" applyBorder="1" applyAlignment="1">
      <alignment horizontal="center"/>
    </xf>
    <xf numFmtId="0" fontId="12" fillId="3" borderId="47" xfId="0" applyFont="1" applyFill="1" applyBorder="1"/>
    <xf numFmtId="0" fontId="74" fillId="4" borderId="12" xfId="0" applyFont="1" applyFill="1" applyBorder="1" applyAlignment="1"/>
    <xf numFmtId="49" fontId="12" fillId="3" borderId="34" xfId="0" applyNumberFormat="1" applyFont="1" applyFill="1" applyBorder="1"/>
    <xf numFmtId="0" fontId="30" fillId="12" borderId="40" xfId="0" applyFont="1" applyFill="1" applyBorder="1" applyAlignment="1">
      <alignment horizontal="center"/>
    </xf>
    <xf numFmtId="0" fontId="30" fillId="12" borderId="41" xfId="0" applyFont="1" applyFill="1" applyBorder="1" applyAlignment="1">
      <alignment horizontal="center"/>
    </xf>
    <xf numFmtId="0" fontId="30" fillId="12" borderId="20" xfId="0" applyFont="1" applyFill="1" applyBorder="1" applyAlignment="1">
      <alignment horizontal="center"/>
    </xf>
    <xf numFmtId="0" fontId="30" fillId="12" borderId="42" xfId="0" applyFont="1" applyFill="1" applyBorder="1" applyAlignment="1">
      <alignment horizontal="center"/>
    </xf>
    <xf numFmtId="0" fontId="30" fillId="12" borderId="54" xfId="0" applyFont="1" applyFill="1" applyBorder="1"/>
    <xf numFmtId="0" fontId="30" fillId="12" borderId="23" xfId="0" applyFont="1" applyFill="1" applyBorder="1" applyAlignment="1">
      <alignment horizontal="center"/>
    </xf>
    <xf numFmtId="0" fontId="11" fillId="12" borderId="2" xfId="0" applyFont="1" applyFill="1" applyBorder="1"/>
    <xf numFmtId="0" fontId="11" fillId="12" borderId="24" xfId="0" applyFont="1" applyFill="1" applyBorder="1" applyAlignment="1">
      <alignment horizontal="center"/>
    </xf>
    <xf numFmtId="0" fontId="11" fillId="12" borderId="47" xfId="0" applyFont="1" applyFill="1" applyBorder="1"/>
    <xf numFmtId="0" fontId="2" fillId="12" borderId="11" xfId="0" applyFont="1" applyFill="1" applyBorder="1" applyAlignment="1">
      <alignment horizontal="center"/>
    </xf>
    <xf numFmtId="0" fontId="12" fillId="12" borderId="11" xfId="0" applyFont="1" applyFill="1" applyBorder="1" applyAlignment="1">
      <alignment horizontal="center"/>
    </xf>
    <xf numFmtId="0" fontId="31" fillId="12" borderId="47" xfId="0" applyFont="1" applyFill="1" applyBorder="1"/>
    <xf numFmtId="0" fontId="59" fillId="12" borderId="11" xfId="0" applyFont="1" applyFill="1" applyBorder="1" applyAlignment="1">
      <alignment horizontal="center"/>
    </xf>
    <xf numFmtId="0" fontId="11" fillId="12" borderId="19" xfId="0" applyFont="1" applyFill="1" applyBorder="1"/>
    <xf numFmtId="0" fontId="12" fillId="12" borderId="6" xfId="0" applyFont="1" applyFill="1" applyBorder="1" applyAlignment="1">
      <alignment horizontal="center"/>
    </xf>
    <xf numFmtId="0" fontId="30" fillId="0" borderId="8" xfId="0" applyFont="1" applyBorder="1"/>
    <xf numFmtId="0" fontId="11" fillId="3" borderId="39" xfId="0" applyFont="1" applyFill="1" applyBorder="1"/>
    <xf numFmtId="0" fontId="17" fillId="3" borderId="31" xfId="0" applyFont="1" applyFill="1" applyBorder="1" applyAlignment="1">
      <alignment horizontal="center"/>
    </xf>
    <xf numFmtId="0" fontId="11" fillId="12" borderId="51" xfId="0" applyFont="1" applyFill="1" applyBorder="1"/>
    <xf numFmtId="0" fontId="2" fillId="12" borderId="42" xfId="0" applyFont="1" applyFill="1" applyBorder="1" applyAlignment="1">
      <alignment horizontal="center"/>
    </xf>
    <xf numFmtId="49" fontId="11" fillId="3" borderId="31" xfId="0" applyNumberFormat="1" applyFont="1" applyFill="1" applyBorder="1"/>
    <xf numFmtId="1" fontId="32" fillId="3" borderId="31" xfId="0" applyNumberFormat="1" applyFont="1" applyFill="1" applyBorder="1"/>
    <xf numFmtId="0" fontId="30" fillId="0" borderId="34" xfId="0" applyFont="1" applyBorder="1"/>
    <xf numFmtId="0" fontId="11" fillId="12" borderId="34" xfId="0" applyFont="1" applyFill="1" applyBorder="1"/>
    <xf numFmtId="0" fontId="2" fillId="12" borderId="34" xfId="0" applyFont="1" applyFill="1" applyBorder="1" applyAlignment="1">
      <alignment horizontal="center"/>
    </xf>
    <xf numFmtId="1" fontId="32" fillId="3" borderId="34" xfId="0" applyNumberFormat="1" applyFont="1" applyFill="1" applyBorder="1"/>
    <xf numFmtId="0" fontId="30" fillId="0" borderId="70" xfId="0" applyFont="1" applyBorder="1"/>
    <xf numFmtId="0" fontId="17" fillId="3" borderId="69" xfId="0" applyFont="1" applyFill="1" applyBorder="1" applyAlignment="1">
      <alignment horizontal="center"/>
    </xf>
    <xf numFmtId="0" fontId="7" fillId="3" borderId="72" xfId="0" applyFont="1" applyFill="1" applyBorder="1" applyAlignment="1">
      <alignment horizontal="center"/>
    </xf>
    <xf numFmtId="0" fontId="11" fillId="12" borderId="80" xfId="0" applyFont="1" applyFill="1" applyBorder="1"/>
    <xf numFmtId="0" fontId="12" fillId="12" borderId="72" xfId="0" applyFont="1" applyFill="1" applyBorder="1" applyAlignment="1">
      <alignment horizontal="center"/>
    </xf>
    <xf numFmtId="49" fontId="11" fillId="3" borderId="69" xfId="0" applyNumberFormat="1" applyFont="1" applyFill="1" applyBorder="1"/>
    <xf numFmtId="49" fontId="12" fillId="3" borderId="69" xfId="0" applyNumberFormat="1" applyFont="1" applyFill="1" applyBorder="1"/>
    <xf numFmtId="1" fontId="51" fillId="3" borderId="69" xfId="0" applyNumberFormat="1" applyFont="1" applyFill="1" applyBorder="1"/>
    <xf numFmtId="2" fontId="62" fillId="3" borderId="13" xfId="2" applyNumberFormat="1" applyFont="1" applyFill="1" applyBorder="1" applyAlignment="1" applyProtection="1">
      <alignment horizontal="right"/>
    </xf>
    <xf numFmtId="0" fontId="13" fillId="8" borderId="7" xfId="0" applyFont="1" applyFill="1" applyBorder="1" applyAlignment="1">
      <alignment horizontal="left"/>
    </xf>
    <xf numFmtId="0" fontId="17" fillId="8" borderId="35" xfId="0" applyFont="1" applyFill="1" applyBorder="1" applyAlignment="1">
      <alignment horizontal="left"/>
    </xf>
    <xf numFmtId="0" fontId="11" fillId="2" borderId="10" xfId="0" applyFont="1" applyFill="1" applyBorder="1" applyAlignment="1">
      <alignment horizontal="left"/>
    </xf>
    <xf numFmtId="0" fontId="11" fillId="2" borderId="11" xfId="0" applyFont="1" applyFill="1" applyBorder="1" applyAlignment="1">
      <alignment horizontal="left"/>
    </xf>
    <xf numFmtId="2" fontId="104" fillId="0" borderId="13" xfId="0" applyNumberFormat="1" applyFont="1" applyBorder="1" applyAlignment="1">
      <alignment horizontal="left"/>
    </xf>
    <xf numFmtId="2" fontId="11" fillId="0" borderId="83" xfId="0" applyNumberFormat="1" applyFont="1" applyBorder="1" applyAlignment="1">
      <alignment horizontal="left"/>
    </xf>
    <xf numFmtId="0" fontId="17" fillId="2" borderId="43" xfId="0" applyFont="1" applyFill="1" applyBorder="1" applyAlignment="1">
      <alignment horizontal="left"/>
    </xf>
    <xf numFmtId="0" fontId="14" fillId="2" borderId="11" xfId="0" applyFont="1" applyFill="1" applyBorder="1" applyAlignment="1">
      <alignment horizontal="left"/>
    </xf>
    <xf numFmtId="49" fontId="14" fillId="0" borderId="35" xfId="0" applyNumberFormat="1" applyFont="1" applyBorder="1" applyAlignment="1">
      <alignment horizontal="left"/>
    </xf>
    <xf numFmtId="2" fontId="11" fillId="0" borderId="35" xfId="0" applyNumberFormat="1" applyFont="1" applyBorder="1" applyAlignment="1">
      <alignment horizontal="left"/>
    </xf>
    <xf numFmtId="2" fontId="11" fillId="0" borderId="13" xfId="0" applyNumberFormat="1" applyFont="1" applyBorder="1" applyAlignment="1">
      <alignment horizontal="left"/>
    </xf>
    <xf numFmtId="0" fontId="11" fillId="3" borderId="10" xfId="0" applyFont="1" applyFill="1" applyBorder="1" applyAlignment="1">
      <alignment horizontal="left"/>
    </xf>
    <xf numFmtId="2" fontId="104" fillId="3" borderId="13" xfId="0" applyNumberFormat="1" applyFont="1" applyFill="1" applyBorder="1" applyAlignment="1">
      <alignment horizontal="left"/>
    </xf>
    <xf numFmtId="0" fontId="13" fillId="2" borderId="43" xfId="0" applyFont="1" applyFill="1" applyBorder="1" applyAlignment="1">
      <alignment horizontal="left"/>
    </xf>
    <xf numFmtId="0" fontId="13" fillId="2" borderId="11" xfId="0" applyFont="1" applyFill="1" applyBorder="1" applyAlignment="1">
      <alignment horizontal="left"/>
    </xf>
    <xf numFmtId="0" fontId="14" fillId="3" borderId="12" xfId="0" applyFont="1" applyFill="1" applyBorder="1" applyAlignment="1">
      <alignment horizontal="left"/>
    </xf>
    <xf numFmtId="0" fontId="13" fillId="0" borderId="43" xfId="0" applyFont="1" applyBorder="1" applyAlignment="1">
      <alignment horizontal="left"/>
    </xf>
    <xf numFmtId="0" fontId="14" fillId="3" borderId="35" xfId="0" applyFont="1" applyFill="1" applyBorder="1" applyAlignment="1">
      <alignment horizontal="left"/>
    </xf>
    <xf numFmtId="0" fontId="11" fillId="0" borderId="43" xfId="0" applyFont="1" applyBorder="1" applyAlignment="1">
      <alignment horizontal="left"/>
    </xf>
    <xf numFmtId="0" fontId="26" fillId="2" borderId="11" xfId="0" applyFont="1" applyFill="1" applyBorder="1" applyAlignment="1">
      <alignment horizontal="left"/>
    </xf>
    <xf numFmtId="0" fontId="17" fillId="6" borderId="35" xfId="0" applyFont="1" applyFill="1" applyBorder="1" applyAlignment="1">
      <alignment horizontal="left"/>
    </xf>
    <xf numFmtId="49" fontId="19" fillId="3" borderId="35" xfId="2" applyNumberFormat="1" applyFont="1" applyFill="1" applyBorder="1" applyAlignment="1" applyProtection="1">
      <alignment horizontal="left"/>
    </xf>
    <xf numFmtId="0" fontId="116" fillId="0" borderId="84" xfId="0" applyFont="1" applyBorder="1" applyAlignment="1">
      <alignment horizontal="left"/>
    </xf>
    <xf numFmtId="0" fontId="117" fillId="0" borderId="83" xfId="0" applyFont="1" applyBorder="1" applyAlignment="1">
      <alignment horizontal="left"/>
    </xf>
    <xf numFmtId="49" fontId="17" fillId="4" borderId="12" xfId="0" applyNumberFormat="1" applyFont="1" applyFill="1" applyBorder="1" applyAlignment="1">
      <alignment horizontal="left"/>
    </xf>
    <xf numFmtId="0" fontId="10" fillId="4" borderId="43" xfId="0" applyFont="1" applyFill="1" applyBorder="1"/>
    <xf numFmtId="0" fontId="10" fillId="4" borderId="11" xfId="0" applyFont="1" applyFill="1" applyBorder="1" applyAlignment="1">
      <alignment horizontal="center"/>
    </xf>
    <xf numFmtId="4" fontId="10" fillId="4" borderId="11" xfId="0" applyNumberFormat="1" applyFont="1" applyFill="1" applyBorder="1" applyAlignment="1">
      <alignment horizontal="center"/>
    </xf>
    <xf numFmtId="0" fontId="10" fillId="2" borderId="10" xfId="0" applyFont="1" applyFill="1" applyBorder="1"/>
    <xf numFmtId="49" fontId="2" fillId="3" borderId="36" xfId="0" applyNumberFormat="1" applyFont="1" applyFill="1" applyBorder="1" applyAlignment="1">
      <alignment horizontal="left"/>
    </xf>
    <xf numFmtId="0" fontId="9" fillId="0" borderId="49" xfId="0" applyFont="1" applyBorder="1" applyAlignment="1">
      <alignment horizontal="center"/>
    </xf>
    <xf numFmtId="0" fontId="9" fillId="0" borderId="70" xfId="0" applyFont="1" applyBorder="1"/>
    <xf numFmtId="49" fontId="31" fillId="3" borderId="35" xfId="0" applyNumberFormat="1" applyFont="1" applyFill="1" applyBorder="1" applyAlignment="1">
      <alignment horizontal="center"/>
    </xf>
    <xf numFmtId="0" fontId="75" fillId="0" borderId="0" xfId="0" applyFont="1"/>
    <xf numFmtId="0" fontId="76" fillId="0" borderId="0" xfId="0" applyFont="1"/>
    <xf numFmtId="49" fontId="10" fillId="0" borderId="35" xfId="0" applyNumberFormat="1" applyFont="1" applyBorder="1" applyAlignment="1">
      <alignment horizontal="center"/>
    </xf>
    <xf numFmtId="49" fontId="17" fillId="3" borderId="35" xfId="0" applyNumberFormat="1" applyFont="1" applyFill="1" applyBorder="1" applyAlignment="1">
      <alignment horizontal="center"/>
    </xf>
    <xf numFmtId="0" fontId="31" fillId="0" borderId="7" xfId="0" applyFont="1" applyBorder="1" applyAlignment="1">
      <alignment horizontal="left"/>
    </xf>
    <xf numFmtId="0" fontId="11" fillId="3" borderId="61" xfId="0" applyFont="1" applyFill="1" applyBorder="1" applyAlignment="1">
      <alignment horizontal="center"/>
    </xf>
    <xf numFmtId="49" fontId="11" fillId="0" borderId="36" xfId="0" applyNumberFormat="1" applyFont="1" applyBorder="1" applyAlignment="1">
      <alignment horizontal="center"/>
    </xf>
    <xf numFmtId="49" fontId="11" fillId="0" borderId="69" xfId="0" applyNumberFormat="1" applyFont="1" applyBorder="1" applyAlignment="1">
      <alignment horizontal="center"/>
    </xf>
    <xf numFmtId="0" fontId="11" fillId="27" borderId="12" xfId="0" applyFont="1" applyFill="1" applyBorder="1" applyAlignment="1">
      <alignment horizontal="left"/>
    </xf>
    <xf numFmtId="0" fontId="7" fillId="27" borderId="35" xfId="0" applyFont="1" applyFill="1" applyBorder="1" applyAlignment="1">
      <alignment horizontal="center"/>
    </xf>
    <xf numFmtId="0" fontId="11" fillId="27" borderId="68" xfId="0" applyFont="1" applyFill="1" applyBorder="1" applyAlignment="1">
      <alignment horizontal="left"/>
    </xf>
    <xf numFmtId="0" fontId="7" fillId="27" borderId="69" xfId="0" applyFont="1" applyFill="1" applyBorder="1" applyAlignment="1">
      <alignment horizontal="center"/>
    </xf>
    <xf numFmtId="0" fontId="17" fillId="0" borderId="69" xfId="0" applyFont="1" applyBorder="1" applyAlignment="1">
      <alignment horizontal="center"/>
    </xf>
    <xf numFmtId="0" fontId="11" fillId="10" borderId="7" xfId="0" applyFont="1" applyFill="1" applyBorder="1" applyAlignment="1">
      <alignment horizontal="left"/>
    </xf>
    <xf numFmtId="0" fontId="11" fillId="10" borderId="12" xfId="0" applyFont="1" applyFill="1" applyBorder="1" applyAlignment="1">
      <alignment horizontal="left"/>
    </xf>
    <xf numFmtId="0" fontId="11" fillId="10" borderId="68" xfId="0" applyFont="1" applyFill="1" applyBorder="1" applyAlignment="1">
      <alignment horizontal="left"/>
    </xf>
    <xf numFmtId="0" fontId="17" fillId="10" borderId="69" xfId="0" applyFont="1" applyFill="1" applyBorder="1" applyAlignment="1">
      <alignment horizontal="center"/>
    </xf>
    <xf numFmtId="0" fontId="78" fillId="3" borderId="0" xfId="0" applyFont="1" applyFill="1"/>
    <xf numFmtId="0" fontId="12" fillId="0" borderId="34" xfId="0" applyFont="1" applyBorder="1" applyAlignment="1">
      <alignment horizontal="center"/>
    </xf>
    <xf numFmtId="0" fontId="7" fillId="0" borderId="17" xfId="0" applyFont="1" applyBorder="1"/>
    <xf numFmtId="0" fontId="12" fillId="0" borderId="36" xfId="0" applyFont="1" applyBorder="1" applyAlignment="1">
      <alignment horizontal="center"/>
    </xf>
    <xf numFmtId="0" fontId="17" fillId="0" borderId="74" xfId="0" applyFont="1" applyBorder="1"/>
    <xf numFmtId="0" fontId="3" fillId="0" borderId="74" xfId="0" applyFont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17" fillId="0" borderId="61" xfId="0" applyFont="1" applyBorder="1"/>
    <xf numFmtId="0" fontId="11" fillId="0" borderId="61" xfId="0" applyFont="1" applyBorder="1" applyAlignment="1">
      <alignment horizontal="center"/>
    </xf>
    <xf numFmtId="0" fontId="17" fillId="0" borderId="69" xfId="0" applyFont="1" applyBorder="1"/>
    <xf numFmtId="49" fontId="17" fillId="0" borderId="35" xfId="0" applyNumberFormat="1" applyFont="1" applyBorder="1" applyAlignment="1">
      <alignment horizontal="center"/>
    </xf>
    <xf numFmtId="49" fontId="17" fillId="0" borderId="11" xfId="0" applyNumberFormat="1" applyFont="1" applyBorder="1" applyAlignment="1">
      <alignment horizontal="center"/>
    </xf>
    <xf numFmtId="49" fontId="11" fillId="3" borderId="24" xfId="0" applyNumberFormat="1" applyFont="1" applyFill="1" applyBorder="1" applyAlignment="1">
      <alignment horizontal="center"/>
    </xf>
    <xf numFmtId="0" fontId="79" fillId="0" borderId="0" xfId="0" applyFont="1"/>
    <xf numFmtId="4" fontId="28" fillId="3" borderId="13" xfId="0" applyNumberFormat="1" applyFont="1" applyFill="1" applyBorder="1" applyAlignment="1">
      <alignment horizontal="left"/>
    </xf>
    <xf numFmtId="166" fontId="23" fillId="0" borderId="35" xfId="0" applyNumberFormat="1" applyFont="1" applyBorder="1" applyAlignment="1">
      <alignment horizontal="right"/>
    </xf>
    <xf numFmtId="2" fontId="28" fillId="0" borderId="35" xfId="0" applyNumberFormat="1" applyFont="1" applyBorder="1" applyAlignment="1">
      <alignment horizontal="center"/>
    </xf>
    <xf numFmtId="1" fontId="24" fillId="3" borderId="13" xfId="0" applyNumberFormat="1" applyFont="1" applyFill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52" fillId="0" borderId="13" xfId="0" applyFont="1" applyBorder="1" applyAlignment="1">
      <alignment horizontal="right"/>
    </xf>
    <xf numFmtId="49" fontId="3" fillId="3" borderId="36" xfId="0" applyNumberFormat="1" applyFont="1" applyFill="1" applyBorder="1" applyAlignment="1">
      <alignment horizontal="left"/>
    </xf>
    <xf numFmtId="0" fontId="4" fillId="3" borderId="7" xfId="0" applyFont="1" applyFill="1" applyBorder="1"/>
    <xf numFmtId="2" fontId="64" fillId="0" borderId="13" xfId="2" applyNumberFormat="1" applyFont="1" applyBorder="1" applyAlignment="1" applyProtection="1">
      <alignment horizontal="right"/>
    </xf>
    <xf numFmtId="0" fontId="13" fillId="3" borderId="58" xfId="0" applyFont="1" applyFill="1" applyBorder="1" applyAlignment="1"/>
    <xf numFmtId="0" fontId="11" fillId="3" borderId="46" xfId="0" applyFont="1" applyFill="1" applyBorder="1" applyAlignment="1">
      <alignment horizontal="center"/>
    </xf>
    <xf numFmtId="0" fontId="11" fillId="7" borderId="46" xfId="0" applyFont="1" applyFill="1" applyBorder="1" applyAlignment="1">
      <alignment horizontal="center"/>
    </xf>
    <xf numFmtId="0" fontId="13" fillId="7" borderId="11" xfId="0" applyFont="1" applyFill="1" applyBorder="1"/>
    <xf numFmtId="0" fontId="13" fillId="7" borderId="35" xfId="0" applyFont="1" applyFill="1" applyBorder="1" applyAlignment="1">
      <alignment horizontal="right"/>
    </xf>
    <xf numFmtId="0" fontId="11" fillId="2" borderId="35" xfId="0" applyFont="1" applyFill="1" applyBorder="1"/>
    <xf numFmtId="0" fontId="13" fillId="2" borderId="35" xfId="0" applyFont="1" applyFill="1" applyBorder="1" applyAlignment="1">
      <alignment horizontal="right"/>
    </xf>
    <xf numFmtId="49" fontId="7" fillId="9" borderId="35" xfId="0" applyNumberFormat="1" applyFont="1" applyFill="1" applyBorder="1"/>
    <xf numFmtId="1" fontId="23" fillId="0" borderId="35" xfId="0" applyNumberFormat="1" applyFont="1" applyBorder="1"/>
    <xf numFmtId="49" fontId="17" fillId="9" borderId="35" xfId="0" applyNumberFormat="1" applyFont="1" applyFill="1" applyBorder="1"/>
    <xf numFmtId="1" fontId="23" fillId="0" borderId="35" xfId="0" applyNumberFormat="1" applyFont="1" applyBorder="1" applyAlignment="1">
      <alignment horizontal="center"/>
    </xf>
    <xf numFmtId="0" fontId="17" fillId="3" borderId="68" xfId="0" applyFont="1" applyFill="1" applyBorder="1"/>
    <xf numFmtId="0" fontId="17" fillId="0" borderId="9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49" fontId="31" fillId="3" borderId="9" xfId="0" applyNumberFormat="1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49" fontId="11" fillId="3" borderId="9" xfId="0" applyNumberFormat="1" applyFont="1" applyFill="1" applyBorder="1" applyAlignment="1">
      <alignment horizontal="center"/>
    </xf>
    <xf numFmtId="49" fontId="17" fillId="0" borderId="9" xfId="0" applyNumberFormat="1" applyFont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7" fillId="0" borderId="43" xfId="0" applyFont="1" applyBorder="1"/>
    <xf numFmtId="0" fontId="11" fillId="3" borderId="65" xfId="0" applyFont="1" applyFill="1" applyBorder="1"/>
    <xf numFmtId="0" fontId="9" fillId="0" borderId="30" xfId="0" applyFont="1" applyBorder="1" applyAlignment="1">
      <alignment horizontal="center"/>
    </xf>
    <xf numFmtId="0" fontId="9" fillId="0" borderId="42" xfId="0" applyFont="1" applyBorder="1"/>
    <xf numFmtId="0" fontId="17" fillId="0" borderId="4" xfId="0" applyFont="1" applyBorder="1" applyAlignment="1">
      <alignment horizontal="center"/>
    </xf>
    <xf numFmtId="0" fontId="118" fillId="0" borderId="35" xfId="0" applyFont="1" applyBorder="1"/>
    <xf numFmtId="0" fontId="11" fillId="0" borderId="60" xfId="0" applyFont="1" applyBorder="1" applyAlignment="1">
      <alignment horizontal="center"/>
    </xf>
    <xf numFmtId="0" fontId="11" fillId="28" borderId="35" xfId="0" applyFont="1" applyFill="1" applyBorder="1" applyAlignment="1">
      <alignment horizontal="center"/>
    </xf>
    <xf numFmtId="0" fontId="11" fillId="28" borderId="12" xfId="0" applyFont="1" applyFill="1" applyBorder="1"/>
    <xf numFmtId="0" fontId="11" fillId="0" borderId="19" xfId="0" applyFont="1" applyBorder="1"/>
    <xf numFmtId="0" fontId="7" fillId="3" borderId="12" xfId="0" applyFont="1" applyFill="1" applyBorder="1" applyAlignment="1">
      <alignment horizontal="left"/>
    </xf>
    <xf numFmtId="0" fontId="87" fillId="0" borderId="7" xfId="0" applyFont="1" applyBorder="1"/>
    <xf numFmtId="0" fontId="7" fillId="3" borderId="35" xfId="0" applyFont="1" applyFill="1" applyBorder="1" applyAlignment="1">
      <alignment horizontal="left"/>
    </xf>
    <xf numFmtId="0" fontId="66" fillId="0" borderId="13" xfId="0" applyFont="1" applyBorder="1"/>
    <xf numFmtId="0" fontId="3" fillId="0" borderId="7" xfId="0" applyFont="1" applyBorder="1"/>
    <xf numFmtId="0" fontId="119" fillId="19" borderId="12" xfId="0" applyFont="1" applyFill="1" applyBorder="1"/>
    <xf numFmtId="0" fontId="12" fillId="0" borderId="0" xfId="0" applyFont="1"/>
    <xf numFmtId="0" fontId="2" fillId="0" borderId="12" xfId="0" applyFont="1" applyBorder="1"/>
    <xf numFmtId="0" fontId="121" fillId="0" borderId="12" xfId="0" applyFont="1" applyBorder="1"/>
    <xf numFmtId="0" fontId="121" fillId="0" borderId="2" xfId="0" applyFont="1" applyBorder="1"/>
    <xf numFmtId="0" fontId="125" fillId="0" borderId="11" xfId="0" applyFont="1" applyBorder="1"/>
    <xf numFmtId="0" fontId="125" fillId="0" borderId="12" xfId="0" applyFont="1" applyBorder="1"/>
    <xf numFmtId="0" fontId="125" fillId="0" borderId="13" xfId="0" applyFont="1" applyBorder="1"/>
    <xf numFmtId="0" fontId="125" fillId="0" borderId="10" xfId="0" applyFont="1" applyBorder="1"/>
    <xf numFmtId="0" fontId="3" fillId="0" borderId="11" xfId="0" applyFont="1" applyBorder="1"/>
    <xf numFmtId="0" fontId="3" fillId="0" borderId="13" xfId="0" applyFont="1" applyBorder="1"/>
    <xf numFmtId="0" fontId="65" fillId="0" borderId="11" xfId="0" applyFont="1" applyBorder="1"/>
    <xf numFmtId="0" fontId="65" fillId="0" borderId="12" xfId="0" applyFont="1" applyBorder="1"/>
    <xf numFmtId="0" fontId="72" fillId="0" borderId="11" xfId="0" applyFont="1" applyBorder="1"/>
    <xf numFmtId="0" fontId="72" fillId="0" borderId="12" xfId="0" applyFont="1" applyBorder="1"/>
    <xf numFmtId="0" fontId="72" fillId="0" borderId="13" xfId="0" applyFont="1" applyBorder="1"/>
    <xf numFmtId="0" fontId="122" fillId="0" borderId="11" xfId="0" applyFont="1" applyBorder="1"/>
    <xf numFmtId="0" fontId="122" fillId="0" borderId="12" xfId="0" applyFont="1" applyBorder="1"/>
    <xf numFmtId="0" fontId="122" fillId="0" borderId="13" xfId="0" applyFont="1" applyBorder="1"/>
    <xf numFmtId="0" fontId="2" fillId="0" borderId="11" xfId="0" applyFont="1" applyBorder="1"/>
    <xf numFmtId="0" fontId="11" fillId="0" borderId="7" xfId="4" applyFont="1" applyBorder="1"/>
    <xf numFmtId="0" fontId="11" fillId="3" borderId="7" xfId="4" applyFont="1" applyFill="1" applyBorder="1" applyAlignment="1">
      <alignment horizontal="left"/>
    </xf>
    <xf numFmtId="0" fontId="11" fillId="3" borderId="12" xfId="4" applyFont="1" applyFill="1" applyBorder="1" applyAlignment="1">
      <alignment horizontal="left"/>
    </xf>
    <xf numFmtId="0" fontId="7" fillId="3" borderId="12" xfId="4" applyFont="1" applyFill="1" applyBorder="1" applyAlignment="1">
      <alignment horizontal="left"/>
    </xf>
    <xf numFmtId="0" fontId="17" fillId="3" borderId="12" xfId="4" applyFont="1" applyFill="1" applyBorder="1" applyAlignment="1">
      <alignment horizontal="left"/>
    </xf>
    <xf numFmtId="0" fontId="17" fillId="3" borderId="7" xfId="4" applyFont="1" applyFill="1" applyBorder="1" applyAlignment="1">
      <alignment horizontal="left"/>
    </xf>
    <xf numFmtId="0" fontId="17" fillId="3" borderId="69" xfId="4" applyFont="1" applyFill="1" applyBorder="1" applyAlignment="1">
      <alignment horizontal="left"/>
    </xf>
    <xf numFmtId="0" fontId="12" fillId="0" borderId="11" xfId="0" applyFont="1" applyBorder="1"/>
    <xf numFmtId="0" fontId="11" fillId="0" borderId="5" xfId="4" applyFont="1" applyBorder="1"/>
    <xf numFmtId="0" fontId="7" fillId="0" borderId="5" xfId="4" applyFont="1" applyBorder="1"/>
    <xf numFmtId="0" fontId="122" fillId="0" borderId="10" xfId="0" applyFont="1" applyBorder="1"/>
    <xf numFmtId="0" fontId="11" fillId="3" borderId="5" xfId="4" applyFont="1" applyFill="1" applyBorder="1" applyAlignment="1">
      <alignment horizontal="left"/>
    </xf>
    <xf numFmtId="0" fontId="9" fillId="0" borderId="64" xfId="0" applyFont="1" applyBorder="1"/>
    <xf numFmtId="0" fontId="17" fillId="3" borderId="5" xfId="4" applyFont="1" applyFill="1" applyBorder="1" applyAlignment="1">
      <alignment horizontal="left"/>
    </xf>
    <xf numFmtId="0" fontId="17" fillId="3" borderId="76" xfId="4" applyFont="1" applyFill="1" applyBorder="1" applyAlignment="1">
      <alignment horizontal="left"/>
    </xf>
    <xf numFmtId="0" fontId="3" fillId="3" borderId="10" xfId="4" applyFont="1" applyFill="1" applyBorder="1" applyAlignment="1">
      <alignment horizontal="left"/>
    </xf>
    <xf numFmtId="0" fontId="12" fillId="3" borderId="10" xfId="4" applyFont="1" applyFill="1" applyBorder="1" applyAlignment="1">
      <alignment horizontal="left"/>
    </xf>
    <xf numFmtId="0" fontId="122" fillId="3" borderId="10" xfId="4" applyFont="1" applyFill="1" applyBorder="1" applyAlignment="1">
      <alignment horizontal="left"/>
    </xf>
    <xf numFmtId="0" fontId="72" fillId="3" borderId="10" xfId="4" applyFont="1" applyFill="1" applyBorder="1" applyAlignment="1">
      <alignment horizontal="left"/>
    </xf>
    <xf numFmtId="0" fontId="3" fillId="0" borderId="5" xfId="4" applyFont="1" applyBorder="1"/>
    <xf numFmtId="0" fontId="12" fillId="0" borderId="12" xfId="4" applyFont="1" applyBorder="1"/>
    <xf numFmtId="0" fontId="10" fillId="0" borderId="12" xfId="4" applyFont="1" applyBorder="1"/>
    <xf numFmtId="0" fontId="128" fillId="30" borderId="9" xfId="0" applyFont="1" applyFill="1" applyBorder="1" applyAlignment="1">
      <alignment horizontal="center"/>
    </xf>
    <xf numFmtId="0" fontId="128" fillId="31" borderId="9" xfId="0" applyFont="1" applyFill="1" applyBorder="1" applyAlignment="1">
      <alignment horizontal="center"/>
    </xf>
    <xf numFmtId="0" fontId="12" fillId="30" borderId="5" xfId="0" applyFont="1" applyFill="1" applyBorder="1"/>
    <xf numFmtId="0" fontId="12" fillId="30" borderId="10" xfId="0" applyFont="1" applyFill="1" applyBorder="1"/>
    <xf numFmtId="0" fontId="12" fillId="30" borderId="10" xfId="0" applyFont="1" applyFill="1" applyBorder="1" applyAlignment="1">
      <alignment horizontal="center"/>
    </xf>
    <xf numFmtId="0" fontId="12" fillId="31" borderId="10" xfId="0" applyFont="1" applyFill="1" applyBorder="1"/>
    <xf numFmtId="0" fontId="7" fillId="31" borderId="4" xfId="0" applyFont="1" applyFill="1" applyBorder="1" applyAlignment="1">
      <alignment horizontal="center"/>
    </xf>
    <xf numFmtId="0" fontId="7" fillId="31" borderId="9" xfId="0" applyFont="1" applyFill="1" applyBorder="1" applyAlignment="1">
      <alignment horizontal="center"/>
    </xf>
    <xf numFmtId="0" fontId="12" fillId="30" borderId="4" xfId="0" applyFont="1" applyFill="1" applyBorder="1" applyAlignment="1">
      <alignment horizontal="center"/>
    </xf>
    <xf numFmtId="0" fontId="12" fillId="30" borderId="9" xfId="0" applyFont="1" applyFill="1" applyBorder="1" applyAlignment="1">
      <alignment horizontal="center"/>
    </xf>
    <xf numFmtId="0" fontId="31" fillId="32" borderId="35" xfId="0" applyFont="1" applyFill="1" applyBorder="1" applyAlignment="1">
      <alignment horizontal="center"/>
    </xf>
    <xf numFmtId="0" fontId="31" fillId="33" borderId="47" xfId="0" applyFont="1" applyFill="1" applyBorder="1"/>
    <xf numFmtId="0" fontId="31" fillId="33" borderId="35" xfId="0" applyFont="1" applyFill="1" applyBorder="1" applyAlignment="1">
      <alignment horizontal="center"/>
    </xf>
    <xf numFmtId="0" fontId="51" fillId="32" borderId="47" xfId="0" applyFont="1" applyFill="1" applyBorder="1"/>
    <xf numFmtId="0" fontId="31" fillId="2" borderId="43" xfId="0" applyFont="1" applyFill="1" applyBorder="1" applyAlignment="1">
      <alignment horizontal="center"/>
    </xf>
    <xf numFmtId="164" fontId="11" fillId="0" borderId="35" xfId="8" applyFont="1" applyBorder="1"/>
    <xf numFmtId="49" fontId="17" fillId="34" borderId="12" xfId="0" applyNumberFormat="1" applyFont="1" applyFill="1" applyBorder="1"/>
    <xf numFmtId="0" fontId="3" fillId="2" borderId="11" xfId="0" applyFont="1" applyFill="1" applyBorder="1" applyAlignment="1">
      <alignment horizontal="center"/>
    </xf>
    <xf numFmtId="0" fontId="7" fillId="2" borderId="43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1" fillId="35" borderId="12" xfId="0" applyFont="1" applyFill="1" applyBorder="1"/>
    <xf numFmtId="2" fontId="159" fillId="0" borderId="35" xfId="0" applyNumberFormat="1" applyFont="1" applyBorder="1" applyAlignment="1">
      <alignment horizontal="right"/>
    </xf>
    <xf numFmtId="2" fontId="159" fillId="0" borderId="13" xfId="0" applyNumberFormat="1" applyFont="1" applyBorder="1" applyAlignment="1">
      <alignment horizontal="right"/>
    </xf>
    <xf numFmtId="1" fontId="159" fillId="3" borderId="13" xfId="0" applyNumberFormat="1" applyFont="1" applyFill="1" applyBorder="1" applyAlignment="1">
      <alignment horizontal="right"/>
    </xf>
    <xf numFmtId="2" fontId="160" fillId="3" borderId="13" xfId="0" applyNumberFormat="1" applyFont="1" applyFill="1" applyBorder="1" applyAlignment="1">
      <alignment horizontal="right"/>
    </xf>
    <xf numFmtId="2" fontId="159" fillId="3" borderId="13" xfId="0" applyNumberFormat="1" applyFont="1" applyFill="1" applyBorder="1" applyAlignment="1">
      <alignment horizontal="right"/>
    </xf>
    <xf numFmtId="1" fontId="159" fillId="0" borderId="35" xfId="0" applyNumberFormat="1" applyFont="1" applyBorder="1" applyAlignment="1">
      <alignment horizontal="right"/>
    </xf>
    <xf numFmtId="9" fontId="17" fillId="0" borderId="35" xfId="0" applyNumberFormat="1" applyFont="1" applyBorder="1"/>
    <xf numFmtId="0" fontId="13" fillId="35" borderId="17" xfId="0" applyFont="1" applyFill="1" applyBorder="1" applyAlignment="1">
      <alignment horizontal="left"/>
    </xf>
    <xf numFmtId="2" fontId="160" fillId="0" borderId="13" xfId="0" applyNumberFormat="1" applyFont="1" applyBorder="1" applyAlignment="1">
      <alignment horizontal="right"/>
    </xf>
    <xf numFmtId="2" fontId="160" fillId="0" borderId="35" xfId="0" applyNumberFormat="1" applyFont="1" applyBorder="1" applyAlignment="1">
      <alignment horizontal="right"/>
    </xf>
    <xf numFmtId="0" fontId="161" fillId="0" borderId="7" xfId="0" applyFont="1" applyBorder="1"/>
    <xf numFmtId="0" fontId="162" fillId="2" borderId="43" xfId="0" applyFont="1" applyFill="1" applyBorder="1"/>
    <xf numFmtId="0" fontId="162" fillId="2" borderId="11" xfId="0" applyFont="1" applyFill="1" applyBorder="1" applyAlignment="1">
      <alignment horizontal="right"/>
    </xf>
    <xf numFmtId="0" fontId="13" fillId="3" borderId="34" xfId="0" applyFont="1" applyFill="1" applyBorder="1" applyAlignment="1"/>
    <xf numFmtId="0" fontId="14" fillId="8" borderId="34" xfId="0" applyFont="1" applyFill="1" applyBorder="1" applyAlignment="1">
      <alignment horizontal="center"/>
    </xf>
    <xf numFmtId="0" fontId="7" fillId="0" borderId="34" xfId="0" applyFont="1" applyBorder="1"/>
    <xf numFmtId="1" fontId="23" fillId="0" borderId="34" xfId="0" applyNumberFormat="1" applyFont="1" applyBorder="1" applyAlignment="1">
      <alignment horizontal="right"/>
    </xf>
    <xf numFmtId="2" fontId="23" fillId="0" borderId="41" xfId="0" applyNumberFormat="1" applyFont="1" applyBorder="1" applyAlignment="1">
      <alignment horizontal="center"/>
    </xf>
    <xf numFmtId="2" fontId="23" fillId="0" borderId="42" xfId="0" applyNumberFormat="1" applyFont="1" applyBorder="1" applyAlignment="1">
      <alignment horizontal="center"/>
    </xf>
    <xf numFmtId="0" fontId="8" fillId="31" borderId="35" xfId="0" applyFont="1" applyFill="1" applyBorder="1"/>
    <xf numFmtId="49" fontId="7" fillId="35" borderId="12" xfId="0" applyNumberFormat="1" applyFont="1" applyFill="1" applyBorder="1"/>
    <xf numFmtId="49" fontId="7" fillId="32" borderId="12" xfId="0" applyNumberFormat="1" applyFont="1" applyFill="1" applyBorder="1" applyAlignment="1">
      <alignment horizontal="left"/>
    </xf>
    <xf numFmtId="0" fontId="13" fillId="35" borderId="12" xfId="0" applyFont="1" applyFill="1" applyBorder="1"/>
    <xf numFmtId="0" fontId="11" fillId="35" borderId="35" xfId="0" applyFont="1" applyFill="1" applyBorder="1"/>
    <xf numFmtId="0" fontId="17" fillId="35" borderId="13" xfId="0" applyFont="1" applyFill="1" applyBorder="1"/>
    <xf numFmtId="49" fontId="17" fillId="35" borderId="12" xfId="0" applyNumberFormat="1" applyFont="1" applyFill="1" applyBorder="1"/>
    <xf numFmtId="0" fontId="11" fillId="35" borderId="35" xfId="0" applyFont="1" applyFill="1" applyBorder="1" applyAlignment="1">
      <alignment horizontal="right"/>
    </xf>
    <xf numFmtId="0" fontId="17" fillId="35" borderId="35" xfId="0" applyFont="1" applyFill="1" applyBorder="1"/>
    <xf numFmtId="2" fontId="23" fillId="35" borderId="13" xfId="0" applyNumberFormat="1" applyFont="1" applyFill="1" applyBorder="1" applyAlignment="1">
      <alignment horizontal="right"/>
    </xf>
    <xf numFmtId="1" fontId="11" fillId="35" borderId="35" xfId="0" applyNumberFormat="1" applyFont="1" applyFill="1" applyBorder="1" applyAlignment="1">
      <alignment horizontal="right"/>
    </xf>
    <xf numFmtId="0" fontId="66" fillId="0" borderId="35" xfId="0" applyFont="1" applyBorder="1"/>
    <xf numFmtId="49" fontId="17" fillId="32" borderId="12" xfId="0" applyNumberFormat="1" applyFont="1" applyFill="1" applyBorder="1"/>
    <xf numFmtId="14" fontId="12" fillId="32" borderId="35" xfId="0" applyNumberFormat="1" applyFont="1" applyFill="1" applyBorder="1"/>
    <xf numFmtId="1" fontId="10" fillId="3" borderId="13" xfId="0" applyNumberFormat="1" applyFont="1" applyFill="1" applyBorder="1" applyAlignment="1">
      <alignment horizontal="right"/>
    </xf>
    <xf numFmtId="1" fontId="10" fillId="3" borderId="35" xfId="0" applyNumberFormat="1" applyFont="1" applyFill="1" applyBorder="1" applyAlignment="1">
      <alignment horizontal="right"/>
    </xf>
    <xf numFmtId="1" fontId="10" fillId="0" borderId="8" xfId="0" applyNumberFormat="1" applyFont="1" applyBorder="1"/>
    <xf numFmtId="1" fontId="10" fillId="0" borderId="13" xfId="0" applyNumberFormat="1" applyFont="1" applyBorder="1"/>
    <xf numFmtId="1" fontId="10" fillId="0" borderId="35" xfId="0" applyNumberFormat="1" applyFont="1" applyBorder="1"/>
    <xf numFmtId="1" fontId="10" fillId="0" borderId="35" xfId="0" applyNumberFormat="1" applyFont="1" applyBorder="1" applyAlignment="1">
      <alignment horizontal="center"/>
    </xf>
    <xf numFmtId="0" fontId="10" fillId="3" borderId="35" xfId="0" applyFont="1" applyFill="1" applyBorder="1" applyAlignment="1">
      <alignment horizontal="right"/>
    </xf>
    <xf numFmtId="1" fontId="10" fillId="0" borderId="8" xfId="0" applyNumberFormat="1" applyFont="1" applyBorder="1" applyAlignment="1">
      <alignment horizontal="right"/>
    </xf>
    <xf numFmtId="1" fontId="10" fillId="0" borderId="13" xfId="0" applyNumberFormat="1" applyFont="1" applyBorder="1" applyAlignment="1">
      <alignment horizontal="right"/>
    </xf>
    <xf numFmtId="1" fontId="10" fillId="0" borderId="35" xfId="0" applyNumberFormat="1" applyFont="1" applyBorder="1" applyAlignment="1">
      <alignment horizontal="right"/>
    </xf>
    <xf numFmtId="2" fontId="10" fillId="0" borderId="35" xfId="0" applyNumberFormat="1" applyFont="1" applyBorder="1" applyAlignment="1">
      <alignment horizontal="right"/>
    </xf>
    <xf numFmtId="0" fontId="13" fillId="35" borderId="55" xfId="0" applyFont="1" applyFill="1" applyBorder="1"/>
    <xf numFmtId="0" fontId="13" fillId="35" borderId="57" xfId="0" applyFont="1" applyFill="1" applyBorder="1"/>
    <xf numFmtId="0" fontId="11" fillId="31" borderId="7" xfId="0" applyFont="1" applyFill="1" applyBorder="1"/>
    <xf numFmtId="0" fontId="11" fillId="31" borderId="34" xfId="0" applyFont="1" applyFill="1" applyBorder="1" applyAlignment="1">
      <alignment horizontal="center"/>
    </xf>
    <xf numFmtId="0" fontId="17" fillId="31" borderId="8" xfId="0" applyFont="1" applyFill="1" applyBorder="1" applyAlignment="1">
      <alignment horizontal="center"/>
    </xf>
    <xf numFmtId="0" fontId="17" fillId="31" borderId="12" xfId="0" applyFont="1" applyFill="1" applyBorder="1"/>
    <xf numFmtId="0" fontId="11" fillId="31" borderId="35" xfId="0" applyFont="1" applyFill="1" applyBorder="1" applyAlignment="1">
      <alignment horizontal="center"/>
    </xf>
    <xf numFmtId="0" fontId="11" fillId="31" borderId="68" xfId="0" applyFont="1" applyFill="1" applyBorder="1"/>
    <xf numFmtId="0" fontId="11" fillId="31" borderId="69" xfId="0" applyFont="1" applyFill="1" applyBorder="1" applyAlignment="1">
      <alignment horizontal="center"/>
    </xf>
    <xf numFmtId="0" fontId="11" fillId="31" borderId="12" xfId="0" applyFont="1" applyFill="1" applyBorder="1"/>
    <xf numFmtId="0" fontId="17" fillId="31" borderId="13" xfId="0" applyFont="1" applyFill="1" applyBorder="1" applyAlignment="1">
      <alignment horizontal="center"/>
    </xf>
    <xf numFmtId="0" fontId="17" fillId="31" borderId="72" xfId="0" applyFont="1" applyFill="1" applyBorder="1" applyAlignment="1">
      <alignment horizontal="center"/>
    </xf>
    <xf numFmtId="0" fontId="11" fillId="31" borderId="36" xfId="0" applyFont="1" applyFill="1" applyBorder="1"/>
    <xf numFmtId="0" fontId="7" fillId="31" borderId="36" xfId="0" applyFont="1" applyFill="1" applyBorder="1"/>
    <xf numFmtId="1" fontId="10" fillId="31" borderId="35" xfId="0" applyNumberFormat="1" applyFont="1" applyFill="1" applyBorder="1" applyAlignment="1">
      <alignment horizontal="right"/>
    </xf>
    <xf numFmtId="49" fontId="7" fillId="32" borderId="12" xfId="0" applyNumberFormat="1" applyFont="1" applyFill="1" applyBorder="1"/>
    <xf numFmtId="0" fontId="15" fillId="2" borderId="57" xfId="0" applyFont="1" applyFill="1" applyBorder="1"/>
    <xf numFmtId="0" fontId="15" fillId="2" borderId="13" xfId="0" applyFont="1" applyFill="1" applyBorder="1"/>
    <xf numFmtId="0" fontId="11" fillId="31" borderId="35" xfId="0" applyFont="1" applyFill="1" applyBorder="1"/>
    <xf numFmtId="0" fontId="7" fillId="31" borderId="35" xfId="0" applyFont="1" applyFill="1" applyBorder="1"/>
    <xf numFmtId="0" fontId="17" fillId="2" borderId="6" xfId="0" applyFont="1" applyFill="1" applyBorder="1" applyAlignment="1">
      <alignment horizontal="right"/>
    </xf>
    <xf numFmtId="0" fontId="11" fillId="31" borderId="61" xfId="0" applyFont="1" applyFill="1" applyBorder="1"/>
    <xf numFmtId="0" fontId="7" fillId="31" borderId="61" xfId="0" applyFont="1" applyFill="1" applyBorder="1"/>
    <xf numFmtId="1" fontId="10" fillId="31" borderId="34" xfId="0" applyNumberFormat="1" applyFont="1" applyFill="1" applyBorder="1" applyAlignment="1">
      <alignment horizontal="right"/>
    </xf>
    <xf numFmtId="0" fontId="13" fillId="35" borderId="13" xfId="0" applyFont="1" applyFill="1" applyBorder="1"/>
    <xf numFmtId="0" fontId="15" fillId="2" borderId="71" xfId="0" applyFont="1" applyFill="1" applyBorder="1"/>
    <xf numFmtId="0" fontId="11" fillId="31" borderId="69" xfId="0" applyFont="1" applyFill="1" applyBorder="1"/>
    <xf numFmtId="0" fontId="7" fillId="31" borderId="69" xfId="0" applyFont="1" applyFill="1" applyBorder="1"/>
    <xf numFmtId="1" fontId="10" fillId="31" borderId="69" xfId="0" applyNumberFormat="1" applyFont="1" applyFill="1" applyBorder="1" applyAlignment="1">
      <alignment horizontal="right"/>
    </xf>
    <xf numFmtId="1" fontId="10" fillId="31" borderId="70" xfId="0" applyNumberFormat="1" applyFont="1" applyFill="1" applyBorder="1" applyAlignment="1">
      <alignment horizontal="right"/>
    </xf>
    <xf numFmtId="0" fontId="17" fillId="35" borderId="12" xfId="0" applyFont="1" applyFill="1" applyBorder="1"/>
    <xf numFmtId="0" fontId="17" fillId="35" borderId="35" xfId="0" applyFont="1" applyFill="1" applyBorder="1" applyAlignment="1">
      <alignment horizontal="center"/>
    </xf>
    <xf numFmtId="49" fontId="11" fillId="35" borderId="35" xfId="0" applyNumberFormat="1" applyFont="1" applyFill="1" applyBorder="1"/>
    <xf numFmtId="1" fontId="31" fillId="35" borderId="35" xfId="0" applyNumberFormat="1" applyFont="1" applyFill="1" applyBorder="1"/>
    <xf numFmtId="0" fontId="13" fillId="35" borderId="35" xfId="0" applyFont="1" applyFill="1" applyBorder="1" applyAlignment="1"/>
    <xf numFmtId="49" fontId="17" fillId="32" borderId="12" xfId="0" applyNumberFormat="1" applyFont="1" applyFill="1" applyBorder="1" applyAlignment="1">
      <alignment horizontal="left"/>
    </xf>
    <xf numFmtId="49" fontId="17" fillId="32" borderId="7" xfId="0" applyNumberFormat="1" applyFont="1" applyFill="1" applyBorder="1" applyAlignment="1">
      <alignment horizontal="left"/>
    </xf>
    <xf numFmtId="2" fontId="32" fillId="3" borderId="13" xfId="0" applyNumberFormat="1" applyFont="1" applyFill="1" applyBorder="1" applyAlignment="1">
      <alignment horizontal="right"/>
    </xf>
    <xf numFmtId="49" fontId="10" fillId="32" borderId="12" xfId="0" applyNumberFormat="1" applyFont="1" applyFill="1" applyBorder="1"/>
    <xf numFmtId="2" fontId="17" fillId="0" borderId="35" xfId="0" applyNumberFormat="1" applyFont="1" applyBorder="1" applyAlignment="1">
      <alignment horizontal="right"/>
    </xf>
    <xf numFmtId="0" fontId="11" fillId="2" borderId="13" xfId="0" applyFont="1" applyFill="1" applyBorder="1"/>
    <xf numFmtId="0" fontId="0" fillId="0" borderId="35" xfId="0" applyBorder="1"/>
    <xf numFmtId="0" fontId="11" fillId="2" borderId="33" xfId="0" applyFont="1" applyFill="1" applyBorder="1" applyAlignment="1">
      <alignment horizontal="center"/>
    </xf>
    <xf numFmtId="49" fontId="17" fillId="3" borderId="17" xfId="0" applyNumberFormat="1" applyFont="1" applyFill="1" applyBorder="1" applyAlignment="1">
      <alignment horizontal="left"/>
    </xf>
    <xf numFmtId="0" fontId="11" fillId="35" borderId="35" xfId="0" applyFont="1" applyFill="1" applyBorder="1" applyAlignment="1">
      <alignment horizontal="center"/>
    </xf>
    <xf numFmtId="49" fontId="17" fillId="35" borderId="35" xfId="0" applyNumberFormat="1" applyFont="1" applyFill="1" applyBorder="1" applyAlignment="1">
      <alignment horizontal="left"/>
    </xf>
    <xf numFmtId="0" fontId="13" fillId="35" borderId="35" xfId="0" applyFont="1" applyFill="1" applyBorder="1"/>
    <xf numFmtId="49" fontId="7" fillId="35" borderId="12" xfId="0" applyNumberFormat="1" applyFont="1" applyFill="1" applyBorder="1" applyAlignment="1">
      <alignment horizontal="left"/>
    </xf>
    <xf numFmtId="49" fontId="2" fillId="35" borderId="35" xfId="0" applyNumberFormat="1" applyFont="1" applyFill="1" applyBorder="1" applyAlignment="1">
      <alignment horizontal="left"/>
    </xf>
    <xf numFmtId="0" fontId="13" fillId="35" borderId="12" xfId="0" applyFont="1" applyFill="1" applyBorder="1" applyAlignment="1"/>
    <xf numFmtId="0" fontId="11" fillId="35" borderId="10" xfId="0" applyFont="1" applyFill="1" applyBorder="1" applyAlignment="1">
      <alignment horizontal="center"/>
    </xf>
    <xf numFmtId="0" fontId="13" fillId="35" borderId="13" xfId="0" applyFont="1" applyFill="1" applyBorder="1" applyAlignment="1"/>
    <xf numFmtId="0" fontId="11" fillId="35" borderId="62" xfId="0" applyFont="1" applyFill="1" applyBorder="1"/>
    <xf numFmtId="0" fontId="11" fillId="35" borderId="13" xfId="0" applyFont="1" applyFill="1" applyBorder="1"/>
    <xf numFmtId="0" fontId="30" fillId="35" borderId="35" xfId="0" applyFont="1" applyFill="1" applyBorder="1" applyAlignment="1">
      <alignment horizontal="center"/>
    </xf>
    <xf numFmtId="0" fontId="13" fillId="35" borderId="17" xfId="0" applyFont="1" applyFill="1" applyBorder="1"/>
    <xf numFmtId="164" fontId="2" fillId="0" borderId="35" xfId="8" applyFont="1" applyBorder="1"/>
    <xf numFmtId="0" fontId="15" fillId="36" borderId="12" xfId="0" applyFont="1" applyFill="1" applyBorder="1"/>
    <xf numFmtId="0" fontId="17" fillId="36" borderId="35" xfId="0" applyFont="1" applyFill="1" applyBorder="1" applyAlignment="1">
      <alignment horizontal="center"/>
    </xf>
    <xf numFmtId="0" fontId="12" fillId="35" borderId="7" xfId="0" applyFont="1" applyFill="1" applyBorder="1"/>
    <xf numFmtId="2" fontId="7" fillId="35" borderId="13" xfId="0" applyNumberFormat="1" applyFont="1" applyFill="1" applyBorder="1" applyAlignment="1">
      <alignment horizontal="right"/>
    </xf>
    <xf numFmtId="0" fontId="46" fillId="2" borderId="47" xfId="0" applyFont="1" applyFill="1" applyBorder="1"/>
    <xf numFmtId="1" fontId="163" fillId="0" borderId="35" xfId="0" applyNumberFormat="1" applyFont="1" applyBorder="1" applyAlignment="1">
      <alignment horizontal="center"/>
    </xf>
    <xf numFmtId="2" fontId="164" fillId="0" borderId="8" xfId="0" applyNumberFormat="1" applyFont="1" applyBorder="1" applyAlignment="1">
      <alignment horizontal="right"/>
    </xf>
    <xf numFmtId="0" fontId="164" fillId="0" borderId="35" xfId="0" applyFont="1" applyBorder="1" applyAlignment="1">
      <alignment horizontal="right"/>
    </xf>
    <xf numFmtId="1" fontId="163" fillId="0" borderId="35" xfId="0" applyNumberFormat="1" applyFont="1" applyBorder="1" applyAlignment="1">
      <alignment horizontal="right"/>
    </xf>
    <xf numFmtId="0" fontId="10" fillId="36" borderId="35" xfId="0" applyFont="1" applyFill="1" applyBorder="1"/>
    <xf numFmtId="0" fontId="13" fillId="31" borderId="35" xfId="0" applyFont="1" applyFill="1" applyBorder="1" applyAlignment="1"/>
    <xf numFmtId="0" fontId="165" fillId="0" borderId="13" xfId="0" applyFont="1" applyBorder="1" applyAlignment="1">
      <alignment horizontal="center"/>
    </xf>
    <xf numFmtId="0" fontId="121" fillId="35" borderId="35" xfId="0" applyFont="1" applyFill="1" applyBorder="1"/>
    <xf numFmtId="0" fontId="7" fillId="31" borderId="35" xfId="0" applyFont="1" applyFill="1" applyBorder="1" applyAlignment="1">
      <alignment horizontal="center"/>
    </xf>
    <xf numFmtId="0" fontId="3" fillId="31" borderId="35" xfId="0" applyFont="1" applyFill="1" applyBorder="1"/>
    <xf numFmtId="0" fontId="9" fillId="31" borderId="35" xfId="0" applyFont="1" applyFill="1" applyBorder="1"/>
    <xf numFmtId="0" fontId="121" fillId="31" borderId="35" xfId="0" applyFont="1" applyFill="1" applyBorder="1"/>
    <xf numFmtId="0" fontId="2" fillId="31" borderId="35" xfId="0" applyFont="1" applyFill="1" applyBorder="1"/>
    <xf numFmtId="0" fontId="126" fillId="31" borderId="35" xfId="0" applyFont="1" applyFill="1" applyBorder="1"/>
    <xf numFmtId="0" fontId="127" fillId="31" borderId="35" xfId="0" applyFont="1" applyFill="1" applyBorder="1"/>
    <xf numFmtId="0" fontId="17" fillId="31" borderId="35" xfId="0" applyFont="1" applyFill="1" applyBorder="1"/>
    <xf numFmtId="0" fontId="14" fillId="31" borderId="35" xfId="0" applyFont="1" applyFill="1" applyBorder="1"/>
    <xf numFmtId="0" fontId="7" fillId="0" borderId="24" xfId="0" applyFont="1" applyBorder="1"/>
    <xf numFmtId="0" fontId="12" fillId="31" borderId="35" xfId="0" applyFont="1" applyFill="1" applyBorder="1"/>
    <xf numFmtId="0" fontId="4" fillId="31" borderId="35" xfId="0" applyFont="1" applyFill="1" applyBorder="1"/>
    <xf numFmtId="0" fontId="65" fillId="31" borderId="35" xfId="0" applyFont="1" applyFill="1" applyBorder="1"/>
    <xf numFmtId="0" fontId="12" fillId="31" borderId="12" xfId="0" applyFont="1" applyFill="1" applyBorder="1"/>
    <xf numFmtId="0" fontId="12" fillId="31" borderId="47" xfId="0" applyFont="1" applyFill="1" applyBorder="1"/>
    <xf numFmtId="0" fontId="65" fillId="31" borderId="12" xfId="0" applyFont="1" applyFill="1" applyBorder="1"/>
    <xf numFmtId="0" fontId="3" fillId="31" borderId="12" xfId="0" applyFont="1" applyFill="1" applyBorder="1"/>
    <xf numFmtId="0" fontId="2" fillId="31" borderId="12" xfId="0" applyFont="1" applyFill="1" applyBorder="1"/>
    <xf numFmtId="0" fontId="12" fillId="31" borderId="24" xfId="0" applyFont="1" applyFill="1" applyBorder="1"/>
    <xf numFmtId="0" fontId="12" fillId="31" borderId="35" xfId="0" applyFont="1" applyFill="1" applyBorder="1" applyAlignment="1">
      <alignment horizontal="center"/>
    </xf>
    <xf numFmtId="0" fontId="3" fillId="31" borderId="35" xfId="0" applyFont="1" applyFill="1" applyBorder="1" applyAlignment="1">
      <alignment horizontal="center"/>
    </xf>
    <xf numFmtId="0" fontId="2" fillId="31" borderId="12" xfId="0" applyFont="1" applyFill="1" applyBorder="1" applyAlignment="1">
      <alignment horizontal="center"/>
    </xf>
    <xf numFmtId="0" fontId="7" fillId="31" borderId="12" xfId="0" applyFont="1" applyFill="1" applyBorder="1"/>
    <xf numFmtId="0" fontId="7" fillId="31" borderId="12" xfId="0" applyFont="1" applyFill="1" applyBorder="1" applyAlignment="1">
      <alignment horizontal="center"/>
    </xf>
    <xf numFmtId="0" fontId="72" fillId="31" borderId="12" xfId="0" applyFont="1" applyFill="1" applyBorder="1" applyAlignment="1">
      <alignment horizontal="center"/>
    </xf>
    <xf numFmtId="0" fontId="10" fillId="31" borderId="12" xfId="0" applyFont="1" applyFill="1" applyBorder="1"/>
    <xf numFmtId="0" fontId="10" fillId="31" borderId="12" xfId="0" applyFont="1" applyFill="1" applyBorder="1" applyAlignment="1">
      <alignment horizontal="center"/>
    </xf>
    <xf numFmtId="0" fontId="65" fillId="31" borderId="12" xfId="0" applyFont="1" applyFill="1" applyBorder="1" applyAlignment="1">
      <alignment horizontal="center"/>
    </xf>
    <xf numFmtId="0" fontId="3" fillId="31" borderId="12" xfId="0" applyFont="1" applyFill="1" applyBorder="1" applyAlignment="1">
      <alignment horizontal="center"/>
    </xf>
    <xf numFmtId="0" fontId="17" fillId="31" borderId="17" xfId="0" applyFont="1" applyFill="1" applyBorder="1" applyAlignment="1">
      <alignment horizontal="center"/>
    </xf>
    <xf numFmtId="0" fontId="12" fillId="31" borderId="17" xfId="0" applyFont="1" applyFill="1" applyBorder="1"/>
    <xf numFmtId="0" fontId="12" fillId="31" borderId="17" xfId="0" applyFont="1" applyFill="1" applyBorder="1" applyAlignment="1">
      <alignment horizontal="center"/>
    </xf>
    <xf numFmtId="0" fontId="2" fillId="31" borderId="35" xfId="0" applyFont="1" applyFill="1" applyBorder="1" applyAlignment="1">
      <alignment horizontal="center"/>
    </xf>
    <xf numFmtId="0" fontId="2" fillId="31" borderId="2" xfId="0" applyFont="1" applyFill="1" applyBorder="1"/>
    <xf numFmtId="0" fontId="2" fillId="31" borderId="37" xfId="0" applyFont="1" applyFill="1" applyBorder="1" applyAlignment="1">
      <alignment horizontal="center"/>
    </xf>
    <xf numFmtId="0" fontId="12" fillId="31" borderId="7" xfId="0" applyFont="1" applyFill="1" applyBorder="1"/>
    <xf numFmtId="0" fontId="12" fillId="31" borderId="34" xfId="0" applyFont="1" applyFill="1" applyBorder="1" applyAlignment="1">
      <alignment horizontal="center"/>
    </xf>
    <xf numFmtId="0" fontId="17" fillId="35" borderId="12" xfId="0" applyFont="1" applyFill="1" applyBorder="1" applyAlignment="1">
      <alignment horizontal="center"/>
    </xf>
    <xf numFmtId="0" fontId="17" fillId="35" borderId="17" xfId="0" applyFont="1" applyFill="1" applyBorder="1" applyAlignment="1">
      <alignment horizontal="center"/>
    </xf>
    <xf numFmtId="0" fontId="11" fillId="35" borderId="17" xfId="0" applyFont="1" applyFill="1" applyBorder="1"/>
    <xf numFmtId="0" fontId="12" fillId="0" borderId="2" xfId="0" applyFont="1" applyBorder="1"/>
    <xf numFmtId="0" fontId="2" fillId="0" borderId="7" xfId="0" applyFont="1" applyBorder="1"/>
    <xf numFmtId="0" fontId="2" fillId="0" borderId="2" xfId="0" applyFont="1" applyBorder="1"/>
    <xf numFmtId="0" fontId="2" fillId="0" borderId="17" xfId="0" applyFont="1" applyBorder="1"/>
    <xf numFmtId="0" fontId="2" fillId="31" borderId="9" xfId="0" applyFont="1" applyFill="1" applyBorder="1" applyAlignment="1">
      <alignment horizontal="center"/>
    </xf>
    <xf numFmtId="0" fontId="2" fillId="31" borderId="14" xfId="0" applyFont="1" applyFill="1" applyBorder="1" applyAlignment="1">
      <alignment horizontal="center"/>
    </xf>
    <xf numFmtId="0" fontId="2" fillId="31" borderId="58" xfId="0" applyFont="1" applyFill="1" applyBorder="1"/>
    <xf numFmtId="0" fontId="2" fillId="31" borderId="59" xfId="0" applyFont="1" applyFill="1" applyBorder="1" applyAlignment="1">
      <alignment horizontal="center"/>
    </xf>
    <xf numFmtId="0" fontId="2" fillId="31" borderId="19" xfId="0" applyFont="1" applyFill="1" applyBorder="1"/>
    <xf numFmtId="0" fontId="2" fillId="31" borderId="7" xfId="0" applyFont="1" applyFill="1" applyBorder="1"/>
    <xf numFmtId="0" fontId="2" fillId="31" borderId="7" xfId="0" applyFont="1" applyFill="1" applyBorder="1" applyAlignment="1">
      <alignment horizontal="center"/>
    </xf>
    <xf numFmtId="0" fontId="2" fillId="31" borderId="62" xfId="0" applyFont="1" applyFill="1" applyBorder="1"/>
    <xf numFmtId="0" fontId="65" fillId="0" borderId="17" xfId="0" applyFont="1" applyBorder="1"/>
    <xf numFmtId="0" fontId="65" fillId="0" borderId="16" xfId="0" applyFont="1" applyBorder="1"/>
    <xf numFmtId="0" fontId="2" fillId="0" borderId="24" xfId="0" applyFont="1" applyBorder="1"/>
    <xf numFmtId="0" fontId="65" fillId="0" borderId="2" xfId="0" applyFont="1" applyBorder="1"/>
    <xf numFmtId="0" fontId="65" fillId="0" borderId="24" xfId="0" applyFont="1" applyBorder="1"/>
    <xf numFmtId="0" fontId="65" fillId="31" borderId="35" xfId="0" applyFont="1" applyFill="1" applyBorder="1" applyAlignment="1">
      <alignment horizontal="center"/>
    </xf>
    <xf numFmtId="0" fontId="129" fillId="31" borderId="12" xfId="0" applyFont="1" applyFill="1" applyBorder="1"/>
    <xf numFmtId="0" fontId="129" fillId="31" borderId="12" xfId="0" applyFont="1" applyFill="1" applyBorder="1" applyAlignment="1">
      <alignment horizontal="center"/>
    </xf>
    <xf numFmtId="0" fontId="65" fillId="31" borderId="12" xfId="0" applyFont="1" applyFill="1" applyBorder="1" applyAlignment="1">
      <alignment horizontal="left"/>
    </xf>
    <xf numFmtId="0" fontId="129" fillId="31" borderId="35" xfId="0" applyFont="1" applyFill="1" applyBorder="1" applyAlignment="1">
      <alignment horizontal="center"/>
    </xf>
    <xf numFmtId="0" fontId="7" fillId="31" borderId="13" xfId="0" applyFont="1" applyFill="1" applyBorder="1" applyAlignment="1">
      <alignment horizontal="center"/>
    </xf>
    <xf numFmtId="0" fontId="121" fillId="0" borderId="10" xfId="0" applyFont="1" applyBorder="1"/>
    <xf numFmtId="0" fontId="2" fillId="0" borderId="10" xfId="0" applyFont="1" applyBorder="1"/>
    <xf numFmtId="0" fontId="121" fillId="0" borderId="1" xfId="0" applyFont="1" applyBorder="1"/>
    <xf numFmtId="0" fontId="3" fillId="31" borderId="7" xfId="0" applyFont="1" applyFill="1" applyBorder="1"/>
    <xf numFmtId="0" fontId="26" fillId="31" borderId="7" xfId="0" applyFont="1" applyFill="1" applyBorder="1"/>
    <xf numFmtId="0" fontId="26" fillId="31" borderId="13" xfId="0" applyFont="1" applyFill="1" applyBorder="1" applyAlignment="1">
      <alignment horizontal="center"/>
    </xf>
    <xf numFmtId="0" fontId="130" fillId="31" borderId="7" xfId="0" applyFont="1" applyFill="1" applyBorder="1"/>
    <xf numFmtId="0" fontId="130" fillId="31" borderId="64" xfId="0" applyFont="1" applyFill="1" applyBorder="1"/>
    <xf numFmtId="0" fontId="26" fillId="31" borderId="19" xfId="0" applyFont="1" applyFill="1" applyBorder="1" applyAlignment="1">
      <alignment horizontal="center"/>
    </xf>
    <xf numFmtId="0" fontId="130" fillId="31" borderId="46" xfId="0" applyFont="1" applyFill="1" applyBorder="1"/>
    <xf numFmtId="0" fontId="130" fillId="31" borderId="26" xfId="0" applyFont="1" applyFill="1" applyBorder="1"/>
    <xf numFmtId="0" fontId="26" fillId="31" borderId="49" xfId="0" applyFont="1" applyFill="1" applyBorder="1" applyAlignment="1">
      <alignment horizontal="center"/>
    </xf>
    <xf numFmtId="0" fontId="3" fillId="31" borderId="34" xfId="0" applyFont="1" applyFill="1" applyBorder="1" applyAlignment="1">
      <alignment horizontal="center"/>
    </xf>
    <xf numFmtId="0" fontId="3" fillId="31" borderId="68" xfId="0" applyFont="1" applyFill="1" applyBorder="1"/>
    <xf numFmtId="0" fontId="3" fillId="31" borderId="69" xfId="0" applyFont="1" applyFill="1" applyBorder="1" applyAlignment="1">
      <alignment horizontal="center"/>
    </xf>
    <xf numFmtId="0" fontId="131" fillId="31" borderId="12" xfId="0" applyFont="1" applyFill="1" applyBorder="1"/>
    <xf numFmtId="0" fontId="130" fillId="31" borderId="35" xfId="0" applyFont="1" applyFill="1" applyBorder="1" applyAlignment="1">
      <alignment horizontal="center"/>
    </xf>
    <xf numFmtId="0" fontId="131" fillId="31" borderId="34" xfId="0" applyFont="1" applyFill="1" applyBorder="1" applyAlignment="1">
      <alignment horizontal="center"/>
    </xf>
    <xf numFmtId="0" fontId="121" fillId="0" borderId="7" xfId="0" applyFont="1" applyBorder="1"/>
    <xf numFmtId="0" fontId="121" fillId="0" borderId="68" xfId="0" applyFont="1" applyBorder="1"/>
    <xf numFmtId="0" fontId="3" fillId="0" borderId="8" xfId="0" applyFont="1" applyBorder="1"/>
    <xf numFmtId="0" fontId="130" fillId="31" borderId="35" xfId="0" applyFont="1" applyFill="1" applyBorder="1"/>
    <xf numFmtId="0" fontId="9" fillId="31" borderId="2" xfId="0" applyFont="1" applyFill="1" applyBorder="1"/>
    <xf numFmtId="0" fontId="9" fillId="31" borderId="24" xfId="0" applyFont="1" applyFill="1" applyBorder="1"/>
    <xf numFmtId="0" fontId="121" fillId="31" borderId="36" xfId="0" applyFont="1" applyFill="1" applyBorder="1"/>
    <xf numFmtId="0" fontId="121" fillId="0" borderId="17" xfId="0" applyFont="1" applyBorder="1"/>
    <xf numFmtId="0" fontId="121" fillId="31" borderId="34" xfId="0" applyFont="1" applyFill="1" applyBorder="1"/>
    <xf numFmtId="0" fontId="17" fillId="3" borderId="68" xfId="0" applyFont="1" applyFill="1" applyBorder="1" applyAlignment="1">
      <alignment horizontal="left"/>
    </xf>
    <xf numFmtId="0" fontId="121" fillId="31" borderId="69" xfId="0" applyFont="1" applyFill="1" applyBorder="1"/>
    <xf numFmtId="0" fontId="9" fillId="31" borderId="0" xfId="0" applyFont="1" applyFill="1"/>
    <xf numFmtId="0" fontId="17" fillId="31" borderId="68" xfId="0" applyFont="1" applyFill="1" applyBorder="1" applyAlignment="1">
      <alignment horizontal="left"/>
    </xf>
    <xf numFmtId="0" fontId="31" fillId="31" borderId="7" xfId="0" applyFont="1" applyFill="1" applyBorder="1" applyAlignment="1">
      <alignment horizontal="left"/>
    </xf>
    <xf numFmtId="0" fontId="9" fillId="31" borderId="17" xfId="0" applyFont="1" applyFill="1" applyBorder="1"/>
    <xf numFmtId="0" fontId="9" fillId="31" borderId="16" xfId="0" applyFont="1" applyFill="1" applyBorder="1"/>
    <xf numFmtId="0" fontId="132" fillId="31" borderId="7" xfId="0" applyFont="1" applyFill="1" applyBorder="1" applyAlignment="1">
      <alignment horizontal="left"/>
    </xf>
    <xf numFmtId="0" fontId="130" fillId="0" borderId="12" xfId="0" applyFont="1" applyBorder="1"/>
    <xf numFmtId="0" fontId="130" fillId="0" borderId="13" xfId="0" applyFont="1" applyBorder="1"/>
    <xf numFmtId="0" fontId="133" fillId="31" borderId="35" xfId="0" applyFont="1" applyFill="1" applyBorder="1"/>
    <xf numFmtId="0" fontId="134" fillId="31" borderId="35" xfId="0" applyFont="1" applyFill="1" applyBorder="1"/>
    <xf numFmtId="0" fontId="17" fillId="31" borderId="35" xfId="0" applyFont="1" applyFill="1" applyBorder="1" applyAlignment="1">
      <alignment horizontal="center"/>
    </xf>
    <xf numFmtId="0" fontId="68" fillId="31" borderId="35" xfId="0" applyFont="1" applyFill="1" applyBorder="1"/>
    <xf numFmtId="0" fontId="135" fillId="31" borderId="35" xfId="0" applyFont="1" applyFill="1" applyBorder="1"/>
    <xf numFmtId="0" fontId="166" fillId="3" borderId="12" xfId="0" applyFont="1" applyFill="1" applyBorder="1" applyAlignment="1">
      <alignment horizontal="left"/>
    </xf>
    <xf numFmtId="0" fontId="161" fillId="0" borderId="35" xfId="0" applyFont="1" applyBorder="1" applyAlignment="1">
      <alignment horizontal="center"/>
    </xf>
    <xf numFmtId="0" fontId="161" fillId="3" borderId="35" xfId="0" applyFont="1" applyFill="1" applyBorder="1" applyAlignment="1">
      <alignment horizontal="center"/>
    </xf>
    <xf numFmtId="0" fontId="9" fillId="37" borderId="35" xfId="0" applyFont="1" applyFill="1" applyBorder="1"/>
    <xf numFmtId="0" fontId="121" fillId="37" borderId="35" xfId="0" applyFont="1" applyFill="1" applyBorder="1"/>
    <xf numFmtId="0" fontId="2" fillId="37" borderId="35" xfId="0" applyFont="1" applyFill="1" applyBorder="1"/>
    <xf numFmtId="0" fontId="11" fillId="37" borderId="12" xfId="0" applyFont="1" applyFill="1" applyBorder="1" applyAlignment="1">
      <alignment horizontal="center"/>
    </xf>
    <xf numFmtId="0" fontId="161" fillId="37" borderId="12" xfId="0" applyFont="1" applyFill="1" applyBorder="1" applyAlignment="1">
      <alignment horizontal="center"/>
    </xf>
    <xf numFmtId="0" fontId="9" fillId="37" borderId="13" xfId="0" applyFont="1" applyFill="1" applyBorder="1"/>
    <xf numFmtId="0" fontId="121" fillId="37" borderId="13" xfId="0" applyFont="1" applyFill="1" applyBorder="1"/>
    <xf numFmtId="0" fontId="2" fillId="37" borderId="13" xfId="0" applyFont="1" applyFill="1" applyBorder="1"/>
    <xf numFmtId="0" fontId="127" fillId="37" borderId="13" xfId="0" applyFont="1" applyFill="1" applyBorder="1"/>
    <xf numFmtId="0" fontId="9" fillId="37" borderId="25" xfId="0" applyFont="1" applyFill="1" applyBorder="1"/>
    <xf numFmtId="0" fontId="79" fillId="0" borderId="35" xfId="0" applyFont="1" applyBorder="1"/>
    <xf numFmtId="0" fontId="136" fillId="0" borderId="35" xfId="0" applyFont="1" applyBorder="1"/>
    <xf numFmtId="0" fontId="137" fillId="0" borderId="35" xfId="0" applyFont="1" applyBorder="1"/>
    <xf numFmtId="0" fontId="17" fillId="0" borderId="1" xfId="0" applyFont="1" applyBorder="1"/>
    <xf numFmtId="0" fontId="12" fillId="37" borderId="35" xfId="0" applyFont="1" applyFill="1" applyBorder="1" applyAlignment="1">
      <alignment horizontal="center"/>
    </xf>
    <xf numFmtId="0" fontId="133" fillId="37" borderId="35" xfId="0" applyFont="1" applyFill="1" applyBorder="1"/>
    <xf numFmtId="0" fontId="134" fillId="37" borderId="35" xfId="0" applyFont="1" applyFill="1" applyBorder="1"/>
    <xf numFmtId="0" fontId="126" fillId="37" borderId="35" xfId="0" applyFont="1" applyFill="1" applyBorder="1"/>
    <xf numFmtId="0" fontId="141" fillId="37" borderId="35" xfId="0" applyFont="1" applyFill="1" applyBorder="1"/>
    <xf numFmtId="0" fontId="12" fillId="37" borderId="1" xfId="0" applyFont="1" applyFill="1" applyBorder="1"/>
    <xf numFmtId="0" fontId="12" fillId="37" borderId="24" xfId="0" applyFont="1" applyFill="1" applyBorder="1"/>
    <xf numFmtId="0" fontId="7" fillId="3" borderId="76" xfId="0" applyFont="1" applyFill="1" applyBorder="1"/>
    <xf numFmtId="0" fontId="10" fillId="0" borderId="5" xfId="0" applyFont="1" applyBorder="1"/>
    <xf numFmtId="0" fontId="125" fillId="0" borderId="7" xfId="0" applyFont="1" applyBorder="1"/>
    <xf numFmtId="0" fontId="125" fillId="0" borderId="8" xfId="0" applyFont="1" applyBorder="1"/>
    <xf numFmtId="0" fontId="125" fillId="0" borderId="5" xfId="0" applyFont="1" applyBorder="1"/>
    <xf numFmtId="0" fontId="125" fillId="0" borderId="6" xfId="0" applyFont="1" applyBorder="1"/>
    <xf numFmtId="0" fontId="17" fillId="3" borderId="76" xfId="0" applyFont="1" applyFill="1" applyBorder="1"/>
    <xf numFmtId="0" fontId="10" fillId="0" borderId="15" xfId="0" applyFont="1" applyBorder="1"/>
    <xf numFmtId="0" fontId="9" fillId="0" borderId="45" xfId="0" applyFont="1" applyBorder="1" applyAlignment="1">
      <alignment horizontal="center"/>
    </xf>
    <xf numFmtId="0" fontId="9" fillId="0" borderId="60" xfId="0" applyFont="1" applyBorder="1"/>
    <xf numFmtId="0" fontId="10" fillId="3" borderId="5" xfId="0" applyFont="1" applyFill="1" applyBorder="1"/>
    <xf numFmtId="0" fontId="10" fillId="0" borderId="76" xfId="0" applyFont="1" applyBorder="1"/>
    <xf numFmtId="0" fontId="9" fillId="0" borderId="45" xfId="0" applyFont="1" applyBorder="1"/>
    <xf numFmtId="0" fontId="9" fillId="0" borderId="62" xfId="0" applyFont="1" applyBorder="1"/>
    <xf numFmtId="0" fontId="9" fillId="0" borderId="44" xfId="0" applyFont="1" applyBorder="1"/>
    <xf numFmtId="0" fontId="12" fillId="3" borderId="8" xfId="0" applyFont="1" applyFill="1" applyBorder="1" applyAlignment="1">
      <alignment horizontal="center"/>
    </xf>
    <xf numFmtId="0" fontId="17" fillId="0" borderId="76" xfId="0" applyFont="1" applyBorder="1"/>
    <xf numFmtId="0" fontId="121" fillId="31" borderId="12" xfId="0" applyFont="1" applyFill="1" applyBorder="1"/>
    <xf numFmtId="0" fontId="121" fillId="31" borderId="68" xfId="0" applyFont="1" applyFill="1" applyBorder="1"/>
    <xf numFmtId="0" fontId="121" fillId="31" borderId="7" xfId="0" applyFont="1" applyFill="1" applyBorder="1"/>
    <xf numFmtId="0" fontId="126" fillId="31" borderId="68" xfId="0" applyFont="1" applyFill="1" applyBorder="1"/>
    <xf numFmtId="0" fontId="126" fillId="31" borderId="7" xfId="0" applyFont="1" applyFill="1" applyBorder="1"/>
    <xf numFmtId="0" fontId="121" fillId="31" borderId="17" xfId="0" applyFont="1" applyFill="1" applyBorder="1"/>
    <xf numFmtId="0" fontId="135" fillId="31" borderId="62" xfId="0" applyFont="1" applyFill="1" applyBorder="1"/>
    <xf numFmtId="0" fontId="142" fillId="31" borderId="12" xfId="0" applyFont="1" applyFill="1" applyBorder="1"/>
    <xf numFmtId="0" fontId="126" fillId="31" borderId="62" xfId="0" applyFont="1" applyFill="1" applyBorder="1"/>
    <xf numFmtId="0" fontId="126" fillId="31" borderId="12" xfId="0" applyFont="1" applyFill="1" applyBorder="1"/>
    <xf numFmtId="0" fontId="121" fillId="31" borderId="13" xfId="0" applyFont="1" applyFill="1" applyBorder="1"/>
    <xf numFmtId="0" fontId="121" fillId="31" borderId="70" xfId="0" applyFont="1" applyFill="1" applyBorder="1"/>
    <xf numFmtId="0" fontId="121" fillId="31" borderId="8" xfId="0" applyFont="1" applyFill="1" applyBorder="1"/>
    <xf numFmtId="0" fontId="2" fillId="31" borderId="13" xfId="0" applyFont="1" applyFill="1" applyBorder="1"/>
    <xf numFmtId="0" fontId="127" fillId="31" borderId="70" xfId="0" applyFont="1" applyFill="1" applyBorder="1"/>
    <xf numFmtId="0" fontId="127" fillId="31" borderId="8" xfId="0" applyFont="1" applyFill="1" applyBorder="1"/>
    <xf numFmtId="0" fontId="121" fillId="31" borderId="18" xfId="0" applyFont="1" applyFill="1" applyBorder="1"/>
    <xf numFmtId="0" fontId="127" fillId="31" borderId="44" xfId="0" applyFont="1" applyFill="1" applyBorder="1"/>
    <xf numFmtId="0" fontId="127" fillId="31" borderId="13" xfId="0" applyFont="1" applyFill="1" applyBorder="1"/>
    <xf numFmtId="0" fontId="121" fillId="0" borderId="76" xfId="0" applyFont="1" applyBorder="1"/>
    <xf numFmtId="0" fontId="121" fillId="0" borderId="5" xfId="0" applyFont="1" applyBorder="1"/>
    <xf numFmtId="0" fontId="2" fillId="0" borderId="76" xfId="0" applyFont="1" applyBorder="1"/>
    <xf numFmtId="0" fontId="2" fillId="0" borderId="72" xfId="0" applyFont="1" applyBorder="1"/>
    <xf numFmtId="0" fontId="121" fillId="0" borderId="15" xfId="0" applyFont="1" applyBorder="1"/>
    <xf numFmtId="0" fontId="2" fillId="0" borderId="45" xfId="0" applyFont="1" applyBorder="1"/>
    <xf numFmtId="0" fontId="2" fillId="0" borderId="60" xfId="0" applyFont="1" applyBorder="1"/>
    <xf numFmtId="0" fontId="2" fillId="0" borderId="1" xfId="0" applyFont="1" applyBorder="1"/>
    <xf numFmtId="0" fontId="143" fillId="31" borderId="35" xfId="0" applyFont="1" applyFill="1" applyBorder="1"/>
    <xf numFmtId="0" fontId="144" fillId="31" borderId="35" xfId="0" applyFont="1" applyFill="1" applyBorder="1"/>
    <xf numFmtId="0" fontId="145" fillId="31" borderId="35" xfId="0" applyFont="1" applyFill="1" applyBorder="1"/>
    <xf numFmtId="0" fontId="146" fillId="31" borderId="35" xfId="0" applyFont="1" applyFill="1" applyBorder="1"/>
    <xf numFmtId="0" fontId="147" fillId="31" borderId="35" xfId="0" applyFont="1" applyFill="1" applyBorder="1"/>
    <xf numFmtId="0" fontId="148" fillId="31" borderId="35" xfId="0" applyFont="1" applyFill="1" applyBorder="1"/>
    <xf numFmtId="0" fontId="9" fillId="31" borderId="1" xfId="0" applyFont="1" applyFill="1" applyBorder="1"/>
    <xf numFmtId="49" fontId="11" fillId="3" borderId="34" xfId="0" applyNumberFormat="1" applyFont="1" applyFill="1" applyBorder="1" applyAlignment="1">
      <alignment horizontal="center"/>
    </xf>
    <xf numFmtId="0" fontId="2" fillId="31" borderId="34" xfId="0" applyFont="1" applyFill="1" applyBorder="1"/>
    <xf numFmtId="49" fontId="12" fillId="3" borderId="69" xfId="0" applyNumberFormat="1" applyFont="1" applyFill="1" applyBorder="1" applyAlignment="1">
      <alignment horizontal="center"/>
    </xf>
    <xf numFmtId="0" fontId="68" fillId="31" borderId="69" xfId="0" applyFont="1" applyFill="1" applyBorder="1"/>
    <xf numFmtId="0" fontId="147" fillId="31" borderId="34" xfId="0" applyFont="1" applyFill="1" applyBorder="1"/>
    <xf numFmtId="0" fontId="17" fillId="31" borderId="1" xfId="0" applyFont="1" applyFill="1" applyBorder="1"/>
    <xf numFmtId="0" fontId="149" fillId="31" borderId="35" xfId="0" applyFont="1" applyFill="1" applyBorder="1"/>
    <xf numFmtId="0" fontId="11" fillId="31" borderId="1" xfId="0" applyFont="1" applyFill="1" applyBorder="1"/>
    <xf numFmtId="0" fontId="2" fillId="31" borderId="1" xfId="0" applyFont="1" applyFill="1" applyBorder="1"/>
    <xf numFmtId="0" fontId="77" fillId="0" borderId="35" xfId="0" applyFont="1" applyBorder="1"/>
    <xf numFmtId="0" fontId="78" fillId="0" borderId="35" xfId="0" applyFont="1" applyBorder="1"/>
    <xf numFmtId="0" fontId="7" fillId="31" borderId="1" xfId="0" applyFont="1" applyFill="1" applyBorder="1"/>
    <xf numFmtId="0" fontId="17" fillId="38" borderId="34" xfId="0" applyFont="1" applyFill="1" applyBorder="1"/>
    <xf numFmtId="0" fontId="17" fillId="38" borderId="34" xfId="0" applyFont="1" applyFill="1" applyBorder="1" applyAlignment="1">
      <alignment horizontal="center"/>
    </xf>
    <xf numFmtId="0" fontId="9" fillId="38" borderId="10" xfId="0" applyFont="1" applyFill="1" applyBorder="1"/>
    <xf numFmtId="0" fontId="9" fillId="38" borderId="11" xfId="0" applyFont="1" applyFill="1" applyBorder="1"/>
    <xf numFmtId="0" fontId="9" fillId="38" borderId="12" xfId="0" applyFont="1" applyFill="1" applyBorder="1"/>
    <xf numFmtId="0" fontId="9" fillId="38" borderId="13" xfId="0" applyFont="1" applyFill="1" applyBorder="1"/>
    <xf numFmtId="0" fontId="147" fillId="38" borderId="35" xfId="0" applyFont="1" applyFill="1" applyBorder="1"/>
    <xf numFmtId="0" fontId="121" fillId="38" borderId="35" xfId="0" applyFont="1" applyFill="1" applyBorder="1"/>
    <xf numFmtId="0" fontId="121" fillId="38" borderId="12" xfId="0" applyFont="1" applyFill="1" applyBorder="1"/>
    <xf numFmtId="0" fontId="9" fillId="38" borderId="10" xfId="0" applyFont="1" applyFill="1" applyBorder="1" applyAlignment="1">
      <alignment horizontal="center"/>
    </xf>
    <xf numFmtId="0" fontId="17" fillId="38" borderId="61" xfId="0" applyFont="1" applyFill="1" applyBorder="1"/>
    <xf numFmtId="0" fontId="17" fillId="38" borderId="36" xfId="0" applyFont="1" applyFill="1" applyBorder="1" applyAlignment="1">
      <alignment horizontal="center"/>
    </xf>
    <xf numFmtId="0" fontId="17" fillId="39" borderId="34" xfId="0" applyFont="1" applyFill="1" applyBorder="1"/>
    <xf numFmtId="0" fontId="17" fillId="39" borderId="34" xfId="0" applyFont="1" applyFill="1" applyBorder="1" applyAlignment="1">
      <alignment horizontal="center"/>
    </xf>
    <xf numFmtId="0" fontId="9" fillId="39" borderId="10" xfId="0" applyFont="1" applyFill="1" applyBorder="1"/>
    <xf numFmtId="0" fontId="9" fillId="39" borderId="11" xfId="0" applyFont="1" applyFill="1" applyBorder="1"/>
    <xf numFmtId="0" fontId="9" fillId="39" borderId="12" xfId="0" applyFont="1" applyFill="1" applyBorder="1"/>
    <xf numFmtId="0" fontId="9" fillId="39" borderId="13" xfId="0" applyFont="1" applyFill="1" applyBorder="1"/>
    <xf numFmtId="0" fontId="121" fillId="39" borderId="35" xfId="0" applyFont="1" applyFill="1" applyBorder="1"/>
    <xf numFmtId="0" fontId="121" fillId="39" borderId="12" xfId="0" applyFont="1" applyFill="1" applyBorder="1"/>
    <xf numFmtId="0" fontId="9" fillId="39" borderId="10" xfId="0" applyFont="1" applyFill="1" applyBorder="1" applyAlignment="1">
      <alignment horizontal="center"/>
    </xf>
    <xf numFmtId="0" fontId="17" fillId="39" borderId="35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left"/>
    </xf>
    <xf numFmtId="49" fontId="17" fillId="32" borderId="35" xfId="0" applyNumberFormat="1" applyFont="1" applyFill="1" applyBorder="1" applyAlignment="1">
      <alignment horizontal="center"/>
    </xf>
    <xf numFmtId="49" fontId="17" fillId="32" borderId="35" xfId="0" applyNumberFormat="1" applyFont="1" applyFill="1" applyBorder="1"/>
    <xf numFmtId="49" fontId="11" fillId="32" borderId="10" xfId="0" applyNumberFormat="1" applyFont="1" applyFill="1" applyBorder="1"/>
    <xf numFmtId="49" fontId="7" fillId="32" borderId="47" xfId="0" applyNumberFormat="1" applyFont="1" applyFill="1" applyBorder="1" applyAlignment="1">
      <alignment horizontal="left"/>
    </xf>
    <xf numFmtId="0" fontId="163" fillId="2" borderId="47" xfId="0" applyFont="1" applyFill="1" applyBorder="1"/>
    <xf numFmtId="0" fontId="163" fillId="2" borderId="11" xfId="0" applyFont="1" applyFill="1" applyBorder="1" applyAlignment="1">
      <alignment horizontal="center"/>
    </xf>
    <xf numFmtId="0" fontId="160" fillId="2" borderId="11" xfId="0" applyFont="1" applyFill="1" applyBorder="1" applyAlignment="1">
      <alignment horizontal="center"/>
    </xf>
    <xf numFmtId="0" fontId="163" fillId="4" borderId="47" xfId="0" applyFont="1" applyFill="1" applyBorder="1"/>
    <xf numFmtId="0" fontId="163" fillId="4" borderId="11" xfId="0" applyFont="1" applyFill="1" applyBorder="1" applyAlignment="1">
      <alignment horizontal="center"/>
    </xf>
    <xf numFmtId="0" fontId="163" fillId="2" borderId="19" xfId="0" applyFont="1" applyFill="1" applyBorder="1"/>
    <xf numFmtId="0" fontId="163" fillId="2" borderId="6" xfId="0" applyFont="1" applyFill="1" applyBorder="1" applyAlignment="1">
      <alignment horizontal="center"/>
    </xf>
    <xf numFmtId="2" fontId="31" fillId="3" borderId="13" xfId="0" applyNumberFormat="1" applyFont="1" applyFill="1" applyBorder="1" applyAlignment="1">
      <alignment horizontal="right"/>
    </xf>
    <xf numFmtId="2" fontId="150" fillId="0" borderId="13" xfId="0" applyNumberFormat="1" applyFont="1" applyBorder="1" applyAlignment="1">
      <alignment horizontal="right"/>
    </xf>
    <xf numFmtId="49" fontId="11" fillId="32" borderId="5" xfId="0" applyNumberFormat="1" applyFont="1" applyFill="1" applyBorder="1"/>
    <xf numFmtId="49" fontId="17" fillId="40" borderId="12" xfId="0" applyNumberFormat="1" applyFont="1" applyFill="1" applyBorder="1"/>
    <xf numFmtId="49" fontId="11" fillId="40" borderId="5" xfId="0" applyNumberFormat="1" applyFont="1" applyFill="1" applyBorder="1"/>
    <xf numFmtId="49" fontId="17" fillId="40" borderId="2" xfId="0" applyNumberFormat="1" applyFont="1" applyFill="1" applyBorder="1"/>
    <xf numFmtId="0" fontId="17" fillId="3" borderId="55" xfId="0" applyFont="1" applyFill="1" applyBorder="1" applyAlignment="1"/>
    <xf numFmtId="49" fontId="17" fillId="32" borderId="7" xfId="0" applyNumberFormat="1" applyFont="1" applyFill="1" applyBorder="1"/>
    <xf numFmtId="49" fontId="11" fillId="32" borderId="34" xfId="0" applyNumberFormat="1" applyFont="1" applyFill="1" applyBorder="1"/>
    <xf numFmtId="49" fontId="11" fillId="32" borderId="30" xfId="0" applyNumberFormat="1" applyFont="1" applyFill="1" applyBorder="1"/>
    <xf numFmtId="0" fontId="2" fillId="3" borderId="12" xfId="0" applyFont="1" applyFill="1" applyBorder="1" applyAlignment="1">
      <alignment horizontal="center"/>
    </xf>
    <xf numFmtId="1" fontId="59" fillId="3" borderId="35" xfId="0" applyNumberFormat="1" applyFont="1" applyFill="1" applyBorder="1"/>
    <xf numFmtId="2" fontId="38" fillId="3" borderId="13" xfId="0" applyNumberFormat="1" applyFont="1" applyFill="1" applyBorder="1" applyAlignment="1">
      <alignment horizontal="right"/>
    </xf>
    <xf numFmtId="1" fontId="51" fillId="0" borderId="35" xfId="0" applyNumberFormat="1" applyFont="1" applyBorder="1"/>
    <xf numFmtId="2" fontId="32" fillId="0" borderId="13" xfId="0" applyNumberFormat="1" applyFont="1" applyBorder="1"/>
    <xf numFmtId="49" fontId="11" fillId="32" borderId="76" xfId="0" applyNumberFormat="1" applyFont="1" applyFill="1" applyBorder="1"/>
    <xf numFmtId="0" fontId="15" fillId="2" borderId="12" xfId="0" applyFont="1" applyFill="1" applyBorder="1" applyAlignment="1">
      <alignment horizontal="center"/>
    </xf>
    <xf numFmtId="0" fontId="13" fillId="13" borderId="35" xfId="0" applyFont="1" applyFill="1" applyBorder="1"/>
    <xf numFmtId="0" fontId="13" fillId="13" borderId="35" xfId="0" applyFont="1" applyFill="1" applyBorder="1" applyAlignment="1">
      <alignment horizontal="center"/>
    </xf>
    <xf numFmtId="0" fontId="15" fillId="13" borderId="35" xfId="0" applyFont="1" applyFill="1" applyBorder="1" applyAlignment="1">
      <alignment horizontal="center"/>
    </xf>
    <xf numFmtId="2" fontId="29" fillId="3" borderId="35" xfId="0" applyNumberFormat="1" applyFont="1" applyFill="1" applyBorder="1" applyAlignment="1">
      <alignment horizontal="right"/>
    </xf>
    <xf numFmtId="0" fontId="7" fillId="7" borderId="35" xfId="0" applyFont="1" applyFill="1" applyBorder="1"/>
    <xf numFmtId="0" fontId="5" fillId="7" borderId="47" xfId="0" applyFont="1" applyFill="1" applyBorder="1"/>
    <xf numFmtId="2" fontId="29" fillId="7" borderId="13" xfId="0" applyNumberFormat="1" applyFont="1" applyFill="1" applyBorder="1" applyAlignment="1">
      <alignment horizontal="right"/>
    </xf>
    <xf numFmtId="0" fontId="11" fillId="41" borderId="12" xfId="0" applyFont="1" applyFill="1" applyBorder="1"/>
    <xf numFmtId="0" fontId="17" fillId="41" borderId="35" xfId="0" applyFont="1" applyFill="1" applyBorder="1" applyAlignment="1">
      <alignment horizontal="center"/>
    </xf>
    <xf numFmtId="0" fontId="17" fillId="41" borderId="46" xfId="0" applyFont="1" applyFill="1" applyBorder="1" applyAlignment="1">
      <alignment horizontal="center"/>
    </xf>
    <xf numFmtId="0" fontId="11" fillId="41" borderId="50" xfId="0" applyFont="1" applyFill="1" applyBorder="1"/>
    <xf numFmtId="0" fontId="11" fillId="41" borderId="11" xfId="0" applyFont="1" applyFill="1" applyBorder="1" applyAlignment="1">
      <alignment horizontal="center"/>
    </xf>
    <xf numFmtId="0" fontId="11" fillId="41" borderId="47" xfId="0" applyFont="1" applyFill="1" applyBorder="1"/>
    <xf numFmtId="0" fontId="17" fillId="41" borderId="11" xfId="0" applyFont="1" applyFill="1" applyBorder="1" applyAlignment="1">
      <alignment horizontal="center"/>
    </xf>
    <xf numFmtId="0" fontId="17" fillId="41" borderId="12" xfId="0" applyFont="1" applyFill="1" applyBorder="1" applyAlignment="1">
      <alignment horizontal="center"/>
    </xf>
    <xf numFmtId="0" fontId="2" fillId="41" borderId="13" xfId="0" applyFont="1" applyFill="1" applyBorder="1" applyAlignment="1">
      <alignment horizontal="center"/>
    </xf>
    <xf numFmtId="0" fontId="17" fillId="41" borderId="43" xfId="0" applyFont="1" applyFill="1" applyBorder="1"/>
    <xf numFmtId="0" fontId="31" fillId="41" borderId="11" xfId="0" applyFont="1" applyFill="1" applyBorder="1" applyAlignment="1">
      <alignment horizontal="center"/>
    </xf>
    <xf numFmtId="0" fontId="11" fillId="41" borderId="19" xfId="0" applyFont="1" applyFill="1" applyBorder="1"/>
    <xf numFmtId="0" fontId="13" fillId="41" borderId="47" xfId="0" applyFont="1" applyFill="1" applyBorder="1"/>
    <xf numFmtId="0" fontId="13" fillId="41" borderId="11" xfId="0" applyFont="1" applyFill="1" applyBorder="1" applyAlignment="1">
      <alignment horizontal="center"/>
    </xf>
    <xf numFmtId="0" fontId="11" fillId="41" borderId="35" xfId="0" applyFont="1" applyFill="1" applyBorder="1"/>
    <xf numFmtId="0" fontId="17" fillId="41" borderId="7" xfId="0" applyFont="1" applyFill="1" applyBorder="1" applyAlignment="1">
      <alignment horizontal="center"/>
    </xf>
    <xf numFmtId="0" fontId="17" fillId="41" borderId="8" xfId="0" applyFont="1" applyFill="1" applyBorder="1" applyAlignment="1">
      <alignment horizontal="center"/>
    </xf>
    <xf numFmtId="0" fontId="11" fillId="41" borderId="55" xfId="0" applyFont="1" applyFill="1" applyBorder="1"/>
    <xf numFmtId="0" fontId="11" fillId="41" borderId="6" xfId="0" applyFont="1" applyFill="1" applyBorder="1" applyAlignment="1">
      <alignment horizontal="center"/>
    </xf>
    <xf numFmtId="0" fontId="13" fillId="41" borderId="6" xfId="0" applyFont="1" applyFill="1" applyBorder="1" applyAlignment="1">
      <alignment horizontal="center"/>
    </xf>
    <xf numFmtId="0" fontId="17" fillId="41" borderId="34" xfId="0" applyFont="1" applyFill="1" applyBorder="1" applyAlignment="1">
      <alignment horizontal="center"/>
    </xf>
    <xf numFmtId="0" fontId="17" fillId="41" borderId="47" xfId="0" applyFont="1" applyFill="1" applyBorder="1"/>
    <xf numFmtId="0" fontId="7" fillId="41" borderId="11" xfId="0" applyFont="1" applyFill="1" applyBorder="1" applyAlignment="1">
      <alignment horizontal="center"/>
    </xf>
    <xf numFmtId="0" fontId="17" fillId="41" borderId="13" xfId="0" applyFont="1" applyFill="1" applyBorder="1" applyAlignment="1">
      <alignment horizontal="center"/>
    </xf>
    <xf numFmtId="0" fontId="11" fillId="41" borderId="2" xfId="0" applyFont="1" applyFill="1" applyBorder="1"/>
    <xf numFmtId="0" fontId="17" fillId="41" borderId="37" xfId="0" applyFont="1" applyFill="1" applyBorder="1" applyAlignment="1">
      <alignment horizontal="center"/>
    </xf>
    <xf numFmtId="0" fontId="17" fillId="41" borderId="25" xfId="0" applyFont="1" applyFill="1" applyBorder="1" applyAlignment="1">
      <alignment horizontal="center"/>
    </xf>
    <xf numFmtId="0" fontId="17" fillId="41" borderId="65" xfId="0" applyFont="1" applyFill="1" applyBorder="1"/>
    <xf numFmtId="0" fontId="17" fillId="41" borderId="24" xfId="0" applyFont="1" applyFill="1" applyBorder="1" applyAlignment="1">
      <alignment horizontal="center"/>
    </xf>
    <xf numFmtId="49" fontId="11" fillId="41" borderId="35" xfId="0" applyNumberFormat="1" applyFont="1" applyFill="1" applyBorder="1"/>
    <xf numFmtId="1" fontId="31" fillId="41" borderId="35" xfId="0" applyNumberFormat="1" applyFont="1" applyFill="1" applyBorder="1"/>
    <xf numFmtId="0" fontId="11" fillId="41" borderId="34" xfId="0" applyFont="1" applyFill="1" applyBorder="1" applyAlignment="1">
      <alignment horizontal="center"/>
    </xf>
    <xf numFmtId="2" fontId="32" fillId="41" borderId="13" xfId="0" applyNumberFormat="1" applyFont="1" applyFill="1" applyBorder="1" applyAlignment="1">
      <alignment horizontal="right"/>
    </xf>
    <xf numFmtId="0" fontId="17" fillId="41" borderId="35" xfId="0" applyFont="1" applyFill="1" applyBorder="1"/>
    <xf numFmtId="49" fontId="17" fillId="41" borderId="35" xfId="0" applyNumberFormat="1" applyFont="1" applyFill="1" applyBorder="1"/>
    <xf numFmtId="0" fontId="11" fillId="41" borderId="35" xfId="0" applyFont="1" applyFill="1" applyBorder="1" applyAlignment="1">
      <alignment horizontal="center"/>
    </xf>
    <xf numFmtId="1" fontId="51" fillId="41" borderId="35" xfId="0" applyNumberFormat="1" applyFont="1" applyFill="1" applyBorder="1"/>
    <xf numFmtId="0" fontId="13" fillId="41" borderId="35" xfId="0" applyFont="1" applyFill="1" applyBorder="1" applyAlignment="1">
      <alignment horizontal="center"/>
    </xf>
    <xf numFmtId="0" fontId="11" fillId="41" borderId="34" xfId="0" applyFont="1" applyFill="1" applyBorder="1"/>
    <xf numFmtId="49" fontId="11" fillId="41" borderId="34" xfId="0" applyNumberFormat="1" applyFont="1" applyFill="1" applyBorder="1"/>
    <xf numFmtId="1" fontId="31" fillId="41" borderId="34" xfId="0" applyNumberFormat="1" applyFont="1" applyFill="1" applyBorder="1"/>
    <xf numFmtId="2" fontId="32" fillId="41" borderId="8" xfId="0" applyNumberFormat="1" applyFont="1" applyFill="1" applyBorder="1" applyAlignment="1">
      <alignment horizontal="right"/>
    </xf>
    <xf numFmtId="49" fontId="7" fillId="41" borderId="35" xfId="0" applyNumberFormat="1" applyFont="1" applyFill="1" applyBorder="1"/>
    <xf numFmtId="0" fontId="17" fillId="41" borderId="37" xfId="0" applyFont="1" applyFill="1" applyBorder="1"/>
    <xf numFmtId="49" fontId="17" fillId="41" borderId="37" xfId="0" applyNumberFormat="1" applyFont="1" applyFill="1" applyBorder="1"/>
    <xf numFmtId="1" fontId="31" fillId="41" borderId="37" xfId="0" applyNumberFormat="1" applyFont="1" applyFill="1" applyBorder="1"/>
    <xf numFmtId="14" fontId="14" fillId="2" borderId="50" xfId="0" applyNumberFormat="1" applyFont="1" applyFill="1" applyBorder="1"/>
    <xf numFmtId="49" fontId="11" fillId="34" borderId="5" xfId="0" applyNumberFormat="1" applyFont="1" applyFill="1" applyBorder="1"/>
    <xf numFmtId="2" fontId="69" fillId="35" borderId="13" xfId="0" applyNumberFormat="1" applyFont="1" applyFill="1" applyBorder="1" applyAlignment="1">
      <alignment horizontal="right"/>
    </xf>
    <xf numFmtId="0" fontId="12" fillId="32" borderId="13" xfId="0" applyFont="1" applyFill="1" applyBorder="1" applyAlignment="1">
      <alignment horizontal="left"/>
    </xf>
    <xf numFmtId="0" fontId="2" fillId="35" borderId="13" xfId="0" applyFont="1" applyFill="1" applyBorder="1" applyAlignment="1">
      <alignment horizontal="left"/>
    </xf>
    <xf numFmtId="0" fontId="17" fillId="32" borderId="13" xfId="0" applyFont="1" applyFill="1" applyBorder="1" applyAlignment="1">
      <alignment horizontal="left"/>
    </xf>
    <xf numFmtId="0" fontId="7" fillId="3" borderId="34" xfId="0" applyFont="1" applyFill="1" applyBorder="1" applyAlignment="1">
      <alignment horizontal="center"/>
    </xf>
    <xf numFmtId="0" fontId="7" fillId="35" borderId="13" xfId="0" applyFont="1" applyFill="1" applyBorder="1" applyAlignment="1">
      <alignment horizontal="left"/>
    </xf>
    <xf numFmtId="0" fontId="11" fillId="31" borderId="47" xfId="0" applyFont="1" applyFill="1" applyBorder="1"/>
    <xf numFmtId="2" fontId="73" fillId="3" borderId="35" xfId="0" applyNumberFormat="1" applyFont="1" applyFill="1" applyBorder="1" applyAlignment="1">
      <alignment horizontal="right"/>
    </xf>
    <xf numFmtId="1" fontId="27" fillId="3" borderId="35" xfId="0" applyNumberFormat="1" applyFont="1" applyFill="1" applyBorder="1"/>
    <xf numFmtId="2" fontId="163" fillId="3" borderId="35" xfId="0" applyNumberFormat="1" applyFont="1" applyFill="1" applyBorder="1" applyAlignment="1">
      <alignment horizontal="right"/>
    </xf>
    <xf numFmtId="0" fontId="167" fillId="0" borderId="12" xfId="0" applyFont="1" applyBorder="1"/>
    <xf numFmtId="0" fontId="168" fillId="0" borderId="35" xfId="0" applyFont="1" applyBorder="1" applyAlignment="1">
      <alignment horizontal="center"/>
    </xf>
    <xf numFmtId="0" fontId="168" fillId="0" borderId="47" xfId="0" applyFont="1" applyBorder="1" applyAlignment="1">
      <alignment horizontal="left"/>
    </xf>
    <xf numFmtId="0" fontId="169" fillId="2" borderId="43" xfId="0" applyFont="1" applyFill="1" applyBorder="1"/>
    <xf numFmtId="0" fontId="169" fillId="2" borderId="11" xfId="0" applyFont="1" applyFill="1" applyBorder="1" applyAlignment="1">
      <alignment horizontal="center"/>
    </xf>
    <xf numFmtId="49" fontId="170" fillId="3" borderId="12" xfId="0" applyNumberFormat="1" applyFont="1" applyFill="1" applyBorder="1"/>
    <xf numFmtId="0" fontId="167" fillId="3" borderId="35" xfId="0" applyFont="1" applyFill="1" applyBorder="1"/>
    <xf numFmtId="49" fontId="168" fillId="3" borderId="35" xfId="0" applyNumberFormat="1" applyFont="1" applyFill="1" applyBorder="1" applyAlignment="1">
      <alignment horizontal="left"/>
    </xf>
    <xf numFmtId="1" fontId="167" fillId="3" borderId="35" xfId="0" applyNumberFormat="1" applyFont="1" applyFill="1" applyBorder="1" applyAlignment="1">
      <alignment horizontal="right"/>
    </xf>
    <xf numFmtId="2" fontId="169" fillId="3" borderId="13" xfId="0" applyNumberFormat="1" applyFont="1" applyFill="1" applyBorder="1"/>
    <xf numFmtId="0" fontId="167" fillId="0" borderId="0" xfId="0" applyFont="1"/>
    <xf numFmtId="49" fontId="170" fillId="0" borderId="12" xfId="0" applyNumberFormat="1" applyFont="1" applyBorder="1"/>
    <xf numFmtId="0" fontId="167" fillId="0" borderId="35" xfId="0" applyFont="1" applyBorder="1"/>
    <xf numFmtId="49" fontId="168" fillId="0" borderId="35" xfId="0" applyNumberFormat="1" applyFont="1" applyBorder="1" applyAlignment="1">
      <alignment horizontal="left"/>
    </xf>
    <xf numFmtId="1" fontId="171" fillId="0" borderId="13" xfId="0" applyNumberFormat="1" applyFont="1" applyBorder="1" applyAlignment="1">
      <alignment horizontal="right"/>
    </xf>
    <xf numFmtId="2" fontId="172" fillId="0" borderId="13" xfId="2" applyNumberFormat="1" applyFont="1" applyBorder="1" applyAlignment="1" applyProtection="1"/>
    <xf numFmtId="1" fontId="167" fillId="0" borderId="13" xfId="0" applyNumberFormat="1" applyFont="1" applyBorder="1" applyAlignment="1">
      <alignment horizontal="right"/>
    </xf>
    <xf numFmtId="2" fontId="169" fillId="0" borderId="13" xfId="0" applyNumberFormat="1" applyFont="1" applyBorder="1"/>
    <xf numFmtId="2" fontId="49" fillId="0" borderId="13" xfId="0" applyNumberFormat="1" applyFont="1" applyBorder="1"/>
    <xf numFmtId="0" fontId="5" fillId="2" borderId="43" xfId="0" applyFont="1" applyFill="1" applyBorder="1"/>
    <xf numFmtId="0" fontId="60" fillId="2" borderId="43" xfId="0" applyFont="1" applyFill="1" applyBorder="1"/>
    <xf numFmtId="0" fontId="17" fillId="42" borderId="35" xfId="0" applyFont="1" applyFill="1" applyBorder="1"/>
    <xf numFmtId="0" fontId="7" fillId="42" borderId="35" xfId="0" applyFont="1" applyFill="1" applyBorder="1"/>
    <xf numFmtId="0" fontId="17" fillId="42" borderId="69" xfId="0" applyFont="1" applyFill="1" applyBorder="1"/>
    <xf numFmtId="0" fontId="3" fillId="42" borderId="35" xfId="0" applyFont="1" applyFill="1" applyBorder="1"/>
    <xf numFmtId="0" fontId="9" fillId="42" borderId="6" xfId="0" applyFont="1" applyFill="1" applyBorder="1"/>
    <xf numFmtId="0" fontId="121" fillId="42" borderId="35" xfId="0" applyFont="1" applyFill="1" applyBorder="1"/>
    <xf numFmtId="0" fontId="121" fillId="42" borderId="11" xfId="0" applyFont="1" applyFill="1" applyBorder="1"/>
    <xf numFmtId="0" fontId="121" fillId="42" borderId="69" xfId="0" applyFont="1" applyFill="1" applyBorder="1"/>
    <xf numFmtId="0" fontId="17" fillId="43" borderId="35" xfId="0" applyFont="1" applyFill="1" applyBorder="1"/>
    <xf numFmtId="0" fontId="17" fillId="43" borderId="9" xfId="0" applyFont="1" applyFill="1" applyBorder="1" applyAlignment="1">
      <alignment horizontal="center"/>
    </xf>
    <xf numFmtId="0" fontId="7" fillId="43" borderId="9" xfId="0" applyFont="1" applyFill="1" applyBorder="1" applyAlignment="1">
      <alignment horizontal="center"/>
    </xf>
    <xf numFmtId="49" fontId="11" fillId="43" borderId="9" xfId="0" applyNumberFormat="1" applyFont="1" applyFill="1" applyBorder="1" applyAlignment="1">
      <alignment horizontal="center"/>
    </xf>
    <xf numFmtId="49" fontId="17" fillId="43" borderId="9" xfId="0" applyNumberFormat="1" applyFont="1" applyFill="1" applyBorder="1" applyAlignment="1">
      <alignment horizontal="center"/>
    </xf>
    <xf numFmtId="49" fontId="17" fillId="43" borderId="46" xfId="0" applyNumberFormat="1" applyFont="1" applyFill="1" applyBorder="1" applyAlignment="1">
      <alignment horizontal="center"/>
    </xf>
    <xf numFmtId="0" fontId="78" fillId="43" borderId="0" xfId="0" applyFont="1" applyFill="1"/>
    <xf numFmtId="0" fontId="11" fillId="43" borderId="9" xfId="0" applyFont="1" applyFill="1" applyBorder="1" applyAlignment="1">
      <alignment horizontal="center"/>
    </xf>
    <xf numFmtId="0" fontId="11" fillId="43" borderId="3" xfId="0" applyFont="1" applyFill="1" applyBorder="1" applyAlignment="1">
      <alignment horizontal="center"/>
    </xf>
    <xf numFmtId="0" fontId="121" fillId="43" borderId="35" xfId="0" applyFont="1" applyFill="1" applyBorder="1"/>
    <xf numFmtId="0" fontId="121" fillId="43" borderId="11" xfId="0" applyFont="1" applyFill="1" applyBorder="1"/>
    <xf numFmtId="0" fontId="2" fillId="43" borderId="35" xfId="0" applyFont="1" applyFill="1" applyBorder="1"/>
    <xf numFmtId="0" fontId="2" fillId="43" borderId="11" xfId="0" applyFont="1" applyFill="1" applyBorder="1"/>
    <xf numFmtId="0" fontId="126" fillId="43" borderId="0" xfId="0" applyFont="1" applyFill="1"/>
    <xf numFmtId="0" fontId="127" fillId="43" borderId="11" xfId="0" applyFont="1" applyFill="1" applyBorder="1"/>
    <xf numFmtId="0" fontId="12" fillId="0" borderId="7" xfId="0" applyFont="1" applyBorder="1"/>
    <xf numFmtId="0" fontId="65" fillId="0" borderId="8" xfId="0" applyFont="1" applyBorder="1"/>
    <xf numFmtId="0" fontId="65" fillId="0" borderId="13" xfId="0" applyFont="1" applyBorder="1"/>
    <xf numFmtId="0" fontId="2" fillId="35" borderId="35" xfId="0" applyFont="1" applyFill="1" applyBorder="1"/>
    <xf numFmtId="0" fontId="127" fillId="35" borderId="35" xfId="0" applyFont="1" applyFill="1" applyBorder="1"/>
    <xf numFmtId="0" fontId="75" fillId="35" borderId="35" xfId="0" applyFont="1" applyFill="1" applyBorder="1"/>
    <xf numFmtId="0" fontId="147" fillId="44" borderId="12" xfId="0" applyFont="1" applyFill="1" applyBorder="1" applyAlignment="1">
      <alignment horizontal="left"/>
    </xf>
    <xf numFmtId="0" fontId="147" fillId="44" borderId="35" xfId="0" applyFont="1" applyFill="1" applyBorder="1"/>
    <xf numFmtId="0" fontId="75" fillId="44" borderId="35" xfId="0" applyFont="1" applyFill="1" applyBorder="1"/>
    <xf numFmtId="0" fontId="121" fillId="44" borderId="35" xfId="0" applyFont="1" applyFill="1" applyBorder="1"/>
    <xf numFmtId="0" fontId="127" fillId="44" borderId="35" xfId="0" applyFont="1" applyFill="1" applyBorder="1"/>
    <xf numFmtId="0" fontId="11" fillId="44" borderId="35" xfId="0" applyFont="1" applyFill="1" applyBorder="1"/>
    <xf numFmtId="0" fontId="78" fillId="44" borderId="35" xfId="0" applyFont="1" applyFill="1" applyBorder="1"/>
    <xf numFmtId="0" fontId="11" fillId="31" borderId="12" xfId="0" applyFont="1" applyFill="1" applyBorder="1" applyAlignment="1">
      <alignment horizontal="left"/>
    </xf>
    <xf numFmtId="0" fontId="15" fillId="31" borderId="7" xfId="0" applyFont="1" applyFill="1" applyBorder="1" applyAlignment="1">
      <alignment horizontal="left"/>
    </xf>
    <xf numFmtId="0" fontId="12" fillId="31" borderId="12" xfId="0" applyFont="1" applyFill="1" applyBorder="1" applyAlignment="1">
      <alignment horizontal="left"/>
    </xf>
    <xf numFmtId="0" fontId="75" fillId="31" borderId="35" xfId="0" applyFont="1" applyFill="1" applyBorder="1"/>
    <xf numFmtId="0" fontId="76" fillId="31" borderId="35" xfId="0" applyFont="1" applyFill="1" applyBorder="1"/>
    <xf numFmtId="0" fontId="76" fillId="35" borderId="35" xfId="0" applyFont="1" applyFill="1" applyBorder="1"/>
    <xf numFmtId="0" fontId="143" fillId="35" borderId="35" xfId="0" applyFont="1" applyFill="1" applyBorder="1"/>
    <xf numFmtId="0" fontId="144" fillId="45" borderId="35" xfId="0" applyFont="1" applyFill="1" applyBorder="1"/>
    <xf numFmtId="0" fontId="127" fillId="45" borderId="35" xfId="0" applyFont="1" applyFill="1" applyBorder="1"/>
    <xf numFmtId="0" fontId="121" fillId="45" borderId="35" xfId="0" applyFont="1" applyFill="1" applyBorder="1"/>
    <xf numFmtId="0" fontId="3" fillId="45" borderId="1" xfId="0" applyFont="1" applyFill="1" applyBorder="1"/>
    <xf numFmtId="0" fontId="9" fillId="45" borderId="24" xfId="0" applyFont="1" applyFill="1" applyBorder="1"/>
    <xf numFmtId="0" fontId="76" fillId="45" borderId="35" xfId="0" applyFont="1" applyFill="1" applyBorder="1"/>
    <xf numFmtId="0" fontId="76" fillId="45" borderId="0" xfId="0" applyFont="1" applyFill="1"/>
    <xf numFmtId="0" fontId="65" fillId="3" borderId="12" xfId="0" applyFont="1" applyFill="1" applyBorder="1" applyAlignment="1">
      <alignment horizontal="left"/>
    </xf>
    <xf numFmtId="0" fontId="65" fillId="3" borderId="12" xfId="0" applyFont="1" applyFill="1" applyBorder="1"/>
    <xf numFmtId="0" fontId="11" fillId="45" borderId="12" xfId="4" applyFont="1" applyFill="1" applyBorder="1"/>
    <xf numFmtId="0" fontId="11" fillId="45" borderId="7" xfId="4" applyFont="1" applyFill="1" applyBorder="1"/>
    <xf numFmtId="0" fontId="65" fillId="45" borderId="12" xfId="4" applyFont="1" applyFill="1" applyBorder="1"/>
    <xf numFmtId="0" fontId="65" fillId="45" borderId="11" xfId="0" applyFont="1" applyFill="1" applyBorder="1"/>
    <xf numFmtId="0" fontId="65" fillId="45" borderId="7" xfId="4" applyFont="1" applyFill="1" applyBorder="1"/>
    <xf numFmtId="0" fontId="2" fillId="45" borderId="7" xfId="4" applyFont="1" applyFill="1" applyBorder="1"/>
    <xf numFmtId="0" fontId="2" fillId="45" borderId="11" xfId="0" applyFont="1" applyFill="1" applyBorder="1"/>
    <xf numFmtId="0" fontId="10" fillId="46" borderId="35" xfId="4" applyFont="1" applyFill="1" applyBorder="1" applyAlignment="1">
      <alignment horizontal="left"/>
    </xf>
    <xf numFmtId="0" fontId="12" fillId="46" borderId="35" xfId="4" applyFont="1" applyFill="1" applyBorder="1" applyAlignment="1">
      <alignment horizontal="left"/>
    </xf>
    <xf numFmtId="0" fontId="12" fillId="46" borderId="64" xfId="0" applyFont="1" applyFill="1" applyBorder="1"/>
    <xf numFmtId="0" fontId="12" fillId="46" borderId="11" xfId="0" applyFont="1" applyFill="1" applyBorder="1"/>
    <xf numFmtId="0" fontId="152" fillId="3" borderId="12" xfId="4" applyFont="1" applyFill="1" applyBorder="1" applyAlignment="1">
      <alignment horizontal="left"/>
    </xf>
    <xf numFmtId="0" fontId="153" fillId="0" borderId="35" xfId="0" applyFont="1" applyBorder="1"/>
    <xf numFmtId="0" fontId="149" fillId="0" borderId="11" xfId="0" applyFont="1" applyBorder="1"/>
    <xf numFmtId="0" fontId="149" fillId="0" borderId="12" xfId="0" applyFont="1" applyBorder="1"/>
    <xf numFmtId="0" fontId="149" fillId="0" borderId="13" xfId="0" applyFont="1" applyBorder="1"/>
    <xf numFmtId="0" fontId="136" fillId="46" borderId="35" xfId="0" applyFont="1" applyFill="1" applyBorder="1"/>
    <xf numFmtId="0" fontId="9" fillId="46" borderId="11" xfId="0" applyFont="1" applyFill="1" applyBorder="1"/>
    <xf numFmtId="0" fontId="11" fillId="47" borderId="35" xfId="0" applyFont="1" applyFill="1" applyBorder="1"/>
    <xf numFmtId="0" fontId="136" fillId="47" borderId="35" xfId="0" applyFont="1" applyFill="1" applyBorder="1"/>
    <xf numFmtId="0" fontId="9" fillId="47" borderId="11" xfId="0" applyFont="1" applyFill="1" applyBorder="1"/>
    <xf numFmtId="0" fontId="12" fillId="47" borderId="35" xfId="0" applyFont="1" applyFill="1" applyBorder="1"/>
    <xf numFmtId="0" fontId="12" fillId="47" borderId="11" xfId="0" applyFont="1" applyFill="1" applyBorder="1"/>
    <xf numFmtId="0" fontId="17" fillId="47" borderId="5" xfId="4" applyFont="1" applyFill="1" applyBorder="1" applyAlignment="1">
      <alignment horizontal="left"/>
    </xf>
    <xf numFmtId="0" fontId="12" fillId="47" borderId="5" xfId="4" applyFont="1" applyFill="1" applyBorder="1" applyAlignment="1">
      <alignment horizontal="left"/>
    </xf>
    <xf numFmtId="0" fontId="17" fillId="47" borderId="64" xfId="0" applyFont="1" applyFill="1" applyBorder="1"/>
    <xf numFmtId="0" fontId="151" fillId="46" borderId="35" xfId="0" applyFont="1" applyFill="1" applyBorder="1"/>
    <xf numFmtId="0" fontId="151" fillId="0" borderId="35" xfId="0" applyFont="1" applyBorder="1"/>
    <xf numFmtId="0" fontId="148" fillId="3" borderId="12" xfId="4" applyFont="1" applyFill="1" applyBorder="1" applyAlignment="1">
      <alignment horizontal="left"/>
    </xf>
    <xf numFmtId="0" fontId="148" fillId="3" borderId="7" xfId="4" applyFont="1" applyFill="1" applyBorder="1" applyAlignment="1">
      <alignment horizontal="left"/>
    </xf>
    <xf numFmtId="0" fontId="75" fillId="0" borderId="35" xfId="0" applyFont="1" applyBorder="1"/>
    <xf numFmtId="0" fontId="17" fillId="3" borderId="34" xfId="0" applyFont="1" applyFill="1" applyBorder="1"/>
    <xf numFmtId="0" fontId="17" fillId="3" borderId="62" xfId="0" applyFont="1" applyFill="1" applyBorder="1" applyAlignment="1">
      <alignment horizontal="left"/>
    </xf>
    <xf numFmtId="0" fontId="12" fillId="3" borderId="0" xfId="0" applyFont="1" applyFill="1" applyBorder="1" applyAlignment="1">
      <alignment horizontal="left"/>
    </xf>
    <xf numFmtId="49" fontId="11" fillId="3" borderId="0" xfId="0" applyNumberFormat="1" applyFont="1" applyFill="1" applyBorder="1" applyAlignment="1">
      <alignment horizontal="center"/>
    </xf>
    <xf numFmtId="0" fontId="4" fillId="0" borderId="35" xfId="0" applyFont="1" applyBorder="1"/>
    <xf numFmtId="0" fontId="15" fillId="0" borderId="35" xfId="0" applyFont="1" applyBorder="1" applyAlignment="1">
      <alignment horizontal="center"/>
    </xf>
    <xf numFmtId="0" fontId="79" fillId="31" borderId="35" xfId="0" applyFont="1" applyFill="1" applyBorder="1"/>
    <xf numFmtId="0" fontId="155" fillId="43" borderId="35" xfId="0" applyFont="1" applyFill="1" applyBorder="1"/>
    <xf numFmtId="0" fontId="0" fillId="43" borderId="35" xfId="0" applyFill="1" applyBorder="1"/>
    <xf numFmtId="0" fontId="156" fillId="3" borderId="35" xfId="0" applyFont="1" applyFill="1" applyBorder="1"/>
    <xf numFmtId="0" fontId="11" fillId="0" borderId="1" xfId="0" applyFont="1" applyBorder="1" applyAlignment="1">
      <alignment horizontal="center"/>
    </xf>
    <xf numFmtId="0" fontId="11" fillId="41" borderId="7" xfId="0" applyFont="1" applyFill="1" applyBorder="1"/>
    <xf numFmtId="0" fontId="11" fillId="41" borderId="8" xfId="0" applyFont="1" applyFill="1" applyBorder="1" applyAlignment="1">
      <alignment horizontal="center"/>
    </xf>
    <xf numFmtId="0" fontId="11" fillId="41" borderId="13" xfId="0" applyFont="1" applyFill="1" applyBorder="1" applyAlignment="1">
      <alignment horizontal="center"/>
    </xf>
    <xf numFmtId="0" fontId="9" fillId="41" borderId="10" xfId="0" applyFont="1" applyFill="1" applyBorder="1"/>
    <xf numFmtId="0" fontId="9" fillId="41" borderId="11" xfId="0" applyFont="1" applyFill="1" applyBorder="1"/>
    <xf numFmtId="0" fontId="9" fillId="41" borderId="12" xfId="0" applyFont="1" applyFill="1" applyBorder="1"/>
    <xf numFmtId="0" fontId="9" fillId="41" borderId="13" xfId="0" applyFont="1" applyFill="1" applyBorder="1"/>
    <xf numFmtId="0" fontId="9" fillId="41" borderId="10" xfId="0" applyFont="1" applyFill="1" applyBorder="1" applyAlignment="1">
      <alignment horizontal="center"/>
    </xf>
    <xf numFmtId="0" fontId="3" fillId="41" borderId="11" xfId="0" applyFont="1" applyFill="1" applyBorder="1"/>
    <xf numFmtId="0" fontId="2" fillId="0" borderId="64" xfId="0" applyFont="1" applyBorder="1"/>
    <xf numFmtId="0" fontId="2" fillId="41" borderId="7" xfId="0" applyFont="1" applyFill="1" applyBorder="1"/>
    <xf numFmtId="0" fontId="2" fillId="41" borderId="64" xfId="0" applyFont="1" applyFill="1" applyBorder="1"/>
    <xf numFmtId="0" fontId="9" fillId="41" borderId="0" xfId="0" applyFont="1" applyFill="1"/>
    <xf numFmtId="0" fontId="2" fillId="41" borderId="11" xfId="0" applyFont="1" applyFill="1" applyBorder="1"/>
    <xf numFmtId="0" fontId="3" fillId="41" borderId="7" xfId="0" applyFont="1" applyFill="1" applyBorder="1"/>
    <xf numFmtId="0" fontId="2" fillId="3" borderId="7" xfId="0" applyFont="1" applyFill="1" applyBorder="1"/>
    <xf numFmtId="0" fontId="3" fillId="3" borderId="7" xfId="0" applyFont="1" applyFill="1" applyBorder="1"/>
    <xf numFmtId="0" fontId="11" fillId="41" borderId="10" xfId="0" applyFont="1" applyFill="1" applyBorder="1" applyAlignment="1">
      <alignment horizontal="center"/>
    </xf>
    <xf numFmtId="0" fontId="11" fillId="41" borderId="5" xfId="0" applyFont="1" applyFill="1" applyBorder="1" applyAlignment="1">
      <alignment horizontal="center"/>
    </xf>
    <xf numFmtId="0" fontId="9" fillId="41" borderId="6" xfId="0" applyFont="1" applyFill="1" applyBorder="1"/>
    <xf numFmtId="0" fontId="9" fillId="41" borderId="7" xfId="0" applyFont="1" applyFill="1" applyBorder="1"/>
    <xf numFmtId="0" fontId="9" fillId="41" borderId="8" xfId="0" applyFont="1" applyFill="1" applyBorder="1"/>
    <xf numFmtId="0" fontId="9" fillId="41" borderId="5" xfId="0" applyFont="1" applyFill="1" applyBorder="1"/>
    <xf numFmtId="0" fontId="9" fillId="41" borderId="64" xfId="0" applyFont="1" applyFill="1" applyBorder="1"/>
    <xf numFmtId="0" fontId="9" fillId="41" borderId="5" xfId="0" applyFont="1" applyFill="1" applyBorder="1" applyAlignment="1">
      <alignment horizontal="center"/>
    </xf>
    <xf numFmtId="0" fontId="12" fillId="31" borderId="68" xfId="0" applyFont="1" applyFill="1" applyBorder="1" applyAlignment="1">
      <alignment horizontal="left"/>
    </xf>
    <xf numFmtId="9" fontId="11" fillId="0" borderId="35" xfId="5" applyFont="1" applyBorder="1" applyAlignment="1">
      <alignment horizontal="left"/>
    </xf>
    <xf numFmtId="0" fontId="12" fillId="31" borderId="73" xfId="0" applyFont="1" applyFill="1" applyBorder="1" applyAlignment="1">
      <alignment horizontal="left"/>
    </xf>
    <xf numFmtId="0" fontId="12" fillId="31" borderId="34" xfId="0" applyFont="1" applyFill="1" applyBorder="1"/>
    <xf numFmtId="9" fontId="11" fillId="0" borderId="69" xfId="5" applyFont="1" applyBorder="1" applyAlignment="1">
      <alignment horizontal="left"/>
    </xf>
    <xf numFmtId="0" fontId="12" fillId="31" borderId="69" xfId="0" applyFont="1" applyFill="1" applyBorder="1"/>
    <xf numFmtId="0" fontId="12" fillId="0" borderId="68" xfId="0" applyFont="1" applyBorder="1"/>
    <xf numFmtId="0" fontId="11" fillId="10" borderId="73" xfId="0" applyFont="1" applyFill="1" applyBorder="1" applyAlignment="1">
      <alignment horizontal="left"/>
    </xf>
    <xf numFmtId="0" fontId="17" fillId="10" borderId="74" xfId="0" applyFont="1" applyFill="1" applyBorder="1" applyAlignment="1">
      <alignment horizontal="center"/>
    </xf>
    <xf numFmtId="0" fontId="11" fillId="10" borderId="35" xfId="0" applyFont="1" applyFill="1" applyBorder="1" applyAlignment="1">
      <alignment horizontal="left"/>
    </xf>
    <xf numFmtId="0" fontId="7" fillId="0" borderId="15" xfId="0" applyFont="1" applyBorder="1"/>
    <xf numFmtId="0" fontId="7" fillId="0" borderId="16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31" borderId="36" xfId="0" applyFont="1" applyFill="1" applyBorder="1" applyAlignment="1">
      <alignment horizontal="center"/>
    </xf>
    <xf numFmtId="0" fontId="9" fillId="0" borderId="30" xfId="0" applyFont="1" applyBorder="1"/>
    <xf numFmtId="0" fontId="9" fillId="0" borderId="39" xfId="0" applyFont="1" applyBorder="1"/>
    <xf numFmtId="0" fontId="9" fillId="0" borderId="32" xfId="0" applyFont="1" applyBorder="1"/>
    <xf numFmtId="0" fontId="121" fillId="0" borderId="39" xfId="0" applyFont="1" applyBorder="1"/>
    <xf numFmtId="0" fontId="144" fillId="31" borderId="69" xfId="0" applyFont="1" applyFill="1" applyBorder="1"/>
    <xf numFmtId="0" fontId="127" fillId="31" borderId="69" xfId="0" applyFont="1" applyFill="1" applyBorder="1"/>
    <xf numFmtId="0" fontId="125" fillId="0" borderId="68" xfId="0" applyFont="1" applyBorder="1"/>
    <xf numFmtId="0" fontId="125" fillId="0" borderId="70" xfId="0" applyFont="1" applyBorder="1"/>
    <xf numFmtId="0" fontId="125" fillId="0" borderId="76" xfId="0" applyFont="1" applyBorder="1"/>
    <xf numFmtId="0" fontId="125" fillId="0" borderId="72" xfId="0" applyFont="1" applyBorder="1"/>
    <xf numFmtId="0" fontId="11" fillId="35" borderId="73" xfId="0" applyFont="1" applyFill="1" applyBorder="1" applyAlignment="1">
      <alignment horizontal="left"/>
    </xf>
    <xf numFmtId="0" fontId="17" fillId="35" borderId="74" xfId="0" applyFont="1" applyFill="1" applyBorder="1" applyAlignment="1">
      <alignment horizontal="center"/>
    </xf>
    <xf numFmtId="0" fontId="14" fillId="35" borderId="35" xfId="0" applyFont="1" applyFill="1" applyBorder="1" applyAlignment="1"/>
    <xf numFmtId="0" fontId="14" fillId="35" borderId="69" xfId="0" applyFont="1" applyFill="1" applyBorder="1" applyAlignment="1"/>
    <xf numFmtId="0" fontId="13" fillId="37" borderId="35" xfId="0" applyFont="1" applyFill="1" applyBorder="1" applyAlignment="1"/>
    <xf numFmtId="49" fontId="17" fillId="37" borderId="12" xfId="0" applyNumberFormat="1" applyFont="1" applyFill="1" applyBorder="1"/>
    <xf numFmtId="49" fontId="14" fillId="37" borderId="12" xfId="0" applyNumberFormat="1" applyFont="1" applyFill="1" applyBorder="1"/>
    <xf numFmtId="0" fontId="13" fillId="37" borderId="35" xfId="0" applyFont="1" applyFill="1" applyBorder="1"/>
    <xf numFmtId="0" fontId="13" fillId="37" borderId="69" xfId="0" applyFont="1" applyFill="1" applyBorder="1" applyAlignment="1"/>
    <xf numFmtId="0" fontId="13" fillId="37" borderId="69" xfId="0" applyFont="1" applyFill="1" applyBorder="1"/>
    <xf numFmtId="0" fontId="14" fillId="35" borderId="34" xfId="0" applyFont="1" applyFill="1" applyBorder="1" applyAlignment="1"/>
    <xf numFmtId="0" fontId="13" fillId="35" borderId="34" xfId="0" applyFont="1" applyFill="1" applyBorder="1"/>
    <xf numFmtId="0" fontId="13" fillId="35" borderId="69" xfId="0" applyFont="1" applyFill="1" applyBorder="1"/>
    <xf numFmtId="0" fontId="17" fillId="35" borderId="43" xfId="0" applyFont="1" applyFill="1" applyBorder="1" applyAlignment="1">
      <alignment horizontal="center"/>
    </xf>
    <xf numFmtId="0" fontId="11" fillId="35" borderId="8" xfId="0" applyFont="1" applyFill="1" applyBorder="1" applyAlignment="1">
      <alignment horizontal="center"/>
    </xf>
    <xf numFmtId="0" fontId="148" fillId="48" borderId="35" xfId="0" applyFont="1" applyFill="1" applyBorder="1"/>
    <xf numFmtId="0" fontId="75" fillId="48" borderId="35" xfId="0" applyFont="1" applyFill="1" applyBorder="1"/>
    <xf numFmtId="0" fontId="11" fillId="41" borderId="10" xfId="0" applyFont="1" applyFill="1" applyBorder="1"/>
    <xf numFmtId="0" fontId="79" fillId="41" borderId="35" xfId="0" applyFont="1" applyFill="1" applyBorder="1"/>
    <xf numFmtId="0" fontId="10" fillId="41" borderId="35" xfId="0" applyFont="1" applyFill="1" applyBorder="1"/>
    <xf numFmtId="0" fontId="11" fillId="48" borderId="35" xfId="0" applyFont="1" applyFill="1" applyBorder="1"/>
    <xf numFmtId="0" fontId="157" fillId="48" borderId="35" xfId="0" applyFont="1" applyFill="1" applyBorder="1"/>
    <xf numFmtId="0" fontId="78" fillId="48" borderId="35" xfId="0" applyFont="1" applyFill="1" applyBorder="1"/>
    <xf numFmtId="0" fontId="79" fillId="48" borderId="35" xfId="0" applyFont="1" applyFill="1" applyBorder="1"/>
    <xf numFmtId="0" fontId="14" fillId="48" borderId="35" xfId="0" applyFont="1" applyFill="1" applyBorder="1"/>
    <xf numFmtId="0" fontId="0" fillId="48" borderId="35" xfId="0" applyFill="1" applyBorder="1"/>
    <xf numFmtId="0" fontId="10" fillId="48" borderId="35" xfId="0" applyFont="1" applyFill="1" applyBorder="1"/>
    <xf numFmtId="0" fontId="78" fillId="41" borderId="35" xfId="0" applyFont="1" applyFill="1" applyBorder="1"/>
    <xf numFmtId="0" fontId="41" fillId="48" borderId="35" xfId="0" applyFont="1" applyFill="1" applyBorder="1"/>
    <xf numFmtId="49" fontId="11" fillId="35" borderId="10" xfId="0" applyNumberFormat="1" applyFont="1" applyFill="1" applyBorder="1"/>
    <xf numFmtId="49" fontId="10" fillId="35" borderId="12" xfId="0" applyNumberFormat="1" applyFont="1" applyFill="1" applyBorder="1"/>
    <xf numFmtId="49" fontId="10" fillId="35" borderId="10" xfId="0" applyNumberFormat="1" applyFont="1" applyFill="1" applyBorder="1"/>
    <xf numFmtId="2" fontId="10" fillId="0" borderId="13" xfId="0" applyNumberFormat="1" applyFont="1" applyBorder="1" applyAlignment="1">
      <alignment horizontal="right"/>
    </xf>
    <xf numFmtId="2" fontId="30" fillId="0" borderId="13" xfId="0" applyNumberFormat="1" applyFont="1" applyBorder="1"/>
    <xf numFmtId="2" fontId="14" fillId="0" borderId="13" xfId="0" applyNumberFormat="1" applyFont="1" applyBorder="1"/>
    <xf numFmtId="2" fontId="26" fillId="0" borderId="13" xfId="0" applyNumberFormat="1" applyFont="1" applyBorder="1"/>
    <xf numFmtId="2" fontId="17" fillId="0" borderId="13" xfId="0" applyNumberFormat="1" applyFont="1" applyBorder="1"/>
    <xf numFmtId="2" fontId="3" fillId="0" borderId="13" xfId="0" applyNumberFormat="1" applyFont="1" applyBorder="1"/>
    <xf numFmtId="2" fontId="30" fillId="0" borderId="32" xfId="0" applyNumberFormat="1" applyFont="1" applyBorder="1" applyAlignment="1">
      <alignment horizontal="center"/>
    </xf>
    <xf numFmtId="168" fontId="14" fillId="3" borderId="13" xfId="0" applyNumberFormat="1" applyFont="1" applyFill="1" applyBorder="1" applyAlignment="1">
      <alignment horizontal="right"/>
    </xf>
    <xf numFmtId="2" fontId="14" fillId="3" borderId="25" xfId="0" applyNumberFormat="1" applyFont="1" applyFill="1" applyBorder="1" applyAlignment="1">
      <alignment horizontal="right"/>
    </xf>
    <xf numFmtId="2" fontId="14" fillId="3" borderId="13" xfId="0" applyNumberFormat="1" applyFont="1" applyFill="1" applyBorder="1" applyAlignment="1">
      <alignment horizontal="right"/>
    </xf>
    <xf numFmtId="2" fontId="14" fillId="3" borderId="70" xfId="0" applyNumberFormat="1" applyFont="1" applyFill="1" applyBorder="1" applyAlignment="1">
      <alignment horizontal="right"/>
    </xf>
    <xf numFmtId="2" fontId="15" fillId="3" borderId="34" xfId="0" applyNumberFormat="1" applyFont="1" applyFill="1" applyBorder="1" applyAlignment="1">
      <alignment horizontal="right"/>
    </xf>
    <xf numFmtId="2" fontId="14" fillId="3" borderId="32" xfId="0" applyNumberFormat="1" applyFont="1" applyFill="1" applyBorder="1" applyAlignment="1">
      <alignment horizontal="right"/>
    </xf>
    <xf numFmtId="2" fontId="14" fillId="3" borderId="8" xfId="0" applyNumberFormat="1" applyFont="1" applyFill="1" applyBorder="1" applyAlignment="1">
      <alignment horizontal="right"/>
    </xf>
    <xf numFmtId="2" fontId="17" fillId="3" borderId="13" xfId="0" applyNumberFormat="1" applyFont="1" applyFill="1" applyBorder="1" applyAlignment="1">
      <alignment horizontal="right"/>
    </xf>
    <xf numFmtId="2" fontId="17" fillId="3" borderId="8" xfId="0" applyNumberFormat="1" applyFont="1" applyFill="1" applyBorder="1" applyAlignment="1">
      <alignment horizontal="right"/>
    </xf>
    <xf numFmtId="49" fontId="11" fillId="32" borderId="1" xfId="0" applyNumberFormat="1" applyFont="1" applyFill="1" applyBorder="1"/>
    <xf numFmtId="0" fontId="2" fillId="35" borderId="7" xfId="0" applyFont="1" applyFill="1" applyBorder="1"/>
    <xf numFmtId="0" fontId="14" fillId="3" borderId="35" xfId="0" applyFont="1" applyFill="1" applyBorder="1" applyAlignment="1">
      <alignment horizontal="right"/>
    </xf>
    <xf numFmtId="0" fontId="10" fillId="35" borderId="12" xfId="0" applyFont="1" applyFill="1" applyBorder="1"/>
    <xf numFmtId="0" fontId="10" fillId="35" borderId="35" xfId="0" applyFont="1" applyFill="1" applyBorder="1" applyAlignment="1">
      <alignment horizontal="center"/>
    </xf>
    <xf numFmtId="0" fontId="10" fillId="35" borderId="47" xfId="0" applyFont="1" applyFill="1" applyBorder="1" applyAlignment="1">
      <alignment horizontal="left"/>
    </xf>
    <xf numFmtId="0" fontId="30" fillId="35" borderId="43" xfId="0" applyFont="1" applyFill="1" applyBorder="1"/>
    <xf numFmtId="0" fontId="30" fillId="35" borderId="11" xfId="0" applyFont="1" applyFill="1" applyBorder="1" applyAlignment="1">
      <alignment horizontal="center"/>
    </xf>
    <xf numFmtId="0" fontId="10" fillId="35" borderId="43" xfId="0" applyFont="1" applyFill="1" applyBorder="1"/>
    <xf numFmtId="0" fontId="10" fillId="35" borderId="11" xfId="0" applyFont="1" applyFill="1" applyBorder="1" applyAlignment="1">
      <alignment horizontal="center"/>
    </xf>
    <xf numFmtId="0" fontId="10" fillId="35" borderId="13" xfId="0" applyFont="1" applyFill="1" applyBorder="1" applyAlignment="1">
      <alignment horizontal="left"/>
    </xf>
    <xf numFmtId="49" fontId="10" fillId="35" borderId="36" xfId="0" applyNumberFormat="1" applyFont="1" applyFill="1" applyBorder="1" applyAlignment="1">
      <alignment horizontal="left"/>
    </xf>
    <xf numFmtId="2" fontId="10" fillId="35" borderId="35" xfId="0" applyNumberFormat="1" applyFont="1" applyFill="1" applyBorder="1"/>
    <xf numFmtId="2" fontId="40" fillId="35" borderId="35" xfId="0" applyNumberFormat="1" applyFont="1" applyFill="1" applyBorder="1" applyAlignment="1">
      <alignment horizontal="right"/>
    </xf>
    <xf numFmtId="2" fontId="34" fillId="35" borderId="13" xfId="0" applyNumberFormat="1" applyFont="1" applyFill="1" applyBorder="1"/>
    <xf numFmtId="2" fontId="40" fillId="35" borderId="13" xfId="0" applyNumberFormat="1" applyFont="1" applyFill="1" applyBorder="1" applyAlignment="1">
      <alignment horizontal="right"/>
    </xf>
    <xf numFmtId="0" fontId="7" fillId="35" borderId="13" xfId="0" applyFont="1" applyFill="1" applyBorder="1"/>
    <xf numFmtId="0" fontId="11" fillId="35" borderId="13" xfId="0" applyFont="1" applyFill="1" applyBorder="1" applyAlignment="1">
      <alignment horizontal="center"/>
    </xf>
    <xf numFmtId="0" fontId="13" fillId="36" borderId="12" xfId="0" applyFont="1" applyFill="1" applyBorder="1"/>
    <xf numFmtId="49" fontId="12" fillId="32" borderId="12" xfId="0" applyNumberFormat="1" applyFont="1" applyFill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13" fillId="35" borderId="7" xfId="0" applyFont="1" applyFill="1" applyBorder="1"/>
    <xf numFmtId="0" fontId="11" fillId="35" borderId="44" xfId="0" applyFont="1" applyFill="1" applyBorder="1"/>
    <xf numFmtId="0" fontId="7" fillId="35" borderId="35" xfId="0" applyFont="1" applyFill="1" applyBorder="1" applyAlignment="1"/>
    <xf numFmtId="0" fontId="7" fillId="35" borderId="35" xfId="0" applyFont="1" applyFill="1" applyBorder="1" applyAlignment="1">
      <alignment horizontal="center"/>
    </xf>
    <xf numFmtId="0" fontId="11" fillId="35" borderId="8" xfId="0" applyFont="1" applyFill="1" applyBorder="1"/>
    <xf numFmtId="0" fontId="11" fillId="35" borderId="7" xfId="0" applyFont="1" applyFill="1" applyBorder="1"/>
    <xf numFmtId="0" fontId="17" fillId="35" borderId="11" xfId="0" applyFont="1" applyFill="1" applyBorder="1" applyAlignment="1">
      <alignment horizontal="center"/>
    </xf>
    <xf numFmtId="0" fontId="17" fillId="35" borderId="36" xfId="0" applyFont="1" applyFill="1" applyBorder="1" applyAlignment="1">
      <alignment horizontal="center"/>
    </xf>
    <xf numFmtId="0" fontId="11" fillId="35" borderId="18" xfId="0" applyFont="1" applyFill="1" applyBorder="1" applyAlignment="1">
      <alignment horizontal="center"/>
    </xf>
    <xf numFmtId="0" fontId="7" fillId="35" borderId="13" xfId="0" applyFont="1" applyFill="1" applyBorder="1" applyAlignment="1">
      <alignment horizontal="center"/>
    </xf>
    <xf numFmtId="49" fontId="17" fillId="35" borderId="12" xfId="0" applyNumberFormat="1" applyFont="1" applyFill="1" applyBorder="1" applyAlignment="1">
      <alignment horizontal="left"/>
    </xf>
    <xf numFmtId="0" fontId="13" fillId="35" borderId="35" xfId="0" applyFont="1" applyFill="1" applyBorder="1" applyAlignment="1">
      <alignment horizontal="left"/>
    </xf>
    <xf numFmtId="0" fontId="30" fillId="35" borderId="35" xfId="0" applyFont="1" applyFill="1" applyBorder="1"/>
    <xf numFmtId="49" fontId="17" fillId="35" borderId="35" xfId="0" applyNumberFormat="1" applyFont="1" applyFill="1" applyBorder="1"/>
    <xf numFmtId="49" fontId="17" fillId="35" borderId="35" xfId="0" applyNumberFormat="1" applyFont="1" applyFill="1" applyBorder="1" applyAlignment="1">
      <alignment horizontal="center"/>
    </xf>
    <xf numFmtId="49" fontId="7" fillId="35" borderId="17" xfId="0" applyNumberFormat="1" applyFont="1" applyFill="1" applyBorder="1" applyAlignment="1">
      <alignment horizontal="left"/>
    </xf>
    <xf numFmtId="0" fontId="13" fillId="31" borderId="13" xfId="0" applyFont="1" applyFill="1" applyBorder="1"/>
    <xf numFmtId="0" fontId="13" fillId="31" borderId="35" xfId="0" applyFont="1" applyFill="1" applyBorder="1"/>
    <xf numFmtId="0" fontId="30" fillId="31" borderId="35" xfId="0" applyFont="1" applyFill="1" applyBorder="1"/>
    <xf numFmtId="0" fontId="30" fillId="31" borderId="35" xfId="0" applyFont="1" applyFill="1" applyBorder="1" applyAlignment="1">
      <alignment horizontal="center"/>
    </xf>
    <xf numFmtId="0" fontId="17" fillId="31" borderId="11" xfId="0" applyFont="1" applyFill="1" applyBorder="1" applyAlignment="1">
      <alignment horizontal="center"/>
    </xf>
    <xf numFmtId="0" fontId="13" fillId="31" borderId="12" xfId="0" applyFont="1" applyFill="1" applyBorder="1" applyAlignment="1">
      <alignment horizontal="left"/>
    </xf>
    <xf numFmtId="49" fontId="106" fillId="35" borderId="12" xfId="0" applyNumberFormat="1" applyFont="1" applyFill="1" applyBorder="1"/>
    <xf numFmtId="14" fontId="106" fillId="32" borderId="35" xfId="0" applyNumberFormat="1" applyFont="1" applyFill="1" applyBorder="1" applyAlignment="1">
      <alignment horizontal="right"/>
    </xf>
    <xf numFmtId="2" fontId="51" fillId="3" borderId="13" xfId="0" applyNumberFormat="1" applyFont="1" applyFill="1" applyBorder="1"/>
    <xf numFmtId="49" fontId="65" fillId="3" borderId="36" xfId="0" applyNumberFormat="1" applyFont="1" applyFill="1" applyBorder="1" applyAlignment="1">
      <alignment horizontal="left"/>
    </xf>
    <xf numFmtId="49" fontId="54" fillId="3" borderId="36" xfId="0" applyNumberFormat="1" applyFont="1" applyFill="1" applyBorder="1" applyAlignment="1">
      <alignment horizontal="left"/>
    </xf>
    <xf numFmtId="0" fontId="30" fillId="35" borderId="12" xfId="0" applyFont="1" applyFill="1" applyBorder="1"/>
    <xf numFmtId="49" fontId="7" fillId="36" borderId="12" xfId="0" applyNumberFormat="1" applyFont="1" applyFill="1" applyBorder="1"/>
    <xf numFmtId="49" fontId="7" fillId="36" borderId="12" xfId="0" applyNumberFormat="1" applyFont="1" applyFill="1" applyBorder="1" applyAlignment="1">
      <alignment horizontal="left"/>
    </xf>
    <xf numFmtId="49" fontId="7" fillId="36" borderId="17" xfId="0" applyNumberFormat="1" applyFont="1" applyFill="1" applyBorder="1"/>
    <xf numFmtId="49" fontId="7" fillId="36" borderId="68" xfId="0" applyNumberFormat="1" applyFont="1" applyFill="1" applyBorder="1"/>
    <xf numFmtId="49" fontId="7" fillId="36" borderId="7" xfId="0" applyNumberFormat="1" applyFont="1" applyFill="1" applyBorder="1"/>
    <xf numFmtId="0" fontId="17" fillId="2" borderId="55" xfId="0" applyFont="1" applyFill="1" applyBorder="1"/>
    <xf numFmtId="1" fontId="10" fillId="3" borderId="34" xfId="0" applyNumberFormat="1" applyFont="1" applyFill="1" applyBorder="1" applyAlignment="1">
      <alignment horizontal="right"/>
    </xf>
    <xf numFmtId="1" fontId="10" fillId="3" borderId="8" xfId="0" applyNumberFormat="1" applyFont="1" applyFill="1" applyBorder="1" applyAlignment="1">
      <alignment horizontal="right"/>
    </xf>
    <xf numFmtId="0" fontId="11" fillId="2" borderId="76" xfId="0" applyFont="1" applyFill="1" applyBorder="1"/>
    <xf numFmtId="49" fontId="7" fillId="36" borderId="68" xfId="0" applyNumberFormat="1" applyFont="1" applyFill="1" applyBorder="1" applyAlignment="1">
      <alignment horizontal="left"/>
    </xf>
    <xf numFmtId="0" fontId="10" fillId="3" borderId="69" xfId="0" applyFont="1" applyFill="1" applyBorder="1" applyAlignment="1">
      <alignment horizontal="right"/>
    </xf>
    <xf numFmtId="1" fontId="10" fillId="3" borderId="70" xfId="0" applyNumberFormat="1" applyFont="1" applyFill="1" applyBorder="1" applyAlignment="1">
      <alignment horizontal="right"/>
    </xf>
    <xf numFmtId="49" fontId="7" fillId="36" borderId="62" xfId="0" applyNumberFormat="1" applyFont="1" applyFill="1" applyBorder="1"/>
    <xf numFmtId="0" fontId="17" fillId="2" borderId="71" xfId="0" applyFont="1" applyFill="1" applyBorder="1"/>
    <xf numFmtId="0" fontId="7" fillId="3" borderId="69" xfId="0" applyFont="1" applyFill="1" applyBorder="1"/>
    <xf numFmtId="1" fontId="10" fillId="3" borderId="69" xfId="0" applyNumberFormat="1" applyFont="1" applyFill="1" applyBorder="1" applyAlignment="1">
      <alignment horizontal="right"/>
    </xf>
    <xf numFmtId="0" fontId="10" fillId="48" borderId="35" xfId="0" applyFont="1" applyFill="1" applyBorder="1" applyAlignment="1">
      <alignment horizontal="center"/>
    </xf>
    <xf numFmtId="1" fontId="38" fillId="0" borderId="35" xfId="0" applyNumberFormat="1" applyFont="1" applyBorder="1"/>
    <xf numFmtId="14" fontId="106" fillId="3" borderId="35" xfId="0" applyNumberFormat="1" applyFont="1" applyFill="1" applyBorder="1"/>
    <xf numFmtId="49" fontId="106" fillId="32" borderId="12" xfId="0" applyNumberFormat="1" applyFont="1" applyFill="1" applyBorder="1"/>
    <xf numFmtId="49" fontId="68" fillId="32" borderId="12" xfId="0" applyNumberFormat="1" applyFont="1" applyFill="1" applyBorder="1"/>
    <xf numFmtId="170" fontId="105" fillId="32" borderId="35" xfId="0" applyNumberFormat="1" applyFont="1" applyFill="1" applyBorder="1" applyAlignment="1">
      <alignment horizontal="right"/>
    </xf>
    <xf numFmtId="1" fontId="21" fillId="3" borderId="35" xfId="0" applyNumberFormat="1" applyFont="1" applyFill="1" applyBorder="1" applyAlignment="1">
      <alignment horizontal="right"/>
    </xf>
    <xf numFmtId="2" fontId="35" fillId="0" borderId="13" xfId="0" applyNumberFormat="1" applyFont="1" applyBorder="1"/>
    <xf numFmtId="2" fontId="24" fillId="35" borderId="13" xfId="0" applyNumberFormat="1" applyFont="1" applyFill="1" applyBorder="1" applyAlignment="1">
      <alignment horizontal="right"/>
    </xf>
    <xf numFmtId="0" fontId="17" fillId="4" borderId="35" xfId="0" applyFont="1" applyFill="1" applyBorder="1"/>
    <xf numFmtId="0" fontId="11" fillId="3" borderId="54" xfId="0" applyFont="1" applyFill="1" applyBorder="1" applyAlignment="1">
      <alignment horizontal="center"/>
    </xf>
    <xf numFmtId="0" fontId="11" fillId="3" borderId="60" xfId="0" applyFont="1" applyFill="1" applyBorder="1" applyAlignment="1">
      <alignment horizontal="center"/>
    </xf>
    <xf numFmtId="0" fontId="17" fillId="3" borderId="43" xfId="0" applyFont="1" applyFill="1" applyBorder="1"/>
    <xf numFmtId="49" fontId="17" fillId="32" borderId="62" xfId="0" applyNumberFormat="1" applyFont="1" applyFill="1" applyBorder="1" applyAlignment="1">
      <alignment horizontal="center"/>
    </xf>
    <xf numFmtId="0" fontId="11" fillId="36" borderId="12" xfId="0" applyFont="1" applyFill="1" applyBorder="1"/>
    <xf numFmtId="0" fontId="17" fillId="36" borderId="46" xfId="0" applyFont="1" applyFill="1" applyBorder="1" applyAlignment="1">
      <alignment horizontal="center"/>
    </xf>
    <xf numFmtId="14" fontId="14" fillId="36" borderId="50" xfId="0" applyNumberFormat="1" applyFont="1" applyFill="1" applyBorder="1"/>
    <xf numFmtId="0" fontId="13" fillId="36" borderId="11" xfId="0" applyFont="1" applyFill="1" applyBorder="1" applyAlignment="1">
      <alignment horizontal="center"/>
    </xf>
    <xf numFmtId="49" fontId="11" fillId="36" borderId="35" xfId="0" applyNumberFormat="1" applyFont="1" applyFill="1" applyBorder="1"/>
    <xf numFmtId="1" fontId="31" fillId="36" borderId="35" xfId="0" applyNumberFormat="1" applyFont="1" applyFill="1" applyBorder="1"/>
    <xf numFmtId="2" fontId="23" fillId="36" borderId="13" xfId="0" applyNumberFormat="1" applyFont="1" applyFill="1" applyBorder="1" applyAlignment="1">
      <alignment horizontal="right"/>
    </xf>
    <xf numFmtId="0" fontId="11" fillId="0" borderId="4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17" fillId="0" borderId="19" xfId="0" applyFont="1" applyBorder="1" applyAlignment="1">
      <alignment horizontal="center"/>
    </xf>
    <xf numFmtId="1" fontId="29" fillId="0" borderId="8" xfId="0" applyNumberFormat="1" applyFont="1" applyBorder="1"/>
    <xf numFmtId="0" fontId="11" fillId="35" borderId="35" xfId="0" applyFont="1" applyFill="1" applyBorder="1" applyAlignment="1"/>
    <xf numFmtId="1" fontId="69" fillId="0" borderId="13" xfId="0" applyNumberFormat="1" applyFont="1" applyBorder="1"/>
    <xf numFmtId="49" fontId="51" fillId="32" borderId="85" xfId="0" applyNumberFormat="1" applyFont="1" applyFill="1" applyBorder="1"/>
    <xf numFmtId="0" fontId="51" fillId="0" borderId="86" xfId="0" applyFont="1" applyBorder="1"/>
    <xf numFmtId="2" fontId="28" fillId="0" borderId="83" xfId="0" applyNumberFormat="1" applyFont="1" applyBorder="1" applyAlignment="1">
      <alignment horizontal="right"/>
    </xf>
    <xf numFmtId="2" fontId="49" fillId="0" borderId="83" xfId="0" applyNumberFormat="1" applyFont="1" applyBorder="1" applyAlignment="1">
      <alignment horizontal="right"/>
    </xf>
    <xf numFmtId="0" fontId="25" fillId="18" borderId="84" xfId="0" applyFont="1" applyFill="1" applyBorder="1" applyAlignment="1">
      <alignment horizontal="center"/>
    </xf>
    <xf numFmtId="0" fontId="39" fillId="0" borderId="13" xfId="0" applyFont="1" applyBorder="1" applyAlignment="1">
      <alignment horizontal="right"/>
    </xf>
    <xf numFmtId="0" fontId="17" fillId="36" borderId="12" xfId="0" applyFont="1" applyFill="1" applyBorder="1"/>
    <xf numFmtId="0" fontId="159" fillId="4" borderId="47" xfId="0" applyFont="1" applyFill="1" applyBorder="1"/>
    <xf numFmtId="0" fontId="13" fillId="35" borderId="47" xfId="0" applyFont="1" applyFill="1" applyBorder="1"/>
    <xf numFmtId="0" fontId="13" fillId="35" borderId="11" xfId="0" applyFont="1" applyFill="1" applyBorder="1" applyAlignment="1">
      <alignment horizontal="center"/>
    </xf>
    <xf numFmtId="2" fontId="158" fillId="3" borderId="13" xfId="0" applyNumberFormat="1" applyFont="1" applyFill="1" applyBorder="1"/>
    <xf numFmtId="0" fontId="13" fillId="0" borderId="0" xfId="0" applyFont="1" applyBorder="1" applyAlignment="1">
      <alignment horizontal="left"/>
    </xf>
    <xf numFmtId="0" fontId="13" fillId="0" borderId="29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3" fillId="8" borderId="13" xfId="0" applyFont="1" applyFill="1" applyBorder="1" applyAlignment="1">
      <alignment horizontal="left"/>
    </xf>
    <xf numFmtId="0" fontId="13" fillId="8" borderId="12" xfId="0" applyFont="1" applyFill="1" applyBorder="1" applyAlignment="1">
      <alignment horizontal="left"/>
    </xf>
    <xf numFmtId="0" fontId="13" fillId="35" borderId="13" xfId="0" applyFont="1" applyFill="1" applyBorder="1" applyAlignment="1">
      <alignment horizontal="left"/>
    </xf>
    <xf numFmtId="0" fontId="13" fillId="35" borderId="12" xfId="0" applyFont="1" applyFill="1" applyBorder="1" applyAlignment="1">
      <alignment horizontal="left"/>
    </xf>
    <xf numFmtId="0" fontId="13" fillId="4" borderId="13" xfId="0" applyFont="1" applyFill="1" applyBorder="1" applyAlignment="1">
      <alignment horizontal="left"/>
    </xf>
    <xf numFmtId="0" fontId="13" fillId="4" borderId="12" xfId="0" applyFont="1" applyFill="1" applyBorder="1" applyAlignment="1">
      <alignment horizontal="left"/>
    </xf>
    <xf numFmtId="0" fontId="13" fillId="0" borderId="40" xfId="0" applyFont="1" applyBorder="1" applyAlignment="1">
      <alignment horizontal="center"/>
    </xf>
    <xf numFmtId="0" fontId="13" fillId="8" borderId="12" xfId="0" applyFont="1" applyFill="1" applyBorder="1" applyAlignment="1">
      <alignment horizontal="center"/>
    </xf>
    <xf numFmtId="0" fontId="17" fillId="35" borderId="13" xfId="0" applyFont="1" applyFill="1" applyBorder="1" applyAlignment="1">
      <alignment horizontal="center"/>
    </xf>
    <xf numFmtId="0" fontId="17" fillId="35" borderId="46" xfId="0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30" fillId="35" borderId="12" xfId="0" applyFont="1" applyFill="1" applyBorder="1" applyAlignment="1">
      <alignment horizontal="left"/>
    </xf>
    <xf numFmtId="0" fontId="11" fillId="0" borderId="12" xfId="0" applyFont="1" applyBorder="1" applyAlignment="1">
      <alignment horizontal="center"/>
    </xf>
    <xf numFmtId="0" fontId="13" fillId="0" borderId="50" xfId="0" applyFont="1" applyBorder="1" applyAlignment="1">
      <alignment horizontal="center"/>
    </xf>
    <xf numFmtId="0" fontId="13" fillId="3" borderId="43" xfId="0" applyFont="1" applyFill="1" applyBorder="1" applyAlignment="1">
      <alignment horizontal="left"/>
    </xf>
    <xf numFmtId="0" fontId="13" fillId="3" borderId="47" xfId="0" applyFont="1" applyFill="1" applyBorder="1" applyAlignment="1">
      <alignment horizontal="left"/>
    </xf>
    <xf numFmtId="0" fontId="13" fillId="3" borderId="46" xfId="0" applyFont="1" applyFill="1" applyBorder="1" applyAlignment="1">
      <alignment horizontal="left"/>
    </xf>
    <xf numFmtId="49" fontId="7" fillId="3" borderId="43" xfId="0" applyNumberFormat="1" applyFont="1" applyFill="1" applyBorder="1" applyAlignment="1">
      <alignment horizontal="left"/>
    </xf>
    <xf numFmtId="49" fontId="7" fillId="3" borderId="47" xfId="0" applyNumberFormat="1" applyFont="1" applyFill="1" applyBorder="1" applyAlignment="1">
      <alignment horizontal="left"/>
    </xf>
    <xf numFmtId="0" fontId="11" fillId="35" borderId="13" xfId="0" applyFont="1" applyFill="1" applyBorder="1" applyAlignment="1">
      <alignment horizontal="left"/>
    </xf>
    <xf numFmtId="0" fontId="11" fillId="3" borderId="12" xfId="0" applyFont="1" applyFill="1" applyBorder="1" applyAlignment="1">
      <alignment horizontal="left"/>
    </xf>
    <xf numFmtId="0" fontId="17" fillId="3" borderId="13" xfId="0" applyFont="1" applyFill="1" applyBorder="1" applyAlignment="1">
      <alignment horizontal="left"/>
    </xf>
    <xf numFmtId="0" fontId="13" fillId="4" borderId="43" xfId="0" applyFont="1" applyFill="1" applyBorder="1" applyAlignment="1">
      <alignment horizontal="left"/>
    </xf>
    <xf numFmtId="0" fontId="13" fillId="3" borderId="7" xfId="0" applyFont="1" applyFill="1" applyBorder="1" applyAlignment="1">
      <alignment horizontal="left"/>
    </xf>
    <xf numFmtId="0" fontId="9" fillId="0" borderId="54" xfId="0" applyFont="1" applyBorder="1" applyAlignment="1">
      <alignment horizontal="center"/>
    </xf>
    <xf numFmtId="0" fontId="9" fillId="0" borderId="67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3" fillId="0" borderId="0" xfId="0" applyFont="1" applyBorder="1" applyAlignment="1">
      <alignment horizontal="left"/>
    </xf>
    <xf numFmtId="0" fontId="13" fillId="0" borderId="29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3" fillId="35" borderId="13" xfId="0" applyFont="1" applyFill="1" applyBorder="1" applyAlignment="1">
      <alignment horizontal="left"/>
    </xf>
    <xf numFmtId="0" fontId="13" fillId="35" borderId="12" xfId="0" applyFont="1" applyFill="1" applyBorder="1" applyAlignment="1">
      <alignment horizontal="left"/>
    </xf>
    <xf numFmtId="0" fontId="13" fillId="4" borderId="33" xfId="0" applyFont="1" applyFill="1" applyBorder="1" applyAlignment="1">
      <alignment horizontal="center"/>
    </xf>
    <xf numFmtId="0" fontId="13" fillId="4" borderId="58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left"/>
    </xf>
    <xf numFmtId="0" fontId="13" fillId="4" borderId="12" xfId="0" applyFont="1" applyFill="1" applyBorder="1" applyAlignment="1">
      <alignment horizontal="left"/>
    </xf>
    <xf numFmtId="0" fontId="13" fillId="8" borderId="13" xfId="0" applyFont="1" applyFill="1" applyBorder="1" applyAlignment="1">
      <alignment horizontal="left"/>
    </xf>
    <xf numFmtId="0" fontId="13" fillId="8" borderId="12" xfId="0" applyFont="1" applyFill="1" applyBorder="1" applyAlignment="1">
      <alignment horizontal="left"/>
    </xf>
    <xf numFmtId="0" fontId="13" fillId="0" borderId="40" xfId="0" applyFont="1" applyBorder="1" applyAlignment="1">
      <alignment horizontal="center"/>
    </xf>
    <xf numFmtId="0" fontId="13" fillId="4" borderId="33" xfId="0" applyFont="1" applyFill="1" applyBorder="1" applyAlignment="1">
      <alignment horizontal="left"/>
    </xf>
    <xf numFmtId="0" fontId="13" fillId="4" borderId="58" xfId="0" applyFont="1" applyFill="1" applyBorder="1" applyAlignment="1">
      <alignment horizontal="left"/>
    </xf>
    <xf numFmtId="0" fontId="13" fillId="8" borderId="13" xfId="0" applyFont="1" applyFill="1" applyBorder="1" applyAlignment="1">
      <alignment horizontal="center"/>
    </xf>
    <xf numFmtId="0" fontId="13" fillId="8" borderId="12" xfId="0" applyFont="1" applyFill="1" applyBorder="1" applyAlignment="1">
      <alignment horizontal="center"/>
    </xf>
    <xf numFmtId="0" fontId="13" fillId="35" borderId="33" xfId="0" applyFont="1" applyFill="1" applyBorder="1" applyAlignment="1">
      <alignment horizontal="left"/>
    </xf>
    <xf numFmtId="0" fontId="13" fillId="35" borderId="58" xfId="0" applyFont="1" applyFill="1" applyBorder="1" applyAlignment="1">
      <alignment horizontal="left"/>
    </xf>
    <xf numFmtId="0" fontId="17" fillId="35" borderId="13" xfId="0" applyFont="1" applyFill="1" applyBorder="1" applyAlignment="1">
      <alignment horizontal="center"/>
    </xf>
    <xf numFmtId="0" fontId="17" fillId="35" borderId="46" xfId="0" applyFont="1" applyFill="1" applyBorder="1" applyAlignment="1">
      <alignment horizontal="center"/>
    </xf>
    <xf numFmtId="0" fontId="30" fillId="0" borderId="40" xfId="0" applyFont="1" applyBorder="1" applyAlignment="1">
      <alignment horizontal="center"/>
    </xf>
    <xf numFmtId="0" fontId="30" fillId="0" borderId="38" xfId="0" applyFont="1" applyBorder="1" applyAlignment="1">
      <alignment horizontal="center"/>
    </xf>
    <xf numFmtId="0" fontId="30" fillId="3" borderId="13" xfId="0" applyFont="1" applyFill="1" applyBorder="1" applyAlignment="1">
      <alignment horizontal="left"/>
    </xf>
    <xf numFmtId="0" fontId="30" fillId="35" borderId="12" xfId="0" applyFont="1" applyFill="1" applyBorder="1" applyAlignment="1">
      <alignment horizontal="left"/>
    </xf>
    <xf numFmtId="0" fontId="30" fillId="4" borderId="54" xfId="0" applyFont="1" applyFill="1" applyBorder="1" applyAlignment="1">
      <alignment horizontal="left"/>
    </xf>
    <xf numFmtId="0" fontId="30" fillId="4" borderId="58" xfId="0" applyFont="1" applyFill="1" applyBorder="1" applyAlignment="1">
      <alignment horizontal="left"/>
    </xf>
    <xf numFmtId="0" fontId="10" fillId="8" borderId="13" xfId="0" applyFont="1" applyFill="1" applyBorder="1" applyAlignment="1"/>
    <xf numFmtId="0" fontId="10" fillId="8" borderId="12" xfId="0" applyFont="1" applyFill="1" applyBorder="1" applyAlignment="1"/>
    <xf numFmtId="0" fontId="11" fillId="0" borderId="12" xfId="0" applyFont="1" applyBorder="1" applyAlignment="1">
      <alignment horizontal="center"/>
    </xf>
    <xf numFmtId="0" fontId="13" fillId="0" borderId="50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49" fontId="7" fillId="3" borderId="43" xfId="0" applyNumberFormat="1" applyFont="1" applyFill="1" applyBorder="1" applyAlignment="1">
      <alignment horizontal="left"/>
    </xf>
    <xf numFmtId="49" fontId="7" fillId="3" borderId="47" xfId="0" applyNumberFormat="1" applyFont="1" applyFill="1" applyBorder="1" applyAlignment="1">
      <alignment horizontal="left"/>
    </xf>
    <xf numFmtId="0" fontId="13" fillId="3" borderId="0" xfId="0" applyFont="1" applyFill="1" applyBorder="1" applyAlignment="1">
      <alignment horizontal="left"/>
    </xf>
    <xf numFmtId="0" fontId="13" fillId="3" borderId="54" xfId="0" applyFont="1" applyFill="1" applyBorder="1" applyAlignment="1">
      <alignment horizontal="left"/>
    </xf>
    <xf numFmtId="0" fontId="13" fillId="3" borderId="63" xfId="0" applyFont="1" applyFill="1" applyBorder="1" applyAlignment="1">
      <alignment horizontal="left"/>
    </xf>
    <xf numFmtId="0" fontId="13" fillId="3" borderId="67" xfId="0" applyFont="1" applyFill="1" applyBorder="1" applyAlignment="1">
      <alignment horizontal="left"/>
    </xf>
    <xf numFmtId="0" fontId="13" fillId="3" borderId="47" xfId="0" applyFont="1" applyFill="1" applyBorder="1" applyAlignment="1">
      <alignment horizontal="left"/>
    </xf>
    <xf numFmtId="0" fontId="13" fillId="3" borderId="46" xfId="0" applyFont="1" applyFill="1" applyBorder="1" applyAlignment="1">
      <alignment horizontal="left"/>
    </xf>
    <xf numFmtId="0" fontId="13" fillId="3" borderId="43" xfId="0" applyFont="1" applyFill="1" applyBorder="1" applyAlignment="1">
      <alignment horizontal="left"/>
    </xf>
    <xf numFmtId="0" fontId="13" fillId="0" borderId="18" xfId="0" applyFont="1" applyBorder="1" applyAlignment="1">
      <alignment horizontal="center"/>
    </xf>
    <xf numFmtId="0" fontId="13" fillId="8" borderId="54" xfId="0" applyFont="1" applyFill="1" applyBorder="1" applyAlignment="1">
      <alignment horizontal="center"/>
    </xf>
    <xf numFmtId="0" fontId="13" fillId="8" borderId="58" xfId="0" applyFont="1" applyFill="1" applyBorder="1" applyAlignment="1">
      <alignment horizontal="center"/>
    </xf>
    <xf numFmtId="0" fontId="11" fillId="35" borderId="13" xfId="0" applyFont="1" applyFill="1" applyBorder="1" applyAlignment="1">
      <alignment horizontal="left"/>
    </xf>
    <xf numFmtId="0" fontId="11" fillId="3" borderId="12" xfId="0" applyFont="1" applyFill="1" applyBorder="1" applyAlignment="1">
      <alignment horizontal="left"/>
    </xf>
    <xf numFmtId="0" fontId="13" fillId="4" borderId="54" xfId="0" applyFont="1" applyFill="1" applyBorder="1" applyAlignment="1">
      <alignment horizontal="left"/>
    </xf>
    <xf numFmtId="0" fontId="13" fillId="5" borderId="33" xfId="0" applyFont="1" applyFill="1" applyBorder="1" applyAlignment="1">
      <alignment horizontal="center"/>
    </xf>
    <xf numFmtId="0" fontId="13" fillId="5" borderId="58" xfId="0" applyFont="1" applyFill="1" applyBorder="1" applyAlignment="1">
      <alignment horizontal="center"/>
    </xf>
    <xf numFmtId="0" fontId="17" fillId="3" borderId="13" xfId="0" applyFont="1" applyFill="1" applyBorder="1" applyAlignment="1">
      <alignment horizontal="left"/>
    </xf>
    <xf numFmtId="0" fontId="17" fillId="3" borderId="46" xfId="0" applyFont="1" applyFill="1" applyBorder="1" applyAlignment="1">
      <alignment horizontal="left"/>
    </xf>
    <xf numFmtId="0" fontId="13" fillId="4" borderId="43" xfId="0" applyFont="1" applyFill="1" applyBorder="1" applyAlignment="1">
      <alignment horizontal="left"/>
    </xf>
    <xf numFmtId="0" fontId="13" fillId="3" borderId="7" xfId="0" applyFont="1" applyFill="1" applyBorder="1" applyAlignment="1">
      <alignment horizontal="left"/>
    </xf>
    <xf numFmtId="49" fontId="17" fillId="0" borderId="27" xfId="0" applyNumberFormat="1" applyFont="1" applyBorder="1" applyAlignment="1">
      <alignment horizontal="center" vertical="center"/>
    </xf>
    <xf numFmtId="49" fontId="17" fillId="0" borderId="30" xfId="0" applyNumberFormat="1" applyFont="1" applyBorder="1" applyAlignment="1">
      <alignment horizontal="center" vertical="center"/>
    </xf>
    <xf numFmtId="0" fontId="9" fillId="0" borderId="63" xfId="0" applyFont="1" applyBorder="1" applyAlignment="1">
      <alignment horizontal="center"/>
    </xf>
    <xf numFmtId="0" fontId="9" fillId="0" borderId="54" xfId="0" applyFont="1" applyBorder="1" applyAlignment="1">
      <alignment horizontal="center"/>
    </xf>
    <xf numFmtId="0" fontId="9" fillId="0" borderId="67" xfId="0" applyFont="1" applyBorder="1" applyAlignment="1">
      <alignment horizontal="center"/>
    </xf>
    <xf numFmtId="0" fontId="9" fillId="0" borderId="65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31" borderId="35" xfId="0" applyFont="1" applyFill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9" fillId="0" borderId="10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104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31" borderId="12" xfId="0" applyFont="1" applyFill="1" applyBorder="1" applyAlignment="1">
      <alignment horizontal="center"/>
    </xf>
    <xf numFmtId="0" fontId="9" fillId="31" borderId="13" xfId="0" applyFont="1" applyFill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105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31" fillId="25" borderId="85" xfId="0" applyFont="1" applyFill="1" applyBorder="1"/>
    <xf numFmtId="0" fontId="31" fillId="25" borderId="91" xfId="0" applyFont="1" applyFill="1" applyBorder="1" applyAlignment="1">
      <alignment horizontal="center"/>
    </xf>
    <xf numFmtId="0" fontId="31" fillId="25" borderId="102" xfId="0" applyFont="1" applyFill="1" applyBorder="1" applyAlignment="1">
      <alignment horizontal="left"/>
    </xf>
    <xf numFmtId="0" fontId="31" fillId="25" borderId="88" xfId="0" applyFont="1" applyFill="1" applyBorder="1" applyAlignment="1">
      <alignment horizontal="right"/>
    </xf>
    <xf numFmtId="0" fontId="25" fillId="25" borderId="84" xfId="0" applyFont="1" applyFill="1" applyBorder="1" applyAlignment="1">
      <alignment horizontal="center"/>
    </xf>
    <xf numFmtId="49" fontId="51" fillId="25" borderId="85" xfId="0" applyNumberFormat="1" applyFont="1" applyFill="1" applyBorder="1"/>
    <xf numFmtId="0" fontId="31" fillId="25" borderId="86" xfId="0" applyFont="1" applyFill="1" applyBorder="1"/>
    <xf numFmtId="49" fontId="19" fillId="25" borderId="86" xfId="0" applyNumberFormat="1" applyFont="1" applyFill="1" applyBorder="1"/>
    <xf numFmtId="2" fontId="28" fillId="25" borderId="83" xfId="0" applyNumberFormat="1" applyFont="1" applyFill="1" applyBorder="1" applyAlignment="1">
      <alignment horizontal="right"/>
    </xf>
    <xf numFmtId="2" fontId="35" fillId="25" borderId="83" xfId="0" applyNumberFormat="1" applyFont="1" applyFill="1" applyBorder="1" applyAlignment="1">
      <alignment horizontal="right"/>
    </xf>
    <xf numFmtId="0" fontId="31" fillId="25" borderId="86" xfId="0" applyFont="1" applyFill="1" applyBorder="1" applyAlignment="1">
      <alignment horizontal="center"/>
    </xf>
    <xf numFmtId="0" fontId="31" fillId="25" borderId="84" xfId="0" applyFont="1" applyFill="1" applyBorder="1" applyAlignment="1">
      <alignment horizontal="left"/>
    </xf>
    <xf numFmtId="0" fontId="90" fillId="25" borderId="84" xfId="0" applyFont="1" applyFill="1" applyBorder="1" applyAlignment="1">
      <alignment horizontal="center"/>
    </xf>
    <xf numFmtId="49" fontId="51" fillId="26" borderId="85" xfId="0" applyNumberFormat="1" applyFont="1" applyFill="1" applyBorder="1"/>
    <xf numFmtId="0" fontId="19" fillId="25" borderId="86" xfId="0" applyFont="1" applyFill="1" applyBorder="1"/>
    <xf numFmtId="2" fontId="23" fillId="25" borderId="83" xfId="0" applyNumberFormat="1" applyFont="1" applyFill="1" applyBorder="1" applyAlignment="1">
      <alignment horizontal="right"/>
    </xf>
    <xf numFmtId="0" fontId="25" fillId="25" borderId="88" xfId="0" applyFont="1" applyFill="1" applyBorder="1" applyAlignment="1">
      <alignment horizontal="right"/>
    </xf>
    <xf numFmtId="49" fontId="32" fillId="25" borderId="86" xfId="0" applyNumberFormat="1" applyFont="1" applyFill="1" applyBorder="1"/>
    <xf numFmtId="0" fontId="31" fillId="0" borderId="85" xfId="0" applyFont="1" applyBorder="1"/>
    <xf numFmtId="0" fontId="31" fillId="0" borderId="86" xfId="0" applyFont="1" applyBorder="1"/>
    <xf numFmtId="0" fontId="31" fillId="0" borderId="94" xfId="0" applyFont="1" applyBorder="1" applyAlignment="1">
      <alignment horizontal="left"/>
    </xf>
    <xf numFmtId="0" fontId="25" fillId="18" borderId="88" xfId="0" applyFont="1" applyFill="1" applyBorder="1" applyAlignment="1">
      <alignment horizontal="right"/>
    </xf>
    <xf numFmtId="0" fontId="90" fillId="18" borderId="84" xfId="0" applyFont="1" applyFill="1" applyBorder="1" applyAlignment="1">
      <alignment horizontal="center"/>
    </xf>
    <xf numFmtId="49" fontId="51" fillId="0" borderId="85" xfId="0" applyNumberFormat="1" applyFont="1" applyBorder="1"/>
    <xf numFmtId="49" fontId="32" fillId="0" borderId="86" xfId="0" applyNumberFormat="1" applyFont="1" applyBorder="1"/>
    <xf numFmtId="2" fontId="23" fillId="20" borderId="83" xfId="0" applyNumberFormat="1" applyFont="1" applyFill="1" applyBorder="1" applyAlignment="1">
      <alignment horizontal="right"/>
    </xf>
    <xf numFmtId="0" fontId="25" fillId="18" borderId="101" xfId="0" applyFont="1" applyFill="1" applyBorder="1" applyAlignment="1">
      <alignment horizontal="right"/>
    </xf>
    <xf numFmtId="0" fontId="86" fillId="18" borderId="84" xfId="0" applyFont="1" applyFill="1" applyBorder="1" applyAlignment="1">
      <alignment horizontal="center"/>
    </xf>
    <xf numFmtId="0" fontId="31" fillId="0" borderId="95" xfId="0" applyFont="1" applyBorder="1"/>
    <xf numFmtId="2" fontId="28" fillId="0" borderId="96" xfId="0" applyNumberFormat="1" applyFont="1" applyBorder="1" applyAlignment="1">
      <alignment horizontal="right"/>
    </xf>
    <xf numFmtId="2" fontId="23" fillId="0" borderId="96" xfId="0" applyNumberFormat="1" applyFont="1" applyBorder="1" applyAlignment="1">
      <alignment horizontal="right"/>
    </xf>
    <xf numFmtId="0" fontId="31" fillId="24" borderId="85" xfId="0" applyFont="1" applyFill="1" applyBorder="1"/>
    <xf numFmtId="0" fontId="32" fillId="24" borderId="86" xfId="0" applyFont="1" applyFill="1" applyBorder="1"/>
    <xf numFmtId="0" fontId="31" fillId="24" borderId="94" xfId="0" applyFont="1" applyFill="1" applyBorder="1" applyAlignment="1">
      <alignment horizontal="left"/>
    </xf>
    <xf numFmtId="0" fontId="25" fillId="24" borderId="88" xfId="0" applyFont="1" applyFill="1" applyBorder="1" applyAlignment="1">
      <alignment horizontal="right"/>
    </xf>
    <xf numFmtId="0" fontId="25" fillId="24" borderId="84" xfId="0" applyFont="1" applyFill="1" applyBorder="1" applyAlignment="1">
      <alignment horizontal="center"/>
    </xf>
    <xf numFmtId="49" fontId="51" fillId="24" borderId="85" xfId="0" applyNumberFormat="1" applyFont="1" applyFill="1" applyBorder="1"/>
    <xf numFmtId="0" fontId="31" fillId="24" borderId="86" xfId="0" applyFont="1" applyFill="1" applyBorder="1"/>
    <xf numFmtId="49" fontId="32" fillId="24" borderId="86" xfId="0" applyNumberFormat="1" applyFont="1" applyFill="1" applyBorder="1"/>
    <xf numFmtId="2" fontId="28" fillId="24" borderId="83" xfId="0" applyNumberFormat="1" applyFont="1" applyFill="1" applyBorder="1" applyAlignment="1">
      <alignment horizontal="right"/>
    </xf>
    <xf numFmtId="2" fontId="23" fillId="24" borderId="83" xfId="0" applyNumberFormat="1" applyFont="1" applyFill="1" applyBorder="1" applyAlignment="1">
      <alignment horizontal="right"/>
    </xf>
    <xf numFmtId="0" fontId="51" fillId="24" borderId="86" xfId="0" applyFont="1" applyFill="1" applyBorder="1"/>
    <xf numFmtId="0" fontId="51" fillId="24" borderId="94" xfId="0" applyFont="1" applyFill="1" applyBorder="1" applyAlignment="1">
      <alignment horizontal="left"/>
    </xf>
    <xf numFmtId="0" fontId="32" fillId="0" borderId="90" xfId="0" applyFont="1" applyBorder="1" applyAlignment="1">
      <alignment horizontal="left"/>
    </xf>
    <xf numFmtId="0" fontId="51" fillId="0" borderId="91" xfId="0" applyFont="1" applyBorder="1"/>
    <xf numFmtId="0" fontId="31" fillId="0" borderId="93" xfId="0" applyFont="1" applyBorder="1" applyAlignment="1">
      <alignment horizontal="left"/>
    </xf>
    <xf numFmtId="0" fontId="25" fillId="18" borderId="92" xfId="0" applyFont="1" applyFill="1" applyBorder="1" applyAlignment="1">
      <alignment horizontal="right"/>
    </xf>
    <xf numFmtId="0" fontId="31" fillId="18" borderId="84" xfId="0" applyFont="1" applyFill="1" applyBorder="1"/>
    <xf numFmtId="49" fontId="51" fillId="0" borderId="86" xfId="0" applyNumberFormat="1" applyFont="1" applyBorder="1"/>
    <xf numFmtId="0" fontId="32" fillId="0" borderId="86" xfId="0" applyFont="1" applyBorder="1"/>
    <xf numFmtId="0" fontId="28" fillId="0" borderId="83" xfId="0" applyFont="1" applyBorder="1" applyAlignment="1">
      <alignment horizontal="right"/>
    </xf>
    <xf numFmtId="2" fontId="23" fillId="0" borderId="83" xfId="0" applyNumberFormat="1" applyFont="1" applyBorder="1" applyAlignment="1">
      <alignment horizontal="right"/>
    </xf>
    <xf numFmtId="0" fontId="31" fillId="0" borderId="91" xfId="0" applyFont="1" applyBorder="1"/>
    <xf numFmtId="0" fontId="31" fillId="0" borderId="89" xfId="0" applyFont="1" applyBorder="1" applyAlignment="1">
      <alignment horizontal="left"/>
    </xf>
    <xf numFmtId="0" fontId="31" fillId="0" borderId="85" xfId="0" applyFont="1" applyBorder="1" applyAlignment="1">
      <alignment horizontal="left"/>
    </xf>
    <xf numFmtId="0" fontId="31" fillId="0" borderId="83" xfId="0" applyFont="1" applyBorder="1" applyAlignment="1">
      <alignment horizontal="left"/>
    </xf>
    <xf numFmtId="49" fontId="51" fillId="20" borderId="85" xfId="0" applyNumberFormat="1" applyFont="1" applyFill="1" applyBorder="1"/>
    <xf numFmtId="0" fontId="31" fillId="20" borderId="86" xfId="0" applyFont="1" applyFill="1" applyBorder="1"/>
    <xf numFmtId="2" fontId="28" fillId="20" borderId="83" xfId="0" applyNumberFormat="1" applyFont="1" applyFill="1" applyBorder="1" applyAlignment="1">
      <alignment horizontal="right"/>
    </xf>
    <xf numFmtId="0" fontId="51" fillId="0" borderId="85" xfId="0" applyFont="1" applyBorder="1" applyAlignment="1">
      <alignment horizontal="left"/>
    </xf>
    <xf numFmtId="0" fontId="59" fillId="0" borderId="85" xfId="0" applyFont="1" applyBorder="1" applyAlignment="1">
      <alignment horizontal="left"/>
    </xf>
    <xf numFmtId="0" fontId="31" fillId="0" borderId="84" xfId="0" applyFont="1" applyBorder="1" applyAlignment="1">
      <alignment horizontal="left"/>
    </xf>
    <xf numFmtId="0" fontId="103" fillId="18" borderId="84" xfId="0" applyFont="1" applyFill="1" applyBorder="1"/>
    <xf numFmtId="49" fontId="51" fillId="4" borderId="86" xfId="0" applyNumberFormat="1" applyFont="1" applyFill="1" applyBorder="1"/>
    <xf numFmtId="49" fontId="21" fillId="0" borderId="85" xfId="0" applyNumberFormat="1" applyFont="1" applyBorder="1" applyAlignment="1">
      <alignment horizontal="right"/>
    </xf>
    <xf numFmtId="2" fontId="38" fillId="0" borderId="88" xfId="0" applyNumberFormat="1" applyFont="1" applyBorder="1" applyAlignment="1">
      <alignment horizontal="right"/>
    </xf>
    <xf numFmtId="0" fontId="25" fillId="22" borderId="97" xfId="0" applyFont="1" applyFill="1" applyBorder="1" applyAlignment="1"/>
    <xf numFmtId="0" fontId="25" fillId="22" borderId="98" xfId="0" applyFont="1" applyFill="1" applyBorder="1" applyAlignment="1"/>
    <xf numFmtId="0" fontId="31" fillId="0" borderId="83" xfId="0" applyFont="1" applyBorder="1"/>
    <xf numFmtId="0" fontId="25" fillId="18" borderId="87" xfId="0" applyFont="1" applyFill="1" applyBorder="1" applyAlignment="1">
      <alignment horizontal="right"/>
    </xf>
    <xf numFmtId="0" fontId="25" fillId="0" borderId="83" xfId="0" applyFont="1" applyBorder="1"/>
    <xf numFmtId="49" fontId="51" fillId="21" borderId="85" xfId="0" applyNumberFormat="1" applyFont="1" applyFill="1" applyBorder="1"/>
    <xf numFmtId="49" fontId="32" fillId="20" borderId="86" xfId="0" applyNumberFormat="1" applyFont="1" applyFill="1" applyBorder="1"/>
    <xf numFmtId="0" fontId="25" fillId="29" borderId="97" xfId="0" applyFont="1" applyFill="1" applyBorder="1" applyAlignment="1">
      <alignment horizontal="center"/>
    </xf>
    <xf numFmtId="0" fontId="25" fillId="29" borderId="98" xfId="0" applyFont="1" applyFill="1" applyBorder="1" applyAlignment="1">
      <alignment horizontal="center"/>
    </xf>
    <xf numFmtId="0" fontId="25" fillId="22" borderId="85" xfId="0" applyFont="1" applyFill="1" applyBorder="1"/>
    <xf numFmtId="0" fontId="32" fillId="0" borderId="83" xfId="0" applyFont="1" applyBorder="1"/>
    <xf numFmtId="0" fontId="31" fillId="0" borderId="83" xfId="0" applyFont="1" applyBorder="1" applyAlignment="1">
      <alignment horizontal="center"/>
    </xf>
    <xf numFmtId="16" fontId="31" fillId="0" borderId="84" xfId="0" applyNumberFormat="1" applyFont="1" applyBorder="1" applyAlignment="1">
      <alignment horizontal="left"/>
    </xf>
    <xf numFmtId="0" fontId="53" fillId="18" borderId="84" xfId="0" applyFont="1" applyFill="1" applyBorder="1" applyAlignment="1">
      <alignment horizontal="center"/>
    </xf>
    <xf numFmtId="2" fontId="39" fillId="0" borderId="83" xfId="0" applyNumberFormat="1" applyFont="1" applyBorder="1" applyAlignment="1">
      <alignment horizontal="right"/>
    </xf>
    <xf numFmtId="0" fontId="53" fillId="0" borderId="84" xfId="0" applyFont="1" applyBorder="1" applyAlignment="1">
      <alignment horizontal="left"/>
    </xf>
    <xf numFmtId="2" fontId="56" fillId="0" borderId="83" xfId="0" applyNumberFormat="1" applyFont="1" applyBorder="1" applyAlignment="1">
      <alignment horizontal="right"/>
    </xf>
    <xf numFmtId="2" fontId="19" fillId="0" borderId="83" xfId="0" applyNumberFormat="1" applyFont="1" applyBorder="1" applyAlignment="1">
      <alignment horizontal="right"/>
    </xf>
    <xf numFmtId="0" fontId="25" fillId="0" borderId="83" xfId="0" applyFont="1" applyBorder="1" applyAlignment="1">
      <alignment horizontal="left"/>
    </xf>
    <xf numFmtId="2" fontId="38" fillId="0" borderId="83" xfId="0" applyNumberFormat="1" applyFont="1" applyBorder="1" applyAlignment="1">
      <alignment horizontal="right"/>
    </xf>
    <xf numFmtId="0" fontId="25" fillId="23" borderId="85" xfId="0" applyFont="1" applyFill="1" applyBorder="1" applyAlignment="1">
      <alignment horizontal="left"/>
    </xf>
    <xf numFmtId="0" fontId="25" fillId="23" borderId="83" xfId="0" applyFont="1" applyFill="1" applyBorder="1" applyAlignment="1">
      <alignment horizontal="center"/>
    </xf>
    <xf numFmtId="0" fontId="32" fillId="0" borderId="85" xfId="0" applyFont="1" applyBorder="1" applyAlignment="1">
      <alignment horizontal="left"/>
    </xf>
    <xf numFmtId="2" fontId="43" fillId="0" borderId="83" xfId="0" applyNumberFormat="1" applyFont="1" applyBorder="1" applyAlignment="1">
      <alignment horizontal="right"/>
    </xf>
    <xf numFmtId="0" fontId="59" fillId="0" borderId="86" xfId="0" applyFont="1" applyBorder="1"/>
    <xf numFmtId="2" fontId="21" fillId="0" borderId="83" xfId="0" applyNumberFormat="1" applyFont="1" applyBorder="1" applyAlignment="1">
      <alignment horizontal="right"/>
    </xf>
    <xf numFmtId="0" fontId="32" fillId="8" borderId="85" xfId="0" applyFont="1" applyFill="1" applyBorder="1" applyAlignment="1">
      <alignment horizontal="left"/>
    </xf>
    <xf numFmtId="0" fontId="88" fillId="0" borderId="86" xfId="0" applyFont="1" applyBorder="1"/>
    <xf numFmtId="2" fontId="51" fillId="0" borderId="83" xfId="0" applyNumberFormat="1" applyFont="1" applyBorder="1" applyAlignment="1">
      <alignment horizontal="right"/>
    </xf>
    <xf numFmtId="0" fontId="25" fillId="0" borderId="85" xfId="0" applyFont="1" applyBorder="1" applyAlignment="1">
      <alignment horizontal="left"/>
    </xf>
    <xf numFmtId="0" fontId="25" fillId="0" borderId="86" xfId="0" applyFont="1" applyBorder="1" applyAlignment="1">
      <alignment horizontal="center"/>
    </xf>
    <xf numFmtId="0" fontId="25" fillId="0" borderId="94" xfId="0" applyFont="1" applyBorder="1" applyAlignment="1">
      <alignment horizontal="left"/>
    </xf>
    <xf numFmtId="0" fontId="25" fillId="18" borderId="99" xfId="0" applyFont="1" applyFill="1" applyBorder="1" applyAlignment="1">
      <alignment horizontal="right"/>
    </xf>
    <xf numFmtId="0" fontId="25" fillId="18" borderId="89" xfId="0" applyFont="1" applyFill="1" applyBorder="1" applyAlignment="1">
      <alignment horizontal="center"/>
    </xf>
    <xf numFmtId="2" fontId="28" fillId="0" borderId="100" xfId="0" applyNumberFormat="1" applyFont="1" applyBorder="1" applyAlignment="1">
      <alignment horizontal="right"/>
    </xf>
    <xf numFmtId="0" fontId="31" fillId="0" borderId="86" xfId="0" applyFont="1" applyBorder="1" applyAlignment="1">
      <alignment horizontal="center"/>
    </xf>
    <xf numFmtId="0" fontId="59" fillId="0" borderId="94" xfId="0" applyFont="1" applyBorder="1" applyAlignment="1">
      <alignment horizontal="left"/>
    </xf>
    <xf numFmtId="2" fontId="29" fillId="0" borderId="83" xfId="0" applyNumberFormat="1" applyFont="1" applyBorder="1" applyAlignment="1">
      <alignment horizontal="right"/>
    </xf>
    <xf numFmtId="0" fontId="53" fillId="2" borderId="47" xfId="0" applyFont="1" applyFill="1" applyBorder="1"/>
    <xf numFmtId="2" fontId="29" fillId="0" borderId="70" xfId="0" applyNumberFormat="1" applyFont="1" applyBorder="1" applyAlignment="1">
      <alignment horizontal="right"/>
    </xf>
    <xf numFmtId="0" fontId="70" fillId="0" borderId="35" xfId="0" applyFont="1" applyBorder="1"/>
    <xf numFmtId="0" fontId="31" fillId="2" borderId="10" xfId="0" applyFont="1" applyFill="1" applyBorder="1"/>
    <xf numFmtId="0" fontId="31" fillId="2" borderId="11" xfId="0" applyFont="1" applyFill="1" applyBorder="1"/>
    <xf numFmtId="49" fontId="51" fillId="9" borderId="12" xfId="0" applyNumberFormat="1" applyFont="1" applyFill="1" applyBorder="1" applyAlignment="1">
      <alignment horizontal="left"/>
    </xf>
    <xf numFmtId="0" fontId="31" fillId="0" borderId="35" xfId="0" applyFont="1" applyBorder="1"/>
    <xf numFmtId="0" fontId="32" fillId="0" borderId="35" xfId="0" applyFont="1" applyBorder="1"/>
    <xf numFmtId="2" fontId="25" fillId="0" borderId="13" xfId="0" applyNumberFormat="1" applyFont="1" applyBorder="1"/>
    <xf numFmtId="0" fontId="31" fillId="3" borderId="10" xfId="0" applyFont="1" applyFill="1" applyBorder="1"/>
    <xf numFmtId="2" fontId="31" fillId="0" borderId="13" xfId="0" applyNumberFormat="1" applyFont="1" applyBorder="1"/>
    <xf numFmtId="2" fontId="31" fillId="0" borderId="13" xfId="0" applyNumberFormat="1" applyFont="1" applyBorder="1" applyAlignment="1">
      <alignment horizontal="right"/>
    </xf>
    <xf numFmtId="2" fontId="31" fillId="3" borderId="13" xfId="0" applyNumberFormat="1" applyFont="1" applyFill="1" applyBorder="1"/>
    <xf numFmtId="49" fontId="49" fillId="0" borderId="35" xfId="0" applyNumberFormat="1" applyFont="1" applyBorder="1" applyAlignment="1">
      <alignment horizontal="left"/>
    </xf>
    <xf numFmtId="49" fontId="49" fillId="3" borderId="35" xfId="0" applyNumberFormat="1" applyFont="1" applyFill="1" applyBorder="1" applyAlignment="1">
      <alignment horizontal="left"/>
    </xf>
    <xf numFmtId="2" fontId="59" fillId="3" borderId="13" xfId="0" applyNumberFormat="1" applyFont="1" applyFill="1" applyBorder="1" applyAlignment="1">
      <alignment horizontal="right"/>
    </xf>
    <xf numFmtId="2" fontId="25" fillId="0" borderId="13" xfId="0" applyNumberFormat="1" applyFont="1" applyBorder="1" applyAlignment="1">
      <alignment horizontal="right"/>
    </xf>
    <xf numFmtId="1" fontId="31" fillId="3" borderId="35" xfId="0" applyNumberFormat="1" applyFont="1" applyFill="1" applyBorder="1" applyAlignment="1">
      <alignment horizontal="right"/>
    </xf>
    <xf numFmtId="49" fontId="51" fillId="35" borderId="12" xfId="0" applyNumberFormat="1" applyFont="1" applyFill="1" applyBorder="1" applyAlignment="1">
      <alignment horizontal="left"/>
    </xf>
    <xf numFmtId="0" fontId="51" fillId="2" borderId="10" xfId="0" applyFont="1" applyFill="1" applyBorder="1" applyAlignment="1">
      <alignment horizontal="center"/>
    </xf>
    <xf numFmtId="0" fontId="32" fillId="18" borderId="87" xfId="0" applyFont="1" applyFill="1" applyBorder="1" applyAlignment="1">
      <alignment horizontal="right"/>
    </xf>
    <xf numFmtId="0" fontId="32" fillId="18" borderId="84" xfId="0" applyFont="1" applyFill="1" applyBorder="1" applyAlignment="1">
      <alignment horizontal="center"/>
    </xf>
    <xf numFmtId="49" fontId="51" fillId="9" borderId="85" xfId="0" applyNumberFormat="1" applyFont="1" applyFill="1" applyBorder="1"/>
    <xf numFmtId="0" fontId="53" fillId="18" borderId="87" xfId="0" applyFont="1" applyFill="1" applyBorder="1" applyAlignment="1">
      <alignment horizontal="right"/>
    </xf>
    <xf numFmtId="2" fontId="51" fillId="0" borderId="13" xfId="0" applyNumberFormat="1" applyFont="1" applyBorder="1" applyAlignment="1">
      <alignment horizontal="right"/>
    </xf>
    <xf numFmtId="0" fontId="25" fillId="3" borderId="13" xfId="0" applyFont="1" applyFill="1" applyBorder="1" applyAlignment="1">
      <alignment horizontal="left"/>
    </xf>
    <xf numFmtId="2" fontId="25" fillId="3" borderId="13" xfId="0" applyNumberFormat="1" applyFont="1" applyFill="1" applyBorder="1"/>
    <xf numFmtId="1" fontId="31" fillId="0" borderId="13" xfId="0" applyNumberFormat="1" applyFont="1" applyBorder="1" applyAlignment="1">
      <alignment horizontal="right"/>
    </xf>
    <xf numFmtId="2" fontId="25" fillId="3" borderId="13" xfId="0" applyNumberFormat="1" applyFont="1" applyFill="1" applyBorder="1" applyAlignment="1">
      <alignment horizontal="right"/>
    </xf>
    <xf numFmtId="0" fontId="71" fillId="3" borderId="46" xfId="0" applyFont="1" applyFill="1" applyBorder="1" applyAlignment="1">
      <alignment horizontal="center"/>
    </xf>
    <xf numFmtId="2" fontId="71" fillId="3" borderId="35" xfId="0" applyNumberFormat="1" applyFont="1" applyFill="1" applyBorder="1" applyAlignment="1">
      <alignment horizontal="right"/>
    </xf>
    <xf numFmtId="2" fontId="71" fillId="3" borderId="13" xfId="0" applyNumberFormat="1" applyFont="1" applyFill="1" applyBorder="1"/>
    <xf numFmtId="2" fontId="32" fillId="0" borderId="13" xfId="0" applyNumberFormat="1" applyFont="1" applyBorder="1" applyAlignment="1">
      <alignment horizontal="right"/>
    </xf>
    <xf numFmtId="49" fontId="32" fillId="0" borderId="35" xfId="0" applyNumberFormat="1" applyFont="1" applyBorder="1" applyAlignment="1">
      <alignment horizontal="left"/>
    </xf>
    <xf numFmtId="0" fontId="49" fillId="2" borderId="11" xfId="0" applyFont="1" applyFill="1" applyBorder="1" applyAlignment="1">
      <alignment horizontal="center"/>
    </xf>
    <xf numFmtId="4" fontId="25" fillId="8" borderId="13" xfId="0" applyNumberFormat="1" applyFont="1" applyFill="1" applyBorder="1" applyAlignment="1">
      <alignment horizontal="left"/>
    </xf>
    <xf numFmtId="2" fontId="32" fillId="0" borderId="35" xfId="0" applyNumberFormat="1" applyFont="1" applyBorder="1"/>
    <xf numFmtId="0" fontId="25" fillId="8" borderId="13" xfId="0" applyFont="1" applyFill="1" applyBorder="1" applyAlignment="1">
      <alignment horizontal="left"/>
    </xf>
    <xf numFmtId="0" fontId="25" fillId="8" borderId="7" xfId="0" applyFont="1" applyFill="1" applyBorder="1"/>
    <xf numFmtId="0" fontId="32" fillId="8" borderId="35" xfId="0" applyFont="1" applyFill="1" applyBorder="1" applyAlignment="1">
      <alignment horizontal="center"/>
    </xf>
    <xf numFmtId="0" fontId="31" fillId="8" borderId="12" xfId="0" applyFont="1" applyFill="1" applyBorder="1"/>
    <xf numFmtId="49" fontId="53" fillId="0" borderId="35" xfId="0" applyNumberFormat="1" applyFont="1" applyBorder="1"/>
    <xf numFmtId="2" fontId="32" fillId="0" borderId="13" xfId="0" applyNumberFormat="1" applyFont="1" applyBorder="1" applyAlignment="1">
      <alignment horizontal="center"/>
    </xf>
    <xf numFmtId="2" fontId="25" fillId="0" borderId="29" xfId="0" applyNumberFormat="1" applyFont="1" applyBorder="1" applyAlignment="1">
      <alignment horizontal="center"/>
    </xf>
    <xf numFmtId="2" fontId="25" fillId="0" borderId="32" xfId="0" applyNumberFormat="1" applyFont="1" applyBorder="1" applyAlignment="1">
      <alignment horizontal="center"/>
    </xf>
    <xf numFmtId="2" fontId="32" fillId="41" borderId="25" xfId="0" applyNumberFormat="1" applyFont="1" applyFill="1" applyBorder="1" applyAlignment="1">
      <alignment horizontal="right"/>
    </xf>
    <xf numFmtId="2" fontId="51" fillId="3" borderId="8" xfId="0" applyNumberFormat="1" applyFont="1" applyFill="1" applyBorder="1" applyAlignment="1">
      <alignment horizontal="right"/>
    </xf>
    <xf numFmtId="2" fontId="31" fillId="3" borderId="8" xfId="0" applyNumberFormat="1" applyFont="1" applyFill="1" applyBorder="1" applyAlignment="1">
      <alignment horizontal="right"/>
    </xf>
    <xf numFmtId="0" fontId="32" fillId="3" borderId="7" xfId="0" applyFont="1" applyFill="1" applyBorder="1"/>
    <xf numFmtId="0" fontId="25" fillId="3" borderId="7" xfId="0" applyFont="1" applyFill="1" applyBorder="1"/>
    <xf numFmtId="0" fontId="32" fillId="3" borderId="35" xfId="0" applyFont="1" applyFill="1" applyBorder="1" applyAlignment="1">
      <alignment horizontal="center"/>
    </xf>
    <xf numFmtId="0" fontId="32" fillId="3" borderId="13" xfId="0" applyFont="1" applyFill="1" applyBorder="1" applyAlignment="1">
      <alignment horizontal="center"/>
    </xf>
    <xf numFmtId="0" fontId="31" fillId="3" borderId="10" xfId="0" applyFont="1" applyFill="1" applyBorder="1" applyAlignment="1">
      <alignment horizontal="center"/>
    </xf>
    <xf numFmtId="2" fontId="32" fillId="10" borderId="13" xfId="0" applyNumberFormat="1" applyFont="1" applyFill="1" applyBorder="1" applyAlignment="1">
      <alignment horizontal="right"/>
    </xf>
    <xf numFmtId="2" fontId="32" fillId="10" borderId="8" xfId="0" applyNumberFormat="1" applyFont="1" applyFill="1" applyBorder="1" applyAlignment="1">
      <alignment horizontal="right"/>
    </xf>
    <xf numFmtId="2" fontId="32" fillId="10" borderId="25" xfId="0" applyNumberFormat="1" applyFont="1" applyFill="1" applyBorder="1" applyAlignment="1">
      <alignment horizontal="right"/>
    </xf>
    <xf numFmtId="0" fontId="25" fillId="8" borderId="38" xfId="0" applyFont="1" applyFill="1" applyBorder="1" applyAlignment="1"/>
    <xf numFmtId="2" fontId="31" fillId="0" borderId="41" xfId="0" applyNumberFormat="1" applyFont="1" applyBorder="1" applyAlignment="1">
      <alignment horizontal="center"/>
    </xf>
    <xf numFmtId="2" fontId="31" fillId="0" borderId="42" xfId="0" applyNumberFormat="1" applyFont="1" applyBorder="1" applyAlignment="1">
      <alignment horizontal="center"/>
    </xf>
    <xf numFmtId="2" fontId="31" fillId="3" borderId="13" xfId="0" applyNumberFormat="1" applyFont="1" applyFill="1" applyBorder="1" applyAlignment="1">
      <alignment horizontal="left"/>
    </xf>
    <xf numFmtId="0" fontId="32" fillId="18" borderId="87" xfId="0" applyFont="1" applyFill="1" applyBorder="1" applyAlignment="1">
      <alignment horizontal="left"/>
    </xf>
    <xf numFmtId="0" fontId="32" fillId="18" borderId="84" xfId="0" applyFont="1" applyFill="1" applyBorder="1" applyAlignment="1">
      <alignment horizontal="left"/>
    </xf>
    <xf numFmtId="49" fontId="51" fillId="0" borderId="85" xfId="0" applyNumberFormat="1" applyFont="1" applyBorder="1" applyAlignment="1">
      <alignment horizontal="left"/>
    </xf>
    <xf numFmtId="0" fontId="32" fillId="0" borderId="86" xfId="0" applyFont="1" applyBorder="1" applyAlignment="1">
      <alignment horizontal="left"/>
    </xf>
    <xf numFmtId="49" fontId="32" fillId="0" borderId="86" xfId="0" applyNumberFormat="1" applyFont="1" applyBorder="1" applyAlignment="1">
      <alignment horizontal="left"/>
    </xf>
    <xf numFmtId="49" fontId="51" fillId="9" borderId="85" xfId="0" applyNumberFormat="1" applyFont="1" applyFill="1" applyBorder="1" applyAlignment="1">
      <alignment horizontal="left"/>
    </xf>
    <xf numFmtId="0" fontId="31" fillId="0" borderId="86" xfId="0" applyFont="1" applyBorder="1" applyAlignment="1">
      <alignment horizontal="left"/>
    </xf>
    <xf numFmtId="0" fontId="53" fillId="18" borderId="87" xfId="0" applyFont="1" applyFill="1" applyBorder="1" applyAlignment="1">
      <alignment horizontal="left"/>
    </xf>
    <xf numFmtId="0" fontId="53" fillId="18" borderId="84" xfId="0" applyFont="1" applyFill="1" applyBorder="1" applyAlignment="1">
      <alignment horizontal="left"/>
    </xf>
    <xf numFmtId="2" fontId="31" fillId="0" borderId="13" xfId="0" applyNumberFormat="1" applyFont="1" applyBorder="1" applyAlignment="1">
      <alignment horizontal="left"/>
    </xf>
    <xf numFmtId="2" fontId="25" fillId="0" borderId="13" xfId="0" applyNumberFormat="1" applyFont="1" applyBorder="1" applyAlignment="1">
      <alignment horizontal="left"/>
    </xf>
    <xf numFmtId="2" fontId="25" fillId="3" borderId="13" xfId="0" applyNumberFormat="1" applyFont="1" applyFill="1" applyBorder="1" applyAlignment="1">
      <alignment horizontal="left"/>
    </xf>
    <xf numFmtId="0" fontId="25" fillId="8" borderId="7" xfId="0" applyFont="1" applyFill="1" applyBorder="1" applyAlignment="1">
      <alignment horizontal="left"/>
    </xf>
    <xf numFmtId="0" fontId="31" fillId="3" borderId="13" xfId="0" applyFont="1" applyFill="1" applyBorder="1" applyAlignment="1">
      <alignment horizontal="left"/>
    </xf>
    <xf numFmtId="0" fontId="31" fillId="3" borderId="46" xfId="0" applyFont="1" applyFill="1" applyBorder="1" applyAlignment="1">
      <alignment horizontal="left"/>
    </xf>
    <xf numFmtId="1" fontId="31" fillId="0" borderId="13" xfId="0" applyNumberFormat="1" applyFont="1" applyBorder="1" applyAlignment="1">
      <alignment horizontal="left"/>
    </xf>
    <xf numFmtId="0" fontId="80" fillId="0" borderId="35" xfId="0" applyFont="1" applyBorder="1"/>
    <xf numFmtId="1" fontId="80" fillId="0" borderId="13" xfId="0" applyNumberFormat="1" applyFont="1" applyBorder="1" applyAlignment="1">
      <alignment horizontal="right"/>
    </xf>
    <xf numFmtId="2" fontId="31" fillId="0" borderId="29" xfId="0" applyNumberFormat="1" applyFont="1" applyBorder="1" applyAlignment="1">
      <alignment horizontal="center"/>
    </xf>
    <xf numFmtId="2" fontId="31" fillId="4" borderId="23" xfId="0" applyNumberFormat="1" applyFont="1" applyFill="1" applyBorder="1" applyAlignment="1">
      <alignment horizontal="right"/>
    </xf>
    <xf numFmtId="2" fontId="31" fillId="4" borderId="11" xfId="0" applyNumberFormat="1" applyFont="1" applyFill="1" applyBorder="1" applyAlignment="1">
      <alignment horizontal="right"/>
    </xf>
    <xf numFmtId="2" fontId="31" fillId="3" borderId="11" xfId="0" applyNumberFormat="1" applyFont="1" applyFill="1" applyBorder="1" applyAlignment="1">
      <alignment horizontal="right"/>
    </xf>
    <xf numFmtId="2" fontId="31" fillId="6" borderId="8" xfId="0" applyNumberFormat="1" applyFont="1" applyFill="1" applyBorder="1" applyAlignment="1">
      <alignment horizontal="right"/>
    </xf>
    <xf numFmtId="2" fontId="31" fillId="6" borderId="13" xfId="0" applyNumberFormat="1" applyFont="1" applyFill="1" applyBorder="1" applyAlignment="1">
      <alignment horizontal="right"/>
    </xf>
    <xf numFmtId="2" fontId="31" fillId="3" borderId="18" xfId="0" applyNumberFormat="1" applyFont="1" applyFill="1" applyBorder="1" applyAlignment="1">
      <alignment horizontal="right"/>
    </xf>
    <xf numFmtId="2" fontId="31" fillId="3" borderId="6" xfId="0" applyNumberFormat="1" applyFont="1" applyFill="1" applyBorder="1" applyAlignment="1">
      <alignment horizontal="right"/>
    </xf>
    <xf numFmtId="0" fontId="90" fillId="3" borderId="64" xfId="0" applyFont="1" applyFill="1" applyBorder="1" applyAlignment="1">
      <alignment horizontal="center"/>
    </xf>
    <xf numFmtId="0" fontId="24" fillId="13" borderId="11" xfId="0" applyFont="1" applyFill="1" applyBorder="1" applyAlignment="1">
      <alignment horizontal="center"/>
    </xf>
    <xf numFmtId="0" fontId="70" fillId="0" borderId="12" xfId="0" applyFont="1" applyBorder="1" applyAlignment="1">
      <alignment horizontal="left"/>
    </xf>
    <xf numFmtId="0" fontId="23" fillId="0" borderId="35" xfId="0" applyFont="1" applyBorder="1" applyAlignment="1">
      <alignment horizontal="center"/>
    </xf>
    <xf numFmtId="0" fontId="23" fillId="0" borderId="11" xfId="0" applyFont="1" applyBorder="1" applyAlignment="1">
      <alignment horizontal="left"/>
    </xf>
    <xf numFmtId="0" fontId="24" fillId="2" borderId="11" xfId="0" applyFont="1" applyFill="1" applyBorder="1" applyAlignment="1">
      <alignment horizontal="center"/>
    </xf>
    <xf numFmtId="49" fontId="49" fillId="0" borderId="12" xfId="0" applyNumberFormat="1" applyFont="1" applyBorder="1"/>
    <xf numFmtId="0" fontId="49" fillId="0" borderId="35" xfId="0" applyFont="1" applyBorder="1" applyAlignment="1">
      <alignment horizontal="right"/>
    </xf>
    <xf numFmtId="2" fontId="49" fillId="0" borderId="35" xfId="0" applyNumberFormat="1" applyFont="1" applyBorder="1" applyAlignment="1">
      <alignment horizontal="right"/>
    </xf>
    <xf numFmtId="49" fontId="69" fillId="0" borderId="35" xfId="0" applyNumberFormat="1" applyFont="1" applyBorder="1"/>
    <xf numFmtId="49" fontId="69" fillId="0" borderId="34" xfId="0" applyNumberFormat="1" applyFont="1" applyBorder="1"/>
    <xf numFmtId="49" fontId="69" fillId="0" borderId="74" xfId="0" applyNumberFormat="1" applyFont="1" applyBorder="1"/>
    <xf numFmtId="49" fontId="69" fillId="3" borderId="35" xfId="0" applyNumberFormat="1" applyFont="1" applyFill="1" applyBorder="1"/>
    <xf numFmtId="49" fontId="69" fillId="3" borderId="69" xfId="0" applyNumberFormat="1" applyFont="1" applyFill="1" applyBorder="1"/>
    <xf numFmtId="49" fontId="69" fillId="11" borderId="35" xfId="0" applyNumberFormat="1" applyFont="1" applyFill="1" applyBorder="1"/>
    <xf numFmtId="0" fontId="35" fillId="12" borderId="11" xfId="0" applyFont="1" applyFill="1" applyBorder="1" applyAlignment="1">
      <alignment horizontal="center"/>
    </xf>
    <xf numFmtId="49" fontId="50" fillId="12" borderId="35" xfId="0" applyNumberFormat="1" applyFont="1" applyFill="1" applyBorder="1"/>
    <xf numFmtId="0" fontId="90" fillId="13" borderId="11" xfId="0" applyFont="1" applyFill="1" applyBorder="1" applyAlignment="1">
      <alignment horizontal="center"/>
    </xf>
    <xf numFmtId="0" fontId="38" fillId="4" borderId="11" xfId="0" applyFont="1" applyFill="1" applyBorder="1" applyAlignment="1">
      <alignment horizontal="center"/>
    </xf>
    <xf numFmtId="49" fontId="50" fillId="4" borderId="35" xfId="0" applyNumberFormat="1" applyFont="1" applyFill="1" applyBorder="1"/>
    <xf numFmtId="0" fontId="51" fillId="3" borderId="18" xfId="0" applyFont="1" applyFill="1" applyBorder="1" applyAlignment="1">
      <alignment horizontal="right"/>
    </xf>
    <xf numFmtId="1" fontId="51" fillId="3" borderId="13" xfId="0" applyNumberFormat="1" applyFont="1" applyFill="1" applyBorder="1" applyAlignment="1">
      <alignment horizontal="right"/>
    </xf>
    <xf numFmtId="0" fontId="71" fillId="3" borderId="12" xfId="0" applyFont="1" applyFill="1" applyBorder="1"/>
    <xf numFmtId="0" fontId="71" fillId="3" borderId="12" xfId="0" applyFont="1" applyFill="1" applyBorder="1" applyAlignment="1">
      <alignment horizontal="center"/>
    </xf>
    <xf numFmtId="49" fontId="31" fillId="3" borderId="34" xfId="0" applyNumberFormat="1" applyFont="1" applyFill="1" applyBorder="1" applyAlignment="1">
      <alignment horizontal="center"/>
    </xf>
    <xf numFmtId="49" fontId="31" fillId="12" borderId="35" xfId="0" applyNumberFormat="1" applyFont="1" applyFill="1" applyBorder="1" applyAlignment="1">
      <alignment horizontal="center"/>
    </xf>
    <xf numFmtId="0" fontId="59" fillId="3" borderId="47" xfId="0" applyFont="1" applyFill="1" applyBorder="1" applyAlignment="1">
      <alignment horizontal="left"/>
    </xf>
    <xf numFmtId="0" fontId="81" fillId="0" borderId="35" xfId="0" applyFont="1" applyBorder="1"/>
  </cellXfs>
  <cellStyles count="11">
    <cellStyle name="Comma" xfId="3" builtinId="3"/>
    <cellStyle name="Currency" xfId="8" builtinId="4"/>
    <cellStyle name="Followed Hyperlink" xfId="1" builtinId="9"/>
    <cellStyle name="Hyperlink" xfId="2" builtinId="8"/>
    <cellStyle name="Normal" xfId="0" builtinId="0"/>
    <cellStyle name="Percent" xfId="5" builtinId="5"/>
    <cellStyle name="เปอร์เซ็นต์ 2" xfId="6" xr:uid="{0BB38922-9F68-43D6-BE6F-0ED3ED17AB04}"/>
    <cellStyle name="เปอร์เซ็นต์ 3" xfId="7" xr:uid="{25B342AD-6234-430F-A619-A959E4D25378}"/>
    <cellStyle name="ปกติ 2" xfId="4" xr:uid="{075F90E4-84F6-4F91-A9DE-550E61DE79D6}"/>
    <cellStyle name="สกุลเงิน 2" xfId="9" xr:uid="{5513035F-D031-45A5-8C46-9ADC70C70DC1}"/>
    <cellStyle name="สกุลเงิน 3" xfId="10" xr:uid="{5A645E75-1D2B-4961-8D03-9CD84D9C546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ชุดรูปแบบของ Office">
  <a:themeElements>
    <a:clrScheme name="ทางเดิน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322@26.81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mailto:&#3621;&#3604;2%25&#3604;8/55&#3621;&#3633;&#3591;642@53.4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103&#3585;.&#3649;&#3606;&#3617;5&#3585;&#3621;&#3656;&#3629;&#3591;@141.3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&#3621;&#3604;2%25&#3604;8/55&#3621;&#3633;&#3591;642@53.47" TargetMode="External"/><Relationship Id="rId1" Type="http://schemas.openxmlformats.org/officeDocument/2006/relationships/hyperlink" Target="mailto:&#3621;&#3604;2%25&#3604;8/55&#3621;&#3633;&#3591;642@53.4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&#3604;1/56&#3650;&#3627;&#3621;260@21.6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&#3604;1/56&#3650;&#3627;&#3621;260@21.61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&#3611;&#3585;&#3605;&#3636;990@99" TargetMode="External"/><Relationship Id="rId2" Type="http://schemas.openxmlformats.org/officeDocument/2006/relationships/hyperlink" Target="mailto:&#3611;&#3585;&#3605;&#3636;990@99" TargetMode="External"/><Relationship Id="rId1" Type="http://schemas.openxmlformats.org/officeDocument/2006/relationships/hyperlink" Target="mailto:&#3614;42.6@8.52" TargetMode="External"/><Relationship Id="rId4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&#3611;&#3585;&#3605;&#3636;3475@579.27" TargetMode="External"/><Relationship Id="rId7" Type="http://schemas.openxmlformats.org/officeDocument/2006/relationships/printerSettings" Target="../printerSettings/printerSettings13.bin"/><Relationship Id="rId2" Type="http://schemas.openxmlformats.org/officeDocument/2006/relationships/hyperlink" Target="mailto:&#3611;&#3585;&#3605;&#3636;226@377.73" TargetMode="External"/><Relationship Id="rId1" Type="http://schemas.openxmlformats.org/officeDocument/2006/relationships/hyperlink" Target="mailto:&#3611;&#3585;&#3605;&#3636;4023@502.97" TargetMode="External"/><Relationship Id="rId6" Type="http://schemas.openxmlformats.org/officeDocument/2006/relationships/hyperlink" Target="mailto:&#3611;&#3585;&#3605;&#3636;6362@795" TargetMode="External"/><Relationship Id="rId5" Type="http://schemas.openxmlformats.org/officeDocument/2006/relationships/hyperlink" Target="mailto:&#3611;&#3585;&#3605;&#3636;6362@795" TargetMode="External"/><Relationship Id="rId4" Type="http://schemas.openxmlformats.org/officeDocument/2006/relationships/hyperlink" Target="mailto:&#3611;&#3585;&#3605;&#3636;4023@502.97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&#3611;&#3585;&#3605;&#3636;529@44" TargetMode="External"/><Relationship Id="rId2" Type="http://schemas.openxmlformats.org/officeDocument/2006/relationships/hyperlink" Target="mailto:&#3611;&#3585;&#3605;&#3636;529@44" TargetMode="External"/><Relationship Id="rId1" Type="http://schemas.openxmlformats.org/officeDocument/2006/relationships/hyperlink" Target="mailto:&#3611;&#3585;&#3605;&#3636;529@44" TargetMode="External"/><Relationship Id="rId4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&#3604;3/56&#3621;&#3633;&#3591;3286@547.67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91FD-E241-4DFC-84C8-E7D1C9F88BD4}">
  <dimension ref="A1:P504"/>
  <sheetViews>
    <sheetView topLeftCell="A10" workbookViewId="0">
      <selection activeCell="I2" sqref="I2"/>
    </sheetView>
  </sheetViews>
  <sheetFormatPr defaultRowHeight="34.5"/>
  <cols>
    <col min="1" max="1" width="7.5703125" style="75" customWidth="1"/>
    <col min="2" max="2" width="28.140625" style="76" customWidth="1"/>
    <col min="3" max="3" width="10.85546875" style="102" customWidth="1"/>
    <col min="4" max="4" width="13.140625" style="335" customWidth="1"/>
    <col min="5" max="5" width="9.28515625" style="335" customWidth="1"/>
    <col min="6" max="6" width="12" style="863" customWidth="1"/>
    <col min="7" max="7" width="13.28515625" style="210" customWidth="1"/>
    <col min="8" max="8" width="13.85546875" style="76" customWidth="1"/>
    <col min="9" max="9" width="22" style="555" customWidth="1"/>
    <col min="10" max="10" width="13.140625" style="540" customWidth="1"/>
    <col min="11" max="11" width="11.7109375" style="366" customWidth="1"/>
    <col min="12" max="12" width="24.28515625" style="76" customWidth="1"/>
    <col min="13" max="16384" width="9.140625" style="76"/>
  </cols>
  <sheetData>
    <row r="1" spans="1:11" ht="29.25" customHeight="1">
      <c r="F1" s="104"/>
      <c r="K1" s="537">
        <v>1</v>
      </c>
    </row>
    <row r="2" spans="1:11" s="45" customFormat="1">
      <c r="A2" s="45" t="s">
        <v>0</v>
      </c>
      <c r="C2" s="68"/>
      <c r="D2" s="612"/>
      <c r="E2" s="335"/>
      <c r="F2" s="104"/>
      <c r="G2" s="210"/>
      <c r="I2" s="556"/>
      <c r="J2" s="540"/>
      <c r="K2" s="366"/>
    </row>
    <row r="3" spans="1:11" s="45" customFormat="1">
      <c r="A3" s="3480" t="s">
        <v>1</v>
      </c>
      <c r="B3" s="3480"/>
      <c r="C3" s="46"/>
      <c r="D3" s="124"/>
      <c r="E3" s="335"/>
      <c r="F3" s="104"/>
      <c r="G3" s="210"/>
      <c r="I3" s="556"/>
      <c r="J3" s="540"/>
      <c r="K3" s="366"/>
    </row>
    <row r="4" spans="1:11" ht="18" customHeight="1" thickBot="1">
      <c r="F4" s="104"/>
    </row>
    <row r="5" spans="1:11" s="46" customFormat="1">
      <c r="A5" s="3445"/>
      <c r="B5" s="3446" t="s">
        <v>2</v>
      </c>
      <c r="C5" s="48" t="s">
        <v>3</v>
      </c>
      <c r="D5" s="436" t="s">
        <v>4</v>
      </c>
      <c r="E5" s="868" t="s">
        <v>5</v>
      </c>
      <c r="F5" s="849" t="s">
        <v>5</v>
      </c>
      <c r="G5" s="219" t="s">
        <v>6</v>
      </c>
      <c r="H5" s="48" t="s">
        <v>7</v>
      </c>
      <c r="I5" s="557" t="s">
        <v>8</v>
      </c>
      <c r="J5" s="541" t="s">
        <v>9</v>
      </c>
      <c r="K5" s="346" t="s">
        <v>9</v>
      </c>
    </row>
    <row r="6" spans="1:11" s="46" customFormat="1" ht="35.25" thickBot="1">
      <c r="A6" s="51"/>
      <c r="B6" s="72"/>
      <c r="C6" s="50"/>
      <c r="D6" s="437" t="s">
        <v>10</v>
      </c>
      <c r="E6" s="869" t="s">
        <v>11</v>
      </c>
      <c r="F6" s="850" t="s">
        <v>12</v>
      </c>
      <c r="G6" s="212"/>
      <c r="H6" s="50" t="s">
        <v>13</v>
      </c>
      <c r="I6" s="558"/>
      <c r="J6" s="542" t="s">
        <v>14</v>
      </c>
      <c r="K6" s="347" t="s">
        <v>15</v>
      </c>
    </row>
    <row r="7" spans="1:11" s="46" customFormat="1">
      <c r="A7" s="766"/>
      <c r="B7" s="3555" t="s">
        <v>16</v>
      </c>
      <c r="C7" s="3556" t="s">
        <v>17</v>
      </c>
      <c r="D7" s="3557" t="s">
        <v>18</v>
      </c>
      <c r="E7" s="3558">
        <v>25</v>
      </c>
      <c r="F7" s="3559"/>
      <c r="G7" s="3560" t="s">
        <v>19</v>
      </c>
      <c r="H7" s="3561">
        <v>582</v>
      </c>
      <c r="I7" s="3562"/>
      <c r="J7" s="3563">
        <v>509</v>
      </c>
      <c r="K7" s="3564" t="s">
        <v>20</v>
      </c>
    </row>
    <row r="8" spans="1:11">
      <c r="A8" s="662"/>
      <c r="B8" s="3555" t="s">
        <v>21</v>
      </c>
      <c r="C8" s="3565" t="s">
        <v>22</v>
      </c>
      <c r="D8" s="3566" t="s">
        <v>23</v>
      </c>
      <c r="E8" s="3558">
        <v>40</v>
      </c>
      <c r="F8" s="3567"/>
      <c r="G8" s="3568" t="s">
        <v>24</v>
      </c>
      <c r="H8" s="3561">
        <v>612</v>
      </c>
      <c r="I8" s="3569"/>
      <c r="J8" s="3563" t="s">
        <v>25</v>
      </c>
      <c r="K8" s="3570">
        <v>34.82</v>
      </c>
    </row>
    <row r="9" spans="1:11">
      <c r="A9" s="770"/>
      <c r="B9" s="3555"/>
      <c r="C9" s="3565" t="s">
        <v>26</v>
      </c>
      <c r="D9" s="3566" t="s">
        <v>27</v>
      </c>
      <c r="E9" s="3571">
        <v>57</v>
      </c>
      <c r="F9" s="3559"/>
      <c r="G9" s="3560" t="s">
        <v>28</v>
      </c>
      <c r="H9" s="3561"/>
      <c r="I9" s="3572"/>
      <c r="J9" s="3563">
        <v>415.71</v>
      </c>
      <c r="K9" s="3570">
        <v>51.96</v>
      </c>
    </row>
    <row r="10" spans="1:11">
      <c r="A10" s="1000"/>
      <c r="B10" s="3555"/>
      <c r="C10" s="3565" t="s">
        <v>29</v>
      </c>
      <c r="D10" s="3566" t="s">
        <v>30</v>
      </c>
      <c r="E10" s="3571">
        <v>155</v>
      </c>
      <c r="F10" s="3559"/>
      <c r="G10" s="3560" t="s">
        <v>31</v>
      </c>
      <c r="H10" s="3561"/>
      <c r="I10" s="3572"/>
      <c r="J10" s="3563">
        <v>489.19</v>
      </c>
      <c r="K10" s="3570">
        <v>122.3</v>
      </c>
    </row>
    <row r="11" spans="1:11">
      <c r="A11" s="1000"/>
      <c r="B11" s="3555" t="s">
        <v>32</v>
      </c>
      <c r="C11" s="3565" t="s">
        <v>33</v>
      </c>
      <c r="D11" s="3566" t="s">
        <v>23</v>
      </c>
      <c r="E11" s="3558">
        <v>40</v>
      </c>
      <c r="F11" s="3567"/>
      <c r="G11" s="3568" t="s">
        <v>34</v>
      </c>
      <c r="H11" s="3561">
        <v>612</v>
      </c>
      <c r="I11" s="3569"/>
      <c r="J11" s="3563" t="s">
        <v>25</v>
      </c>
      <c r="K11" s="3570">
        <v>34.82</v>
      </c>
    </row>
    <row r="12" spans="1:11">
      <c r="A12" s="662"/>
      <c r="B12" s="3555"/>
      <c r="C12" s="3565" t="s">
        <v>26</v>
      </c>
      <c r="D12" s="3566" t="s">
        <v>27</v>
      </c>
      <c r="E12" s="3571">
        <v>57</v>
      </c>
      <c r="F12" s="3559"/>
      <c r="G12" s="3560" t="s">
        <v>28</v>
      </c>
      <c r="H12" s="3561"/>
      <c r="I12" s="3572"/>
      <c r="J12" s="3563">
        <v>415.71</v>
      </c>
      <c r="K12" s="3570">
        <v>51.96</v>
      </c>
    </row>
    <row r="13" spans="1:11">
      <c r="A13" s="662"/>
      <c r="B13" s="3555"/>
      <c r="C13" s="3565" t="s">
        <v>29</v>
      </c>
      <c r="D13" s="3566" t="s">
        <v>30</v>
      </c>
      <c r="E13" s="3571">
        <v>155</v>
      </c>
      <c r="F13" s="3559"/>
      <c r="G13" s="3560" t="s">
        <v>31</v>
      </c>
      <c r="H13" s="3561"/>
      <c r="I13" s="3572"/>
      <c r="J13" s="3563">
        <v>489.19</v>
      </c>
      <c r="K13" s="3570">
        <v>122.3</v>
      </c>
    </row>
    <row r="14" spans="1:11">
      <c r="A14" s="770"/>
      <c r="B14" s="3573" t="s">
        <v>35</v>
      </c>
      <c r="C14" s="3574" t="s">
        <v>36</v>
      </c>
      <c r="D14" s="3575" t="s">
        <v>23</v>
      </c>
      <c r="E14" s="3576">
        <v>79</v>
      </c>
      <c r="F14" s="3577"/>
      <c r="G14" s="3578" t="s">
        <v>37</v>
      </c>
      <c r="H14" s="3574">
        <v>1270</v>
      </c>
      <c r="I14" s="3579" t="s">
        <v>38</v>
      </c>
      <c r="J14" s="3435">
        <v>820.3</v>
      </c>
      <c r="K14" s="3580">
        <v>68.36</v>
      </c>
    </row>
    <row r="15" spans="1:11">
      <c r="A15" s="1000"/>
      <c r="B15" s="3573" t="s">
        <v>35</v>
      </c>
      <c r="C15" s="3574" t="s">
        <v>39</v>
      </c>
      <c r="D15" s="3575" t="s">
        <v>40</v>
      </c>
      <c r="E15" s="3581">
        <v>137</v>
      </c>
      <c r="F15" s="3582"/>
      <c r="G15" s="3578" t="s">
        <v>37</v>
      </c>
      <c r="H15" s="3583">
        <v>1348</v>
      </c>
      <c r="I15" s="3579" t="s">
        <v>41</v>
      </c>
      <c r="J15" s="3584">
        <v>747.59</v>
      </c>
      <c r="K15" s="3585">
        <v>124.59</v>
      </c>
    </row>
    <row r="16" spans="1:11">
      <c r="A16" s="1336"/>
      <c r="B16" s="3573" t="s">
        <v>42</v>
      </c>
      <c r="C16" s="3574" t="s">
        <v>43</v>
      </c>
      <c r="D16" s="3575" t="s">
        <v>23</v>
      </c>
      <c r="E16" s="3576">
        <v>79</v>
      </c>
      <c r="F16" s="3577"/>
      <c r="G16" s="3578" t="s">
        <v>37</v>
      </c>
      <c r="H16" s="3574">
        <v>1270</v>
      </c>
      <c r="I16" s="3579" t="s">
        <v>38</v>
      </c>
      <c r="J16" s="3435">
        <v>820.3</v>
      </c>
      <c r="K16" s="3580">
        <v>68.36</v>
      </c>
    </row>
    <row r="17" spans="1:16">
      <c r="A17" s="43"/>
      <c r="B17" s="3573" t="s">
        <v>42</v>
      </c>
      <c r="C17" s="3574" t="s">
        <v>44</v>
      </c>
      <c r="D17" s="3575" t="s">
        <v>40</v>
      </c>
      <c r="E17" s="3581">
        <v>98</v>
      </c>
      <c r="F17" s="3582">
        <v>110</v>
      </c>
      <c r="G17" s="3578" t="s">
        <v>37</v>
      </c>
      <c r="H17" s="3583">
        <v>1348</v>
      </c>
      <c r="I17" s="3579" t="s">
        <v>41</v>
      </c>
      <c r="J17" s="3584">
        <v>747.59</v>
      </c>
      <c r="K17" s="3585">
        <v>124.59</v>
      </c>
    </row>
    <row r="18" spans="1:16">
      <c r="A18" s="362"/>
      <c r="B18" s="3586" t="s">
        <v>45</v>
      </c>
      <c r="C18" s="3587" t="s">
        <v>46</v>
      </c>
      <c r="D18" s="3588" t="s">
        <v>23</v>
      </c>
      <c r="E18" s="3589">
        <v>57</v>
      </c>
      <c r="F18" s="3590"/>
      <c r="G18" s="3591" t="s">
        <v>47</v>
      </c>
      <c r="H18" s="3592"/>
      <c r="I18" s="3593"/>
      <c r="J18" s="3594">
        <v>568.34</v>
      </c>
      <c r="K18" s="3595">
        <v>47.36</v>
      </c>
    </row>
    <row r="19" spans="1:16">
      <c r="A19" s="770"/>
      <c r="B19" s="3586" t="s">
        <v>48</v>
      </c>
      <c r="C19" s="3596" t="s">
        <v>49</v>
      </c>
      <c r="D19" s="3588" t="s">
        <v>23</v>
      </c>
      <c r="E19" s="3589">
        <v>94</v>
      </c>
      <c r="F19" s="3590"/>
      <c r="G19" s="3591" t="s">
        <v>50</v>
      </c>
      <c r="H19" s="3592"/>
      <c r="I19" s="3593"/>
      <c r="J19" s="3594"/>
      <c r="K19" s="3595">
        <v>82.4</v>
      </c>
    </row>
    <row r="20" spans="1:16">
      <c r="A20" s="770"/>
      <c r="B20" s="3586" t="s">
        <v>48</v>
      </c>
      <c r="C20" s="3596" t="s">
        <v>51</v>
      </c>
      <c r="D20" s="3597" t="s">
        <v>52</v>
      </c>
      <c r="E20" s="3589">
        <v>110</v>
      </c>
      <c r="F20" s="3590"/>
      <c r="G20" s="3591" t="s">
        <v>53</v>
      </c>
      <c r="H20" s="3592">
        <v>718</v>
      </c>
      <c r="I20" s="3593" t="s">
        <v>54</v>
      </c>
      <c r="J20" s="3594">
        <v>520</v>
      </c>
      <c r="K20" s="3595">
        <v>87</v>
      </c>
    </row>
    <row r="21" spans="1:16">
      <c r="A21" s="770"/>
      <c r="B21" s="3598"/>
      <c r="C21" s="3599"/>
      <c r="D21" s="3600"/>
      <c r="E21" s="3601"/>
      <c r="F21" s="3602"/>
      <c r="G21" s="3603"/>
      <c r="H21" s="3574"/>
      <c r="I21" s="3604"/>
      <c r="J21" s="3605"/>
      <c r="K21" s="3606"/>
    </row>
    <row r="22" spans="1:16">
      <c r="A22" s="599"/>
      <c r="B22" s="3598" t="s">
        <v>55</v>
      </c>
      <c r="C22" s="3607" t="s">
        <v>56</v>
      </c>
      <c r="D22" s="3608" t="s">
        <v>18</v>
      </c>
      <c r="E22" s="3601">
        <v>45</v>
      </c>
      <c r="F22" s="3602"/>
      <c r="G22" s="3603" t="s">
        <v>57</v>
      </c>
      <c r="H22" s="3574">
        <v>969</v>
      </c>
      <c r="I22" s="3604" t="s">
        <v>58</v>
      </c>
      <c r="J22" s="3435">
        <v>1122</v>
      </c>
      <c r="K22" s="3606">
        <v>26.12</v>
      </c>
    </row>
    <row r="23" spans="1:16">
      <c r="A23" s="81"/>
      <c r="B23" s="3598" t="s">
        <v>59</v>
      </c>
      <c r="C23" s="3599" t="s">
        <v>60</v>
      </c>
      <c r="D23" s="3600" t="s">
        <v>18</v>
      </c>
      <c r="E23" s="3601">
        <v>16</v>
      </c>
      <c r="F23" s="3602" t="s">
        <v>61</v>
      </c>
      <c r="G23" s="3603" t="s">
        <v>37</v>
      </c>
      <c r="H23" s="3574">
        <v>418</v>
      </c>
      <c r="I23" s="3604" t="s">
        <v>62</v>
      </c>
      <c r="J23" s="3605" t="s">
        <v>63</v>
      </c>
      <c r="K23" s="3606">
        <v>12.45</v>
      </c>
    </row>
    <row r="24" spans="1:16">
      <c r="A24" s="43"/>
      <c r="B24" s="3598" t="s">
        <v>59</v>
      </c>
      <c r="C24" s="3599" t="s">
        <v>60</v>
      </c>
      <c r="D24" s="3600" t="s">
        <v>18</v>
      </c>
      <c r="E24" s="3601">
        <v>16</v>
      </c>
      <c r="F24" s="3602" t="s">
        <v>61</v>
      </c>
      <c r="G24" s="3603" t="s">
        <v>37</v>
      </c>
      <c r="H24" s="3574">
        <v>418</v>
      </c>
      <c r="I24" s="3604" t="s">
        <v>62</v>
      </c>
      <c r="J24" s="3605" t="s">
        <v>63</v>
      </c>
      <c r="K24" s="3606">
        <v>12.45</v>
      </c>
    </row>
    <row r="25" spans="1:16">
      <c r="A25" s="43"/>
      <c r="B25" s="3598" t="s">
        <v>64</v>
      </c>
      <c r="C25" s="3607" t="s">
        <v>65</v>
      </c>
      <c r="D25" s="3575" t="s">
        <v>66</v>
      </c>
      <c r="E25" s="3601" t="s">
        <v>67</v>
      </c>
      <c r="F25" s="3602"/>
      <c r="G25" s="3603" t="s">
        <v>68</v>
      </c>
      <c r="H25" s="3574"/>
      <c r="I25" s="3604"/>
      <c r="J25" s="3435"/>
      <c r="K25" s="3606">
        <v>6.83</v>
      </c>
    </row>
    <row r="26" spans="1:16">
      <c r="A26" s="43"/>
      <c r="B26" s="3598" t="s">
        <v>64</v>
      </c>
      <c r="C26" s="3607" t="s">
        <v>69</v>
      </c>
      <c r="D26" s="3608" t="s">
        <v>70</v>
      </c>
      <c r="E26" s="3601">
        <v>27</v>
      </c>
      <c r="F26" s="3602"/>
      <c r="G26" s="3603" t="s">
        <v>71</v>
      </c>
      <c r="H26" s="3574"/>
      <c r="I26" s="3604"/>
      <c r="J26" s="3605">
        <v>1183.8599999999999</v>
      </c>
      <c r="K26" s="3606">
        <v>24.66</v>
      </c>
    </row>
    <row r="27" spans="1:16">
      <c r="A27" s="770"/>
      <c r="B27" s="3598" t="s">
        <v>64</v>
      </c>
      <c r="C27" s="3607" t="s">
        <v>56</v>
      </c>
      <c r="D27" s="3608" t="s">
        <v>18</v>
      </c>
      <c r="E27" s="3601">
        <v>45</v>
      </c>
      <c r="F27" s="3602"/>
      <c r="G27" s="3603" t="s">
        <v>72</v>
      </c>
      <c r="H27" s="3574"/>
      <c r="I27" s="3604"/>
      <c r="J27" s="3605"/>
      <c r="K27" s="3606">
        <v>38.75</v>
      </c>
    </row>
    <row r="28" spans="1:16">
      <c r="A28" s="770"/>
      <c r="B28" s="3609" t="s">
        <v>73</v>
      </c>
      <c r="C28" s="3574" t="s">
        <v>74</v>
      </c>
      <c r="D28" s="3610" t="s">
        <v>70</v>
      </c>
      <c r="E28" s="3601">
        <v>12</v>
      </c>
      <c r="F28" s="3437">
        <v>120</v>
      </c>
      <c r="G28" s="3578" t="s">
        <v>75</v>
      </c>
      <c r="H28" s="3574"/>
      <c r="I28" s="3579"/>
      <c r="J28" s="3435">
        <v>115.08</v>
      </c>
      <c r="K28" s="3606">
        <v>9.59</v>
      </c>
      <c r="L28" s="575"/>
      <c r="M28" s="188"/>
      <c r="N28" s="188"/>
      <c r="O28" s="189"/>
      <c r="P28" s="170"/>
    </row>
    <row r="29" spans="1:16">
      <c r="A29" s="770"/>
      <c r="B29" s="3609" t="s">
        <v>76</v>
      </c>
      <c r="C29" s="3574" t="s">
        <v>77</v>
      </c>
      <c r="D29" s="3610" t="s">
        <v>18</v>
      </c>
      <c r="E29" s="3601">
        <v>35</v>
      </c>
      <c r="F29" s="3437"/>
      <c r="G29" s="3611" t="s">
        <v>37</v>
      </c>
      <c r="H29" s="3612">
        <v>765</v>
      </c>
      <c r="I29" s="3604"/>
      <c r="J29" s="3613">
        <v>710.96</v>
      </c>
      <c r="K29" s="3580">
        <v>29</v>
      </c>
      <c r="L29" s="575"/>
      <c r="M29" s="188"/>
      <c r="N29" s="188"/>
      <c r="O29" s="189"/>
      <c r="P29" s="170"/>
    </row>
    <row r="30" spans="1:16">
      <c r="A30" s="315"/>
      <c r="B30" s="3614" t="s">
        <v>78</v>
      </c>
      <c r="C30" s="3574" t="s">
        <v>79</v>
      </c>
      <c r="D30" s="3610" t="s">
        <v>80</v>
      </c>
      <c r="E30" s="3601">
        <v>62</v>
      </c>
      <c r="F30" s="3602"/>
      <c r="G30" s="3603" t="s">
        <v>37</v>
      </c>
      <c r="H30" s="3574">
        <v>785</v>
      </c>
      <c r="I30" s="3604"/>
      <c r="J30" s="3605">
        <v>1008</v>
      </c>
      <c r="K30" s="3606">
        <v>56</v>
      </c>
      <c r="L30" s="575"/>
      <c r="M30" s="188"/>
      <c r="N30" s="188"/>
      <c r="O30" s="189"/>
      <c r="P30" s="170"/>
    </row>
    <row r="31" spans="1:16">
      <c r="A31" s="438"/>
      <c r="B31" s="3615" t="s">
        <v>81</v>
      </c>
      <c r="C31" s="3574" t="s">
        <v>82</v>
      </c>
      <c r="D31" s="3616" t="s">
        <v>30</v>
      </c>
      <c r="E31" s="3601">
        <v>170</v>
      </c>
      <c r="F31" s="3617"/>
      <c r="G31" s="3618" t="s">
        <v>24</v>
      </c>
      <c r="H31" s="3574">
        <v>714</v>
      </c>
      <c r="I31" s="3434"/>
      <c r="J31" s="3605">
        <v>527.54999999999995</v>
      </c>
      <c r="K31" s="3606">
        <v>131.88</v>
      </c>
      <c r="L31" s="575"/>
      <c r="M31" s="188"/>
      <c r="N31" s="188"/>
      <c r="O31" s="189"/>
      <c r="P31" s="170"/>
    </row>
    <row r="32" spans="1:16">
      <c r="A32" s="389"/>
      <c r="B32" s="3609" t="s">
        <v>83</v>
      </c>
      <c r="C32" s="3574" t="s">
        <v>84</v>
      </c>
      <c r="D32" s="3610" t="s">
        <v>18</v>
      </c>
      <c r="E32" s="3601">
        <v>25</v>
      </c>
      <c r="F32" s="3437" t="s">
        <v>85</v>
      </c>
      <c r="G32" s="3433" t="s">
        <v>86</v>
      </c>
      <c r="H32" s="3574">
        <v>714</v>
      </c>
      <c r="I32" s="3434" t="s">
        <v>87</v>
      </c>
      <c r="J32" s="3435" t="s">
        <v>88</v>
      </c>
      <c r="K32" s="3436" t="s">
        <v>89</v>
      </c>
    </row>
    <row r="33" spans="1:12">
      <c r="A33" s="315"/>
      <c r="B33" s="3586"/>
      <c r="C33" s="3596"/>
      <c r="D33" s="3588"/>
      <c r="E33" s="3589"/>
      <c r="F33" s="3590"/>
      <c r="G33" s="3591"/>
      <c r="H33" s="3592"/>
      <c r="I33" s="3593"/>
      <c r="J33" s="3594"/>
      <c r="K33" s="3595"/>
    </row>
    <row r="34" spans="1:12">
      <c r="A34" s="59"/>
      <c r="B34" s="3586"/>
      <c r="C34" s="3596"/>
      <c r="D34" s="3597"/>
      <c r="E34" s="3589"/>
      <c r="F34" s="3590"/>
      <c r="G34" s="3591"/>
      <c r="H34" s="3592"/>
      <c r="I34" s="3593"/>
      <c r="J34" s="3594"/>
      <c r="K34" s="3595"/>
    </row>
    <row r="35" spans="1:12">
      <c r="A35" s="83"/>
      <c r="B35" s="3615" t="s">
        <v>90</v>
      </c>
      <c r="C35" s="3574" t="s">
        <v>91</v>
      </c>
      <c r="D35" s="3616"/>
      <c r="E35" s="3601">
        <v>32</v>
      </c>
      <c r="F35" s="3437"/>
      <c r="G35" s="3578" t="s">
        <v>92</v>
      </c>
      <c r="H35" s="3578" t="s">
        <v>93</v>
      </c>
      <c r="I35" s="3578" t="s">
        <v>94</v>
      </c>
      <c r="J35" s="3619" t="s">
        <v>95</v>
      </c>
      <c r="K35" s="3620">
        <v>36.53</v>
      </c>
    </row>
    <row r="36" spans="1:12">
      <c r="A36" s="83"/>
      <c r="B36" s="43"/>
      <c r="C36" s="101"/>
      <c r="D36" s="342"/>
      <c r="E36" s="767"/>
      <c r="F36" s="767"/>
      <c r="G36" s="206"/>
      <c r="H36" s="74"/>
      <c r="I36" s="560"/>
      <c r="J36" s="544"/>
      <c r="K36" s="365"/>
    </row>
    <row r="37" spans="1:12">
      <c r="B37" s="75"/>
      <c r="C37" s="104"/>
      <c r="D37" s="167"/>
      <c r="E37" s="167"/>
      <c r="F37" s="167"/>
      <c r="G37" s="167"/>
      <c r="H37" s="75"/>
      <c r="I37" s="561"/>
      <c r="J37" s="545"/>
    </row>
    <row r="38" spans="1:12">
      <c r="A38" s="45" t="s">
        <v>0</v>
      </c>
      <c r="B38" s="45"/>
      <c r="C38" s="68"/>
      <c r="D38" s="612"/>
      <c r="F38" s="104"/>
      <c r="H38" s="45"/>
      <c r="I38" s="556"/>
      <c r="K38" s="492">
        <v>2</v>
      </c>
      <c r="L38" s="45"/>
    </row>
    <row r="39" spans="1:12" s="45" customFormat="1">
      <c r="A39" s="3480" t="s">
        <v>1</v>
      </c>
      <c r="B39" s="3480"/>
      <c r="C39" s="46"/>
      <c r="D39" s="124"/>
      <c r="E39" s="335"/>
      <c r="F39" s="104"/>
      <c r="G39" s="210"/>
      <c r="I39" s="556"/>
      <c r="J39" s="611"/>
      <c r="K39" s="366"/>
    </row>
    <row r="40" spans="1:12" ht="15.75" customHeight="1" thickBot="1">
      <c r="F40" s="104"/>
    </row>
    <row r="41" spans="1:12">
      <c r="A41" s="3445"/>
      <c r="B41" s="3446" t="s">
        <v>2</v>
      </c>
      <c r="C41" s="48" t="s">
        <v>3</v>
      </c>
      <c r="D41" s="436" t="s">
        <v>4</v>
      </c>
      <c r="E41" s="868" t="s">
        <v>5</v>
      </c>
      <c r="F41" s="849" t="s">
        <v>5</v>
      </c>
      <c r="G41" s="219" t="s">
        <v>6</v>
      </c>
      <c r="H41" s="48" t="s">
        <v>7</v>
      </c>
      <c r="I41" s="557" t="s">
        <v>8</v>
      </c>
      <c r="J41" s="541" t="s">
        <v>9</v>
      </c>
      <c r="K41" s="346" t="s">
        <v>9</v>
      </c>
      <c r="L41" s="46"/>
    </row>
    <row r="42" spans="1:12" ht="35.25" thickBot="1">
      <c r="A42" s="51"/>
      <c r="B42" s="72"/>
      <c r="C42" s="50"/>
      <c r="D42" s="437" t="s">
        <v>10</v>
      </c>
      <c r="E42" s="869" t="s">
        <v>11</v>
      </c>
      <c r="F42" s="850" t="s">
        <v>12</v>
      </c>
      <c r="G42" s="301"/>
      <c r="H42" s="50" t="s">
        <v>13</v>
      </c>
      <c r="I42" s="558"/>
      <c r="J42" s="542" t="s">
        <v>14</v>
      </c>
      <c r="K42" s="347" t="s">
        <v>15</v>
      </c>
      <c r="L42" s="46"/>
    </row>
    <row r="43" spans="1:12">
      <c r="A43" s="3621"/>
      <c r="B43" s="3622"/>
      <c r="C43" s="515"/>
      <c r="D43" s="196"/>
      <c r="E43" s="142"/>
      <c r="F43" s="381"/>
      <c r="G43" s="477"/>
      <c r="H43" s="74"/>
      <c r="I43" s="431"/>
      <c r="J43" s="586"/>
      <c r="K43" s="526"/>
    </row>
    <row r="44" spans="1:12">
      <c r="A44" s="3623"/>
      <c r="B44" s="3609" t="s">
        <v>96</v>
      </c>
      <c r="C44" s="3574" t="s">
        <v>29</v>
      </c>
      <c r="D44" s="3610" t="s">
        <v>30</v>
      </c>
      <c r="E44" s="3624">
        <v>150</v>
      </c>
      <c r="F44" s="3437"/>
      <c r="G44" s="3578" t="s">
        <v>97</v>
      </c>
      <c r="H44" s="3574">
        <v>550</v>
      </c>
      <c r="I44" s="3579" t="s">
        <v>98</v>
      </c>
      <c r="J44" s="3435">
        <v>540.35</v>
      </c>
      <c r="K44" s="3606">
        <v>135.09</v>
      </c>
    </row>
    <row r="45" spans="1:12">
      <c r="A45" s="3623"/>
      <c r="B45" s="3609" t="s">
        <v>99</v>
      </c>
      <c r="C45" s="3574" t="s">
        <v>100</v>
      </c>
      <c r="D45" s="3610" t="s">
        <v>23</v>
      </c>
      <c r="E45" s="3624">
        <v>64</v>
      </c>
      <c r="F45" s="3437"/>
      <c r="G45" s="3578" t="s">
        <v>101</v>
      </c>
      <c r="H45" s="3574"/>
      <c r="I45" s="3579"/>
      <c r="J45" s="3435">
        <v>37.99</v>
      </c>
      <c r="K45" s="3606">
        <v>64</v>
      </c>
    </row>
    <row r="46" spans="1:12">
      <c r="A46" s="3623"/>
      <c r="B46" s="3609" t="s">
        <v>102</v>
      </c>
      <c r="C46" s="3574" t="s">
        <v>103</v>
      </c>
      <c r="D46" s="3610" t="s">
        <v>27</v>
      </c>
      <c r="E46" s="3624">
        <v>52</v>
      </c>
      <c r="F46" s="3437"/>
      <c r="G46" s="3578" t="s">
        <v>104</v>
      </c>
      <c r="H46" s="3574">
        <v>439</v>
      </c>
      <c r="I46" s="3579" t="s">
        <v>105</v>
      </c>
      <c r="J46" s="3435">
        <v>362.7</v>
      </c>
      <c r="K46" s="3606">
        <v>45.34</v>
      </c>
    </row>
    <row r="47" spans="1:12">
      <c r="A47" s="3625"/>
      <c r="B47" s="3609" t="s">
        <v>106</v>
      </c>
      <c r="C47" s="3574" t="s">
        <v>107</v>
      </c>
      <c r="D47" s="3610" t="s">
        <v>108</v>
      </c>
      <c r="E47" s="3624">
        <v>20</v>
      </c>
      <c r="F47" s="3437" t="s">
        <v>109</v>
      </c>
      <c r="G47" s="3626" t="s">
        <v>110</v>
      </c>
      <c r="H47" s="3612">
        <v>676</v>
      </c>
      <c r="I47" s="3579" t="s">
        <v>105</v>
      </c>
      <c r="J47" s="3613">
        <v>616.32000000000005</v>
      </c>
      <c r="K47" s="3580">
        <v>17.12</v>
      </c>
    </row>
    <row r="48" spans="1:12">
      <c r="A48" s="3625"/>
      <c r="B48" s="3609" t="s">
        <v>106</v>
      </c>
      <c r="C48" s="3574" t="s">
        <v>26</v>
      </c>
      <c r="D48" s="3610" t="s">
        <v>23</v>
      </c>
      <c r="E48" s="3624">
        <v>47</v>
      </c>
      <c r="F48" s="3437" t="s">
        <v>111</v>
      </c>
      <c r="G48" s="3626" t="s">
        <v>112</v>
      </c>
      <c r="H48" s="3574">
        <v>545</v>
      </c>
      <c r="I48" s="3579" t="s">
        <v>113</v>
      </c>
      <c r="J48" s="3435">
        <v>497.55</v>
      </c>
      <c r="K48" s="3606">
        <v>41.46</v>
      </c>
    </row>
    <row r="49" spans="1:12">
      <c r="A49" s="3623"/>
      <c r="B49" s="3609" t="s">
        <v>106</v>
      </c>
      <c r="C49" s="3574" t="s">
        <v>114</v>
      </c>
      <c r="D49" s="3610" t="s">
        <v>30</v>
      </c>
      <c r="E49" s="3624">
        <v>130</v>
      </c>
      <c r="F49" s="3437"/>
      <c r="G49" s="3626" t="s">
        <v>110</v>
      </c>
      <c r="H49" s="3612">
        <v>596</v>
      </c>
      <c r="I49" s="3627" t="s">
        <v>115</v>
      </c>
      <c r="J49" s="3613">
        <v>407.67</v>
      </c>
      <c r="K49" s="3580">
        <v>101.92</v>
      </c>
    </row>
    <row r="50" spans="1:12">
      <c r="A50" s="3625"/>
      <c r="B50" s="3609" t="s">
        <v>116</v>
      </c>
      <c r="C50" s="3574" t="s">
        <v>117</v>
      </c>
      <c r="D50" s="3610" t="s">
        <v>118</v>
      </c>
      <c r="E50" s="3624"/>
      <c r="F50" s="3437"/>
      <c r="G50" s="3578" t="s">
        <v>119</v>
      </c>
      <c r="H50" s="3574">
        <v>729</v>
      </c>
      <c r="I50" s="3627" t="s">
        <v>120</v>
      </c>
      <c r="J50" s="3435">
        <v>721.18</v>
      </c>
      <c r="K50" s="3580"/>
    </row>
    <row r="51" spans="1:12">
      <c r="A51" s="3628"/>
      <c r="B51" s="3629"/>
      <c r="C51" s="3574"/>
      <c r="D51" s="3610"/>
      <c r="E51" s="3624"/>
      <c r="F51" s="3437"/>
      <c r="G51" s="3578"/>
      <c r="H51" s="3574"/>
      <c r="I51" s="3579"/>
      <c r="J51" s="3435"/>
      <c r="K51" s="3606"/>
    </row>
    <row r="52" spans="1:12" ht="35.25" thickBot="1">
      <c r="A52" s="1952"/>
      <c r="B52" s="1905"/>
      <c r="C52" s="1906"/>
      <c r="D52" s="1907"/>
      <c r="E52" s="99"/>
      <c r="F52" s="856"/>
      <c r="G52" s="312"/>
      <c r="H52" s="224"/>
      <c r="I52" s="224"/>
      <c r="J52" s="647"/>
      <c r="K52" s="780"/>
    </row>
    <row r="53" spans="1:12" ht="35.25" thickTop="1">
      <c r="A53" s="1401"/>
      <c r="B53" s="3630" t="s">
        <v>121</v>
      </c>
      <c r="C53" s="3631"/>
      <c r="D53" s="3616"/>
      <c r="E53" s="3624"/>
      <c r="F53" s="3437"/>
      <c r="G53" s="3578"/>
      <c r="H53" s="3574"/>
      <c r="I53" s="3579"/>
      <c r="J53" s="3435"/>
      <c r="K53" s="3606"/>
    </row>
    <row r="54" spans="1:12">
      <c r="A54" s="958"/>
      <c r="B54" s="3609" t="s">
        <v>122</v>
      </c>
      <c r="C54" s="3632" t="s">
        <v>123</v>
      </c>
      <c r="D54" s="3633" t="s">
        <v>124</v>
      </c>
      <c r="E54" s="3624">
        <v>27</v>
      </c>
      <c r="F54" s="3634" t="s">
        <v>125</v>
      </c>
      <c r="G54" s="3578" t="s">
        <v>126</v>
      </c>
      <c r="H54" s="3604">
        <v>581</v>
      </c>
      <c r="I54" s="3579" t="s">
        <v>127</v>
      </c>
      <c r="J54" s="3435">
        <v>563.57000000000005</v>
      </c>
      <c r="K54" s="3606">
        <v>23.48</v>
      </c>
    </row>
    <row r="55" spans="1:12">
      <c r="A55" s="770"/>
      <c r="B55" s="3609"/>
      <c r="C55" s="3632"/>
      <c r="D55" s="2557"/>
      <c r="E55" s="3624"/>
      <c r="F55" s="3634"/>
      <c r="G55" s="3578"/>
      <c r="H55" s="3604"/>
      <c r="I55" s="3579"/>
      <c r="J55" s="3635"/>
      <c r="K55" s="3606"/>
    </row>
    <row r="56" spans="1:12">
      <c r="A56" s="221"/>
      <c r="B56" s="3609" t="s">
        <v>128</v>
      </c>
      <c r="C56" s="3632" t="s">
        <v>129</v>
      </c>
      <c r="D56" s="3636" t="s">
        <v>130</v>
      </c>
      <c r="E56" s="3624">
        <v>14</v>
      </c>
      <c r="F56" s="3634" t="s">
        <v>131</v>
      </c>
      <c r="G56" s="3578" t="s">
        <v>126</v>
      </c>
      <c r="H56" s="3604">
        <v>1637</v>
      </c>
      <c r="I56" s="3579" t="s">
        <v>132</v>
      </c>
      <c r="J56" s="3635" t="s">
        <v>133</v>
      </c>
      <c r="K56" s="3637" t="s">
        <v>134</v>
      </c>
    </row>
    <row r="57" spans="1:12" ht="35.25" thickBot="1">
      <c r="A57" s="2468"/>
      <c r="B57" s="3609" t="s">
        <v>135</v>
      </c>
      <c r="C57" s="3632" t="s">
        <v>136</v>
      </c>
      <c r="D57" s="2558" t="s">
        <v>137</v>
      </c>
      <c r="E57" s="3624">
        <v>32</v>
      </c>
      <c r="F57" s="3634" t="s">
        <v>138</v>
      </c>
      <c r="G57" s="3578" t="s">
        <v>126</v>
      </c>
      <c r="H57" s="3604">
        <v>323</v>
      </c>
      <c r="I57" s="3579"/>
      <c r="J57" s="3435">
        <v>3861.98</v>
      </c>
      <c r="K57" s="3638" t="s">
        <v>139</v>
      </c>
    </row>
    <row r="58" spans="1:12" ht="35.25" thickTop="1">
      <c r="A58" s="1401"/>
      <c r="B58" s="3609"/>
      <c r="C58" s="3632"/>
      <c r="D58" s="3639"/>
      <c r="E58" s="3624"/>
      <c r="F58" s="3634"/>
      <c r="G58" s="3578"/>
      <c r="H58" s="3604"/>
      <c r="I58" s="3579"/>
      <c r="J58" s="3435"/>
      <c r="K58" s="3640"/>
    </row>
    <row r="59" spans="1:12">
      <c r="A59" s="1954"/>
      <c r="B59" s="43"/>
      <c r="C59" s="101"/>
      <c r="D59" s="322"/>
      <c r="E59" s="1957"/>
      <c r="F59" s="2413"/>
      <c r="G59" s="478"/>
      <c r="H59" s="224"/>
      <c r="I59" s="778"/>
      <c r="J59" s="609"/>
      <c r="K59" s="1966"/>
      <c r="L59" s="75"/>
    </row>
    <row r="60" spans="1:12" ht="35.25" thickBot="1">
      <c r="A60" s="1956"/>
      <c r="B60" s="3641" t="s">
        <v>140</v>
      </c>
      <c r="C60" s="3642"/>
      <c r="D60" s="3639"/>
      <c r="E60" s="3624"/>
      <c r="F60" s="3634"/>
      <c r="G60" s="3578"/>
      <c r="H60" s="3604"/>
      <c r="I60" s="3579"/>
      <c r="J60" s="3435"/>
      <c r="K60" s="3640"/>
      <c r="L60" s="366"/>
    </row>
    <row r="61" spans="1:12" ht="35.25" thickTop="1">
      <c r="A61" s="316"/>
      <c r="B61" s="3643" t="s">
        <v>141</v>
      </c>
      <c r="C61" s="3632" t="s">
        <v>142</v>
      </c>
      <c r="D61" s="3639" t="s">
        <v>143</v>
      </c>
      <c r="E61" s="3624">
        <v>13</v>
      </c>
      <c r="F61" s="3634" t="s">
        <v>144</v>
      </c>
      <c r="G61" s="3578" t="s">
        <v>145</v>
      </c>
      <c r="H61" s="3604">
        <v>1229.6500000000001</v>
      </c>
      <c r="I61" s="3604" t="s">
        <v>146</v>
      </c>
      <c r="J61" s="3644" t="s">
        <v>147</v>
      </c>
      <c r="K61" s="3640">
        <v>9.89</v>
      </c>
      <c r="L61" s="771"/>
    </row>
    <row r="62" spans="1:12">
      <c r="A62" s="58"/>
      <c r="B62" s="3643" t="s">
        <v>148</v>
      </c>
      <c r="C62" s="3632" t="s">
        <v>149</v>
      </c>
      <c r="D62" s="3639" t="s">
        <v>150</v>
      </c>
      <c r="E62" s="3624">
        <v>15</v>
      </c>
      <c r="F62" s="3634" t="s">
        <v>151</v>
      </c>
      <c r="G62" s="3578" t="s">
        <v>145</v>
      </c>
      <c r="H62" s="3604">
        <v>2407.6</v>
      </c>
      <c r="I62" s="3645" t="s">
        <v>152</v>
      </c>
      <c r="J62" s="3635" t="s">
        <v>153</v>
      </c>
      <c r="K62" s="3640">
        <v>11.49</v>
      </c>
      <c r="L62" s="75"/>
    </row>
    <row r="63" spans="1:12">
      <c r="A63" s="58"/>
      <c r="B63" s="3643" t="s">
        <v>154</v>
      </c>
      <c r="C63" s="3632" t="s">
        <v>155</v>
      </c>
      <c r="D63" s="3639" t="s">
        <v>150</v>
      </c>
      <c r="E63" s="3624">
        <v>15</v>
      </c>
      <c r="F63" s="3634" t="s">
        <v>156</v>
      </c>
      <c r="G63" s="3578" t="s">
        <v>145</v>
      </c>
      <c r="H63" s="3604">
        <v>3145.23</v>
      </c>
      <c r="I63" s="3604" t="s">
        <v>157</v>
      </c>
      <c r="J63" s="3435" t="s">
        <v>158</v>
      </c>
      <c r="K63" s="3640">
        <v>11.86</v>
      </c>
    </row>
    <row r="64" spans="1:12">
      <c r="A64" s="1945"/>
      <c r="B64" s="3643" t="s">
        <v>159</v>
      </c>
      <c r="C64" s="3632" t="s">
        <v>160</v>
      </c>
      <c r="D64" s="3639" t="s">
        <v>161</v>
      </c>
      <c r="E64" s="3624">
        <v>20</v>
      </c>
      <c r="F64" s="3634" t="s">
        <v>162</v>
      </c>
      <c r="G64" s="3578" t="s">
        <v>163</v>
      </c>
      <c r="H64" s="3604">
        <v>2094.8200000000002</v>
      </c>
      <c r="I64" s="3604" t="s">
        <v>164</v>
      </c>
      <c r="J64" s="3635" t="s">
        <v>165</v>
      </c>
      <c r="K64" s="3640">
        <v>14.64</v>
      </c>
    </row>
    <row r="65" spans="1:12">
      <c r="A65" s="157"/>
      <c r="B65" s="3643" t="s">
        <v>166</v>
      </c>
      <c r="C65" s="3632" t="s">
        <v>160</v>
      </c>
      <c r="D65" s="3639" t="s">
        <v>167</v>
      </c>
      <c r="E65" s="3624">
        <v>12</v>
      </c>
      <c r="F65" s="3634" t="s">
        <v>168</v>
      </c>
      <c r="G65" s="3578" t="s">
        <v>163</v>
      </c>
      <c r="H65" s="3604">
        <v>734.64</v>
      </c>
      <c r="I65" s="3604" t="s">
        <v>169</v>
      </c>
      <c r="J65" s="3646" t="s">
        <v>170</v>
      </c>
      <c r="K65" s="3640">
        <v>10.26</v>
      </c>
    </row>
    <row r="66" spans="1:12">
      <c r="A66" s="157"/>
      <c r="B66" s="3643"/>
      <c r="C66" s="3632"/>
      <c r="D66" s="3639"/>
      <c r="E66" s="3624"/>
      <c r="F66" s="3634"/>
      <c r="G66" s="3578"/>
      <c r="H66" s="3604"/>
      <c r="I66" s="3645"/>
      <c r="J66" s="3635"/>
      <c r="K66" s="3640"/>
    </row>
    <row r="67" spans="1:12">
      <c r="A67" s="157"/>
      <c r="B67" s="3643"/>
      <c r="C67" s="3632"/>
      <c r="D67" s="3639"/>
      <c r="E67" s="3624"/>
      <c r="F67" s="3634"/>
      <c r="G67" s="3578"/>
      <c r="H67" s="3604"/>
      <c r="I67" s="3604"/>
      <c r="J67" s="3646"/>
      <c r="K67" s="3640"/>
    </row>
    <row r="68" spans="1:12">
      <c r="A68" s="156"/>
      <c r="B68" s="3647" t="s">
        <v>171</v>
      </c>
      <c r="C68" s="3648"/>
      <c r="D68" s="3639"/>
      <c r="E68" s="3624"/>
      <c r="F68" s="3634"/>
      <c r="G68" s="3578"/>
      <c r="H68" s="3604"/>
      <c r="I68" s="3579"/>
      <c r="J68" s="3435"/>
      <c r="K68" s="3640"/>
    </row>
    <row r="69" spans="1:12">
      <c r="A69" s="156"/>
      <c r="B69" s="3643" t="s">
        <v>172</v>
      </c>
      <c r="C69" s="3604" t="s">
        <v>173</v>
      </c>
      <c r="D69" s="3604" t="s">
        <v>174</v>
      </c>
      <c r="E69" s="3624"/>
      <c r="F69" s="3634"/>
      <c r="G69" s="3578" t="s">
        <v>175</v>
      </c>
      <c r="H69" s="3604">
        <v>4800</v>
      </c>
      <c r="I69" s="3579" t="s">
        <v>176</v>
      </c>
      <c r="J69" s="3649" t="s">
        <v>177</v>
      </c>
      <c r="K69" s="3649">
        <v>13.5</v>
      </c>
    </row>
    <row r="70" spans="1:12">
      <c r="A70" s="157"/>
      <c r="B70" s="662"/>
      <c r="C70" s="207"/>
      <c r="D70" s="959"/>
      <c r="E70" s="1950"/>
      <c r="F70" s="856"/>
      <c r="G70" s="312"/>
      <c r="H70" s="224"/>
      <c r="I70" s="224"/>
      <c r="J70" s="647"/>
      <c r="K70" s="780"/>
    </row>
    <row r="71" spans="1:12" s="114" customFormat="1">
      <c r="A71" s="58"/>
      <c r="B71" s="74"/>
      <c r="C71" s="320"/>
      <c r="D71" s="101"/>
      <c r="E71" s="2324"/>
      <c r="F71" s="856"/>
      <c r="G71" s="478"/>
      <c r="H71" s="224"/>
      <c r="I71" s="505"/>
      <c r="J71" s="590"/>
      <c r="K71" s="588"/>
    </row>
    <row r="72" spans="1:12" ht="29.25" customHeight="1">
      <c r="A72" s="44"/>
      <c r="B72" s="1918"/>
      <c r="C72" s="1919"/>
      <c r="D72" s="1144"/>
      <c r="E72" s="1931"/>
      <c r="F72" s="1147"/>
      <c r="G72" s="1684"/>
      <c r="H72" s="1479"/>
      <c r="I72" s="509"/>
      <c r="J72" s="1920"/>
      <c r="K72" s="1921"/>
    </row>
    <row r="73" spans="1:12" ht="29.25" customHeight="1">
      <c r="A73" s="44"/>
      <c r="B73" s="45"/>
      <c r="C73" s="46"/>
      <c r="D73" s="124"/>
      <c r="F73" s="104"/>
      <c r="H73" s="45"/>
      <c r="I73" s="556"/>
      <c r="K73" s="537">
        <v>3</v>
      </c>
    </row>
    <row r="74" spans="1:12">
      <c r="A74" s="45" t="s">
        <v>0</v>
      </c>
      <c r="B74" s="45"/>
      <c r="C74" s="68"/>
      <c r="D74" s="612"/>
      <c r="F74" s="104"/>
      <c r="H74" s="45"/>
      <c r="I74" s="556"/>
      <c r="L74" s="45"/>
    </row>
    <row r="75" spans="1:12" s="45" customFormat="1">
      <c r="A75" s="3480" t="s">
        <v>1</v>
      </c>
      <c r="B75" s="3480"/>
      <c r="C75" s="46"/>
      <c r="D75" s="124"/>
      <c r="E75" s="335"/>
      <c r="F75" s="104"/>
      <c r="G75" s="210"/>
      <c r="I75" s="556"/>
      <c r="J75" s="540"/>
      <c r="K75" s="366"/>
    </row>
    <row r="76" spans="1:12" ht="27" customHeight="1" thickBot="1">
      <c r="F76" s="104"/>
    </row>
    <row r="77" spans="1:12">
      <c r="A77" s="3481" t="s">
        <v>2</v>
      </c>
      <c r="B77" s="3482"/>
      <c r="C77" s="48" t="s">
        <v>3</v>
      </c>
      <c r="D77" s="436" t="s">
        <v>4</v>
      </c>
      <c r="E77" s="868" t="s">
        <v>5</v>
      </c>
      <c r="F77" s="849" t="s">
        <v>5</v>
      </c>
      <c r="G77" s="219" t="s">
        <v>6</v>
      </c>
      <c r="H77" s="48" t="s">
        <v>7</v>
      </c>
      <c r="I77" s="557" t="s">
        <v>8</v>
      </c>
      <c r="J77" s="541" t="s">
        <v>9</v>
      </c>
      <c r="K77" s="346" t="s">
        <v>9</v>
      </c>
      <c r="L77" s="46"/>
    </row>
    <row r="78" spans="1:12" ht="35.25" thickBot="1">
      <c r="A78" s="51"/>
      <c r="B78" s="72"/>
      <c r="C78" s="50"/>
      <c r="D78" s="437" t="s">
        <v>10</v>
      </c>
      <c r="E78" s="869" t="s">
        <v>12</v>
      </c>
      <c r="F78" s="850" t="s">
        <v>11</v>
      </c>
      <c r="G78" s="301"/>
      <c r="H78" s="50" t="s">
        <v>13</v>
      </c>
      <c r="I78" s="558"/>
      <c r="J78" s="542" t="s">
        <v>14</v>
      </c>
      <c r="K78" s="347" t="s">
        <v>15</v>
      </c>
      <c r="L78" s="46"/>
    </row>
    <row r="79" spans="1:12">
      <c r="A79" s="2467"/>
      <c r="B79" s="3650" t="s">
        <v>178</v>
      </c>
      <c r="C79" s="3651"/>
      <c r="D79" s="3652"/>
      <c r="E79" s="3653"/>
      <c r="F79" s="3654"/>
      <c r="G79" s="3578"/>
      <c r="H79" s="3574"/>
      <c r="I79" s="3579"/>
      <c r="J79" s="3655"/>
      <c r="K79" s="3606"/>
    </row>
    <row r="80" spans="1:12">
      <c r="A80" s="398"/>
      <c r="B80" s="3609" t="s">
        <v>179</v>
      </c>
      <c r="C80" s="3656" t="s">
        <v>180</v>
      </c>
      <c r="D80" s="3657" t="s">
        <v>181</v>
      </c>
      <c r="E80" s="3576"/>
      <c r="F80" s="3437"/>
      <c r="G80" s="3578" t="s">
        <v>182</v>
      </c>
      <c r="H80" s="3574">
        <v>84.11</v>
      </c>
      <c r="I80" s="3579"/>
      <c r="J80" s="3435" t="s">
        <v>183</v>
      </c>
      <c r="K80" s="3658">
        <v>84.11</v>
      </c>
    </row>
    <row r="81" spans="1:15">
      <c r="A81" s="398"/>
      <c r="B81" s="89"/>
      <c r="C81" s="207"/>
      <c r="D81" s="3457"/>
      <c r="E81" s="142"/>
      <c r="F81" s="381"/>
      <c r="G81" s="478"/>
      <c r="H81" s="74"/>
      <c r="I81" s="431"/>
      <c r="J81" s="590"/>
      <c r="K81" s="588"/>
    </row>
    <row r="82" spans="1:15">
      <c r="A82" s="398"/>
      <c r="B82" s="89"/>
      <c r="C82" s="207"/>
      <c r="D82" s="3457"/>
      <c r="E82" s="142"/>
      <c r="F82" s="381"/>
      <c r="G82" s="478"/>
      <c r="H82" s="74"/>
      <c r="I82" s="431"/>
      <c r="J82" s="590"/>
      <c r="K82" s="588"/>
    </row>
    <row r="83" spans="1:15">
      <c r="A83" s="398"/>
      <c r="B83" s="89"/>
      <c r="C83" s="207"/>
      <c r="D83" s="3457"/>
      <c r="E83" s="142"/>
      <c r="F83" s="381"/>
      <c r="G83" s="478"/>
      <c r="H83" s="74"/>
      <c r="I83" s="431"/>
      <c r="J83" s="590"/>
      <c r="K83" s="588"/>
    </row>
    <row r="84" spans="1:15">
      <c r="A84" s="438"/>
      <c r="B84" s="89"/>
      <c r="C84" s="207"/>
      <c r="D84" s="3457"/>
      <c r="E84" s="142"/>
      <c r="F84" s="381"/>
      <c r="G84" s="478"/>
      <c r="H84" s="74"/>
      <c r="I84" s="431"/>
      <c r="J84" s="590"/>
      <c r="K84" s="588"/>
    </row>
    <row r="85" spans="1:15">
      <c r="A85" s="221"/>
      <c r="B85" s="89"/>
      <c r="C85" s="207"/>
      <c r="D85" s="3457"/>
      <c r="E85" s="142"/>
      <c r="F85" s="381"/>
      <c r="G85" s="478"/>
      <c r="H85" s="74"/>
      <c r="I85" s="431"/>
      <c r="J85" s="590"/>
      <c r="K85" s="588"/>
      <c r="O85" s="743"/>
    </row>
    <row r="86" spans="1:15">
      <c r="A86" s="221"/>
      <c r="B86" s="89" t="s">
        <v>184</v>
      </c>
      <c r="C86" s="207" t="s">
        <v>185</v>
      </c>
      <c r="D86" s="3457" t="s">
        <v>186</v>
      </c>
      <c r="E86" s="142">
        <v>120</v>
      </c>
      <c r="F86" s="381"/>
      <c r="G86" s="478" t="s">
        <v>187</v>
      </c>
      <c r="H86" s="74">
        <v>950</v>
      </c>
      <c r="I86" s="431"/>
      <c r="J86" s="590" t="s">
        <v>188</v>
      </c>
      <c r="K86" s="588" t="s">
        <v>189</v>
      </c>
    </row>
    <row r="87" spans="1:15">
      <c r="A87" s="221"/>
      <c r="B87" s="770"/>
      <c r="C87" s="320"/>
      <c r="D87" s="3457"/>
      <c r="E87" s="142"/>
      <c r="F87" s="381"/>
      <c r="G87" s="478"/>
      <c r="H87" s="74"/>
      <c r="I87" s="431"/>
      <c r="J87" s="590"/>
      <c r="K87" s="588"/>
    </row>
    <row r="88" spans="1:15">
      <c r="A88" s="221"/>
      <c r="B88" s="770"/>
      <c r="C88" s="320"/>
      <c r="D88" s="3457"/>
      <c r="E88" s="142"/>
      <c r="F88" s="381"/>
      <c r="G88" s="478"/>
      <c r="H88" s="74"/>
      <c r="I88" s="431"/>
      <c r="J88" s="590"/>
      <c r="K88" s="588"/>
    </row>
    <row r="89" spans="1:15">
      <c r="A89" s="221"/>
      <c r="B89" s="89"/>
      <c r="C89" s="207"/>
      <c r="D89" s="3457"/>
      <c r="E89" s="142"/>
      <c r="F89" s="381"/>
      <c r="G89" s="478"/>
      <c r="H89" s="74"/>
      <c r="I89" s="431"/>
      <c r="J89" s="590"/>
      <c r="K89" s="588"/>
    </row>
    <row r="90" spans="1:15">
      <c r="A90" s="958"/>
      <c r="B90" s="89"/>
      <c r="C90" s="207"/>
      <c r="D90" s="3457"/>
      <c r="E90" s="142"/>
      <c r="F90" s="381"/>
      <c r="G90" s="478"/>
      <c r="H90" s="74"/>
      <c r="I90" s="431"/>
      <c r="J90" s="590"/>
      <c r="K90" s="588"/>
    </row>
    <row r="91" spans="1:15">
      <c r="A91" s="1727"/>
      <c r="B91" s="74"/>
      <c r="C91" s="207"/>
      <c r="D91" s="3426"/>
      <c r="E91" s="142"/>
      <c r="F91" s="381"/>
      <c r="G91" s="478"/>
      <c r="H91" s="74"/>
      <c r="I91" s="431"/>
      <c r="J91" s="590"/>
      <c r="K91" s="588"/>
    </row>
    <row r="92" spans="1:15">
      <c r="A92" s="221"/>
      <c r="B92" s="74" t="s">
        <v>190</v>
      </c>
      <c r="C92" s="207"/>
      <c r="D92" s="3426"/>
      <c r="E92" s="142"/>
      <c r="F92" s="381"/>
      <c r="G92" s="478"/>
      <c r="H92" s="74"/>
      <c r="I92" s="431"/>
      <c r="J92" s="590"/>
      <c r="K92" s="588"/>
    </row>
    <row r="93" spans="1:15">
      <c r="A93" s="221"/>
      <c r="B93" s="224" t="s">
        <v>191</v>
      </c>
      <c r="C93" s="320" t="s">
        <v>192</v>
      </c>
      <c r="D93" s="3426" t="s">
        <v>193</v>
      </c>
      <c r="E93" s="142"/>
      <c r="F93" s="381"/>
      <c r="G93" s="478" t="s">
        <v>194</v>
      </c>
      <c r="H93" s="74" t="s">
        <v>195</v>
      </c>
      <c r="I93" s="431" t="s">
        <v>196</v>
      </c>
      <c r="J93" s="590" t="s">
        <v>197</v>
      </c>
      <c r="K93" s="588" t="s">
        <v>198</v>
      </c>
    </row>
    <row r="94" spans="1:15">
      <c r="A94" s="221"/>
      <c r="B94" s="74"/>
      <c r="C94" s="515"/>
      <c r="D94" s="3426"/>
      <c r="E94" s="142"/>
      <c r="F94" s="381"/>
      <c r="G94" s="478"/>
      <c r="H94" s="74"/>
      <c r="I94" s="431"/>
      <c r="J94" s="590"/>
      <c r="K94" s="588"/>
    </row>
    <row r="95" spans="1:15">
      <c r="A95" s="927"/>
      <c r="B95" s="224"/>
      <c r="C95" s="320"/>
      <c r="D95" s="3426"/>
      <c r="E95" s="142"/>
      <c r="F95" s="381"/>
      <c r="G95" s="478"/>
      <c r="H95" s="74"/>
      <c r="I95" s="431"/>
      <c r="J95" s="590"/>
      <c r="K95" s="588"/>
    </row>
    <row r="96" spans="1:15">
      <c r="A96" s="970"/>
      <c r="B96" s="74"/>
      <c r="C96" s="207"/>
      <c r="D96" s="3426"/>
      <c r="E96" s="142"/>
      <c r="F96" s="381"/>
      <c r="G96" s="478"/>
      <c r="H96" s="74"/>
      <c r="I96" s="431"/>
      <c r="J96" s="590"/>
      <c r="K96" s="588"/>
    </row>
    <row r="97" spans="1:12">
      <c r="A97" s="438"/>
      <c r="B97" s="74"/>
      <c r="C97" s="207"/>
      <c r="D97" s="3426"/>
      <c r="E97" s="142"/>
      <c r="F97" s="381"/>
      <c r="G97" s="478"/>
      <c r="H97" s="74"/>
      <c r="I97" s="431"/>
      <c r="J97" s="590"/>
      <c r="K97" s="588"/>
    </row>
    <row r="98" spans="1:12">
      <c r="A98" s="438"/>
      <c r="B98" s="74" t="s">
        <v>199</v>
      </c>
      <c r="C98" s="207"/>
      <c r="D98" s="3426"/>
      <c r="E98" s="142"/>
      <c r="F98" s="381"/>
      <c r="G98" s="478"/>
      <c r="H98" s="74"/>
      <c r="I98" s="431"/>
      <c r="J98" s="590"/>
      <c r="K98" s="588"/>
    </row>
    <row r="99" spans="1:12">
      <c r="A99" s="221"/>
      <c r="B99" s="74" t="s">
        <v>200</v>
      </c>
      <c r="C99" s="207" t="s">
        <v>201</v>
      </c>
      <c r="D99" s="3427"/>
      <c r="E99" s="1146"/>
      <c r="F99" s="1147"/>
      <c r="G99" s="1684" t="s">
        <v>202</v>
      </c>
      <c r="H99" s="82" t="s">
        <v>203</v>
      </c>
      <c r="I99" s="432" t="s">
        <v>204</v>
      </c>
      <c r="J99" s="1920" t="s">
        <v>205</v>
      </c>
      <c r="K99" s="3430" t="s">
        <v>206</v>
      </c>
    </row>
    <row r="100" spans="1:12">
      <c r="A100" s="221"/>
      <c r="B100" s="74" t="s">
        <v>207</v>
      </c>
      <c r="C100" s="207" t="s">
        <v>201</v>
      </c>
      <c r="D100" s="3427"/>
      <c r="E100" s="1146"/>
      <c r="F100" s="1147"/>
      <c r="G100" s="1684" t="s">
        <v>202</v>
      </c>
      <c r="H100" s="82" t="s">
        <v>203</v>
      </c>
      <c r="I100" s="432" t="s">
        <v>204</v>
      </c>
      <c r="J100" s="1920" t="s">
        <v>205</v>
      </c>
      <c r="K100" s="3430" t="s">
        <v>206</v>
      </c>
    </row>
    <row r="101" spans="1:12">
      <c r="A101" s="398"/>
      <c r="B101" s="115" t="s">
        <v>208</v>
      </c>
      <c r="C101" s="207"/>
      <c r="D101" s="411"/>
      <c r="E101" s="838" t="s">
        <v>209</v>
      </c>
      <c r="F101" s="767"/>
      <c r="G101" s="478" t="s">
        <v>210</v>
      </c>
      <c r="H101" s="207"/>
      <c r="I101" s="559"/>
      <c r="J101" s="544"/>
      <c r="K101" s="734" t="s">
        <v>211</v>
      </c>
    </row>
    <row r="102" spans="1:12">
      <c r="A102" s="83"/>
      <c r="B102" s="115" t="s">
        <v>212</v>
      </c>
      <c r="C102" s="207"/>
      <c r="D102" s="411"/>
      <c r="E102" s="838" t="s">
        <v>209</v>
      </c>
      <c r="F102" s="767"/>
      <c r="G102" s="477"/>
      <c r="H102" s="207"/>
      <c r="I102" s="559"/>
      <c r="J102" s="544"/>
      <c r="K102" s="734" t="s">
        <v>211</v>
      </c>
    </row>
    <row r="103" spans="1:12">
      <c r="A103" s="83"/>
      <c r="B103" s="115" t="s">
        <v>213</v>
      </c>
      <c r="C103" s="390"/>
      <c r="D103" s="411"/>
      <c r="E103" s="838" t="s">
        <v>214</v>
      </c>
      <c r="F103" s="767"/>
      <c r="G103" s="477"/>
      <c r="H103" s="207"/>
      <c r="I103" s="559"/>
      <c r="J103" s="546"/>
      <c r="K103" s="734" t="s">
        <v>215</v>
      </c>
    </row>
    <row r="104" spans="1:12">
      <c r="A104" s="83"/>
      <c r="B104" s="115" t="s">
        <v>216</v>
      </c>
      <c r="C104" s="787"/>
      <c r="D104" s="411"/>
      <c r="E104" s="838" t="s">
        <v>217</v>
      </c>
      <c r="F104" s="767"/>
      <c r="G104" s="477"/>
      <c r="H104" s="207"/>
      <c r="I104" s="785"/>
      <c r="J104" s="546"/>
      <c r="K104" s="734" t="s">
        <v>215</v>
      </c>
    </row>
    <row r="105" spans="1:12">
      <c r="A105" s="87"/>
      <c r="B105" s="105"/>
      <c r="C105" s="390"/>
      <c r="D105" s="3428"/>
      <c r="E105" s="838"/>
      <c r="F105" s="767"/>
      <c r="G105" s="477"/>
      <c r="H105" s="207"/>
      <c r="I105" s="1071"/>
      <c r="J105" s="548"/>
      <c r="K105" s="756"/>
    </row>
    <row r="106" spans="1:12">
      <c r="A106" s="83"/>
      <c r="B106" s="105"/>
      <c r="C106" s="101"/>
      <c r="D106" s="411"/>
      <c r="E106" s="838"/>
      <c r="F106" s="767"/>
      <c r="G106" s="1073"/>
      <c r="H106" s="390"/>
      <c r="I106" s="1648"/>
      <c r="J106" s="546"/>
      <c r="K106" s="365"/>
    </row>
    <row r="107" spans="1:12">
      <c r="A107" s="70"/>
      <c r="B107" s="105"/>
      <c r="C107" s="207"/>
      <c r="D107" s="411"/>
      <c r="E107" s="838"/>
      <c r="F107" s="767"/>
      <c r="G107" s="1073"/>
      <c r="H107" s="207"/>
      <c r="I107" s="785"/>
      <c r="J107" s="544"/>
      <c r="K107" s="365"/>
    </row>
    <row r="108" spans="1:12">
      <c r="A108" s="70"/>
      <c r="B108" s="105"/>
      <c r="C108" s="207"/>
      <c r="D108" s="3429"/>
      <c r="E108" s="874"/>
      <c r="F108" s="853"/>
      <c r="G108" s="1072"/>
      <c r="H108" s="117"/>
      <c r="I108" s="1647"/>
      <c r="J108" s="543"/>
      <c r="K108" s="369"/>
    </row>
    <row r="109" spans="1:12">
      <c r="A109" s="44"/>
      <c r="B109" s="45"/>
      <c r="C109" s="46"/>
      <c r="D109" s="124"/>
      <c r="F109" s="104"/>
      <c r="H109" s="45"/>
      <c r="I109" s="556"/>
      <c r="K109" s="537">
        <v>4</v>
      </c>
    </row>
    <row r="110" spans="1:12">
      <c r="A110" s="45" t="s">
        <v>0</v>
      </c>
      <c r="B110" s="45"/>
      <c r="C110" s="68"/>
      <c r="D110" s="612"/>
      <c r="F110" s="104"/>
      <c r="H110" s="45"/>
      <c r="I110" s="556"/>
      <c r="L110" s="45"/>
    </row>
    <row r="111" spans="1:12" s="45" customFormat="1">
      <c r="A111" s="3480" t="s">
        <v>1</v>
      </c>
      <c r="B111" s="3480"/>
      <c r="C111" s="46"/>
      <c r="D111" s="124"/>
      <c r="E111" s="335"/>
      <c r="F111" s="104"/>
      <c r="G111" s="210"/>
      <c r="I111" s="556"/>
      <c r="J111" s="540"/>
      <c r="K111" s="366"/>
    </row>
    <row r="112" spans="1:12" ht="24" customHeight="1" thickBot="1">
      <c r="F112" s="104"/>
    </row>
    <row r="113" spans="1:12">
      <c r="A113" s="3481" t="s">
        <v>2</v>
      </c>
      <c r="B113" s="3482"/>
      <c r="C113" s="48" t="s">
        <v>3</v>
      </c>
      <c r="D113" s="436" t="s">
        <v>4</v>
      </c>
      <c r="E113" s="868" t="s">
        <v>5</v>
      </c>
      <c r="F113" s="849" t="s">
        <v>5</v>
      </c>
      <c r="G113" s="211" t="s">
        <v>6</v>
      </c>
      <c r="H113" s="48" t="s">
        <v>7</v>
      </c>
      <c r="I113" s="557" t="s">
        <v>8</v>
      </c>
      <c r="J113" s="541" t="s">
        <v>9</v>
      </c>
      <c r="K113" s="346" t="s">
        <v>9</v>
      </c>
      <c r="L113" s="46"/>
    </row>
    <row r="114" spans="1:12" ht="35.25" thickBot="1">
      <c r="A114" s="51"/>
      <c r="B114" s="72"/>
      <c r="C114" s="50"/>
      <c r="D114" s="437" t="s">
        <v>10</v>
      </c>
      <c r="E114" s="869" t="s">
        <v>12</v>
      </c>
      <c r="F114" s="850" t="s">
        <v>11</v>
      </c>
      <c r="G114" s="212"/>
      <c r="H114" s="50" t="s">
        <v>13</v>
      </c>
      <c r="I114" s="558"/>
      <c r="J114" s="542" t="s">
        <v>14</v>
      </c>
      <c r="K114" s="347" t="s">
        <v>15</v>
      </c>
      <c r="L114" s="46"/>
    </row>
    <row r="115" spans="1:12">
      <c r="A115" s="406"/>
      <c r="B115" s="406"/>
      <c r="C115" s="320"/>
      <c r="D115" s="413"/>
      <c r="E115" s="843"/>
      <c r="F115" s="853"/>
      <c r="G115" s="477"/>
      <c r="H115" s="74"/>
      <c r="I115" s="560"/>
      <c r="J115" s="547"/>
      <c r="K115" s="550"/>
    </row>
    <row r="116" spans="1:12">
      <c r="A116" s="662"/>
      <c r="B116" s="662"/>
      <c r="C116" s="3457"/>
      <c r="D116" s="1007"/>
      <c r="E116" s="84"/>
      <c r="F116" s="856"/>
      <c r="G116" s="1143"/>
      <c r="H116" s="431"/>
      <c r="I116" s="2367"/>
      <c r="J116" s="2016"/>
      <c r="K116" s="2368"/>
    </row>
    <row r="117" spans="1:12">
      <c r="A117" s="406"/>
      <c r="B117" s="406"/>
      <c r="C117" s="320"/>
      <c r="D117" s="413"/>
      <c r="E117" s="3659"/>
      <c r="F117" s="2366"/>
      <c r="G117" s="478"/>
      <c r="H117" s="224"/>
      <c r="I117" s="778"/>
      <c r="J117" s="937"/>
      <c r="K117" s="2369"/>
    </row>
    <row r="118" spans="1:12">
      <c r="A118" s="406"/>
      <c r="B118" s="406"/>
      <c r="C118" s="320"/>
      <c r="D118" s="413"/>
      <c r="E118" s="843"/>
      <c r="F118" s="853"/>
      <c r="G118" s="477"/>
      <c r="H118" s="74"/>
      <c r="I118" s="778"/>
      <c r="J118" s="694"/>
      <c r="K118" s="2370"/>
    </row>
    <row r="119" spans="1:12">
      <c r="A119" s="43"/>
      <c r="B119" s="43"/>
      <c r="C119" s="101"/>
      <c r="D119" s="3458"/>
      <c r="E119" s="143"/>
      <c r="F119" s="144"/>
      <c r="G119" s="483"/>
      <c r="H119" s="74"/>
      <c r="I119" s="105"/>
      <c r="J119" s="126"/>
      <c r="K119" s="375"/>
    </row>
    <row r="120" spans="1:12">
      <c r="A120" s="406"/>
      <c r="B120" s="43"/>
      <c r="C120" s="207"/>
      <c r="D120" s="959"/>
      <c r="E120" s="298"/>
      <c r="F120" s="381"/>
      <c r="G120" s="478"/>
      <c r="H120" s="74"/>
      <c r="I120" s="431"/>
      <c r="J120" s="586"/>
      <c r="K120" s="526"/>
    </row>
    <row r="121" spans="1:12">
      <c r="A121" s="406"/>
      <c r="B121" s="662"/>
      <c r="C121" s="207"/>
      <c r="D121" s="959"/>
      <c r="E121" s="298"/>
      <c r="F121" s="381"/>
      <c r="G121" s="478"/>
      <c r="H121" s="74"/>
      <c r="I121" s="431"/>
      <c r="J121" s="647"/>
      <c r="K121" s="780"/>
    </row>
    <row r="122" spans="1:12" ht="38.25">
      <c r="A122" s="2462"/>
      <c r="B122" s="81"/>
      <c r="C122" s="207"/>
      <c r="D122" s="3457"/>
      <c r="E122" s="142"/>
      <c r="F122" s="381"/>
      <c r="G122" s="478"/>
      <c r="H122" s="101"/>
      <c r="I122" s="600"/>
      <c r="J122" s="586"/>
      <c r="K122" s="526"/>
    </row>
    <row r="123" spans="1:12">
      <c r="A123" s="1516"/>
      <c r="B123" s="81"/>
      <c r="C123" s="207"/>
      <c r="D123" s="3457"/>
      <c r="E123" s="100"/>
      <c r="F123" s="381"/>
      <c r="G123" s="478"/>
      <c r="H123" s="101"/>
      <c r="I123" s="600"/>
      <c r="J123" s="586"/>
      <c r="K123" s="526"/>
    </row>
    <row r="124" spans="1:12">
      <c r="A124" s="1384"/>
      <c r="B124" s="43"/>
      <c r="C124" s="207"/>
      <c r="D124" s="3457"/>
      <c r="E124" s="100"/>
      <c r="F124" s="381"/>
      <c r="G124" s="478"/>
      <c r="H124" s="74"/>
      <c r="I124" s="431"/>
      <c r="J124" s="586"/>
      <c r="K124" s="526"/>
    </row>
    <row r="125" spans="1:12">
      <c r="A125" s="1161"/>
      <c r="B125" s="43"/>
      <c r="C125" s="207"/>
      <c r="D125" s="959"/>
      <c r="E125" s="298"/>
      <c r="F125" s="381"/>
      <c r="G125" s="478"/>
      <c r="H125" s="74"/>
      <c r="I125" s="431"/>
      <c r="J125" s="586"/>
      <c r="K125" s="526"/>
    </row>
    <row r="126" spans="1:12">
      <c r="A126" s="770"/>
      <c r="B126" s="662"/>
      <c r="C126" s="207"/>
      <c r="D126" s="959"/>
      <c r="E126" s="298"/>
      <c r="F126" s="381"/>
      <c r="G126" s="478"/>
      <c r="H126" s="74"/>
      <c r="I126" s="431"/>
      <c r="J126" s="647"/>
      <c r="K126" s="780"/>
    </row>
    <row r="127" spans="1:12">
      <c r="A127" s="406"/>
      <c r="B127" s="81"/>
      <c r="C127" s="207"/>
      <c r="D127" s="3457"/>
      <c r="E127" s="100"/>
      <c r="F127" s="381"/>
      <c r="G127" s="478"/>
      <c r="H127" s="101"/>
      <c r="I127" s="600"/>
      <c r="J127" s="586"/>
      <c r="K127" s="526"/>
    </row>
    <row r="128" spans="1:12">
      <c r="A128" s="406"/>
      <c r="B128" s="43"/>
      <c r="C128" s="207"/>
      <c r="D128" s="3457"/>
      <c r="E128" s="100"/>
      <c r="F128" s="381"/>
      <c r="G128" s="478"/>
      <c r="H128" s="74"/>
      <c r="I128" s="431"/>
      <c r="J128" s="586"/>
      <c r="K128" s="526"/>
    </row>
    <row r="129" spans="1:12">
      <c r="A129" s="398"/>
      <c r="B129" s="766"/>
      <c r="C129" s="207"/>
      <c r="D129" s="322"/>
      <c r="E129" s="60"/>
      <c r="F129" s="381"/>
      <c r="G129" s="312"/>
      <c r="H129" s="150"/>
      <c r="I129" s="431"/>
      <c r="J129" s="586"/>
      <c r="K129" s="365"/>
    </row>
    <row r="130" spans="1:12" ht="35.25" thickBot="1">
      <c r="A130" s="1782"/>
      <c r="B130" s="1000"/>
      <c r="C130" s="207"/>
      <c r="D130" s="3457"/>
      <c r="E130" s="142"/>
      <c r="F130" s="381"/>
      <c r="G130" s="478"/>
      <c r="H130" s="101"/>
      <c r="I130" s="600"/>
      <c r="J130" s="586"/>
      <c r="K130" s="527"/>
    </row>
    <row r="131" spans="1:12">
      <c r="A131" s="1019"/>
      <c r="B131" s="770"/>
      <c r="C131" s="207"/>
      <c r="D131" s="3457"/>
      <c r="E131" s="142"/>
      <c r="F131" s="381"/>
      <c r="G131" s="478"/>
      <c r="H131" s="101"/>
      <c r="I131" s="600"/>
      <c r="J131" s="586"/>
      <c r="K131" s="526"/>
    </row>
    <row r="132" spans="1:12">
      <c r="A132" s="438"/>
      <c r="B132" s="770"/>
      <c r="C132" s="207"/>
      <c r="D132" s="3457"/>
      <c r="E132" s="100"/>
      <c r="F132" s="381"/>
      <c r="G132" s="478"/>
      <c r="H132" s="101"/>
      <c r="I132" s="600"/>
      <c r="J132" s="586"/>
      <c r="K132" s="526"/>
    </row>
    <row r="133" spans="1:12">
      <c r="A133" s="254"/>
      <c r="B133" s="406"/>
      <c r="C133" s="207"/>
      <c r="D133" s="3457"/>
      <c r="E133" s="100"/>
      <c r="F133" s="381"/>
      <c r="G133" s="478"/>
      <c r="H133" s="74"/>
      <c r="I133" s="431"/>
      <c r="J133" s="586"/>
      <c r="K133" s="526"/>
    </row>
    <row r="134" spans="1:12">
      <c r="A134" s="398"/>
      <c r="B134" s="406"/>
      <c r="C134" s="207"/>
      <c r="D134" s="959"/>
      <c r="E134" s="298"/>
      <c r="F134" s="381"/>
      <c r="G134" s="478"/>
      <c r="H134" s="74"/>
      <c r="I134" s="431"/>
      <c r="J134" s="586"/>
      <c r="K134" s="526"/>
    </row>
    <row r="135" spans="1:12">
      <c r="A135" s="782"/>
      <c r="B135" s="880"/>
      <c r="C135" s="207"/>
      <c r="D135" s="959"/>
      <c r="E135" s="298"/>
      <c r="F135" s="381"/>
      <c r="G135" s="478"/>
      <c r="H135" s="74"/>
      <c r="I135" s="431"/>
      <c r="J135" s="647"/>
      <c r="K135" s="780"/>
    </row>
    <row r="136" spans="1:12">
      <c r="A136" s="663"/>
      <c r="B136" s="1006"/>
      <c r="C136" s="877"/>
      <c r="D136" s="1619"/>
      <c r="E136" s="142"/>
      <c r="F136" s="381"/>
      <c r="G136" s="1616"/>
      <c r="H136" s="971"/>
      <c r="I136" s="506"/>
      <c r="J136" s="1620"/>
      <c r="K136" s="2384"/>
    </row>
    <row r="137" spans="1:12">
      <c r="A137" s="766"/>
      <c r="B137" s="766"/>
      <c r="C137" s="207"/>
      <c r="D137" s="322"/>
      <c r="E137" s="60"/>
      <c r="F137" s="381"/>
      <c r="G137" s="312"/>
      <c r="H137" s="150"/>
      <c r="I137" s="431"/>
      <c r="J137" s="586"/>
      <c r="K137" s="365"/>
    </row>
    <row r="138" spans="1:12">
      <c r="A138" s="406"/>
      <c r="B138" s="599"/>
      <c r="C138" s="207"/>
      <c r="D138" s="3457"/>
      <c r="E138" s="142"/>
      <c r="F138" s="381"/>
      <c r="G138" s="478"/>
      <c r="H138" s="101"/>
      <c r="I138" s="600"/>
      <c r="J138" s="586"/>
      <c r="K138" s="527"/>
    </row>
    <row r="139" spans="1:12">
      <c r="A139" s="406"/>
      <c r="B139" s="81"/>
      <c r="C139" s="207"/>
      <c r="D139" s="3457"/>
      <c r="E139" s="142"/>
      <c r="F139" s="381"/>
      <c r="G139" s="478"/>
      <c r="H139" s="101"/>
      <c r="I139" s="339"/>
      <c r="J139" s="586"/>
      <c r="K139" s="526"/>
    </row>
    <row r="140" spans="1:12">
      <c r="A140" s="406"/>
      <c r="B140" s="81"/>
      <c r="C140" s="207"/>
      <c r="D140" s="3457"/>
      <c r="E140" s="100"/>
      <c r="F140" s="381"/>
      <c r="G140" s="478"/>
      <c r="H140" s="101"/>
      <c r="I140" s="600"/>
      <c r="J140" s="586"/>
      <c r="K140" s="526"/>
    </row>
    <row r="141" spans="1:12">
      <c r="A141" s="438"/>
      <c r="B141" s="43"/>
      <c r="C141" s="207"/>
      <c r="D141" s="3457"/>
      <c r="E141" s="100"/>
      <c r="F141" s="381"/>
      <c r="G141" s="478"/>
      <c r="H141" s="74"/>
      <c r="I141" s="431"/>
      <c r="J141" s="586"/>
      <c r="K141" s="526"/>
    </row>
    <row r="142" spans="1:12">
      <c r="A142" s="254"/>
      <c r="B142" s="43"/>
      <c r="C142" s="101"/>
      <c r="D142" s="342"/>
      <c r="E142" s="871"/>
      <c r="F142" s="767"/>
      <c r="G142" s="206"/>
      <c r="H142" s="74"/>
      <c r="I142" s="560"/>
      <c r="J142" s="603"/>
      <c r="K142" s="378"/>
      <c r="L142" s="75"/>
    </row>
    <row r="143" spans="1:12">
      <c r="A143" s="398"/>
      <c r="B143" s="406"/>
      <c r="C143" s="101"/>
      <c r="D143" s="342"/>
      <c r="E143" s="767"/>
      <c r="F143" s="767"/>
      <c r="G143" s="206"/>
      <c r="H143" s="74"/>
      <c r="I143" s="560"/>
      <c r="J143" s="547"/>
      <c r="K143" s="365"/>
      <c r="L143" s="75"/>
    </row>
    <row r="144" spans="1:12">
      <c r="A144" s="83"/>
      <c r="B144" s="43"/>
      <c r="C144" s="101"/>
      <c r="D144" s="322"/>
      <c r="E144" s="838"/>
      <c r="F144" s="767"/>
      <c r="G144" s="206"/>
      <c r="H144" s="74"/>
      <c r="I144" s="562"/>
      <c r="J144" s="547"/>
      <c r="K144" s="550"/>
    </row>
    <row r="145" spans="1:12" ht="32.25" customHeight="1">
      <c r="A145" s="44"/>
      <c r="B145" s="45"/>
      <c r="C145" s="46"/>
      <c r="D145" s="124"/>
      <c r="F145" s="104"/>
      <c r="H145" s="45"/>
      <c r="I145" s="556"/>
      <c r="K145" s="537">
        <v>5</v>
      </c>
    </row>
    <row r="146" spans="1:12">
      <c r="A146" s="45" t="s">
        <v>0</v>
      </c>
      <c r="B146" s="45"/>
      <c r="C146" s="68"/>
      <c r="D146" s="612"/>
      <c r="F146" s="104"/>
      <c r="H146" s="45"/>
      <c r="I146" s="556"/>
      <c r="L146" s="45"/>
    </row>
    <row r="147" spans="1:12" s="45" customFormat="1">
      <c r="A147" s="3480" t="s">
        <v>1</v>
      </c>
      <c r="B147" s="3480"/>
      <c r="C147" s="46"/>
      <c r="D147" s="124"/>
      <c r="E147" s="335"/>
      <c r="F147" s="104"/>
      <c r="G147" s="210"/>
      <c r="I147" s="556"/>
      <c r="J147" s="540"/>
      <c r="K147" s="366"/>
    </row>
    <row r="148" spans="1:12" ht="18.75" customHeight="1" thickBot="1">
      <c r="F148" s="104"/>
    </row>
    <row r="149" spans="1:12">
      <c r="A149" s="3481" t="s">
        <v>2</v>
      </c>
      <c r="B149" s="3482"/>
      <c r="C149" s="48" t="s">
        <v>3</v>
      </c>
      <c r="D149" s="436" t="s">
        <v>4</v>
      </c>
      <c r="E149" s="849" t="s">
        <v>5</v>
      </c>
      <c r="F149" s="849" t="s">
        <v>5</v>
      </c>
      <c r="G149" s="211" t="s">
        <v>6</v>
      </c>
      <c r="H149" s="48" t="s">
        <v>7</v>
      </c>
      <c r="I149" s="557" t="s">
        <v>8</v>
      </c>
      <c r="J149" s="541" t="s">
        <v>9</v>
      </c>
      <c r="K149" s="346" t="s">
        <v>9</v>
      </c>
      <c r="L149" s="46"/>
    </row>
    <row r="150" spans="1:12" ht="35.25" thickBot="1">
      <c r="A150" s="51"/>
      <c r="B150" s="72"/>
      <c r="C150" s="50"/>
      <c r="D150" s="437" t="s">
        <v>10</v>
      </c>
      <c r="E150" s="850" t="s">
        <v>11</v>
      </c>
      <c r="F150" s="850" t="s">
        <v>12</v>
      </c>
      <c r="G150" s="212"/>
      <c r="H150" s="50" t="s">
        <v>13</v>
      </c>
      <c r="I150" s="558"/>
      <c r="J150" s="542" t="s">
        <v>14</v>
      </c>
      <c r="K150" s="347" t="s">
        <v>15</v>
      </c>
      <c r="L150" s="46"/>
    </row>
    <row r="151" spans="1:12" ht="38.25">
      <c r="A151" s="1269"/>
      <c r="B151" s="1269"/>
      <c r="C151" s="207"/>
      <c r="D151" s="3457"/>
      <c r="E151" s="142"/>
      <c r="F151" s="381"/>
      <c r="G151" s="206"/>
      <c r="H151" s="74"/>
      <c r="I151" s="183"/>
      <c r="J151" s="175"/>
      <c r="K151" s="526"/>
    </row>
    <row r="152" spans="1:12">
      <c r="A152" s="662"/>
      <c r="B152" s="662"/>
      <c r="C152" s="3457"/>
      <c r="D152" s="1007"/>
      <c r="E152" s="84"/>
      <c r="F152" s="856"/>
      <c r="G152" s="1143"/>
      <c r="H152" s="431"/>
      <c r="I152" s="881"/>
      <c r="J152" s="365"/>
      <c r="K152" s="527"/>
    </row>
    <row r="153" spans="1:12">
      <c r="A153" s="43"/>
      <c r="B153" s="43"/>
      <c r="C153" s="101"/>
      <c r="D153" s="322"/>
      <c r="E153" s="843"/>
      <c r="F153" s="853"/>
      <c r="G153" s="477"/>
      <c r="H153" s="74"/>
      <c r="I153" s="560"/>
      <c r="J153" s="547"/>
      <c r="K153" s="550"/>
    </row>
    <row r="154" spans="1:12">
      <c r="A154" s="43"/>
      <c r="B154" s="43"/>
      <c r="C154" s="101"/>
      <c r="D154" s="322"/>
      <c r="E154" s="843"/>
      <c r="F154" s="853"/>
      <c r="G154" s="477"/>
      <c r="H154" s="74"/>
      <c r="I154" s="560"/>
      <c r="J154" s="547"/>
      <c r="K154" s="550"/>
    </row>
    <row r="155" spans="1:12">
      <c r="A155" s="662"/>
      <c r="B155" s="662"/>
      <c r="C155" s="3457"/>
      <c r="D155" s="1007"/>
      <c r="E155" s="84"/>
      <c r="F155" s="856"/>
      <c r="G155" s="2469"/>
      <c r="H155" s="505"/>
      <c r="I155" s="586"/>
      <c r="J155" s="365"/>
      <c r="K155" s="526"/>
    </row>
    <row r="156" spans="1:12">
      <c r="A156" s="662"/>
      <c r="B156" s="662"/>
      <c r="C156" s="3457"/>
      <c r="D156" s="1007"/>
      <c r="E156" s="84"/>
      <c r="F156" s="856"/>
      <c r="G156" s="2469"/>
      <c r="H156" s="505"/>
      <c r="I156" s="586"/>
      <c r="J156" s="365"/>
      <c r="K156" s="526"/>
    </row>
    <row r="157" spans="1:12">
      <c r="A157" s="43"/>
      <c r="B157" s="43"/>
      <c r="C157" s="3457"/>
      <c r="D157" s="1007"/>
      <c r="E157" s="84"/>
      <c r="F157" s="856"/>
      <c r="G157" s="2469"/>
      <c r="H157" s="505"/>
      <c r="I157" s="586"/>
      <c r="J157" s="365"/>
      <c r="K157" s="526"/>
    </row>
    <row r="158" spans="1:12">
      <c r="A158" s="662"/>
      <c r="B158" s="662"/>
      <c r="C158" s="3457"/>
      <c r="D158" s="1007"/>
      <c r="E158" s="84"/>
      <c r="F158" s="856"/>
      <c r="G158" s="2469"/>
      <c r="H158" s="505"/>
      <c r="I158" s="586"/>
      <c r="J158" s="365"/>
      <c r="K158" s="526"/>
    </row>
    <row r="159" spans="1:12">
      <c r="A159" s="81"/>
      <c r="B159" s="81"/>
      <c r="C159" s="1144"/>
      <c r="D159" s="1145"/>
      <c r="E159" s="84"/>
      <c r="F159" s="856"/>
      <c r="G159" s="2469"/>
      <c r="H159" s="505"/>
      <c r="I159" s="586"/>
      <c r="J159" s="365"/>
      <c r="K159" s="526"/>
    </row>
    <row r="160" spans="1:12">
      <c r="A160" s="43"/>
      <c r="B160" s="43"/>
      <c r="C160" s="1144"/>
      <c r="D160" s="1145"/>
      <c r="E160" s="84"/>
      <c r="F160" s="856"/>
      <c r="G160" s="2469"/>
      <c r="H160" s="505"/>
      <c r="I160" s="586"/>
      <c r="J160" s="365"/>
      <c r="K160" s="526"/>
    </row>
    <row r="161" spans="1:11">
      <c r="A161" s="43"/>
      <c r="B161" s="43"/>
      <c r="C161" s="3457"/>
      <c r="D161" s="1007"/>
      <c r="E161" s="84"/>
      <c r="F161" s="856"/>
      <c r="G161" s="2469"/>
      <c r="H161" s="505"/>
      <c r="I161" s="586"/>
      <c r="J161" s="365"/>
      <c r="K161" s="526"/>
    </row>
    <row r="162" spans="1:11">
      <c r="A162" s="406"/>
      <c r="B162" s="406"/>
      <c r="C162" s="3457"/>
      <c r="D162" s="1007"/>
      <c r="E162" s="84"/>
      <c r="F162" s="856"/>
      <c r="G162" s="2469"/>
      <c r="H162" s="505"/>
      <c r="I162" s="586"/>
      <c r="J162" s="365"/>
      <c r="K162" s="526"/>
    </row>
    <row r="163" spans="1:11">
      <c r="A163" s="43"/>
      <c r="B163" s="43"/>
      <c r="C163" s="3457"/>
      <c r="D163" s="1007"/>
      <c r="E163" s="84"/>
      <c r="F163" s="856"/>
      <c r="G163" s="2469"/>
      <c r="H163" s="505"/>
      <c r="I163" s="586"/>
      <c r="J163" s="365"/>
      <c r="K163" s="526"/>
    </row>
    <row r="164" spans="1:11">
      <c r="A164" s="1150"/>
      <c r="B164" s="1150"/>
      <c r="C164" s="3457"/>
      <c r="D164" s="1007"/>
      <c r="E164" s="84"/>
      <c r="F164" s="856"/>
      <c r="G164" s="2469"/>
      <c r="H164" s="505"/>
      <c r="I164" s="586"/>
      <c r="J164" s="365"/>
      <c r="K164" s="526"/>
    </row>
    <row r="165" spans="1:11" ht="35.25" thickBot="1">
      <c r="A165" s="1922"/>
      <c r="B165" s="1922"/>
      <c r="C165" s="1913"/>
      <c r="D165" s="1933"/>
      <c r="E165" s="1934"/>
      <c r="F165" s="1935"/>
      <c r="G165" s="2470"/>
      <c r="H165" s="2471"/>
      <c r="I165" s="1937"/>
      <c r="J165" s="1938"/>
      <c r="K165" s="1939"/>
    </row>
    <row r="166" spans="1:11" ht="35.25" thickTop="1">
      <c r="A166" s="1150"/>
      <c r="B166" s="1150"/>
      <c r="C166" s="1144"/>
      <c r="D166" s="1007"/>
      <c r="E166" s="1931"/>
      <c r="F166" s="1932"/>
      <c r="G166" s="1684"/>
      <c r="H166" s="1479"/>
      <c r="I166" s="432"/>
      <c r="J166" s="702"/>
      <c r="K166" s="1148"/>
    </row>
    <row r="167" spans="1:11">
      <c r="A167" s="788"/>
      <c r="B167" s="788"/>
      <c r="C167" s="3457"/>
      <c r="D167" s="1007"/>
      <c r="E167" s="1931"/>
      <c r="F167" s="1932"/>
      <c r="G167" s="1684"/>
      <c r="H167" s="1479"/>
      <c r="I167" s="432"/>
      <c r="J167" s="702"/>
      <c r="K167" s="1148"/>
    </row>
    <row r="168" spans="1:11" ht="35.25" thickBot="1">
      <c r="A168" s="1922"/>
      <c r="B168" s="1922"/>
      <c r="C168" s="1913"/>
      <c r="D168" s="1007"/>
      <c r="E168" s="1934"/>
      <c r="F168" s="1935"/>
      <c r="G168" s="2472"/>
      <c r="H168" s="1479"/>
      <c r="I168" s="432"/>
      <c r="J168" s="702"/>
      <c r="K168" s="1148"/>
    </row>
    <row r="169" spans="1:11" ht="35.25" thickTop="1">
      <c r="A169" s="770"/>
      <c r="B169" s="770"/>
      <c r="C169" s="1144"/>
      <c r="D169" s="1145"/>
      <c r="E169" s="1931"/>
      <c r="F169" s="1932"/>
      <c r="G169" s="1684"/>
      <c r="H169" s="1479"/>
      <c r="I169" s="432"/>
      <c r="J169" s="370"/>
      <c r="K169" s="369"/>
    </row>
    <row r="170" spans="1:11">
      <c r="A170" s="81"/>
      <c r="B170" s="81"/>
      <c r="C170" s="3457"/>
      <c r="D170" s="1007"/>
      <c r="E170" s="84"/>
      <c r="F170" s="856"/>
      <c r="G170" s="477"/>
      <c r="H170" s="74"/>
      <c r="I170" s="431"/>
      <c r="J170" s="734"/>
      <c r="K170" s="365"/>
    </row>
    <row r="171" spans="1:11">
      <c r="A171" s="81"/>
      <c r="B171" s="81"/>
      <c r="C171" s="3457"/>
      <c r="D171" s="1007"/>
      <c r="E171" s="84"/>
      <c r="F171" s="856"/>
      <c r="G171" s="477"/>
      <c r="H171" s="74"/>
      <c r="I171" s="431"/>
      <c r="J171" s="734"/>
      <c r="K171" s="365"/>
    </row>
    <row r="172" spans="1:11" ht="35.25" thickBot="1">
      <c r="A172" s="1905"/>
      <c r="B172" s="1905"/>
      <c r="C172" s="1913"/>
      <c r="D172" s="1933"/>
      <c r="E172" s="1934"/>
      <c r="F172" s="1935"/>
      <c r="G172" s="1908"/>
      <c r="H172" s="1909"/>
      <c r="I172" s="1915"/>
      <c r="J172" s="3660"/>
      <c r="K172" s="1938"/>
    </row>
    <row r="173" spans="1:11" ht="35.25" thickTop="1">
      <c r="A173" s="43"/>
      <c r="B173" s="43"/>
      <c r="C173" s="1144"/>
      <c r="D173" s="1145"/>
      <c r="E173" s="1931"/>
      <c r="F173" s="1932"/>
      <c r="G173" s="1072"/>
      <c r="H173" s="82"/>
      <c r="I173" s="432"/>
      <c r="J173" s="370"/>
      <c r="K173" s="369"/>
    </row>
    <row r="174" spans="1:11">
      <c r="A174" s="43"/>
      <c r="B174" s="43"/>
      <c r="C174" s="1144"/>
      <c r="D174" s="1145"/>
      <c r="E174" s="1931"/>
      <c r="F174" s="1932"/>
      <c r="G174" s="1072"/>
      <c r="H174" s="82"/>
      <c r="I174" s="432"/>
      <c r="J174" s="370"/>
      <c r="K174" s="369"/>
    </row>
    <row r="175" spans="1:11">
      <c r="A175" s="81"/>
      <c r="B175" s="81"/>
      <c r="C175" s="3457"/>
      <c r="D175" s="1007"/>
      <c r="E175" s="84"/>
      <c r="F175" s="856"/>
      <c r="G175" s="477"/>
      <c r="H175" s="74"/>
      <c r="I175" s="432"/>
      <c r="J175" s="734"/>
      <c r="K175" s="365"/>
    </row>
    <row r="176" spans="1:11">
      <c r="A176" s="81"/>
      <c r="B176" s="81"/>
      <c r="C176" s="3457"/>
      <c r="D176" s="1007"/>
      <c r="E176" s="84"/>
      <c r="F176" s="856"/>
      <c r="G176" s="477"/>
      <c r="H176" s="74"/>
      <c r="I176" s="432"/>
      <c r="J176" s="734"/>
      <c r="K176" s="365"/>
    </row>
    <row r="177" spans="1:12">
      <c r="A177" s="770"/>
      <c r="B177" s="770"/>
      <c r="C177" s="1144"/>
      <c r="D177" s="1145"/>
      <c r="E177" s="1931"/>
      <c r="F177" s="1932"/>
      <c r="G177" s="1072"/>
      <c r="H177" s="82"/>
      <c r="I177" s="432"/>
      <c r="J177" s="82"/>
      <c r="K177" s="369"/>
    </row>
    <row r="178" spans="1:12">
      <c r="A178" s="770"/>
      <c r="B178" s="770"/>
      <c r="C178" s="1144"/>
      <c r="D178" s="1145"/>
      <c r="E178" s="1931"/>
      <c r="F178" s="1932"/>
      <c r="G178" s="1072"/>
      <c r="H178" s="82"/>
      <c r="I178" s="432"/>
      <c r="J178" s="82"/>
      <c r="K178" s="369"/>
    </row>
    <row r="179" spans="1:12">
      <c r="A179" s="770"/>
      <c r="B179" s="770"/>
      <c r="C179" s="1144"/>
      <c r="D179" s="1145"/>
      <c r="E179" s="1931"/>
      <c r="F179" s="1932"/>
      <c r="G179" s="1072"/>
      <c r="H179" s="82"/>
      <c r="I179" s="432"/>
      <c r="J179" s="82"/>
      <c r="K179" s="369"/>
    </row>
    <row r="180" spans="1:12">
      <c r="A180" s="770"/>
      <c r="B180" s="770"/>
      <c r="C180" s="1144"/>
      <c r="D180" s="1145"/>
      <c r="E180" s="1931"/>
      <c r="F180" s="1932"/>
      <c r="G180" s="1072"/>
      <c r="H180" s="82"/>
      <c r="I180" s="432"/>
      <c r="J180" s="82"/>
      <c r="K180" s="369"/>
    </row>
    <row r="181" spans="1:12" ht="26.25" customHeight="1">
      <c r="A181" s="44"/>
      <c r="B181" s="45"/>
      <c r="C181" s="46"/>
      <c r="D181" s="124"/>
      <c r="F181" s="104"/>
      <c r="H181" s="45"/>
      <c r="I181" s="556"/>
      <c r="K181" s="492">
        <v>6</v>
      </c>
    </row>
    <row r="182" spans="1:12">
      <c r="A182" s="45"/>
      <c r="B182" s="45"/>
      <c r="C182" s="68"/>
      <c r="D182" s="612"/>
      <c r="F182" s="104"/>
      <c r="H182" s="45"/>
      <c r="I182" s="556"/>
      <c r="L182" s="45"/>
    </row>
    <row r="183" spans="1:12" s="45" customFormat="1">
      <c r="A183" s="3480"/>
      <c r="B183" s="3480"/>
      <c r="C183" s="46"/>
      <c r="D183" s="124"/>
      <c r="E183" s="335"/>
      <c r="F183" s="104"/>
      <c r="G183" s="210"/>
      <c r="I183" s="556"/>
      <c r="J183" s="540"/>
      <c r="K183" s="366"/>
    </row>
    <row r="184" spans="1:12" ht="34.9" customHeight="1">
      <c r="F184" s="104"/>
    </row>
    <row r="185" spans="1:12">
      <c r="A185" s="45" t="s">
        <v>0</v>
      </c>
      <c r="B185" s="45"/>
      <c r="C185" s="68"/>
      <c r="D185" s="612"/>
      <c r="F185" s="104"/>
      <c r="H185" s="45"/>
      <c r="I185" s="556"/>
      <c r="L185" s="46"/>
    </row>
    <row r="186" spans="1:12">
      <c r="A186" s="3480" t="s">
        <v>1</v>
      </c>
      <c r="B186" s="3480"/>
      <c r="C186" s="46"/>
      <c r="D186" s="124"/>
      <c r="F186" s="104"/>
      <c r="H186" s="45"/>
      <c r="I186" s="556"/>
      <c r="L186" s="46"/>
    </row>
    <row r="187" spans="1:12" ht="35.25" thickBot="1">
      <c r="F187" s="104"/>
    </row>
    <row r="188" spans="1:12">
      <c r="A188" s="3481" t="s">
        <v>2</v>
      </c>
      <c r="B188" s="3482"/>
      <c r="C188" s="48" t="s">
        <v>3</v>
      </c>
      <c r="D188" s="436" t="s">
        <v>4</v>
      </c>
      <c r="E188" s="868" t="s">
        <v>5</v>
      </c>
      <c r="F188" s="849" t="s">
        <v>5</v>
      </c>
      <c r="G188" s="211" t="s">
        <v>6</v>
      </c>
      <c r="H188" s="48" t="s">
        <v>7</v>
      </c>
      <c r="I188" s="557" t="s">
        <v>8</v>
      </c>
      <c r="J188" s="541" t="s">
        <v>9</v>
      </c>
      <c r="K188" s="346" t="s">
        <v>9</v>
      </c>
    </row>
    <row r="189" spans="1:12" ht="35.25" thickBot="1">
      <c r="A189" s="51"/>
      <c r="B189" s="72"/>
      <c r="C189" s="50"/>
      <c r="D189" s="437" t="s">
        <v>10</v>
      </c>
      <c r="E189" s="869" t="s">
        <v>12</v>
      </c>
      <c r="F189" s="850" t="s">
        <v>11</v>
      </c>
      <c r="G189" s="212"/>
      <c r="H189" s="50" t="s">
        <v>13</v>
      </c>
      <c r="I189" s="558"/>
      <c r="J189" s="542" t="s">
        <v>14</v>
      </c>
      <c r="K189" s="347" t="s">
        <v>15</v>
      </c>
    </row>
    <row r="190" spans="1:12">
      <c r="A190" s="406"/>
      <c r="B190" s="406"/>
      <c r="C190" s="320"/>
      <c r="D190" s="413"/>
      <c r="E190" s="843"/>
      <c r="F190" s="853"/>
      <c r="G190" s="477"/>
      <c r="H190" s="74"/>
      <c r="I190" s="560"/>
      <c r="J190" s="547"/>
      <c r="K190" s="550"/>
    </row>
    <row r="191" spans="1:12">
      <c r="A191" s="662"/>
      <c r="B191" s="662"/>
      <c r="C191" s="3457"/>
      <c r="D191" s="1007"/>
      <c r="E191" s="84"/>
      <c r="F191" s="856"/>
      <c r="G191" s="1143"/>
      <c r="H191" s="431"/>
      <c r="I191" s="2367"/>
      <c r="J191" s="2016"/>
      <c r="K191" s="2368"/>
    </row>
    <row r="192" spans="1:12">
      <c r="A192" s="406"/>
      <c r="B192" s="406"/>
      <c r="C192" s="320"/>
      <c r="D192" s="413"/>
      <c r="E192" s="3659"/>
      <c r="F192" s="2366"/>
      <c r="G192" s="478"/>
      <c r="H192" s="224"/>
      <c r="I192" s="778"/>
      <c r="J192" s="937"/>
      <c r="K192" s="2369"/>
    </row>
    <row r="193" spans="1:11">
      <c r="A193" s="406"/>
      <c r="B193" s="406"/>
      <c r="C193" s="320"/>
      <c r="D193" s="413"/>
      <c r="E193" s="843"/>
      <c r="F193" s="853"/>
      <c r="G193" s="477"/>
      <c r="H193" s="74"/>
      <c r="I193" s="778"/>
      <c r="J193" s="694"/>
      <c r="K193" s="2370"/>
    </row>
    <row r="194" spans="1:11">
      <c r="A194" s="43"/>
      <c r="B194" s="43"/>
      <c r="C194" s="101"/>
      <c r="D194" s="3458"/>
      <c r="E194" s="143"/>
      <c r="F194" s="144"/>
      <c r="G194" s="483"/>
      <c r="H194" s="74"/>
      <c r="I194" s="105"/>
      <c r="J194" s="126"/>
      <c r="K194" s="375"/>
    </row>
    <row r="195" spans="1:11">
      <c r="A195" s="406"/>
      <c r="B195" s="43"/>
      <c r="C195" s="207"/>
      <c r="D195" s="959"/>
      <c r="E195" s="298"/>
      <c r="F195" s="381"/>
      <c r="G195" s="478"/>
      <c r="H195" s="74"/>
      <c r="I195" s="431"/>
      <c r="J195" s="586"/>
      <c r="K195" s="526"/>
    </row>
    <row r="196" spans="1:11">
      <c r="A196" s="406"/>
      <c r="B196" s="662"/>
      <c r="C196" s="207"/>
      <c r="D196" s="959"/>
      <c r="E196" s="298"/>
      <c r="F196" s="381"/>
      <c r="G196" s="478"/>
      <c r="H196" s="74"/>
      <c r="I196" s="431"/>
      <c r="J196" s="647"/>
      <c r="K196" s="780"/>
    </row>
    <row r="197" spans="1:11" ht="38.25">
      <c r="A197" s="2462"/>
      <c r="B197" s="81"/>
      <c r="C197" s="207"/>
      <c r="D197" s="3457"/>
      <c r="E197" s="142"/>
      <c r="F197" s="381"/>
      <c r="G197" s="478"/>
      <c r="H197" s="101"/>
      <c r="I197" s="600"/>
      <c r="J197" s="586"/>
      <c r="K197" s="526"/>
    </row>
    <row r="198" spans="1:11">
      <c r="A198" s="1516"/>
      <c r="B198" s="81"/>
      <c r="C198" s="207"/>
      <c r="D198" s="3457"/>
      <c r="E198" s="100"/>
      <c r="F198" s="381"/>
      <c r="G198" s="478"/>
      <c r="H198" s="101"/>
      <c r="I198" s="600"/>
      <c r="J198" s="586"/>
      <c r="K198" s="526"/>
    </row>
    <row r="199" spans="1:11">
      <c r="A199" s="1384"/>
      <c r="B199" s="43"/>
      <c r="C199" s="207"/>
      <c r="D199" s="3457"/>
      <c r="E199" s="100"/>
      <c r="F199" s="381"/>
      <c r="G199" s="478"/>
      <c r="H199" s="74"/>
      <c r="I199" s="431"/>
      <c r="J199" s="586"/>
      <c r="K199" s="526"/>
    </row>
    <row r="200" spans="1:11">
      <c r="A200" s="1161"/>
      <c r="B200" s="43"/>
      <c r="C200" s="207"/>
      <c r="D200" s="959"/>
      <c r="E200" s="298"/>
      <c r="F200" s="381"/>
      <c r="G200" s="478"/>
      <c r="H200" s="74"/>
      <c r="I200" s="431"/>
      <c r="J200" s="586"/>
      <c r="K200" s="526"/>
    </row>
    <row r="201" spans="1:11">
      <c r="A201" s="770"/>
      <c r="B201" s="662"/>
      <c r="C201" s="207"/>
      <c r="D201" s="959"/>
      <c r="E201" s="298"/>
      <c r="F201" s="381"/>
      <c r="G201" s="478"/>
      <c r="H201" s="74"/>
      <c r="I201" s="431"/>
      <c r="J201" s="647"/>
      <c r="K201" s="780"/>
    </row>
    <row r="202" spans="1:11">
      <c r="A202" s="406"/>
      <c r="B202" s="81"/>
      <c r="C202" s="207"/>
      <c r="D202" s="3457"/>
      <c r="E202" s="100"/>
      <c r="F202" s="381"/>
      <c r="G202" s="478"/>
      <c r="H202" s="101"/>
      <c r="I202" s="600"/>
      <c r="J202" s="586"/>
      <c r="K202" s="526"/>
    </row>
    <row r="203" spans="1:11">
      <c r="A203" s="406"/>
      <c r="B203" s="43"/>
      <c r="C203" s="207"/>
      <c r="D203" s="3457"/>
      <c r="E203" s="100"/>
      <c r="F203" s="381"/>
      <c r="G203" s="478"/>
      <c r="H203" s="74"/>
      <c r="I203" s="431"/>
      <c r="J203" s="586"/>
      <c r="K203" s="526"/>
    </row>
    <row r="204" spans="1:11">
      <c r="A204" s="398"/>
      <c r="B204" s="766"/>
      <c r="C204" s="207"/>
      <c r="D204" s="322"/>
      <c r="E204" s="60"/>
      <c r="F204" s="381"/>
      <c r="G204" s="312"/>
      <c r="H204" s="150"/>
      <c r="I204" s="431"/>
      <c r="J204" s="586"/>
      <c r="K204" s="365"/>
    </row>
    <row r="205" spans="1:11" ht="35.25" thickBot="1">
      <c r="A205" s="1782"/>
      <c r="B205" s="1000"/>
      <c r="C205" s="207"/>
      <c r="D205" s="3457"/>
      <c r="E205" s="142"/>
      <c r="F205" s="381"/>
      <c r="G205" s="478"/>
      <c r="H205" s="101"/>
      <c r="I205" s="600"/>
      <c r="J205" s="586"/>
      <c r="K205" s="527"/>
    </row>
    <row r="206" spans="1:11">
      <c r="A206" s="1019"/>
      <c r="B206" s="770"/>
      <c r="C206" s="207"/>
      <c r="D206" s="3457"/>
      <c r="E206" s="142"/>
      <c r="F206" s="381"/>
      <c r="G206" s="478"/>
      <c r="H206" s="101"/>
      <c r="I206" s="600"/>
      <c r="J206" s="586"/>
      <c r="K206" s="526"/>
    </row>
    <row r="207" spans="1:11">
      <c r="A207" s="438"/>
      <c r="B207" s="770"/>
      <c r="C207" s="207"/>
      <c r="D207" s="3457"/>
      <c r="E207" s="100"/>
      <c r="F207" s="381"/>
      <c r="G207" s="478"/>
      <c r="H207" s="101"/>
      <c r="I207" s="600"/>
      <c r="J207" s="586"/>
      <c r="K207" s="526"/>
    </row>
    <row r="208" spans="1:11">
      <c r="A208" s="254"/>
      <c r="B208" s="406"/>
      <c r="C208" s="207"/>
      <c r="D208" s="3457"/>
      <c r="E208" s="100"/>
      <c r="F208" s="381"/>
      <c r="G208" s="478"/>
      <c r="H208" s="74"/>
      <c r="I208" s="431"/>
      <c r="J208" s="586"/>
      <c r="K208" s="526"/>
    </row>
    <row r="209" spans="1:12">
      <c r="A209" s="398"/>
      <c r="B209" s="406"/>
      <c r="C209" s="207"/>
      <c r="D209" s="959"/>
      <c r="E209" s="298"/>
      <c r="F209" s="381"/>
      <c r="G209" s="478"/>
      <c r="H209" s="74"/>
      <c r="I209" s="431"/>
      <c r="J209" s="586"/>
      <c r="K209" s="526"/>
    </row>
    <row r="210" spans="1:12">
      <c r="A210" s="782"/>
      <c r="B210" s="880"/>
      <c r="C210" s="207"/>
      <c r="D210" s="959"/>
      <c r="E210" s="298"/>
      <c r="F210" s="381"/>
      <c r="G210" s="478"/>
      <c r="H210" s="74"/>
      <c r="I210" s="431"/>
      <c r="J210" s="647"/>
      <c r="K210" s="780"/>
    </row>
    <row r="211" spans="1:12">
      <c r="A211" s="663"/>
      <c r="B211" s="1006"/>
      <c r="C211" s="877"/>
      <c r="D211" s="1619"/>
      <c r="E211" s="142"/>
      <c r="F211" s="381"/>
      <c r="G211" s="1616"/>
      <c r="H211" s="971"/>
      <c r="I211" s="506"/>
      <c r="J211" s="1620"/>
      <c r="K211" s="2384"/>
    </row>
    <row r="212" spans="1:12">
      <c r="A212" s="766"/>
      <c r="B212" s="766"/>
      <c r="C212" s="207"/>
      <c r="D212" s="322"/>
      <c r="E212" s="60"/>
      <c r="F212" s="381"/>
      <c r="G212" s="312"/>
      <c r="H212" s="150"/>
      <c r="I212" s="431"/>
      <c r="J212" s="586"/>
      <c r="K212" s="365"/>
    </row>
    <row r="213" spans="1:12">
      <c r="A213" s="406"/>
      <c r="B213" s="1000"/>
      <c r="C213" s="207"/>
      <c r="D213" s="3457"/>
      <c r="E213" s="142"/>
      <c r="F213" s="381"/>
      <c r="G213" s="478"/>
      <c r="H213" s="101"/>
      <c r="I213" s="600"/>
      <c r="J213" s="586"/>
      <c r="K213" s="527"/>
    </row>
    <row r="214" spans="1:12">
      <c r="A214" s="406"/>
      <c r="B214" s="770"/>
      <c r="C214" s="207"/>
      <c r="D214" s="3457"/>
      <c r="E214" s="142"/>
      <c r="F214" s="381"/>
      <c r="G214" s="478"/>
      <c r="H214" s="101"/>
      <c r="I214" s="339"/>
      <c r="J214" s="586"/>
      <c r="K214" s="526"/>
    </row>
    <row r="215" spans="1:12">
      <c r="A215" s="406"/>
      <c r="B215" s="770"/>
      <c r="C215" s="207"/>
      <c r="D215" s="3457"/>
      <c r="E215" s="100"/>
      <c r="F215" s="381"/>
      <c r="G215" s="478"/>
      <c r="H215" s="101"/>
      <c r="I215" s="600"/>
      <c r="J215" s="586"/>
      <c r="K215" s="526"/>
    </row>
    <row r="216" spans="1:12">
      <c r="A216" s="438"/>
      <c r="B216" s="406"/>
      <c r="C216" s="207"/>
      <c r="D216" s="3457"/>
      <c r="E216" s="100"/>
      <c r="F216" s="381"/>
      <c r="G216" s="478"/>
      <c r="H216" s="74"/>
      <c r="I216" s="431"/>
      <c r="J216" s="586"/>
      <c r="K216" s="526"/>
    </row>
    <row r="217" spans="1:12" ht="33" customHeight="1">
      <c r="A217" s="254"/>
      <c r="B217" s="43"/>
      <c r="C217" s="101"/>
      <c r="D217" s="342"/>
      <c r="E217" s="871"/>
      <c r="F217" s="767"/>
      <c r="G217" s="206"/>
      <c r="H217" s="74"/>
      <c r="I217" s="560"/>
      <c r="J217" s="603"/>
      <c r="K217" s="378"/>
    </row>
    <row r="218" spans="1:12">
      <c r="A218" s="398"/>
      <c r="B218" s="406"/>
      <c r="C218" s="101"/>
      <c r="D218" s="342"/>
      <c r="E218" s="767"/>
      <c r="F218" s="767"/>
      <c r="G218" s="206"/>
      <c r="H218" s="74"/>
      <c r="I218" s="560"/>
      <c r="J218" s="547"/>
      <c r="K218" s="365"/>
      <c r="L218" s="45"/>
    </row>
    <row r="219" spans="1:12" s="45" customFormat="1">
      <c r="A219" s="83"/>
      <c r="B219" s="43"/>
      <c r="C219" s="101"/>
      <c r="D219" s="322"/>
      <c r="E219" s="838"/>
      <c r="F219" s="767"/>
      <c r="G219" s="206"/>
      <c r="H219" s="74"/>
      <c r="I219" s="562"/>
      <c r="J219" s="547"/>
      <c r="K219" s="550"/>
    </row>
    <row r="220" spans="1:12" ht="22.5" customHeight="1" thickBot="1">
      <c r="F220" s="104"/>
      <c r="K220" s="732"/>
    </row>
    <row r="221" spans="1:12">
      <c r="A221" s="3445"/>
      <c r="B221" s="3446" t="s">
        <v>2</v>
      </c>
      <c r="C221" s="48" t="s">
        <v>3</v>
      </c>
      <c r="D221" s="436" t="s">
        <v>4</v>
      </c>
      <c r="E221" s="868" t="s">
        <v>5</v>
      </c>
      <c r="F221" s="849" t="s">
        <v>5</v>
      </c>
      <c r="G221" s="211" t="s">
        <v>6</v>
      </c>
      <c r="H221" s="48" t="s">
        <v>7</v>
      </c>
      <c r="I221" s="557" t="s">
        <v>8</v>
      </c>
      <c r="J221" s="573" t="s">
        <v>9</v>
      </c>
      <c r="K221" s="346" t="s">
        <v>9</v>
      </c>
      <c r="L221" s="46"/>
    </row>
    <row r="222" spans="1:12" ht="35.25" thickBot="1">
      <c r="A222" s="51"/>
      <c r="B222" s="72"/>
      <c r="C222" s="50"/>
      <c r="D222" s="437" t="s">
        <v>10</v>
      </c>
      <c r="E222" s="869" t="s">
        <v>11</v>
      </c>
      <c r="F222" s="850" t="s">
        <v>12</v>
      </c>
      <c r="G222" s="212"/>
      <c r="H222" s="50" t="s">
        <v>13</v>
      </c>
      <c r="I222" s="558"/>
      <c r="J222" s="574" t="s">
        <v>14</v>
      </c>
      <c r="K222" s="347" t="s">
        <v>15</v>
      </c>
      <c r="L222" s="46"/>
    </row>
    <row r="223" spans="1:12">
      <c r="A223" s="3491" t="s">
        <v>218</v>
      </c>
      <c r="B223" s="3492"/>
      <c r="C223" s="63" t="s">
        <v>219</v>
      </c>
      <c r="D223" s="342"/>
      <c r="E223" s="838"/>
      <c r="F223" s="767"/>
      <c r="G223" s="206"/>
      <c r="H223" s="74"/>
      <c r="I223" s="560"/>
      <c r="J223" s="547"/>
      <c r="K223" s="365"/>
    </row>
    <row r="224" spans="1:12">
      <c r="A224" s="87"/>
      <c r="B224" s="43" t="s">
        <v>220</v>
      </c>
      <c r="C224" s="101" t="s">
        <v>221</v>
      </c>
      <c r="D224" s="342" t="s">
        <v>23</v>
      </c>
      <c r="E224" s="871">
        <v>65</v>
      </c>
      <c r="F224" s="1497" t="s">
        <v>222</v>
      </c>
      <c r="G224" s="206" t="s">
        <v>223</v>
      </c>
      <c r="H224" s="150">
        <v>660</v>
      </c>
      <c r="I224" s="785" t="s">
        <v>224</v>
      </c>
      <c r="J224" s="544">
        <v>660</v>
      </c>
      <c r="K224" s="365">
        <v>55</v>
      </c>
    </row>
    <row r="225" spans="1:11">
      <c r="A225" s="3447" t="s">
        <v>225</v>
      </c>
      <c r="B225" s="3448"/>
      <c r="C225" s="126"/>
      <c r="D225" s="536"/>
      <c r="E225" s="843"/>
      <c r="F225" s="853"/>
      <c r="G225" s="130" t="s">
        <v>226</v>
      </c>
      <c r="H225" s="322"/>
      <c r="I225" s="560"/>
      <c r="J225" s="544"/>
      <c r="K225" s="365"/>
    </row>
    <row r="226" spans="1:11">
      <c r="A226" s="398"/>
      <c r="B226" s="43" t="s">
        <v>227</v>
      </c>
      <c r="C226" s="101" t="s">
        <v>228</v>
      </c>
      <c r="D226" s="322" t="s">
        <v>18</v>
      </c>
      <c r="E226" s="843">
        <v>34</v>
      </c>
      <c r="F226" s="853">
        <v>760</v>
      </c>
      <c r="G226" s="979" t="s">
        <v>229</v>
      </c>
      <c r="H226" s="74">
        <v>750</v>
      </c>
      <c r="I226" s="1682" t="s">
        <v>230</v>
      </c>
      <c r="J226" s="544">
        <v>721.15</v>
      </c>
      <c r="K226" s="365">
        <v>60.09</v>
      </c>
    </row>
    <row r="227" spans="1:11">
      <c r="A227" s="398"/>
      <c r="B227" s="43" t="s">
        <v>231</v>
      </c>
      <c r="C227" s="101" t="s">
        <v>221</v>
      </c>
      <c r="D227" s="322" t="s">
        <v>23</v>
      </c>
      <c r="E227" s="843">
        <v>68</v>
      </c>
      <c r="F227" s="853">
        <v>760</v>
      </c>
      <c r="G227" s="979" t="s">
        <v>229</v>
      </c>
      <c r="H227" s="74">
        <v>750</v>
      </c>
      <c r="I227" s="1682" t="s">
        <v>230</v>
      </c>
      <c r="J227" s="544">
        <v>721.15</v>
      </c>
      <c r="K227" s="365">
        <v>60.09</v>
      </c>
    </row>
    <row r="228" spans="1:11">
      <c r="A228" s="83"/>
      <c r="B228" s="43" t="s">
        <v>232</v>
      </c>
      <c r="C228" s="101" t="s">
        <v>221</v>
      </c>
      <c r="D228" s="322" t="s">
        <v>23</v>
      </c>
      <c r="E228" s="843">
        <v>90</v>
      </c>
      <c r="F228" s="853">
        <v>995</v>
      </c>
      <c r="G228" s="979" t="s">
        <v>233</v>
      </c>
      <c r="H228" s="74">
        <v>970</v>
      </c>
      <c r="I228" s="1682" t="s">
        <v>234</v>
      </c>
      <c r="J228" s="544">
        <v>946.91</v>
      </c>
      <c r="K228" s="365">
        <v>78.91</v>
      </c>
    </row>
    <row r="229" spans="1:11">
      <c r="A229" s="398"/>
      <c r="B229" s="43" t="s">
        <v>235</v>
      </c>
      <c r="C229" s="101" t="s">
        <v>236</v>
      </c>
      <c r="D229" s="322" t="s">
        <v>23</v>
      </c>
      <c r="E229" s="843">
        <v>68</v>
      </c>
      <c r="F229" s="853">
        <v>760</v>
      </c>
      <c r="G229" s="979" t="s">
        <v>229</v>
      </c>
      <c r="H229" s="74">
        <v>750</v>
      </c>
      <c r="I229" s="1682" t="s">
        <v>230</v>
      </c>
      <c r="J229" s="544">
        <v>721.15</v>
      </c>
      <c r="K229" s="365">
        <v>60.09</v>
      </c>
    </row>
    <row r="230" spans="1:11">
      <c r="A230" s="398"/>
      <c r="B230" s="791" t="s">
        <v>237</v>
      </c>
      <c r="C230" s="101" t="s">
        <v>236</v>
      </c>
      <c r="D230" s="322" t="s">
        <v>23</v>
      </c>
      <c r="E230" s="843">
        <v>75</v>
      </c>
      <c r="F230" s="853">
        <v>860</v>
      </c>
      <c r="G230" s="979" t="s">
        <v>238</v>
      </c>
      <c r="H230" s="74">
        <v>820</v>
      </c>
      <c r="I230" s="1682"/>
      <c r="J230" s="544">
        <v>820</v>
      </c>
      <c r="K230" s="365">
        <v>68.33</v>
      </c>
    </row>
    <row r="231" spans="1:11">
      <c r="A231" s="398"/>
      <c r="B231" s="43" t="s">
        <v>239</v>
      </c>
      <c r="C231" s="101" t="s">
        <v>221</v>
      </c>
      <c r="D231" s="322" t="s">
        <v>18</v>
      </c>
      <c r="E231" s="843">
        <v>32</v>
      </c>
      <c r="F231" s="853">
        <v>685</v>
      </c>
      <c r="G231" s="979" t="s">
        <v>238</v>
      </c>
      <c r="H231" s="74">
        <v>650</v>
      </c>
      <c r="I231" s="3661" t="s">
        <v>240</v>
      </c>
      <c r="J231" s="644">
        <v>650</v>
      </c>
      <c r="K231" s="2016">
        <v>27.08</v>
      </c>
    </row>
    <row r="232" spans="1:11">
      <c r="A232" s="398"/>
      <c r="B232" s="43" t="s">
        <v>239</v>
      </c>
      <c r="C232" s="101" t="s">
        <v>26</v>
      </c>
      <c r="D232" s="322" t="s">
        <v>23</v>
      </c>
      <c r="E232" s="838"/>
      <c r="F232" s="853"/>
      <c r="G232" s="206" t="s">
        <v>241</v>
      </c>
      <c r="H232" s="74"/>
      <c r="I232" s="560"/>
      <c r="J232" s="544">
        <v>518</v>
      </c>
      <c r="K232" s="365">
        <v>43.16</v>
      </c>
    </row>
    <row r="233" spans="1:11">
      <c r="A233" s="83"/>
      <c r="B233" s="362" t="s">
        <v>242</v>
      </c>
      <c r="C233" s="101" t="s">
        <v>243</v>
      </c>
      <c r="D233" s="342" t="s">
        <v>244</v>
      </c>
      <c r="E233" s="871">
        <v>95</v>
      </c>
      <c r="F233" s="767"/>
      <c r="G233" s="206" t="s">
        <v>245</v>
      </c>
      <c r="H233" s="74">
        <v>580</v>
      </c>
      <c r="I233" s="560"/>
      <c r="J233" s="544">
        <v>1890</v>
      </c>
      <c r="K233" s="365">
        <v>78.75</v>
      </c>
    </row>
    <row r="234" spans="1:11">
      <c r="A234" s="83"/>
      <c r="B234" s="383" t="s">
        <v>246</v>
      </c>
      <c r="C234" s="101" t="s">
        <v>247</v>
      </c>
      <c r="D234" s="342" t="s">
        <v>248</v>
      </c>
      <c r="E234" s="871">
        <v>150</v>
      </c>
      <c r="F234" s="853"/>
      <c r="G234" s="206" t="s">
        <v>249</v>
      </c>
      <c r="H234" s="74"/>
      <c r="I234" s="560"/>
      <c r="J234" s="544">
        <v>2300</v>
      </c>
      <c r="K234" s="365">
        <v>115</v>
      </c>
    </row>
    <row r="235" spans="1:11">
      <c r="A235" s="83"/>
      <c r="B235" s="43" t="s">
        <v>250</v>
      </c>
      <c r="C235" s="101" t="s">
        <v>247</v>
      </c>
      <c r="D235" s="342" t="s">
        <v>23</v>
      </c>
      <c r="E235" s="871">
        <v>150</v>
      </c>
      <c r="F235" s="853"/>
      <c r="G235" s="979" t="s">
        <v>251</v>
      </c>
      <c r="H235" s="74"/>
      <c r="I235" s="560"/>
      <c r="J235" s="544">
        <v>1545</v>
      </c>
      <c r="K235" s="365">
        <v>128.75</v>
      </c>
    </row>
    <row r="236" spans="1:11">
      <c r="A236" s="83"/>
      <c r="B236" s="43" t="s">
        <v>252</v>
      </c>
      <c r="C236" s="101">
        <v>15</v>
      </c>
      <c r="D236" s="342" t="s">
        <v>253</v>
      </c>
      <c r="E236" s="871">
        <v>280</v>
      </c>
      <c r="F236" s="853"/>
      <c r="G236" s="206" t="s">
        <v>254</v>
      </c>
      <c r="H236" s="74"/>
      <c r="I236" s="560"/>
      <c r="J236" s="544">
        <v>1500</v>
      </c>
      <c r="K236" s="365">
        <v>250</v>
      </c>
    </row>
    <row r="237" spans="1:11">
      <c r="A237" s="83"/>
      <c r="B237" s="43" t="s">
        <v>255</v>
      </c>
      <c r="C237" s="101" t="s">
        <v>256</v>
      </c>
      <c r="D237" s="342" t="s">
        <v>253</v>
      </c>
      <c r="E237" s="871">
        <v>320</v>
      </c>
      <c r="F237" s="853"/>
      <c r="G237" s="206" t="s">
        <v>254</v>
      </c>
      <c r="H237" s="74"/>
      <c r="I237" s="560"/>
      <c r="J237" s="544">
        <v>1800</v>
      </c>
      <c r="K237" s="365">
        <v>300</v>
      </c>
    </row>
    <row r="238" spans="1:11">
      <c r="A238" s="782"/>
      <c r="B238" s="43" t="s">
        <v>257</v>
      </c>
      <c r="C238" s="101" t="s">
        <v>258</v>
      </c>
      <c r="D238" s="342" t="s">
        <v>259</v>
      </c>
      <c r="E238" s="871">
        <v>35</v>
      </c>
      <c r="F238" s="853" t="s">
        <v>260</v>
      </c>
      <c r="G238" s="979" t="s">
        <v>233</v>
      </c>
      <c r="H238" s="74">
        <v>1440</v>
      </c>
      <c r="I238" s="560"/>
      <c r="J238" s="544">
        <v>1440</v>
      </c>
      <c r="K238" s="365">
        <v>30</v>
      </c>
    </row>
    <row r="239" spans="1:11">
      <c r="A239" s="398"/>
      <c r="B239" s="2459" t="s">
        <v>261</v>
      </c>
      <c r="C239" s="320" t="s">
        <v>262</v>
      </c>
      <c r="D239" s="624" t="s">
        <v>23</v>
      </c>
      <c r="E239" s="975">
        <v>90</v>
      </c>
      <c r="F239" s="851">
        <v>1020</v>
      </c>
      <c r="G239" s="979" t="s">
        <v>238</v>
      </c>
      <c r="H239" s="224">
        <v>970</v>
      </c>
      <c r="I239" s="778"/>
      <c r="J239" s="603">
        <v>970</v>
      </c>
      <c r="K239" s="378">
        <v>80.83</v>
      </c>
    </row>
    <row r="240" spans="1:11">
      <c r="A240" s="398"/>
      <c r="B240" s="783"/>
      <c r="C240" s="222"/>
      <c r="D240" s="624"/>
      <c r="E240" s="975"/>
      <c r="F240" s="851"/>
      <c r="G240" s="223"/>
      <c r="H240" s="224"/>
      <c r="I240" s="778"/>
      <c r="J240" s="603"/>
      <c r="K240" s="378"/>
    </row>
    <row r="241" spans="1:11">
      <c r="A241" s="398"/>
      <c r="B241" s="788" t="s">
        <v>263</v>
      </c>
      <c r="C241" s="222"/>
      <c r="D241" s="624" t="s">
        <v>264</v>
      </c>
      <c r="E241" s="975"/>
      <c r="F241" s="851"/>
      <c r="G241" s="223" t="s">
        <v>265</v>
      </c>
      <c r="H241" s="224">
        <v>1500</v>
      </c>
      <c r="I241" s="778" t="s">
        <v>266</v>
      </c>
      <c r="J241" s="603" t="s">
        <v>267</v>
      </c>
      <c r="K241" s="378">
        <v>21.25</v>
      </c>
    </row>
    <row r="242" spans="1:11">
      <c r="A242" s="1469" t="s">
        <v>268</v>
      </c>
      <c r="B242" s="1470"/>
      <c r="C242" s="222"/>
      <c r="D242" s="342"/>
      <c r="E242" s="843"/>
      <c r="F242" s="853"/>
      <c r="G242" s="206"/>
      <c r="H242" s="74"/>
      <c r="I242" s="560"/>
      <c r="J242" s="544"/>
      <c r="K242" s="365"/>
    </row>
    <row r="243" spans="1:11">
      <c r="A243" s="2036" t="s">
        <v>269</v>
      </c>
      <c r="B243" s="43" t="s">
        <v>270</v>
      </c>
      <c r="C243" s="101"/>
      <c r="D243" s="342" t="s">
        <v>18</v>
      </c>
      <c r="E243" s="837">
        <v>29</v>
      </c>
      <c r="F243" s="2699">
        <v>630</v>
      </c>
      <c r="G243" s="887" t="s">
        <v>271</v>
      </c>
      <c r="H243" s="74">
        <v>600</v>
      </c>
      <c r="I243" s="385" t="s">
        <v>272</v>
      </c>
      <c r="J243" s="547">
        <v>600</v>
      </c>
      <c r="K243" s="365">
        <v>25</v>
      </c>
    </row>
    <row r="244" spans="1:11">
      <c r="A244" s="83"/>
      <c r="B244" s="43" t="s">
        <v>273</v>
      </c>
      <c r="C244" s="101"/>
      <c r="D244" s="342" t="s">
        <v>18</v>
      </c>
      <c r="E244" s="839">
        <v>34</v>
      </c>
      <c r="F244" s="845">
        <v>760</v>
      </c>
      <c r="G244" s="979" t="s">
        <v>271</v>
      </c>
      <c r="H244" s="74">
        <v>720</v>
      </c>
      <c r="I244" s="385"/>
      <c r="J244" s="547">
        <v>720</v>
      </c>
      <c r="K244" s="365">
        <v>30</v>
      </c>
    </row>
    <row r="245" spans="1:11">
      <c r="A245" s="83"/>
      <c r="B245" s="43" t="s">
        <v>274</v>
      </c>
      <c r="C245" s="101" t="s">
        <v>26</v>
      </c>
      <c r="D245" s="322" t="s">
        <v>40</v>
      </c>
      <c r="E245" s="728">
        <v>98</v>
      </c>
      <c r="F245" s="840">
        <v>550</v>
      </c>
      <c r="G245" s="979" t="s">
        <v>271</v>
      </c>
      <c r="H245" s="74">
        <v>525</v>
      </c>
      <c r="I245" s="385"/>
      <c r="J245" s="547">
        <v>525</v>
      </c>
      <c r="K245" s="365">
        <v>87.5</v>
      </c>
    </row>
    <row r="246" spans="1:11">
      <c r="A246" s="83"/>
      <c r="B246" s="43" t="s">
        <v>275</v>
      </c>
      <c r="C246" s="101" t="s">
        <v>276</v>
      </c>
      <c r="D246" s="322" t="s">
        <v>23</v>
      </c>
      <c r="E246" s="728">
        <v>150</v>
      </c>
      <c r="F246" s="840"/>
      <c r="G246" s="206" t="s">
        <v>277</v>
      </c>
      <c r="H246" s="74"/>
      <c r="I246" s="385"/>
      <c r="J246" s="547" t="s">
        <v>278</v>
      </c>
      <c r="K246" s="365">
        <v>130</v>
      </c>
    </row>
    <row r="247" spans="1:11">
      <c r="A247" s="83"/>
      <c r="B247" s="43" t="s">
        <v>279</v>
      </c>
      <c r="C247" s="101" t="s">
        <v>107</v>
      </c>
      <c r="D247" s="322" t="s">
        <v>18</v>
      </c>
      <c r="E247" s="728">
        <v>44</v>
      </c>
      <c r="F247" s="840">
        <v>1010</v>
      </c>
      <c r="G247" s="979" t="s">
        <v>271</v>
      </c>
      <c r="H247" s="74">
        <v>960</v>
      </c>
      <c r="I247" s="385"/>
      <c r="J247" s="547">
        <v>960</v>
      </c>
      <c r="K247" s="365">
        <v>40</v>
      </c>
    </row>
    <row r="248" spans="1:11">
      <c r="A248" s="83"/>
      <c r="B248" s="43" t="s">
        <v>279</v>
      </c>
      <c r="C248" s="101" t="s">
        <v>280</v>
      </c>
      <c r="D248" s="322" t="s">
        <v>23</v>
      </c>
      <c r="E248" s="728">
        <v>66</v>
      </c>
      <c r="F248" s="840">
        <v>760</v>
      </c>
      <c r="G248" s="979" t="s">
        <v>271</v>
      </c>
      <c r="H248" s="74">
        <v>720</v>
      </c>
      <c r="I248" s="385"/>
      <c r="J248" s="547">
        <v>720</v>
      </c>
      <c r="K248" s="365">
        <v>60</v>
      </c>
    </row>
    <row r="249" spans="1:11">
      <c r="A249" s="83"/>
      <c r="B249" s="43" t="s">
        <v>281</v>
      </c>
      <c r="C249" s="101" t="s">
        <v>256</v>
      </c>
      <c r="D249" s="322" t="s">
        <v>23</v>
      </c>
      <c r="E249" s="728">
        <v>60</v>
      </c>
      <c r="F249" s="767">
        <v>690</v>
      </c>
      <c r="G249" s="979" t="s">
        <v>271</v>
      </c>
      <c r="H249" s="74">
        <v>660</v>
      </c>
      <c r="I249" s="385"/>
      <c r="J249" s="547">
        <v>660</v>
      </c>
      <c r="K249" s="365">
        <v>55</v>
      </c>
    </row>
    <row r="250" spans="1:11">
      <c r="A250" s="995" t="s">
        <v>282</v>
      </c>
      <c r="B250" s="781"/>
      <c r="C250" s="101"/>
      <c r="D250" s="322"/>
      <c r="E250" s="838"/>
      <c r="F250" s="767"/>
      <c r="G250" s="206"/>
      <c r="H250" s="74"/>
      <c r="I250" s="560"/>
      <c r="J250" s="547"/>
      <c r="K250" s="365"/>
    </row>
    <row r="251" spans="1:11">
      <c r="A251" s="87"/>
      <c r="B251" s="43" t="s">
        <v>283</v>
      </c>
      <c r="C251" s="101" t="s">
        <v>284</v>
      </c>
      <c r="D251" s="342" t="s">
        <v>285</v>
      </c>
      <c r="E251" s="871">
        <v>24</v>
      </c>
      <c r="F251" s="861" t="s">
        <v>286</v>
      </c>
      <c r="G251" s="206" t="s">
        <v>287</v>
      </c>
      <c r="H251" s="74">
        <v>800</v>
      </c>
      <c r="I251" s="385" t="s">
        <v>288</v>
      </c>
      <c r="J251" s="1031" t="s">
        <v>289</v>
      </c>
      <c r="K251" s="1030">
        <v>17.29</v>
      </c>
    </row>
    <row r="252" spans="1:11">
      <c r="A252" s="254"/>
      <c r="B252" s="1161"/>
      <c r="C252" s="63"/>
      <c r="D252" s="342"/>
      <c r="E252" s="838"/>
      <c r="F252" s="767" t="s">
        <v>290</v>
      </c>
      <c r="G252" s="206" t="s">
        <v>291</v>
      </c>
      <c r="H252" s="74">
        <v>800</v>
      </c>
      <c r="I252" s="1011" t="s">
        <v>292</v>
      </c>
      <c r="J252" s="1031" t="s">
        <v>293</v>
      </c>
      <c r="K252" s="1029" t="s">
        <v>294</v>
      </c>
    </row>
    <row r="253" spans="1:11">
      <c r="F253" s="104"/>
      <c r="K253" s="537">
        <v>8</v>
      </c>
    </row>
    <row r="254" spans="1:11">
      <c r="A254" s="45" t="s">
        <v>0</v>
      </c>
      <c r="B254" s="45"/>
      <c r="C254" s="68"/>
      <c r="D254" s="612"/>
      <c r="F254" s="104"/>
      <c r="H254" s="45"/>
      <c r="I254" s="556"/>
    </row>
    <row r="255" spans="1:11">
      <c r="A255" s="3480" t="s">
        <v>1</v>
      </c>
      <c r="B255" s="3480"/>
      <c r="C255" s="46"/>
      <c r="D255" s="124"/>
      <c r="F255" s="104"/>
      <c r="H255" s="45"/>
      <c r="I255" s="556"/>
    </row>
    <row r="256" spans="1:11" ht="35.25" thickBot="1">
      <c r="F256" s="104"/>
    </row>
    <row r="257" spans="1:11">
      <c r="A257" s="3445"/>
      <c r="B257" s="3446" t="s">
        <v>2</v>
      </c>
      <c r="C257" s="48" t="s">
        <v>3</v>
      </c>
      <c r="D257" s="436" t="s">
        <v>4</v>
      </c>
      <c r="E257" s="849" t="s">
        <v>5</v>
      </c>
      <c r="F257" s="849" t="s">
        <v>5</v>
      </c>
      <c r="G257" s="219" t="s">
        <v>6</v>
      </c>
      <c r="H257" s="48" t="s">
        <v>7</v>
      </c>
      <c r="I257" s="557" t="s">
        <v>8</v>
      </c>
      <c r="J257" s="541" t="s">
        <v>9</v>
      </c>
      <c r="K257" s="346" t="s">
        <v>9</v>
      </c>
    </row>
    <row r="258" spans="1:11" ht="35.25" thickBot="1">
      <c r="A258" s="51"/>
      <c r="B258" s="72"/>
      <c r="C258" s="50"/>
      <c r="D258" s="437" t="s">
        <v>10</v>
      </c>
      <c r="E258" s="850" t="s">
        <v>11</v>
      </c>
      <c r="F258" s="850" t="s">
        <v>12</v>
      </c>
      <c r="G258" s="212"/>
      <c r="H258" s="50" t="s">
        <v>13</v>
      </c>
      <c r="I258" s="558"/>
      <c r="J258" s="542" t="s">
        <v>14</v>
      </c>
      <c r="K258" s="347" t="s">
        <v>15</v>
      </c>
    </row>
    <row r="259" spans="1:11">
      <c r="A259" s="3491" t="s">
        <v>295</v>
      </c>
      <c r="B259" s="3492"/>
      <c r="C259" s="101"/>
      <c r="D259" s="322"/>
      <c r="E259" s="838"/>
      <c r="F259" s="767"/>
      <c r="G259" s="206"/>
      <c r="H259" s="74"/>
      <c r="I259" s="560"/>
      <c r="J259" s="544"/>
      <c r="K259" s="365"/>
    </row>
    <row r="260" spans="1:11">
      <c r="A260" s="83"/>
      <c r="B260" s="362" t="s">
        <v>296</v>
      </c>
      <c r="C260" s="101" t="s">
        <v>297</v>
      </c>
      <c r="D260" s="322" t="s">
        <v>298</v>
      </c>
      <c r="E260" s="838">
        <v>34</v>
      </c>
      <c r="F260" s="767" t="s">
        <v>299</v>
      </c>
      <c r="G260" s="979" t="s">
        <v>300</v>
      </c>
      <c r="H260" s="74">
        <v>715</v>
      </c>
      <c r="I260" s="562" t="s">
        <v>301</v>
      </c>
      <c r="J260" s="644">
        <v>745</v>
      </c>
      <c r="K260" s="365">
        <v>31.04</v>
      </c>
    </row>
    <row r="261" spans="1:11" ht="37.5">
      <c r="A261" s="766"/>
      <c r="B261" s="2022" t="s">
        <v>302</v>
      </c>
      <c r="C261" s="1765" t="s">
        <v>256</v>
      </c>
      <c r="D261" s="831" t="s">
        <v>303</v>
      </c>
      <c r="E261" s="838">
        <v>40</v>
      </c>
      <c r="F261" s="767" t="s">
        <v>304</v>
      </c>
      <c r="G261" s="2460">
        <v>24495</v>
      </c>
      <c r="H261" s="778">
        <v>820</v>
      </c>
      <c r="I261" s="562" t="s">
        <v>301</v>
      </c>
      <c r="J261" s="2252">
        <v>830</v>
      </c>
      <c r="K261" s="780">
        <v>37.200000000000003</v>
      </c>
    </row>
    <row r="262" spans="1:11">
      <c r="A262" s="782"/>
      <c r="B262" s="788" t="s">
        <v>305</v>
      </c>
      <c r="C262" s="101" t="s">
        <v>256</v>
      </c>
      <c r="D262" s="831" t="s">
        <v>303</v>
      </c>
      <c r="E262" s="838">
        <v>62</v>
      </c>
      <c r="F262" s="767" t="s">
        <v>306</v>
      </c>
      <c r="G262" s="979" t="s">
        <v>300</v>
      </c>
      <c r="H262" s="74">
        <v>1350</v>
      </c>
      <c r="I262" s="562" t="s">
        <v>301</v>
      </c>
      <c r="J262" s="644">
        <v>1380</v>
      </c>
      <c r="K262" s="365">
        <v>55.2</v>
      </c>
    </row>
    <row r="263" spans="1:11">
      <c r="A263" s="83"/>
      <c r="B263" s="43"/>
      <c r="C263" s="101"/>
      <c r="D263" s="322"/>
      <c r="E263" s="838"/>
      <c r="F263" s="767"/>
      <c r="G263" s="206"/>
      <c r="H263" s="74"/>
      <c r="I263" s="562"/>
      <c r="J263" s="546"/>
      <c r="K263" s="365"/>
    </row>
    <row r="264" spans="1:11">
      <c r="A264" s="766"/>
      <c r="B264" s="320"/>
      <c r="C264" s="413"/>
      <c r="D264" s="776"/>
      <c r="E264" s="624"/>
      <c r="F264" s="223"/>
      <c r="G264" s="224"/>
      <c r="H264" s="778"/>
      <c r="I264" s="609"/>
      <c r="J264" s="779"/>
      <c r="K264" s="780"/>
    </row>
    <row r="265" spans="1:11">
      <c r="A265" s="775"/>
      <c r="B265" s="781" t="s">
        <v>307</v>
      </c>
      <c r="C265" s="101"/>
      <c r="D265" s="322"/>
      <c r="E265" s="838"/>
      <c r="F265" s="767"/>
      <c r="G265" s="206"/>
      <c r="H265" s="74"/>
      <c r="I265" s="560"/>
      <c r="J265" s="547"/>
      <c r="K265" s="394"/>
    </row>
    <row r="266" spans="1:11">
      <c r="A266" s="43"/>
      <c r="B266" s="43" t="s">
        <v>308</v>
      </c>
      <c r="C266" s="320"/>
      <c r="D266" s="322" t="s">
        <v>309</v>
      </c>
      <c r="E266" s="838">
        <v>38</v>
      </c>
      <c r="F266" s="767">
        <v>340</v>
      </c>
      <c r="G266" s="206" t="s">
        <v>310</v>
      </c>
      <c r="H266" s="74"/>
      <c r="I266" s="563" t="s">
        <v>311</v>
      </c>
      <c r="J266" s="544">
        <v>315.2</v>
      </c>
      <c r="K266" s="394">
        <v>31.52</v>
      </c>
    </row>
    <row r="267" spans="1:11">
      <c r="A267" s="43"/>
      <c r="B267" s="43" t="s">
        <v>312</v>
      </c>
      <c r="C267" s="101" t="s">
        <v>313</v>
      </c>
      <c r="D267" s="322" t="s">
        <v>314</v>
      </c>
      <c r="E267" s="838"/>
      <c r="F267" s="767"/>
      <c r="G267" s="206" t="s">
        <v>315</v>
      </c>
      <c r="H267" s="74">
        <v>200</v>
      </c>
      <c r="I267" s="563" t="s">
        <v>311</v>
      </c>
      <c r="J267" s="548">
        <v>147.75</v>
      </c>
      <c r="K267" s="365">
        <v>2.95</v>
      </c>
    </row>
    <row r="268" spans="1:11">
      <c r="A268" s="43"/>
      <c r="B268" s="43"/>
      <c r="C268" s="101" t="s">
        <v>316</v>
      </c>
      <c r="D268" s="342" t="s">
        <v>317</v>
      </c>
      <c r="E268" s="871">
        <v>15</v>
      </c>
      <c r="F268" s="767">
        <v>250</v>
      </c>
      <c r="G268" s="206" t="s">
        <v>318</v>
      </c>
      <c r="H268" s="74">
        <v>240</v>
      </c>
      <c r="I268" s="563" t="s">
        <v>319</v>
      </c>
      <c r="J268" s="544">
        <v>238.4</v>
      </c>
      <c r="K268" s="365">
        <v>11.92</v>
      </c>
    </row>
    <row r="269" spans="1:11">
      <c r="A269" s="362"/>
      <c r="B269" s="43"/>
      <c r="C269" s="101" t="s">
        <v>320</v>
      </c>
      <c r="D269" s="342" t="s">
        <v>309</v>
      </c>
      <c r="E269" s="871">
        <v>27</v>
      </c>
      <c r="F269" s="767">
        <v>250</v>
      </c>
      <c r="G269" s="206" t="s">
        <v>318</v>
      </c>
      <c r="H269" s="74">
        <v>230</v>
      </c>
      <c r="I269" s="563" t="s">
        <v>321</v>
      </c>
      <c r="J269" s="544">
        <v>232</v>
      </c>
      <c r="K269" s="365">
        <v>23.2</v>
      </c>
    </row>
    <row r="270" spans="1:11">
      <c r="A270" s="362"/>
      <c r="B270" s="362" t="s">
        <v>322</v>
      </c>
      <c r="C270" s="101"/>
      <c r="D270" s="342" t="s">
        <v>309</v>
      </c>
      <c r="E270" s="871">
        <v>50</v>
      </c>
      <c r="F270" s="767">
        <v>450</v>
      </c>
      <c r="G270" s="206" t="s">
        <v>323</v>
      </c>
      <c r="H270" s="74">
        <v>420</v>
      </c>
      <c r="I270" s="563" t="s">
        <v>311</v>
      </c>
      <c r="J270" s="544">
        <v>413.7</v>
      </c>
      <c r="K270" s="365">
        <v>41.37</v>
      </c>
    </row>
    <row r="271" spans="1:11">
      <c r="A271" s="362"/>
      <c r="B271" s="362" t="s">
        <v>324</v>
      </c>
      <c r="C271" s="101"/>
      <c r="D271" s="342" t="s">
        <v>309</v>
      </c>
      <c r="E271" s="871">
        <v>70</v>
      </c>
      <c r="F271" s="767"/>
      <c r="G271" s="206" t="s">
        <v>325</v>
      </c>
      <c r="H271" s="74">
        <v>600</v>
      </c>
      <c r="I271" s="563" t="s">
        <v>311</v>
      </c>
      <c r="J271" s="544">
        <v>591</v>
      </c>
      <c r="K271" s="365">
        <v>59.1</v>
      </c>
    </row>
    <row r="272" spans="1:11">
      <c r="A272" s="83"/>
      <c r="B272" s="362" t="s">
        <v>326</v>
      </c>
      <c r="C272" s="101"/>
      <c r="D272" s="342" t="s">
        <v>309</v>
      </c>
      <c r="E272" s="871">
        <v>65</v>
      </c>
      <c r="F272" s="767">
        <v>570</v>
      </c>
      <c r="G272" s="206" t="s">
        <v>327</v>
      </c>
      <c r="H272" s="74">
        <v>520</v>
      </c>
      <c r="I272" s="563" t="s">
        <v>311</v>
      </c>
      <c r="J272" s="544">
        <v>512.20000000000005</v>
      </c>
      <c r="K272" s="365">
        <v>51.22</v>
      </c>
    </row>
    <row r="273" spans="1:11">
      <c r="A273" s="3483"/>
      <c r="B273" s="3484"/>
      <c r="C273" s="101"/>
      <c r="D273" s="322"/>
      <c r="E273" s="838"/>
      <c r="F273" s="767"/>
      <c r="G273" s="206"/>
      <c r="H273" s="74"/>
      <c r="I273" s="560"/>
      <c r="J273" s="544"/>
      <c r="K273" s="365"/>
    </row>
    <row r="274" spans="1:11">
      <c r="A274" s="389"/>
      <c r="B274" s="382" t="s">
        <v>328</v>
      </c>
      <c r="C274" s="101"/>
      <c r="D274" s="342"/>
      <c r="E274" s="871"/>
      <c r="F274" s="767"/>
      <c r="G274" s="206"/>
      <c r="H274" s="74"/>
      <c r="I274" s="560"/>
      <c r="J274" s="547"/>
      <c r="K274" s="616"/>
    </row>
    <row r="275" spans="1:11">
      <c r="A275" s="87"/>
      <c r="B275" s="43" t="s">
        <v>329</v>
      </c>
      <c r="C275" s="101" t="s">
        <v>330</v>
      </c>
      <c r="D275" s="342"/>
      <c r="E275" s="871">
        <v>220</v>
      </c>
      <c r="F275" s="767"/>
      <c r="G275" s="206" t="s">
        <v>331</v>
      </c>
      <c r="H275" s="74"/>
      <c r="I275" s="560"/>
      <c r="J275" s="547"/>
      <c r="K275" s="550">
        <v>180</v>
      </c>
    </row>
    <row r="276" spans="1:11">
      <c r="A276" s="438"/>
      <c r="B276" s="766"/>
      <c r="C276" s="101"/>
      <c r="D276" s="342"/>
      <c r="E276" s="871"/>
      <c r="F276" s="767"/>
      <c r="G276" s="206"/>
      <c r="H276" s="74"/>
      <c r="I276" s="560"/>
      <c r="J276" s="547"/>
      <c r="K276" s="616"/>
    </row>
    <row r="277" spans="1:11">
      <c r="A277" s="3451" t="s">
        <v>332</v>
      </c>
      <c r="B277" s="3452"/>
      <c r="C277" s="101"/>
      <c r="D277" s="322"/>
      <c r="E277" s="838"/>
      <c r="F277" s="767"/>
      <c r="G277" s="206"/>
      <c r="H277" s="74"/>
      <c r="I277" s="560"/>
      <c r="J277" s="544"/>
      <c r="K277" s="365"/>
    </row>
    <row r="278" spans="1:11">
      <c r="A278" s="83"/>
      <c r="B278" s="383" t="s">
        <v>333</v>
      </c>
      <c r="C278" s="390" t="s">
        <v>334</v>
      </c>
      <c r="D278" s="322" t="s">
        <v>23</v>
      </c>
      <c r="E278" s="838">
        <v>35</v>
      </c>
      <c r="F278" s="767">
        <v>160</v>
      </c>
      <c r="G278" s="206" t="s">
        <v>335</v>
      </c>
      <c r="H278" s="74">
        <v>137</v>
      </c>
      <c r="I278" s="562" t="s">
        <v>336</v>
      </c>
      <c r="J278" s="544">
        <v>127</v>
      </c>
      <c r="K278" s="365">
        <v>21</v>
      </c>
    </row>
    <row r="279" spans="1:11">
      <c r="A279" s="766"/>
      <c r="B279" s="1384" t="s">
        <v>337</v>
      </c>
      <c r="C279" s="390" t="s">
        <v>334</v>
      </c>
      <c r="D279" s="322" t="s">
        <v>23</v>
      </c>
      <c r="E279" s="838">
        <v>35</v>
      </c>
      <c r="F279" s="767">
        <v>160</v>
      </c>
      <c r="G279" s="206" t="s">
        <v>335</v>
      </c>
      <c r="H279" s="74">
        <v>137</v>
      </c>
      <c r="I279" s="562" t="s">
        <v>336</v>
      </c>
      <c r="J279" s="544">
        <v>127</v>
      </c>
      <c r="K279" s="365">
        <v>21</v>
      </c>
    </row>
    <row r="280" spans="1:11">
      <c r="A280" s="265"/>
      <c r="B280" s="43" t="s">
        <v>338</v>
      </c>
      <c r="C280" s="101" t="s">
        <v>339</v>
      </c>
      <c r="D280" s="322" t="s">
        <v>70</v>
      </c>
      <c r="E280" s="838">
        <v>45</v>
      </c>
      <c r="F280" s="767" t="s">
        <v>340</v>
      </c>
      <c r="G280" s="206" t="s">
        <v>341</v>
      </c>
      <c r="H280" s="74" t="s">
        <v>342</v>
      </c>
      <c r="I280" s="562" t="s">
        <v>343</v>
      </c>
      <c r="J280" s="546" t="s">
        <v>344</v>
      </c>
      <c r="K280" s="365">
        <v>37.96</v>
      </c>
    </row>
    <row r="281" spans="1:11">
      <c r="A281" s="254"/>
      <c r="B281" s="43" t="s">
        <v>345</v>
      </c>
      <c r="C281" s="320" t="s">
        <v>346</v>
      </c>
      <c r="D281" s="342" t="s">
        <v>70</v>
      </c>
      <c r="E281" s="871">
        <v>65</v>
      </c>
      <c r="F281" s="767"/>
      <c r="G281" s="206" t="s">
        <v>347</v>
      </c>
      <c r="H281" s="74">
        <v>667</v>
      </c>
      <c r="I281" s="560" t="s">
        <v>348</v>
      </c>
      <c r="J281" s="548" t="s">
        <v>349</v>
      </c>
      <c r="K281" s="365">
        <v>57.69</v>
      </c>
    </row>
    <row r="282" spans="1:11">
      <c r="A282" s="265"/>
      <c r="B282" s="43"/>
      <c r="C282" s="101"/>
      <c r="D282" s="322"/>
      <c r="E282" s="838"/>
      <c r="F282" s="767"/>
      <c r="G282" s="206"/>
      <c r="H282" s="74"/>
      <c r="I282" s="562"/>
      <c r="J282" s="546"/>
      <c r="K282" s="365"/>
    </row>
    <row r="283" spans="1:11">
      <c r="A283" s="254"/>
      <c r="B283" s="43"/>
      <c r="C283" s="320"/>
      <c r="D283" s="342"/>
      <c r="E283" s="871"/>
      <c r="F283" s="767"/>
      <c r="G283" s="206"/>
      <c r="H283" s="74"/>
      <c r="I283" s="560"/>
      <c r="J283" s="548"/>
      <c r="K283" s="365"/>
    </row>
    <row r="284" spans="1:11">
      <c r="A284" s="3491" t="s">
        <v>350</v>
      </c>
      <c r="B284" s="3492"/>
      <c r="C284" s="101"/>
      <c r="D284" s="322"/>
      <c r="E284" s="838"/>
      <c r="F284" s="767"/>
      <c r="G284" s="206"/>
      <c r="H284" s="74"/>
      <c r="I284" s="560"/>
      <c r="J284" s="544"/>
      <c r="K284" s="365"/>
    </row>
    <row r="285" spans="1:11">
      <c r="A285" s="83"/>
      <c r="B285" s="43" t="s">
        <v>351</v>
      </c>
      <c r="C285" s="101" t="s">
        <v>352</v>
      </c>
      <c r="D285" s="322" t="s">
        <v>353</v>
      </c>
      <c r="E285" s="838">
        <v>155</v>
      </c>
      <c r="F285" s="767"/>
      <c r="G285" s="206" t="s">
        <v>163</v>
      </c>
      <c r="H285" s="74"/>
      <c r="I285" s="562"/>
      <c r="J285" s="544">
        <v>2600</v>
      </c>
      <c r="K285" s="365">
        <v>130</v>
      </c>
    </row>
    <row r="286" spans="1:11" ht="37.5">
      <c r="A286" s="766"/>
      <c r="B286" s="880" t="s">
        <v>354</v>
      </c>
      <c r="C286" s="1765" t="s">
        <v>352</v>
      </c>
      <c r="D286" s="831" t="s">
        <v>353</v>
      </c>
      <c r="E286" s="624">
        <v>185</v>
      </c>
      <c r="F286" s="223"/>
      <c r="G286" s="1767">
        <v>21445</v>
      </c>
      <c r="H286" s="778"/>
      <c r="I286" s="609"/>
      <c r="J286" s="1766">
        <v>3100</v>
      </c>
      <c r="K286" s="780">
        <v>155</v>
      </c>
    </row>
    <row r="287" spans="1:11">
      <c r="A287" s="775"/>
      <c r="B287" s="406" t="s">
        <v>355</v>
      </c>
      <c r="C287" s="101"/>
      <c r="D287" s="322" t="s">
        <v>356</v>
      </c>
      <c r="E287" s="838">
        <v>650</v>
      </c>
      <c r="F287" s="767"/>
      <c r="G287" s="206" t="s">
        <v>163</v>
      </c>
      <c r="H287" s="74"/>
      <c r="I287" s="560"/>
      <c r="J287" s="547">
        <v>3300</v>
      </c>
      <c r="K287" s="363">
        <v>550</v>
      </c>
    </row>
    <row r="288" spans="1:11">
      <c r="A288" s="83"/>
      <c r="B288" s="362"/>
      <c r="C288" s="101"/>
      <c r="D288" s="342"/>
      <c r="E288" s="838"/>
      <c r="F288" s="876"/>
      <c r="G288" s="206"/>
      <c r="H288" s="74"/>
      <c r="I288" s="562"/>
      <c r="J288" s="547"/>
      <c r="K288" s="550"/>
    </row>
    <row r="289" spans="1:11">
      <c r="B289" s="75"/>
      <c r="C289" s="104"/>
      <c r="D289" s="167"/>
      <c r="E289" s="167"/>
      <c r="F289" s="167"/>
      <c r="G289" s="167"/>
      <c r="H289" s="75"/>
      <c r="I289" s="561"/>
      <c r="J289" s="545"/>
    </row>
    <row r="290" spans="1:11">
      <c r="A290" s="45" t="s">
        <v>0</v>
      </c>
      <c r="B290" s="45"/>
      <c r="C290" s="68"/>
      <c r="D290" s="612"/>
      <c r="F290" s="104"/>
      <c r="H290" s="45"/>
      <c r="I290" s="556"/>
      <c r="K290" s="492">
        <v>9</v>
      </c>
    </row>
    <row r="291" spans="1:11">
      <c r="A291" s="3480" t="s">
        <v>1</v>
      </c>
      <c r="B291" s="3480"/>
      <c r="C291" s="46"/>
      <c r="D291" s="124"/>
      <c r="F291" s="104"/>
      <c r="H291" s="45"/>
      <c r="I291" s="556"/>
      <c r="J291" s="611"/>
    </row>
    <row r="292" spans="1:11" ht="35.25" thickBot="1">
      <c r="F292" s="104"/>
    </row>
    <row r="293" spans="1:11">
      <c r="A293" s="3445"/>
      <c r="B293" s="3446" t="s">
        <v>2</v>
      </c>
      <c r="C293" s="48" t="s">
        <v>3</v>
      </c>
      <c r="D293" s="436" t="s">
        <v>4</v>
      </c>
      <c r="E293" s="868" t="s">
        <v>5</v>
      </c>
      <c r="F293" s="849" t="s">
        <v>5</v>
      </c>
      <c r="G293" s="219" t="s">
        <v>6</v>
      </c>
      <c r="H293" s="48" t="s">
        <v>7</v>
      </c>
      <c r="I293" s="557" t="s">
        <v>8</v>
      </c>
      <c r="J293" s="541" t="s">
        <v>9</v>
      </c>
      <c r="K293" s="346" t="s">
        <v>9</v>
      </c>
    </row>
    <row r="294" spans="1:11" ht="35.25" thickBot="1">
      <c r="A294" s="51"/>
      <c r="B294" s="72"/>
      <c r="C294" s="50"/>
      <c r="D294" s="437" t="s">
        <v>10</v>
      </c>
      <c r="E294" s="869" t="s">
        <v>11</v>
      </c>
      <c r="F294" s="850" t="s">
        <v>12</v>
      </c>
      <c r="G294" s="301"/>
      <c r="H294" s="50" t="s">
        <v>13</v>
      </c>
      <c r="I294" s="558"/>
      <c r="J294" s="542" t="s">
        <v>14</v>
      </c>
      <c r="K294" s="347" t="s">
        <v>15</v>
      </c>
    </row>
    <row r="295" spans="1:11">
      <c r="A295" s="3491"/>
      <c r="B295" s="3492"/>
      <c r="C295" s="101"/>
      <c r="D295" s="322"/>
      <c r="E295" s="838"/>
      <c r="F295" s="767"/>
      <c r="G295" s="206"/>
      <c r="H295" s="74"/>
      <c r="I295" s="560"/>
      <c r="J295" s="544"/>
      <c r="K295" s="365"/>
    </row>
    <row r="296" spans="1:11">
      <c r="A296" s="83"/>
      <c r="B296" s="43"/>
      <c r="C296" s="101"/>
      <c r="D296" s="322"/>
      <c r="E296" s="838"/>
      <c r="F296" s="767"/>
      <c r="G296" s="206"/>
      <c r="H296" s="74"/>
      <c r="I296" s="562"/>
      <c r="J296" s="544"/>
      <c r="K296" s="365"/>
    </row>
    <row r="297" spans="1:11">
      <c r="A297" s="766"/>
      <c r="B297" s="1384"/>
      <c r="C297" s="390"/>
      <c r="D297" s="322"/>
      <c r="E297" s="838"/>
      <c r="F297" s="767"/>
      <c r="G297" s="206"/>
      <c r="H297" s="74"/>
      <c r="I297" s="562"/>
      <c r="J297" s="544"/>
      <c r="K297" s="365"/>
    </row>
    <row r="298" spans="1:11">
      <c r="A298" s="265"/>
      <c r="B298" s="43"/>
      <c r="C298" s="207"/>
      <c r="D298" s="322"/>
      <c r="E298" s="838"/>
      <c r="F298" s="1497"/>
      <c r="G298" s="206"/>
      <c r="H298" s="74"/>
      <c r="I298" s="560"/>
      <c r="J298" s="546"/>
      <c r="K298" s="365"/>
    </row>
    <row r="299" spans="1:11" ht="38.25">
      <c r="A299" s="2026"/>
      <c r="B299" s="2026"/>
      <c r="C299" s="2027"/>
      <c r="D299" s="995"/>
      <c r="E299" s="2028"/>
      <c r="F299" s="960"/>
      <c r="G299" s="248"/>
      <c r="H299" s="398"/>
      <c r="I299" s="2029"/>
      <c r="J299" s="74"/>
      <c r="K299" s="526"/>
    </row>
    <row r="300" spans="1:11">
      <c r="A300" s="1918"/>
      <c r="B300" s="1918"/>
      <c r="C300" s="101"/>
      <c r="D300" s="2030"/>
      <c r="E300" s="3662"/>
      <c r="F300" s="3663"/>
      <c r="G300" s="3664"/>
      <c r="H300" s="3665"/>
      <c r="I300" s="3666"/>
      <c r="J300" s="3665"/>
      <c r="K300" s="3667"/>
    </row>
    <row r="301" spans="1:11">
      <c r="A301" s="83"/>
      <c r="B301" s="43"/>
      <c r="C301" s="101"/>
      <c r="D301" s="322"/>
      <c r="E301" s="838"/>
      <c r="F301" s="767"/>
      <c r="G301" s="206"/>
      <c r="H301" s="74"/>
      <c r="I301" s="562"/>
      <c r="J301" s="544"/>
      <c r="K301" s="365"/>
    </row>
    <row r="302" spans="1:11" ht="37.5">
      <c r="A302" s="766"/>
      <c r="B302" s="880"/>
      <c r="C302" s="1765"/>
      <c r="D302" s="831"/>
      <c r="E302" s="624"/>
      <c r="F302" s="223"/>
      <c r="G302" s="1767"/>
      <c r="H302" s="778"/>
      <c r="I302" s="609"/>
      <c r="J302" s="1766"/>
      <c r="K302" s="780"/>
    </row>
    <row r="303" spans="1:11">
      <c r="A303" s="775"/>
      <c r="B303" s="406"/>
      <c r="C303" s="101"/>
      <c r="D303" s="322"/>
      <c r="E303" s="838"/>
      <c r="F303" s="767"/>
      <c r="G303" s="206"/>
      <c r="H303" s="74"/>
      <c r="I303" s="560"/>
      <c r="J303" s="547"/>
      <c r="K303" s="363"/>
    </row>
    <row r="304" spans="1:11">
      <c r="A304" s="1336"/>
      <c r="B304" s="1336"/>
      <c r="C304" s="320"/>
      <c r="D304" s="624"/>
      <c r="E304" s="420"/>
      <c r="F304" s="852"/>
      <c r="G304" s="223"/>
      <c r="H304" s="224"/>
      <c r="I304" s="1456"/>
      <c r="J304" s="603"/>
      <c r="K304" s="378"/>
    </row>
    <row r="305" spans="1:12" ht="38.25">
      <c r="A305" s="3448"/>
      <c r="B305" s="2026"/>
      <c r="C305" s="2027"/>
      <c r="D305" s="995"/>
      <c r="E305" s="2028"/>
      <c r="F305" s="960"/>
      <c r="G305" s="248"/>
      <c r="H305" s="398"/>
      <c r="I305" s="2029"/>
      <c r="J305" s="74"/>
      <c r="K305" s="526"/>
    </row>
    <row r="306" spans="1:12">
      <c r="A306" s="81"/>
      <c r="B306" s="1918"/>
      <c r="C306" s="101"/>
      <c r="D306" s="2030"/>
      <c r="E306" s="3662"/>
      <c r="F306" s="3663"/>
      <c r="G306" s="3664"/>
      <c r="H306" s="3665"/>
      <c r="I306" s="3666"/>
      <c r="J306" s="3665"/>
      <c r="K306" s="3667"/>
      <c r="L306" s="365"/>
    </row>
    <row r="307" spans="1:12">
      <c r="A307" s="43"/>
      <c r="B307" s="43"/>
      <c r="C307" s="101"/>
      <c r="D307" s="2030"/>
      <c r="E307" s="3662"/>
      <c r="F307" s="3663"/>
      <c r="G307" s="2407"/>
      <c r="H307" s="398"/>
      <c r="I307" s="3668"/>
      <c r="J307" s="3665"/>
      <c r="K307" s="3669"/>
      <c r="L307" s="365">
        <v>111.78</v>
      </c>
    </row>
    <row r="308" spans="1:12">
      <c r="A308" s="43"/>
      <c r="B308" s="43"/>
      <c r="C308" s="101"/>
      <c r="D308" s="2030"/>
      <c r="E308" s="3662"/>
      <c r="F308" s="3663"/>
      <c r="G308" s="2407"/>
      <c r="H308" s="398"/>
      <c r="I308" s="3668"/>
      <c r="J308" s="3665"/>
      <c r="K308" s="3669"/>
    </row>
    <row r="309" spans="1:12">
      <c r="A309" s="1022"/>
      <c r="B309" s="406"/>
      <c r="C309" s="320"/>
      <c r="D309" s="624"/>
      <c r="E309" s="420"/>
      <c r="F309" s="852"/>
      <c r="G309" s="979"/>
      <c r="H309" s="224"/>
      <c r="I309" s="778"/>
      <c r="J309" s="609"/>
      <c r="K309" s="780"/>
    </row>
    <row r="310" spans="1:12">
      <c r="A310" s="1814"/>
      <c r="B310" s="1814"/>
      <c r="C310" s="877"/>
      <c r="D310" s="1619"/>
      <c r="E310" s="142"/>
      <c r="F310" s="381"/>
      <c r="G310" s="1616"/>
      <c r="H310" s="971"/>
      <c r="I310" s="506"/>
      <c r="J310" s="1620"/>
      <c r="K310" s="1618"/>
    </row>
    <row r="311" spans="1:12">
      <c r="A311" s="1006"/>
      <c r="B311" s="1006"/>
      <c r="C311" s="877"/>
      <c r="D311" s="1619"/>
      <c r="E311" s="142"/>
      <c r="F311" s="381"/>
      <c r="G311" s="2412"/>
      <c r="H311" s="971"/>
      <c r="I311" s="506"/>
      <c r="J311" s="1620"/>
      <c r="K311" s="2384"/>
    </row>
    <row r="312" spans="1:12" ht="38.25">
      <c r="A312" s="1006"/>
      <c r="B312" s="2026"/>
      <c r="C312" s="2027"/>
      <c r="D312" s="995"/>
      <c r="E312" s="2028"/>
      <c r="F312" s="960"/>
      <c r="G312" s="248"/>
      <c r="H312" s="398"/>
      <c r="I312" s="2029"/>
      <c r="J312" s="74"/>
      <c r="K312" s="526"/>
    </row>
    <row r="313" spans="1:12">
      <c r="A313" s="89"/>
      <c r="B313" s="1918"/>
      <c r="C313" s="101"/>
      <c r="D313" s="2030"/>
      <c r="E313" s="3662"/>
      <c r="F313" s="3663"/>
      <c r="G313" s="3664"/>
      <c r="H313" s="3665"/>
      <c r="I313" s="3666"/>
      <c r="J313" s="3665"/>
      <c r="K313" s="3667"/>
    </row>
    <row r="314" spans="1:12">
      <c r="A314" s="766"/>
      <c r="B314" s="1384"/>
      <c r="C314" s="786"/>
      <c r="D314" s="413"/>
      <c r="E314" s="875"/>
      <c r="F314" s="852"/>
      <c r="G314" s="223"/>
      <c r="H314" s="224"/>
      <c r="I314" s="784"/>
      <c r="J314" s="603"/>
      <c r="K314" s="378"/>
    </row>
    <row r="315" spans="1:12">
      <c r="A315" s="3448"/>
      <c r="B315" s="3448"/>
      <c r="C315" s="207"/>
      <c r="D315" s="3457"/>
      <c r="E315" s="142"/>
      <c r="F315" s="381"/>
      <c r="G315" s="478"/>
      <c r="H315" s="101"/>
      <c r="I315" s="339"/>
      <c r="J315" s="586"/>
      <c r="K315" s="526"/>
    </row>
    <row r="316" spans="1:12">
      <c r="A316" s="81"/>
      <c r="B316" s="81"/>
      <c r="C316" s="207"/>
      <c r="D316" s="391"/>
      <c r="E316" s="1409"/>
      <c r="F316" s="856"/>
      <c r="G316" s="887"/>
      <c r="H316" s="101"/>
      <c r="I316" s="1495"/>
      <c r="J316" s="3670"/>
      <c r="K316" s="3671"/>
    </row>
    <row r="317" spans="1:12">
      <c r="A317" s="43"/>
      <c r="B317" s="43"/>
      <c r="C317" s="101"/>
      <c r="D317" s="2030"/>
      <c r="E317" s="3662"/>
      <c r="F317" s="3663"/>
      <c r="G317" s="2407"/>
      <c r="H317" s="398"/>
      <c r="I317" s="3668"/>
      <c r="J317" s="3665"/>
      <c r="K317" s="3669"/>
    </row>
    <row r="318" spans="1:12">
      <c r="A318" s="43"/>
      <c r="B318" s="43"/>
      <c r="C318" s="101"/>
      <c r="D318" s="2030"/>
      <c r="E318" s="3662"/>
      <c r="F318" s="3663"/>
      <c r="G318" s="2407"/>
      <c r="H318" s="398"/>
      <c r="I318" s="3668"/>
      <c r="J318" s="3665"/>
      <c r="K318" s="3669"/>
    </row>
    <row r="319" spans="1:12" ht="38.25">
      <c r="A319" s="2462"/>
      <c r="B319" s="2462"/>
      <c r="C319" s="1200"/>
      <c r="D319" s="438"/>
      <c r="E319" s="2028"/>
      <c r="F319" s="960"/>
      <c r="G319" s="248"/>
      <c r="H319" s="398"/>
      <c r="I319" s="2029"/>
      <c r="J319" s="74"/>
      <c r="K319" s="526"/>
    </row>
    <row r="320" spans="1:12" ht="38.25">
      <c r="A320" s="2026"/>
      <c r="B320" s="2026"/>
      <c r="C320" s="2027"/>
      <c r="D320" s="995"/>
      <c r="E320" s="2028"/>
      <c r="F320" s="960"/>
      <c r="G320" s="248"/>
      <c r="H320" s="398"/>
      <c r="I320" s="2029"/>
      <c r="J320" s="74"/>
      <c r="K320" s="526"/>
    </row>
    <row r="321" spans="1:11">
      <c r="A321" s="1918"/>
      <c r="B321" s="1918"/>
      <c r="C321" s="101"/>
      <c r="D321" s="2030"/>
      <c r="E321" s="3662"/>
      <c r="F321" s="3663"/>
      <c r="G321" s="3664"/>
      <c r="H321" s="3665"/>
      <c r="I321" s="3666"/>
      <c r="J321" s="3665"/>
      <c r="K321" s="3667"/>
    </row>
    <row r="322" spans="1:11">
      <c r="A322" s="83"/>
      <c r="B322" s="43"/>
      <c r="C322" s="101"/>
      <c r="D322" s="342"/>
      <c r="E322" s="871"/>
      <c r="F322" s="767"/>
      <c r="G322" s="206"/>
      <c r="H322" s="74"/>
      <c r="I322" s="560"/>
      <c r="J322" s="544"/>
      <c r="K322" s="365"/>
    </row>
    <row r="323" spans="1:11">
      <c r="A323" s="83"/>
      <c r="B323" s="43"/>
      <c r="C323" s="101"/>
      <c r="D323" s="342"/>
      <c r="E323" s="871"/>
      <c r="F323" s="767"/>
      <c r="G323" s="206"/>
      <c r="H323" s="74"/>
      <c r="I323" s="560"/>
      <c r="J323" s="547"/>
      <c r="K323" s="550"/>
    </row>
    <row r="324" spans="1:11">
      <c r="A324" s="70"/>
      <c r="B324" s="56"/>
      <c r="C324" s="57"/>
      <c r="D324" s="613"/>
      <c r="E324" s="872"/>
      <c r="F324" s="853"/>
      <c r="G324" s="214"/>
      <c r="H324" s="103"/>
      <c r="I324" s="733"/>
      <c r="J324" s="543"/>
      <c r="K324" s="734"/>
    </row>
    <row r="325" spans="1:11">
      <c r="A325" s="44"/>
      <c r="B325" s="45"/>
      <c r="C325" s="46"/>
      <c r="D325" s="124"/>
      <c r="F325" s="104"/>
      <c r="H325" s="45"/>
      <c r="I325" s="556"/>
      <c r="K325" s="537">
        <v>10</v>
      </c>
    </row>
    <row r="326" spans="1:11">
      <c r="A326" s="45" t="s">
        <v>0</v>
      </c>
      <c r="B326" s="45"/>
      <c r="C326" s="68"/>
      <c r="D326" s="612"/>
      <c r="F326" s="104"/>
      <c r="H326" s="45"/>
      <c r="I326" s="556"/>
    </row>
    <row r="327" spans="1:11">
      <c r="A327" s="3480" t="s">
        <v>1</v>
      </c>
      <c r="B327" s="3480"/>
      <c r="C327" s="46"/>
      <c r="D327" s="124"/>
      <c r="F327" s="104"/>
      <c r="H327" s="45"/>
      <c r="I327" s="556"/>
    </row>
    <row r="328" spans="1:11" ht="35.25" thickBot="1">
      <c r="F328" s="104"/>
    </row>
    <row r="329" spans="1:11">
      <c r="A329" s="3481" t="s">
        <v>2</v>
      </c>
      <c r="B329" s="3482"/>
      <c r="C329" s="48" t="s">
        <v>3</v>
      </c>
      <c r="D329" s="436" t="s">
        <v>4</v>
      </c>
      <c r="E329" s="868" t="s">
        <v>5</v>
      </c>
      <c r="F329" s="849" t="s">
        <v>5</v>
      </c>
      <c r="G329" s="219" t="s">
        <v>6</v>
      </c>
      <c r="H329" s="48" t="s">
        <v>7</v>
      </c>
      <c r="I329" s="557" t="s">
        <v>8</v>
      </c>
      <c r="J329" s="541" t="s">
        <v>9</v>
      </c>
      <c r="K329" s="346" t="s">
        <v>9</v>
      </c>
    </row>
    <row r="330" spans="1:11" ht="35.25" thickBot="1">
      <c r="A330" s="51"/>
      <c r="B330" s="72"/>
      <c r="C330" s="50"/>
      <c r="D330" s="437" t="s">
        <v>10</v>
      </c>
      <c r="E330" s="869" t="s">
        <v>12</v>
      </c>
      <c r="F330" s="850" t="s">
        <v>11</v>
      </c>
      <c r="G330" s="301"/>
      <c r="H330" s="50" t="s">
        <v>13</v>
      </c>
      <c r="I330" s="558"/>
      <c r="J330" s="542" t="s">
        <v>14</v>
      </c>
      <c r="K330" s="347" t="s">
        <v>15</v>
      </c>
    </row>
    <row r="331" spans="1:11">
      <c r="A331" s="782"/>
      <c r="B331" s="1814"/>
      <c r="C331" s="877"/>
      <c r="D331" s="1619"/>
      <c r="E331" s="142"/>
      <c r="F331" s="381"/>
      <c r="G331" s="1616"/>
      <c r="H331" s="971"/>
      <c r="I331" s="506"/>
      <c r="J331" s="1620"/>
      <c r="K331" s="1618"/>
    </row>
    <row r="332" spans="1:11">
      <c r="A332" s="663"/>
      <c r="B332" s="1006"/>
      <c r="C332" s="877"/>
      <c r="D332" s="1619"/>
      <c r="E332" s="142"/>
      <c r="F332" s="381"/>
      <c r="G332" s="2412"/>
      <c r="H332" s="971"/>
      <c r="I332" s="506"/>
      <c r="J332" s="1620"/>
      <c r="K332" s="2384"/>
    </row>
    <row r="333" spans="1:11">
      <c r="A333" s="766"/>
      <c r="B333" s="1006"/>
      <c r="C333" s="877"/>
      <c r="D333" s="1619"/>
      <c r="E333" s="142"/>
      <c r="F333" s="381"/>
      <c r="G333" s="2412"/>
      <c r="H333" s="971"/>
      <c r="I333" s="506"/>
      <c r="J333" s="1620"/>
      <c r="K333" s="2384"/>
    </row>
    <row r="334" spans="1:11">
      <c r="A334" s="406"/>
      <c r="B334" s="406"/>
      <c r="C334" s="320"/>
      <c r="D334" s="624"/>
      <c r="E334" s="420"/>
      <c r="F334" s="852"/>
      <c r="G334" s="979"/>
      <c r="H334" s="224"/>
      <c r="I334" s="778"/>
      <c r="J334" s="609"/>
      <c r="K334" s="780"/>
    </row>
    <row r="335" spans="1:11">
      <c r="A335" s="406"/>
      <c r="B335" s="406"/>
      <c r="C335" s="320"/>
      <c r="D335" s="413"/>
      <c r="E335" s="875"/>
      <c r="F335" s="852"/>
      <c r="G335" s="223"/>
      <c r="H335" s="224"/>
      <c r="I335" s="1456"/>
      <c r="J335" s="603"/>
      <c r="K335" s="779"/>
    </row>
    <row r="336" spans="1:11">
      <c r="A336" s="406"/>
      <c r="B336" s="406"/>
      <c r="C336" s="320"/>
      <c r="D336" s="413"/>
      <c r="E336" s="875"/>
      <c r="F336" s="852"/>
      <c r="G336" s="223"/>
      <c r="H336" s="224"/>
      <c r="I336" s="1456"/>
      <c r="J336" s="1457"/>
      <c r="K336" s="378"/>
    </row>
    <row r="337" spans="1:11">
      <c r="A337" s="995"/>
      <c r="B337" s="775"/>
      <c r="C337" s="101"/>
      <c r="D337" s="342"/>
      <c r="E337" s="871"/>
      <c r="F337" s="767"/>
      <c r="G337" s="206"/>
      <c r="H337" s="74"/>
      <c r="I337" s="560"/>
      <c r="J337" s="603"/>
      <c r="K337" s="378"/>
    </row>
    <row r="338" spans="1:11">
      <c r="A338" s="254"/>
      <c r="B338" s="43"/>
      <c r="C338" s="101"/>
      <c r="D338" s="342"/>
      <c r="E338" s="871"/>
      <c r="F338" s="767"/>
      <c r="G338" s="206"/>
      <c r="H338" s="74"/>
      <c r="I338" s="560"/>
      <c r="J338" s="603"/>
      <c r="K338" s="378"/>
    </row>
    <row r="339" spans="1:11">
      <c r="A339" s="1336"/>
      <c r="B339" s="1336"/>
      <c r="C339" s="320"/>
      <c r="D339" s="624"/>
      <c r="E339" s="420"/>
      <c r="F339" s="852"/>
      <c r="G339" s="223"/>
      <c r="H339" s="224"/>
      <c r="I339" s="1456"/>
      <c r="J339" s="603"/>
      <c r="K339" s="378"/>
    </row>
    <row r="340" spans="1:11">
      <c r="A340" s="1336"/>
      <c r="B340" s="1336"/>
      <c r="C340" s="320"/>
      <c r="D340" s="624"/>
      <c r="E340" s="420"/>
      <c r="F340" s="852"/>
      <c r="G340" s="223"/>
      <c r="H340" s="224"/>
      <c r="I340" s="1456"/>
      <c r="J340" s="603"/>
      <c r="K340" s="378"/>
    </row>
    <row r="341" spans="1:11">
      <c r="A341" s="398"/>
      <c r="B341" s="1336"/>
      <c r="C341" s="320"/>
      <c r="D341" s="624"/>
      <c r="E341" s="420"/>
      <c r="F341" s="852"/>
      <c r="G341" s="223"/>
      <c r="H341" s="224"/>
      <c r="I341" s="1456"/>
      <c r="J341" s="603"/>
      <c r="K341" s="378"/>
    </row>
    <row r="342" spans="1:11">
      <c r="A342" s="782"/>
      <c r="B342" s="783"/>
      <c r="C342" s="320"/>
      <c r="D342" s="624"/>
      <c r="E342" s="420"/>
      <c r="F342" s="852"/>
      <c r="G342" s="223"/>
      <c r="H342" s="224"/>
      <c r="I342" s="778"/>
      <c r="J342" s="603"/>
      <c r="K342" s="378"/>
    </row>
    <row r="343" spans="1:11">
      <c r="A343" s="398"/>
      <c r="B343" s="406"/>
      <c r="C343" s="320"/>
      <c r="D343" s="624"/>
      <c r="E343" s="420"/>
      <c r="F343" s="852"/>
      <c r="G343" s="223"/>
      <c r="H343" s="224"/>
      <c r="I343" s="778"/>
      <c r="J343" s="603"/>
      <c r="K343" s="378"/>
    </row>
    <row r="344" spans="1:11">
      <c r="A344" s="438"/>
      <c r="B344" s="766"/>
      <c r="C344" s="320"/>
      <c r="D344" s="624"/>
      <c r="E344" s="420"/>
      <c r="F344" s="852"/>
      <c r="G344" s="223"/>
      <c r="H344" s="224"/>
      <c r="I344" s="778"/>
      <c r="J344" s="609"/>
      <c r="K344" s="1458"/>
    </row>
    <row r="345" spans="1:11">
      <c r="A345" s="1022"/>
      <c r="B345" s="406"/>
      <c r="C345" s="320"/>
      <c r="D345" s="624"/>
      <c r="E345" s="420"/>
      <c r="F345" s="852"/>
      <c r="G345" s="223"/>
      <c r="H345" s="224"/>
      <c r="I345" s="778"/>
      <c r="J345" s="609"/>
      <c r="K345" s="780"/>
    </row>
    <row r="346" spans="1:11">
      <c r="A346" s="398"/>
      <c r="B346" s="406"/>
      <c r="C346" s="320"/>
      <c r="D346" s="624"/>
      <c r="E346" s="420"/>
      <c r="F346" s="852"/>
      <c r="G346" s="223"/>
      <c r="H346" s="224"/>
      <c r="I346" s="778"/>
      <c r="J346" s="603"/>
      <c r="K346" s="378"/>
    </row>
    <row r="347" spans="1:11">
      <c r="A347" s="398"/>
      <c r="B347" s="1336"/>
      <c r="C347" s="320"/>
      <c r="D347" s="624"/>
      <c r="E347" s="1459"/>
      <c r="F347" s="852"/>
      <c r="G347" s="223"/>
      <c r="H347" s="224"/>
      <c r="I347" s="778"/>
      <c r="J347" s="603"/>
      <c r="K347" s="378"/>
    </row>
    <row r="348" spans="1:11">
      <c r="A348" s="3483"/>
      <c r="B348" s="3484"/>
      <c r="C348" s="320"/>
      <c r="D348" s="413"/>
      <c r="E348" s="875"/>
      <c r="F348" s="852"/>
      <c r="G348" s="223"/>
      <c r="H348" s="224"/>
      <c r="I348" s="778"/>
      <c r="J348" s="603"/>
      <c r="K348" s="378"/>
    </row>
    <row r="349" spans="1:11">
      <c r="A349" s="398"/>
      <c r="B349" s="969"/>
      <c r="C349" s="786"/>
      <c r="D349" s="413"/>
      <c r="E349" s="875"/>
      <c r="F349" s="852"/>
      <c r="G349" s="223"/>
      <c r="H349" s="224"/>
      <c r="I349" s="784"/>
      <c r="J349" s="603"/>
      <c r="K349" s="378"/>
    </row>
    <row r="350" spans="1:11">
      <c r="A350" s="766"/>
      <c r="B350" s="1384"/>
      <c r="C350" s="786"/>
      <c r="D350" s="413"/>
      <c r="E350" s="875"/>
      <c r="F350" s="852"/>
      <c r="G350" s="223"/>
      <c r="H350" s="224"/>
      <c r="I350" s="784"/>
      <c r="J350" s="603"/>
      <c r="K350" s="378"/>
    </row>
    <row r="351" spans="1:11">
      <c r="A351" s="398"/>
      <c r="B351" s="1336"/>
      <c r="C351" s="320"/>
      <c r="D351" s="413"/>
      <c r="E351" s="875"/>
      <c r="F351" s="852"/>
      <c r="G351" s="223"/>
      <c r="H351" s="224"/>
      <c r="I351" s="784"/>
      <c r="J351" s="609"/>
      <c r="K351" s="780"/>
    </row>
    <row r="352" spans="1:11">
      <c r="A352" s="83"/>
      <c r="B352" s="43"/>
      <c r="C352" s="101"/>
      <c r="D352" s="322"/>
      <c r="E352" s="838"/>
      <c r="F352" s="767"/>
      <c r="G352" s="206"/>
      <c r="H352" s="74"/>
      <c r="I352" s="562"/>
      <c r="J352" s="547"/>
      <c r="K352" s="550"/>
    </row>
    <row r="353" spans="1:11">
      <c r="A353" s="83"/>
      <c r="B353" s="43"/>
      <c r="C353" s="101"/>
      <c r="D353" s="322"/>
      <c r="E353" s="838"/>
      <c r="F353" s="767"/>
      <c r="G353" s="206"/>
      <c r="H353" s="74"/>
      <c r="I353" s="562"/>
      <c r="J353" s="547"/>
      <c r="K353" s="550"/>
    </row>
    <row r="354" spans="1:11">
      <c r="A354" s="3483"/>
      <c r="B354" s="3484"/>
      <c r="C354" s="101"/>
      <c r="D354" s="342"/>
      <c r="E354" s="871"/>
      <c r="F354" s="767"/>
      <c r="G354" s="206"/>
      <c r="H354" s="74"/>
      <c r="I354" s="560"/>
      <c r="J354" s="544"/>
      <c r="K354" s="365"/>
    </row>
    <row r="355" spans="1:11">
      <c r="A355" s="83"/>
      <c r="B355" s="43"/>
      <c r="C355" s="101"/>
      <c r="D355" s="342"/>
      <c r="E355" s="871"/>
      <c r="F355" s="767"/>
      <c r="G355" s="206"/>
      <c r="H355" s="74"/>
      <c r="I355" s="560"/>
      <c r="J355" s="544"/>
      <c r="K355" s="365"/>
    </row>
    <row r="356" spans="1:11">
      <c r="A356" s="83"/>
      <c r="B356" s="43"/>
      <c r="C356" s="101"/>
      <c r="D356" s="342"/>
      <c r="E356" s="871"/>
      <c r="F356" s="767"/>
      <c r="G356" s="206"/>
      <c r="H356" s="74"/>
      <c r="I356" s="560"/>
      <c r="J356" s="544"/>
      <c r="K356" s="365"/>
    </row>
    <row r="357" spans="1:11">
      <c r="A357" s="3483"/>
      <c r="B357" s="3484"/>
      <c r="C357" s="101"/>
      <c r="D357" s="342"/>
      <c r="E357" s="871"/>
      <c r="F357" s="767"/>
      <c r="G357" s="206"/>
      <c r="H357" s="74"/>
      <c r="I357" s="560"/>
      <c r="J357" s="544"/>
      <c r="K357" s="365"/>
    </row>
    <row r="358" spans="1:11">
      <c r="A358" s="83"/>
      <c r="B358" s="43"/>
      <c r="C358" s="101"/>
      <c r="D358" s="342"/>
      <c r="E358" s="871"/>
      <c r="F358" s="767"/>
      <c r="G358" s="206"/>
      <c r="H358" s="74"/>
      <c r="I358" s="560"/>
      <c r="J358" s="544"/>
      <c r="K358" s="365"/>
    </row>
    <row r="359" spans="1:11">
      <c r="A359" s="83"/>
      <c r="B359" s="43"/>
      <c r="C359" s="101"/>
      <c r="D359" s="342"/>
      <c r="E359" s="871"/>
      <c r="F359" s="767"/>
      <c r="G359" s="206"/>
      <c r="H359" s="74"/>
      <c r="I359" s="560"/>
      <c r="J359" s="547"/>
      <c r="K359" s="550"/>
    </row>
    <row r="360" spans="1:11">
      <c r="A360" s="70"/>
      <c r="B360" s="56"/>
      <c r="C360" s="57"/>
      <c r="D360" s="613"/>
      <c r="E360" s="872"/>
      <c r="F360" s="853"/>
      <c r="G360" s="214"/>
      <c r="H360" s="103"/>
      <c r="I360" s="733"/>
      <c r="J360" s="543"/>
      <c r="K360" s="734"/>
    </row>
    <row r="361" spans="1:11">
      <c r="A361" s="44"/>
      <c r="B361" s="45"/>
      <c r="C361" s="46"/>
      <c r="D361" s="124"/>
      <c r="F361" s="104"/>
      <c r="H361" s="45"/>
      <c r="I361" s="556"/>
      <c r="K361" s="537">
        <v>11</v>
      </c>
    </row>
    <row r="362" spans="1:11">
      <c r="A362" s="45" t="s">
        <v>0</v>
      </c>
      <c r="B362" s="45"/>
      <c r="C362" s="68"/>
      <c r="D362" s="612"/>
      <c r="F362" s="104"/>
      <c r="H362" s="45"/>
      <c r="I362" s="556"/>
    </row>
    <row r="363" spans="1:11">
      <c r="A363" s="3480" t="s">
        <v>1</v>
      </c>
      <c r="B363" s="3480"/>
      <c r="C363" s="46"/>
      <c r="D363" s="124"/>
      <c r="F363" s="104"/>
      <c r="H363" s="45"/>
      <c r="I363" s="556"/>
    </row>
    <row r="364" spans="1:11" ht="35.25" thickBot="1">
      <c r="F364" s="104"/>
    </row>
    <row r="365" spans="1:11">
      <c r="A365" s="3481" t="s">
        <v>2</v>
      </c>
      <c r="B365" s="3482"/>
      <c r="C365" s="48" t="s">
        <v>3</v>
      </c>
      <c r="D365" s="436" t="s">
        <v>4</v>
      </c>
      <c r="E365" s="868" t="s">
        <v>5</v>
      </c>
      <c r="F365" s="849" t="s">
        <v>5</v>
      </c>
      <c r="G365" s="211" t="s">
        <v>6</v>
      </c>
      <c r="H365" s="48" t="s">
        <v>7</v>
      </c>
      <c r="I365" s="557" t="s">
        <v>8</v>
      </c>
      <c r="J365" s="541" t="s">
        <v>9</v>
      </c>
      <c r="K365" s="346" t="s">
        <v>9</v>
      </c>
    </row>
    <row r="366" spans="1:11" ht="35.25" thickBot="1">
      <c r="A366" s="51"/>
      <c r="B366" s="72"/>
      <c r="C366" s="50"/>
      <c r="D366" s="437" t="s">
        <v>10</v>
      </c>
      <c r="E366" s="869" t="s">
        <v>12</v>
      </c>
      <c r="F366" s="850" t="s">
        <v>11</v>
      </c>
      <c r="G366" s="212"/>
      <c r="H366" s="50" t="s">
        <v>13</v>
      </c>
      <c r="I366" s="558"/>
      <c r="J366" s="542" t="s">
        <v>14</v>
      </c>
      <c r="K366" s="347" t="s">
        <v>15</v>
      </c>
    </row>
    <row r="367" spans="1:11">
      <c r="A367" s="3489"/>
      <c r="B367" s="3490"/>
      <c r="C367" s="126"/>
      <c r="D367" s="536"/>
      <c r="E367" s="843"/>
      <c r="F367" s="853"/>
      <c r="G367" s="206"/>
      <c r="H367" s="74"/>
      <c r="I367" s="560"/>
      <c r="J367" s="544"/>
      <c r="K367" s="365"/>
    </row>
    <row r="368" spans="1:11">
      <c r="A368" s="398"/>
      <c r="B368" s="43"/>
      <c r="C368" s="101"/>
      <c r="D368" s="322"/>
      <c r="E368" s="843"/>
      <c r="F368" s="853"/>
      <c r="G368" s="206"/>
      <c r="H368" s="74"/>
      <c r="I368" s="355"/>
      <c r="J368" s="544"/>
      <c r="K368" s="365"/>
    </row>
    <row r="369" spans="1:11">
      <c r="A369" s="398"/>
      <c r="B369" s="43"/>
      <c r="C369" s="101"/>
      <c r="D369" s="322"/>
      <c r="E369" s="843"/>
      <c r="F369" s="853"/>
      <c r="G369" s="206"/>
      <c r="H369" s="74"/>
      <c r="I369" s="355"/>
      <c r="J369" s="544"/>
      <c r="K369" s="365"/>
    </row>
    <row r="370" spans="1:11">
      <c r="A370" s="83"/>
      <c r="B370" s="43"/>
      <c r="C370" s="101"/>
      <c r="D370" s="322"/>
      <c r="E370" s="843"/>
      <c r="F370" s="767"/>
      <c r="G370" s="206"/>
      <c r="H370" s="74"/>
      <c r="I370" s="355"/>
      <c r="J370" s="544"/>
      <c r="K370" s="365"/>
    </row>
    <row r="371" spans="1:11">
      <c r="A371" s="398"/>
      <c r="B371" s="43"/>
      <c r="C371" s="101"/>
      <c r="D371" s="322"/>
      <c r="E371" s="843"/>
      <c r="F371" s="853"/>
      <c r="G371" s="206"/>
      <c r="H371" s="74"/>
      <c r="I371" s="355"/>
      <c r="J371" s="544"/>
      <c r="K371" s="365"/>
    </row>
    <row r="372" spans="1:11">
      <c r="A372" s="398"/>
      <c r="B372" s="43"/>
      <c r="C372" s="101"/>
      <c r="D372" s="322"/>
      <c r="E372" s="843"/>
      <c r="F372" s="853"/>
      <c r="G372" s="206"/>
      <c r="H372" s="74"/>
      <c r="I372" s="560"/>
      <c r="J372" s="544"/>
      <c r="K372" s="365"/>
    </row>
    <row r="373" spans="1:11">
      <c r="A373" s="398"/>
      <c r="B373" s="43"/>
      <c r="C373" s="101"/>
      <c r="D373" s="322"/>
      <c r="E373" s="838"/>
      <c r="F373" s="853"/>
      <c r="G373" s="206"/>
      <c r="H373" s="74"/>
      <c r="I373" s="560"/>
      <c r="J373" s="544"/>
      <c r="K373" s="365"/>
    </row>
    <row r="374" spans="1:11">
      <c r="A374" s="83"/>
      <c r="B374" s="43"/>
      <c r="C374" s="101"/>
      <c r="D374" s="342"/>
      <c r="E374" s="871"/>
      <c r="F374" s="767"/>
      <c r="G374" s="206"/>
      <c r="H374" s="74"/>
      <c r="I374" s="560"/>
      <c r="J374" s="544"/>
      <c r="K374" s="365"/>
    </row>
    <row r="375" spans="1:11">
      <c r="A375" s="83"/>
      <c r="B375" s="43"/>
      <c r="C375" s="101"/>
      <c r="D375" s="342"/>
      <c r="E375" s="871"/>
      <c r="F375" s="853"/>
      <c r="G375" s="206"/>
      <c r="H375" s="74"/>
      <c r="I375" s="560"/>
      <c r="J375" s="544"/>
      <c r="K375" s="365"/>
    </row>
    <row r="376" spans="1:11">
      <c r="A376" s="83"/>
      <c r="B376" s="43"/>
      <c r="C376" s="101"/>
      <c r="D376" s="342"/>
      <c r="E376" s="871"/>
      <c r="F376" s="853"/>
      <c r="G376" s="206"/>
      <c r="H376" s="74"/>
      <c r="I376" s="560"/>
      <c r="J376" s="544"/>
      <c r="K376" s="365"/>
    </row>
    <row r="377" spans="1:11">
      <c r="A377" s="398"/>
      <c r="B377" s="43"/>
      <c r="C377" s="101"/>
      <c r="D377" s="322"/>
      <c r="E377" s="843"/>
      <c r="F377" s="853"/>
      <c r="G377" s="206"/>
      <c r="H377" s="74"/>
      <c r="I377" s="560"/>
      <c r="J377" s="547"/>
      <c r="K377" s="365"/>
    </row>
    <row r="378" spans="1:11">
      <c r="A378" s="398"/>
      <c r="B378" s="43"/>
      <c r="C378" s="101"/>
      <c r="D378" s="322"/>
      <c r="E378" s="843"/>
      <c r="F378" s="853"/>
      <c r="G378" s="206"/>
      <c r="H378" s="74"/>
      <c r="I378" s="560"/>
      <c r="J378" s="547"/>
      <c r="K378" s="365"/>
    </row>
    <row r="379" spans="1:11">
      <c r="A379" s="83"/>
      <c r="B379" s="43"/>
      <c r="C379" s="101"/>
      <c r="D379" s="342"/>
      <c r="E379" s="871"/>
      <c r="F379" s="853"/>
      <c r="G379" s="206"/>
      <c r="H379" s="74"/>
      <c r="I379" s="560"/>
      <c r="J379" s="544"/>
      <c r="K379" s="394"/>
    </row>
    <row r="380" spans="1:11">
      <c r="A380" s="83"/>
      <c r="B380" s="43"/>
      <c r="C380" s="101"/>
      <c r="D380" s="342"/>
      <c r="E380" s="843"/>
      <c r="F380" s="853"/>
      <c r="G380" s="206"/>
      <c r="H380" s="74"/>
      <c r="I380" s="560"/>
      <c r="J380" s="544"/>
      <c r="K380" s="365"/>
    </row>
    <row r="381" spans="1:11">
      <c r="A381" s="493"/>
      <c r="B381" s="448"/>
      <c r="C381" s="222"/>
      <c r="D381" s="342"/>
      <c r="E381" s="843"/>
      <c r="F381" s="853"/>
      <c r="G381" s="206"/>
      <c r="H381" s="74"/>
      <c r="I381" s="560"/>
      <c r="J381" s="544"/>
      <c r="K381" s="365"/>
    </row>
    <row r="382" spans="1:11">
      <c r="A382" s="83"/>
      <c r="B382" s="43"/>
      <c r="C382" s="101"/>
      <c r="D382" s="342"/>
      <c r="E382" s="843"/>
      <c r="F382" s="853"/>
      <c r="G382" s="206"/>
      <c r="H382" s="74"/>
      <c r="I382" s="385"/>
      <c r="J382" s="547"/>
      <c r="K382" s="365"/>
    </row>
    <row r="383" spans="1:11">
      <c r="A383" s="83"/>
      <c r="B383" s="43"/>
      <c r="C383" s="101"/>
      <c r="D383" s="342"/>
      <c r="E383" s="871"/>
      <c r="F383" s="767"/>
      <c r="G383" s="206"/>
      <c r="H383" s="74"/>
      <c r="I383" s="385"/>
      <c r="J383" s="547"/>
      <c r="K383" s="365"/>
    </row>
    <row r="384" spans="1:11">
      <c r="A384" s="83"/>
      <c r="B384" s="43"/>
      <c r="C384" s="101"/>
      <c r="D384" s="322"/>
      <c r="E384" s="838"/>
      <c r="F384" s="767"/>
      <c r="G384" s="206"/>
      <c r="H384" s="74"/>
      <c r="I384" s="560"/>
      <c r="J384" s="547"/>
      <c r="K384" s="365"/>
    </row>
    <row r="385" spans="1:11">
      <c r="A385" s="83"/>
      <c r="B385" s="43"/>
      <c r="C385" s="101"/>
      <c r="D385" s="322"/>
      <c r="E385" s="838"/>
      <c r="F385" s="767"/>
      <c r="G385" s="206"/>
      <c r="H385" s="74"/>
      <c r="I385" s="560"/>
      <c r="J385" s="547"/>
      <c r="K385" s="365"/>
    </row>
    <row r="386" spans="1:11">
      <c r="A386" s="83"/>
      <c r="B386" s="43"/>
      <c r="C386" s="101"/>
      <c r="D386" s="322"/>
      <c r="E386" s="838"/>
      <c r="F386" s="767"/>
      <c r="G386" s="206"/>
      <c r="H386" s="74"/>
      <c r="I386" s="560"/>
      <c r="J386" s="547"/>
      <c r="K386" s="365"/>
    </row>
    <row r="387" spans="1:11">
      <c r="A387" s="83"/>
      <c r="B387" s="43"/>
      <c r="C387" s="101"/>
      <c r="D387" s="322"/>
      <c r="E387" s="838"/>
      <c r="F387" s="767"/>
      <c r="G387" s="206"/>
      <c r="H387" s="74"/>
      <c r="I387" s="560"/>
      <c r="J387" s="547"/>
      <c r="K387" s="365"/>
    </row>
    <row r="388" spans="1:11">
      <c r="A388" s="83"/>
      <c r="B388" s="43"/>
      <c r="C388" s="101"/>
      <c r="D388" s="322"/>
      <c r="E388" s="838"/>
      <c r="F388" s="767"/>
      <c r="G388" s="206"/>
      <c r="H388" s="74"/>
      <c r="I388" s="560"/>
      <c r="J388" s="547"/>
      <c r="K388" s="365"/>
    </row>
    <row r="389" spans="1:11">
      <c r="A389" s="83"/>
      <c r="B389" s="43"/>
      <c r="C389" s="101"/>
      <c r="D389" s="322"/>
      <c r="E389" s="838"/>
      <c r="F389" s="767"/>
      <c r="G389" s="206"/>
      <c r="H389" s="74"/>
      <c r="I389" s="560"/>
      <c r="J389" s="547"/>
      <c r="K389" s="365"/>
    </row>
    <row r="390" spans="1:11">
      <c r="A390" s="83"/>
      <c r="B390" s="43"/>
      <c r="C390" s="101"/>
      <c r="D390" s="322"/>
      <c r="E390" s="838"/>
      <c r="F390" s="767"/>
      <c r="G390" s="206"/>
      <c r="H390" s="74"/>
      <c r="I390" s="560"/>
      <c r="J390" s="547"/>
      <c r="K390" s="365"/>
    </row>
    <row r="391" spans="1:11">
      <c r="A391" s="83"/>
      <c r="B391" s="43"/>
      <c r="C391" s="101"/>
      <c r="D391" s="322"/>
      <c r="E391" s="838"/>
      <c r="F391" s="767"/>
      <c r="G391" s="206"/>
      <c r="H391" s="74"/>
      <c r="I391" s="560"/>
      <c r="J391" s="547"/>
      <c r="K391" s="365"/>
    </row>
    <row r="392" spans="1:11">
      <c r="A392" s="3489"/>
      <c r="B392" s="3490"/>
      <c r="C392" s="63"/>
      <c r="D392" s="342"/>
      <c r="E392" s="838"/>
      <c r="F392" s="767"/>
      <c r="G392" s="206"/>
      <c r="H392" s="74"/>
      <c r="I392" s="560"/>
      <c r="J392" s="547"/>
      <c r="K392" s="365"/>
    </row>
    <row r="393" spans="1:11">
      <c r="A393" s="87"/>
      <c r="B393" s="43"/>
      <c r="C393" s="101"/>
      <c r="D393" s="342"/>
      <c r="E393" s="871"/>
      <c r="F393" s="767"/>
      <c r="G393" s="206"/>
      <c r="H393" s="150"/>
      <c r="I393" s="560"/>
      <c r="J393" s="544"/>
      <c r="K393" s="365"/>
    </row>
    <row r="394" spans="1:11">
      <c r="A394" s="83"/>
      <c r="B394" s="43"/>
      <c r="C394" s="101"/>
      <c r="D394" s="342"/>
      <c r="E394" s="871"/>
      <c r="F394" s="767"/>
      <c r="G394" s="206"/>
      <c r="H394" s="74"/>
      <c r="I394" s="560"/>
      <c r="J394" s="544"/>
      <c r="K394" s="365"/>
    </row>
    <row r="395" spans="1:11">
      <c r="A395" s="83"/>
      <c r="B395" s="43"/>
      <c r="C395" s="101"/>
      <c r="D395" s="342"/>
      <c r="E395" s="871"/>
      <c r="F395" s="767"/>
      <c r="G395" s="206"/>
      <c r="H395" s="74"/>
      <c r="I395" s="560"/>
      <c r="J395" s="544"/>
      <c r="K395" s="365"/>
    </row>
    <row r="396" spans="1:11">
      <c r="A396" s="44"/>
      <c r="B396" s="45"/>
      <c r="C396" s="46"/>
      <c r="D396" s="124"/>
      <c r="F396" s="104"/>
      <c r="H396" s="45"/>
      <c r="I396" s="556"/>
    </row>
    <row r="397" spans="1:11">
      <c r="A397" s="44"/>
      <c r="B397" s="45"/>
      <c r="C397" s="46"/>
      <c r="D397" s="124"/>
      <c r="F397" s="104"/>
      <c r="H397" s="45"/>
      <c r="I397" s="556"/>
      <c r="K397" s="537">
        <v>12</v>
      </c>
    </row>
    <row r="398" spans="1:11">
      <c r="A398" s="45" t="s">
        <v>0</v>
      </c>
      <c r="B398" s="45"/>
      <c r="C398" s="68"/>
      <c r="D398" s="612"/>
      <c r="F398" s="104"/>
      <c r="H398" s="45"/>
      <c r="I398" s="556"/>
    </row>
    <row r="399" spans="1:11">
      <c r="A399" s="3480" t="s">
        <v>1</v>
      </c>
      <c r="B399" s="3480"/>
      <c r="C399" s="46"/>
      <c r="D399" s="124"/>
      <c r="F399" s="104"/>
      <c r="H399" s="45"/>
      <c r="I399" s="556"/>
    </row>
    <row r="400" spans="1:11" ht="35.25" thickBot="1">
      <c r="F400" s="104"/>
    </row>
    <row r="401" spans="1:11">
      <c r="A401" s="3481" t="s">
        <v>2</v>
      </c>
      <c r="B401" s="3482"/>
      <c r="C401" s="48" t="s">
        <v>3</v>
      </c>
      <c r="D401" s="436" t="s">
        <v>4</v>
      </c>
      <c r="E401" s="868" t="s">
        <v>5</v>
      </c>
      <c r="F401" s="849" t="s">
        <v>5</v>
      </c>
      <c r="G401" s="211" t="s">
        <v>6</v>
      </c>
      <c r="H401" s="48" t="s">
        <v>7</v>
      </c>
      <c r="I401" s="557" t="s">
        <v>8</v>
      </c>
      <c r="J401" s="541" t="s">
        <v>9</v>
      </c>
      <c r="K401" s="346" t="s">
        <v>9</v>
      </c>
    </row>
    <row r="402" spans="1:11" ht="35.25" thickBot="1">
      <c r="A402" s="51"/>
      <c r="B402" s="72"/>
      <c r="C402" s="50"/>
      <c r="D402" s="437" t="s">
        <v>10</v>
      </c>
      <c r="E402" s="869" t="s">
        <v>12</v>
      </c>
      <c r="F402" s="850" t="s">
        <v>11</v>
      </c>
      <c r="G402" s="212"/>
      <c r="H402" s="50" t="s">
        <v>13</v>
      </c>
      <c r="I402" s="558"/>
      <c r="J402" s="542" t="s">
        <v>14</v>
      </c>
      <c r="K402" s="347" t="s">
        <v>15</v>
      </c>
    </row>
    <row r="403" spans="1:11">
      <c r="A403" s="3483"/>
      <c r="B403" s="3484"/>
      <c r="C403" s="320"/>
      <c r="D403" s="413"/>
      <c r="E403" s="875"/>
      <c r="F403" s="852"/>
      <c r="G403" s="223"/>
      <c r="H403" s="224"/>
      <c r="I403" s="778"/>
      <c r="J403" s="603"/>
      <c r="K403" s="378"/>
    </row>
    <row r="404" spans="1:11">
      <c r="A404" s="398"/>
      <c r="B404" s="406"/>
      <c r="C404" s="320"/>
      <c r="D404" s="413"/>
      <c r="E404" s="875"/>
      <c r="F404" s="852"/>
      <c r="G404" s="223"/>
      <c r="H404" s="224"/>
      <c r="I404" s="784"/>
      <c r="J404" s="603"/>
      <c r="K404" s="378"/>
    </row>
    <row r="405" spans="1:11">
      <c r="A405" s="83"/>
      <c r="B405" s="43"/>
      <c r="C405" s="101"/>
      <c r="D405" s="322"/>
      <c r="E405" s="843"/>
      <c r="F405" s="853"/>
      <c r="G405" s="206"/>
      <c r="H405" s="74"/>
      <c r="I405" s="562"/>
      <c r="J405" s="544"/>
      <c r="K405" s="365"/>
    </row>
    <row r="406" spans="1:11">
      <c r="A406" s="83"/>
      <c r="B406" s="43"/>
      <c r="C406" s="101"/>
      <c r="D406" s="322"/>
      <c r="E406" s="843"/>
      <c r="F406" s="853"/>
      <c r="G406" s="206"/>
      <c r="H406" s="74"/>
      <c r="I406" s="562"/>
      <c r="J406" s="544"/>
      <c r="K406" s="365"/>
    </row>
    <row r="407" spans="1:11">
      <c r="A407" s="398"/>
      <c r="B407" s="43"/>
      <c r="C407" s="101"/>
      <c r="D407" s="322"/>
      <c r="E407" s="843"/>
      <c r="F407" s="853"/>
      <c r="G407" s="206"/>
      <c r="H407" s="74"/>
      <c r="I407" s="560"/>
      <c r="J407" s="544"/>
      <c r="K407" s="394"/>
    </row>
    <row r="408" spans="1:11">
      <c r="A408" s="3483"/>
      <c r="B408" s="3484"/>
      <c r="C408" s="126"/>
      <c r="D408" s="536"/>
      <c r="E408" s="843"/>
      <c r="F408" s="853"/>
      <c r="G408" s="206"/>
      <c r="H408" s="74"/>
      <c r="I408" s="560"/>
      <c r="J408" s="544"/>
      <c r="K408" s="365"/>
    </row>
    <row r="409" spans="1:11">
      <c r="A409" s="398"/>
      <c r="B409" s="43"/>
      <c r="C409" s="101"/>
      <c r="D409" s="322"/>
      <c r="E409" s="843"/>
      <c r="F409" s="853"/>
      <c r="G409" s="206"/>
      <c r="H409" s="74"/>
      <c r="I409" s="355"/>
      <c r="J409" s="544"/>
      <c r="K409" s="365"/>
    </row>
    <row r="410" spans="1:11">
      <c r="A410" s="398"/>
      <c r="B410" s="43"/>
      <c r="C410" s="101"/>
      <c r="D410" s="322"/>
      <c r="E410" s="843"/>
      <c r="F410" s="853"/>
      <c r="G410" s="206"/>
      <c r="H410" s="74"/>
      <c r="I410" s="355"/>
      <c r="J410" s="544"/>
      <c r="K410" s="365"/>
    </row>
    <row r="411" spans="1:11">
      <c r="A411" s="83"/>
      <c r="B411" s="43"/>
      <c r="C411" s="101"/>
      <c r="D411" s="322"/>
      <c r="E411" s="843"/>
      <c r="F411" s="767"/>
      <c r="G411" s="206"/>
      <c r="H411" s="74"/>
      <c r="I411" s="355"/>
      <c r="J411" s="544"/>
      <c r="K411" s="365"/>
    </row>
    <row r="412" spans="1:11">
      <c r="A412" s="398"/>
      <c r="B412" s="43"/>
      <c r="C412" s="101"/>
      <c r="D412" s="322"/>
      <c r="E412" s="843"/>
      <c r="F412" s="853"/>
      <c r="G412" s="206"/>
      <c r="H412" s="74"/>
      <c r="I412" s="355"/>
      <c r="J412" s="544"/>
      <c r="K412" s="365"/>
    </row>
    <row r="413" spans="1:11">
      <c r="A413" s="398"/>
      <c r="B413" s="43"/>
      <c r="C413" s="101"/>
      <c r="D413" s="322"/>
      <c r="E413" s="843"/>
      <c r="F413" s="853"/>
      <c r="G413" s="206"/>
      <c r="H413" s="74"/>
      <c r="I413" s="560"/>
      <c r="J413" s="544"/>
      <c r="K413" s="365"/>
    </row>
    <row r="414" spans="1:11">
      <c r="A414" s="398"/>
      <c r="B414" s="43"/>
      <c r="C414" s="101"/>
      <c r="D414" s="322"/>
      <c r="E414" s="838"/>
      <c r="F414" s="853"/>
      <c r="G414" s="206"/>
      <c r="H414" s="74"/>
      <c r="I414" s="560"/>
      <c r="J414" s="544"/>
      <c r="K414" s="365"/>
    </row>
    <row r="415" spans="1:11">
      <c r="A415" s="83"/>
      <c r="B415" s="43"/>
      <c r="C415" s="101"/>
      <c r="D415" s="342"/>
      <c r="E415" s="871"/>
      <c r="F415" s="767"/>
      <c r="G415" s="206"/>
      <c r="H415" s="74"/>
      <c r="I415" s="560"/>
      <c r="J415" s="544"/>
      <c r="K415" s="365"/>
    </row>
    <row r="416" spans="1:11">
      <c r="A416" s="83"/>
      <c r="B416" s="43"/>
      <c r="C416" s="101"/>
      <c r="D416" s="342"/>
      <c r="E416" s="871"/>
      <c r="F416" s="853"/>
      <c r="G416" s="206"/>
      <c r="H416" s="74"/>
      <c r="I416" s="560"/>
      <c r="J416" s="544"/>
      <c r="K416" s="365"/>
    </row>
    <row r="417" spans="1:11">
      <c r="A417" s="83"/>
      <c r="B417" s="43"/>
      <c r="C417" s="101"/>
      <c r="D417" s="342"/>
      <c r="E417" s="871"/>
      <c r="F417" s="853"/>
      <c r="G417" s="206"/>
      <c r="H417" s="74"/>
      <c r="I417" s="560"/>
      <c r="J417" s="544"/>
      <c r="K417" s="365"/>
    </row>
    <row r="418" spans="1:11">
      <c r="A418" s="83"/>
      <c r="B418" s="43"/>
      <c r="C418" s="101"/>
      <c r="D418" s="342"/>
      <c r="E418" s="843"/>
      <c r="F418" s="853"/>
      <c r="G418" s="206"/>
      <c r="H418" s="74"/>
      <c r="I418" s="560"/>
      <c r="J418" s="544"/>
      <c r="K418" s="365"/>
    </row>
    <row r="419" spans="1:11">
      <c r="A419" s="782"/>
      <c r="B419" s="783"/>
      <c r="C419" s="222"/>
      <c r="D419" s="517"/>
      <c r="E419" s="843"/>
      <c r="F419" s="853"/>
      <c r="G419" s="206"/>
      <c r="H419" s="74"/>
      <c r="I419" s="560"/>
      <c r="J419" s="544"/>
      <c r="K419" s="365"/>
    </row>
    <row r="420" spans="1:11">
      <c r="A420" s="83"/>
      <c r="B420" s="362"/>
      <c r="C420" s="101"/>
      <c r="D420" s="342"/>
      <c r="E420" s="843"/>
      <c r="F420" s="853"/>
      <c r="G420" s="206"/>
      <c r="H420" s="74"/>
      <c r="I420" s="562"/>
      <c r="J420" s="547"/>
      <c r="K420" s="550"/>
    </row>
    <row r="421" spans="1:11">
      <c r="A421" s="83"/>
      <c r="B421" s="362"/>
      <c r="C421" s="101"/>
      <c r="D421" s="342"/>
      <c r="E421" s="871"/>
      <c r="F421" s="767"/>
      <c r="G421" s="206"/>
      <c r="H421" s="74"/>
      <c r="I421" s="562"/>
      <c r="J421" s="547"/>
      <c r="K421" s="550"/>
    </row>
    <row r="422" spans="1:11">
      <c r="A422" s="83"/>
      <c r="B422" s="362"/>
      <c r="C422" s="101"/>
      <c r="D422" s="322"/>
      <c r="E422" s="838"/>
      <c r="F422" s="767"/>
      <c r="G422" s="206"/>
      <c r="H422" s="74"/>
      <c r="I422" s="562"/>
      <c r="J422" s="547"/>
      <c r="K422" s="550"/>
    </row>
    <row r="423" spans="1:11">
      <c r="A423" s="83"/>
      <c r="B423" s="43"/>
      <c r="C423" s="101"/>
      <c r="D423" s="322"/>
      <c r="E423" s="838"/>
      <c r="F423" s="767"/>
      <c r="G423" s="206"/>
      <c r="H423" s="74"/>
      <c r="I423" s="562"/>
      <c r="J423" s="547"/>
      <c r="K423" s="550"/>
    </row>
    <row r="424" spans="1:11">
      <c r="A424" s="83"/>
      <c r="B424" s="43"/>
      <c r="C424" s="101"/>
      <c r="D424" s="322"/>
      <c r="E424" s="838"/>
      <c r="F424" s="767"/>
      <c r="G424" s="206"/>
      <c r="H424" s="74"/>
      <c r="I424" s="562"/>
      <c r="J424" s="547"/>
      <c r="K424" s="550"/>
    </row>
    <row r="425" spans="1:11">
      <c r="A425" s="83"/>
      <c r="B425" s="43"/>
      <c r="C425" s="101"/>
      <c r="D425" s="322"/>
      <c r="E425" s="871"/>
      <c r="F425" s="767"/>
      <c r="G425" s="206"/>
      <c r="H425" s="74"/>
      <c r="I425" s="562"/>
      <c r="J425" s="547"/>
      <c r="K425" s="550"/>
    </row>
    <row r="426" spans="1:11">
      <c r="A426" s="83"/>
      <c r="B426" s="43"/>
      <c r="C426" s="101"/>
      <c r="D426" s="322"/>
      <c r="E426" s="871"/>
      <c r="F426" s="767"/>
      <c r="G426" s="206"/>
      <c r="H426" s="74"/>
      <c r="I426" s="562"/>
      <c r="J426" s="547"/>
      <c r="K426" s="550"/>
    </row>
    <row r="427" spans="1:11">
      <c r="A427" s="83"/>
      <c r="B427" s="43"/>
      <c r="C427" s="101"/>
      <c r="D427" s="342"/>
      <c r="E427" s="871"/>
      <c r="F427" s="767"/>
      <c r="G427" s="206"/>
      <c r="H427" s="74"/>
      <c r="I427" s="560"/>
      <c r="J427" s="547"/>
      <c r="K427" s="616"/>
    </row>
    <row r="428" spans="1:11">
      <c r="A428" s="389"/>
      <c r="B428" s="382"/>
      <c r="C428" s="101"/>
      <c r="D428" s="342"/>
      <c r="E428" s="871"/>
      <c r="F428" s="767"/>
      <c r="G428" s="206"/>
      <c r="H428" s="74"/>
      <c r="I428" s="560"/>
      <c r="J428" s="547"/>
      <c r="K428" s="616"/>
    </row>
    <row r="429" spans="1:11">
      <c r="A429" s="87"/>
      <c r="B429" s="43"/>
      <c r="C429" s="101"/>
      <c r="D429" s="342"/>
      <c r="E429" s="871"/>
      <c r="F429" s="767"/>
      <c r="G429" s="206"/>
      <c r="H429" s="74"/>
      <c r="I429" s="560"/>
      <c r="J429" s="547"/>
      <c r="K429" s="616"/>
    </row>
    <row r="430" spans="1:11">
      <c r="A430" s="87"/>
      <c r="B430" s="43"/>
      <c r="C430" s="101"/>
      <c r="D430" s="342"/>
      <c r="E430" s="871"/>
      <c r="F430" s="767"/>
      <c r="G430" s="206"/>
      <c r="H430" s="74"/>
      <c r="I430" s="560"/>
      <c r="J430" s="547"/>
      <c r="K430" s="616"/>
    </row>
    <row r="431" spans="1:11">
      <c r="A431" s="87"/>
      <c r="B431" s="43"/>
      <c r="C431" s="101"/>
      <c r="D431" s="342"/>
      <c r="E431" s="871"/>
      <c r="F431" s="767"/>
      <c r="G431" s="206"/>
      <c r="H431" s="74"/>
      <c r="I431" s="560"/>
      <c r="J431" s="547"/>
      <c r="K431" s="616"/>
    </row>
    <row r="432" spans="1:11">
      <c r="A432" s="87"/>
      <c r="B432" s="43"/>
      <c r="C432" s="101"/>
      <c r="D432" s="342"/>
      <c r="E432" s="871"/>
      <c r="F432" s="767"/>
      <c r="G432" s="206"/>
      <c r="H432" s="74"/>
      <c r="I432" s="560"/>
      <c r="J432" s="547"/>
      <c r="K432" s="616"/>
    </row>
    <row r="433" spans="1:11">
      <c r="A433" s="44"/>
      <c r="B433" s="45"/>
      <c r="C433" s="46"/>
      <c r="D433" s="124"/>
      <c r="F433" s="104"/>
      <c r="H433" s="45"/>
      <c r="I433" s="556"/>
      <c r="K433" s="492">
        <v>13</v>
      </c>
    </row>
    <row r="434" spans="1:11">
      <c r="A434" s="45" t="s">
        <v>0</v>
      </c>
      <c r="B434" s="45"/>
      <c r="C434" s="68"/>
      <c r="D434" s="612"/>
      <c r="F434" s="104"/>
      <c r="H434" s="45"/>
      <c r="I434" s="556"/>
    </row>
    <row r="435" spans="1:11">
      <c r="A435" s="3480" t="s">
        <v>1</v>
      </c>
      <c r="B435" s="3480"/>
      <c r="C435" s="46"/>
      <c r="D435" s="124"/>
      <c r="F435" s="104"/>
      <c r="H435" s="45"/>
      <c r="I435" s="556"/>
    </row>
    <row r="436" spans="1:11" ht="35.25" thickBot="1">
      <c r="F436" s="104"/>
    </row>
    <row r="437" spans="1:11">
      <c r="A437" s="3481" t="s">
        <v>2</v>
      </c>
      <c r="B437" s="3482"/>
      <c r="C437" s="48" t="s">
        <v>3</v>
      </c>
      <c r="D437" s="436" t="s">
        <v>4</v>
      </c>
      <c r="E437" s="868" t="s">
        <v>5</v>
      </c>
      <c r="F437" s="849" t="s">
        <v>5</v>
      </c>
      <c r="G437" s="211" t="s">
        <v>6</v>
      </c>
      <c r="H437" s="48" t="s">
        <v>7</v>
      </c>
      <c r="I437" s="557" t="s">
        <v>8</v>
      </c>
      <c r="J437" s="541" t="s">
        <v>9</v>
      </c>
      <c r="K437" s="346" t="s">
        <v>9</v>
      </c>
    </row>
    <row r="438" spans="1:11" ht="35.25" thickBot="1">
      <c r="A438" s="51"/>
      <c r="B438" s="72"/>
      <c r="C438" s="50"/>
      <c r="D438" s="437" t="s">
        <v>10</v>
      </c>
      <c r="E438" s="869" t="s">
        <v>12</v>
      </c>
      <c r="F438" s="850" t="s">
        <v>11</v>
      </c>
      <c r="G438" s="212"/>
      <c r="H438" s="50" t="s">
        <v>13</v>
      </c>
      <c r="I438" s="558"/>
      <c r="J438" s="542" t="s">
        <v>14</v>
      </c>
      <c r="K438" s="347" t="s">
        <v>15</v>
      </c>
    </row>
    <row r="439" spans="1:11">
      <c r="A439" s="3485"/>
      <c r="B439" s="3486"/>
      <c r="C439" s="63"/>
      <c r="D439" s="322"/>
      <c r="E439" s="843"/>
      <c r="F439" s="767"/>
      <c r="G439" s="206"/>
      <c r="H439" s="74"/>
      <c r="I439" s="560"/>
      <c r="J439" s="544"/>
      <c r="K439" s="365"/>
    </row>
    <row r="440" spans="1:11">
      <c r="A440" s="398"/>
      <c r="B440" s="43"/>
      <c r="C440" s="101"/>
      <c r="D440" s="322"/>
      <c r="E440" s="843"/>
      <c r="F440" s="853"/>
      <c r="G440" s="206"/>
      <c r="H440" s="74"/>
      <c r="I440" s="560"/>
      <c r="J440" s="547"/>
      <c r="K440" s="550"/>
    </row>
    <row r="441" spans="1:11">
      <c r="A441" s="398"/>
      <c r="B441" s="43"/>
      <c r="C441" s="101"/>
      <c r="D441" s="322"/>
      <c r="E441" s="843"/>
      <c r="F441" s="853"/>
      <c r="G441" s="206"/>
      <c r="H441" s="74"/>
      <c r="I441" s="560"/>
      <c r="J441" s="547"/>
      <c r="K441" s="550"/>
    </row>
    <row r="442" spans="1:11">
      <c r="A442" s="398"/>
      <c r="B442" s="43"/>
      <c r="C442" s="101"/>
      <c r="D442" s="322"/>
      <c r="E442" s="843"/>
      <c r="F442" s="853"/>
      <c r="G442" s="206"/>
      <c r="H442" s="74"/>
      <c r="I442" s="560"/>
      <c r="J442" s="547"/>
      <c r="K442" s="550"/>
    </row>
    <row r="443" spans="1:11">
      <c r="A443" s="398"/>
      <c r="B443" s="43"/>
      <c r="C443" s="101"/>
      <c r="D443" s="322"/>
      <c r="E443" s="843"/>
      <c r="F443" s="853"/>
      <c r="G443" s="206"/>
      <c r="H443" s="74"/>
      <c r="I443" s="560"/>
      <c r="J443" s="547"/>
      <c r="K443" s="550"/>
    </row>
    <row r="444" spans="1:11">
      <c r="A444" s="398"/>
      <c r="B444" s="43"/>
      <c r="C444" s="101"/>
      <c r="D444" s="322"/>
      <c r="E444" s="843"/>
      <c r="F444" s="853"/>
      <c r="G444" s="206"/>
      <c r="H444" s="74"/>
      <c r="I444" s="560"/>
      <c r="J444" s="547"/>
      <c r="K444" s="550"/>
    </row>
    <row r="445" spans="1:11">
      <c r="A445" s="3487"/>
      <c r="B445" s="3488"/>
      <c r="C445" s="101"/>
      <c r="D445" s="322"/>
      <c r="E445" s="843"/>
      <c r="F445" s="853"/>
      <c r="G445" s="206"/>
      <c r="H445" s="74"/>
      <c r="I445" s="560"/>
      <c r="J445" s="544"/>
      <c r="K445" s="550"/>
    </row>
    <row r="446" spans="1:11">
      <c r="A446" s="663"/>
      <c r="B446" s="43"/>
      <c r="C446" s="101"/>
      <c r="D446" s="322"/>
      <c r="E446" s="843"/>
      <c r="F446" s="853"/>
      <c r="G446" s="206"/>
      <c r="H446" s="74"/>
      <c r="I446" s="560"/>
      <c r="J446" s="547"/>
      <c r="K446" s="550"/>
    </row>
    <row r="447" spans="1:11">
      <c r="A447" s="398"/>
      <c r="B447" s="43"/>
      <c r="C447" s="101"/>
      <c r="D447" s="322"/>
      <c r="E447" s="843"/>
      <c r="F447" s="853"/>
      <c r="G447" s="206"/>
      <c r="H447" s="74"/>
      <c r="I447" s="560"/>
      <c r="J447" s="547"/>
      <c r="K447" s="550"/>
    </row>
    <row r="448" spans="1:11">
      <c r="A448" s="398"/>
      <c r="B448" s="43"/>
      <c r="C448" s="101"/>
      <c r="D448" s="322"/>
      <c r="E448" s="843"/>
      <c r="F448" s="853"/>
      <c r="G448" s="206"/>
      <c r="H448" s="74"/>
      <c r="I448" s="560"/>
      <c r="J448" s="547"/>
      <c r="K448" s="550"/>
    </row>
    <row r="449" spans="1:11">
      <c r="A449" s="398"/>
      <c r="B449" s="43"/>
      <c r="C449" s="101"/>
      <c r="D449" s="322"/>
      <c r="E449" s="843"/>
      <c r="F449" s="853"/>
      <c r="G449" s="206"/>
      <c r="H449" s="74"/>
      <c r="I449" s="560"/>
      <c r="J449" s="547"/>
      <c r="K449" s="550"/>
    </row>
    <row r="450" spans="1:11">
      <c r="A450" s="83"/>
      <c r="B450" s="43"/>
      <c r="C450" s="101"/>
      <c r="D450" s="322"/>
      <c r="E450" s="843"/>
      <c r="F450" s="767"/>
      <c r="G450" s="206"/>
      <c r="H450" s="74"/>
      <c r="I450" s="560"/>
      <c r="J450" s="547"/>
      <c r="K450" s="550"/>
    </row>
    <row r="451" spans="1:11">
      <c r="A451" s="83"/>
      <c r="B451" s="43"/>
      <c r="C451" s="101"/>
      <c r="D451" s="322"/>
      <c r="E451" s="843"/>
      <c r="F451" s="853"/>
      <c r="G451" s="206"/>
      <c r="H451" s="74"/>
      <c r="I451" s="560"/>
      <c r="J451" s="547"/>
      <c r="K451" s="550"/>
    </row>
    <row r="452" spans="1:11">
      <c r="A452" s="83"/>
      <c r="B452" s="43"/>
      <c r="C452" s="101"/>
      <c r="D452" s="322"/>
      <c r="E452" s="843"/>
      <c r="F452" s="853"/>
      <c r="G452" s="206"/>
      <c r="H452" s="74"/>
      <c r="I452" s="560"/>
      <c r="J452" s="547"/>
      <c r="K452" s="550"/>
    </row>
    <row r="453" spans="1:11">
      <c r="A453" s="83"/>
      <c r="B453" s="43"/>
      <c r="C453" s="101"/>
      <c r="D453" s="322"/>
      <c r="E453" s="843"/>
      <c r="F453" s="853"/>
      <c r="G453" s="206"/>
      <c r="H453" s="74"/>
      <c r="I453" s="560"/>
      <c r="J453" s="547"/>
      <c r="K453" s="550"/>
    </row>
    <row r="454" spans="1:11">
      <c r="A454" s="83"/>
      <c r="B454" s="43"/>
      <c r="C454" s="101"/>
      <c r="D454" s="342"/>
      <c r="E454" s="843"/>
      <c r="F454" s="853"/>
      <c r="G454" s="206"/>
      <c r="H454" s="74"/>
      <c r="I454" s="560"/>
      <c r="J454" s="547"/>
      <c r="K454" s="550"/>
    </row>
    <row r="455" spans="1:11">
      <c r="A455" s="83"/>
      <c r="B455" s="43"/>
      <c r="C455" s="101"/>
      <c r="D455" s="322"/>
      <c r="E455" s="843"/>
      <c r="F455" s="853"/>
      <c r="G455" s="206"/>
      <c r="H455" s="74"/>
      <c r="I455" s="560"/>
      <c r="J455" s="547"/>
      <c r="K455" s="550"/>
    </row>
    <row r="456" spans="1:11">
      <c r="A456" s="83"/>
      <c r="B456" s="43"/>
      <c r="C456" s="101"/>
      <c r="D456" s="322"/>
      <c r="E456" s="843"/>
      <c r="F456" s="853"/>
      <c r="G456" s="206"/>
      <c r="H456" s="74"/>
      <c r="I456" s="560"/>
      <c r="J456" s="547"/>
      <c r="K456" s="550"/>
    </row>
    <row r="457" spans="1:11">
      <c r="A457" s="83"/>
      <c r="B457" s="43"/>
      <c r="C457" s="101"/>
      <c r="D457" s="342"/>
      <c r="E457" s="843"/>
      <c r="F457" s="853"/>
      <c r="G457" s="206"/>
      <c r="H457" s="74"/>
      <c r="I457" s="385"/>
      <c r="J457" s="547"/>
      <c r="K457" s="550"/>
    </row>
    <row r="458" spans="1:11">
      <c r="A458" s="83"/>
      <c r="B458" s="43"/>
      <c r="C458" s="101"/>
      <c r="D458" s="342"/>
      <c r="E458" s="843"/>
      <c r="F458" s="767"/>
      <c r="G458" s="206"/>
      <c r="H458" s="74"/>
      <c r="I458" s="560"/>
      <c r="J458" s="547"/>
      <c r="K458" s="550"/>
    </row>
    <row r="459" spans="1:11">
      <c r="A459" s="83"/>
      <c r="B459" s="43"/>
      <c r="C459" s="101"/>
      <c r="D459" s="322"/>
      <c r="E459" s="843"/>
      <c r="F459" s="767"/>
      <c r="G459" s="206"/>
      <c r="H459" s="74"/>
      <c r="I459" s="560"/>
      <c r="J459" s="547"/>
      <c r="K459" s="550"/>
    </row>
    <row r="460" spans="1:11">
      <c r="A460" s="83"/>
      <c r="B460" s="43"/>
      <c r="C460" s="101"/>
      <c r="D460" s="342"/>
      <c r="E460" s="843"/>
      <c r="F460" s="767"/>
      <c r="G460" s="206"/>
      <c r="H460" s="74"/>
      <c r="I460" s="560"/>
      <c r="J460" s="547"/>
      <c r="K460" s="550"/>
    </row>
    <row r="461" spans="1:11">
      <c r="A461" s="83"/>
      <c r="B461" s="382"/>
      <c r="C461" s="101"/>
      <c r="D461" s="322"/>
      <c r="E461" s="838"/>
      <c r="F461" s="767"/>
      <c r="G461" s="206"/>
      <c r="H461" s="74"/>
      <c r="I461" s="560"/>
      <c r="J461" s="547"/>
      <c r="K461" s="394"/>
    </row>
    <row r="462" spans="1:11">
      <c r="A462" s="83"/>
      <c r="B462" s="43"/>
      <c r="C462" s="320"/>
      <c r="D462" s="322"/>
      <c r="E462" s="838"/>
      <c r="F462" s="767"/>
      <c r="G462" s="206"/>
      <c r="H462" s="74"/>
      <c r="I462" s="563"/>
      <c r="J462" s="544"/>
      <c r="K462" s="394"/>
    </row>
    <row r="463" spans="1:11">
      <c r="A463" s="83"/>
      <c r="B463" s="43"/>
      <c r="C463" s="101"/>
      <c r="D463" s="322"/>
      <c r="E463" s="838"/>
      <c r="F463" s="767"/>
      <c r="G463" s="206"/>
      <c r="H463" s="74"/>
      <c r="I463" s="563"/>
      <c r="J463" s="548"/>
      <c r="K463" s="365"/>
    </row>
    <row r="464" spans="1:11">
      <c r="A464" s="83"/>
      <c r="B464" s="43"/>
      <c r="C464" s="101"/>
      <c r="D464" s="342"/>
      <c r="E464" s="871"/>
      <c r="F464" s="767"/>
      <c r="G464" s="206"/>
      <c r="H464" s="74"/>
      <c r="I464" s="563"/>
      <c r="J464" s="544"/>
      <c r="K464" s="365"/>
    </row>
    <row r="465" spans="1:11">
      <c r="A465" s="83"/>
      <c r="B465" s="43"/>
      <c r="C465" s="101"/>
      <c r="D465" s="342"/>
      <c r="E465" s="871"/>
      <c r="F465" s="767"/>
      <c r="G465" s="206"/>
      <c r="H465" s="74"/>
      <c r="I465" s="563"/>
      <c r="J465" s="544"/>
      <c r="K465" s="365"/>
    </row>
    <row r="466" spans="1:11">
      <c r="A466" s="83"/>
      <c r="B466" s="362"/>
      <c r="C466" s="101"/>
      <c r="D466" s="342"/>
      <c r="E466" s="871"/>
      <c r="F466" s="767"/>
      <c r="G466" s="206"/>
      <c r="H466" s="74"/>
      <c r="I466" s="563"/>
      <c r="J466" s="544"/>
      <c r="K466" s="365"/>
    </row>
    <row r="467" spans="1:11">
      <c r="A467" s="87"/>
      <c r="B467" s="362"/>
      <c r="C467" s="101"/>
      <c r="D467" s="342"/>
      <c r="E467" s="871"/>
      <c r="F467" s="767"/>
      <c r="G467" s="206"/>
      <c r="H467" s="74"/>
      <c r="I467" s="563"/>
      <c r="J467" s="544"/>
      <c r="K467" s="365"/>
    </row>
    <row r="468" spans="1:11">
      <c r="A468" s="87"/>
      <c r="B468" s="362"/>
      <c r="C468" s="101"/>
      <c r="D468" s="342"/>
      <c r="E468" s="871"/>
      <c r="F468" s="767"/>
      <c r="G468" s="206"/>
      <c r="H468" s="74"/>
      <c r="I468" s="563"/>
      <c r="J468" s="544"/>
      <c r="K468" s="365"/>
    </row>
    <row r="469" spans="1:11">
      <c r="A469" s="44"/>
      <c r="B469" s="45"/>
      <c r="C469" s="46"/>
      <c r="D469" s="124"/>
      <c r="F469" s="104"/>
      <c r="H469" s="45"/>
      <c r="I469" s="556"/>
      <c r="K469" s="537">
        <v>14</v>
      </c>
    </row>
    <row r="470" spans="1:11">
      <c r="A470" s="45" t="s">
        <v>0</v>
      </c>
      <c r="B470" s="45"/>
      <c r="C470" s="68"/>
      <c r="D470" s="612"/>
      <c r="F470" s="104"/>
      <c r="H470" s="45"/>
      <c r="I470" s="556"/>
    </row>
    <row r="471" spans="1:11">
      <c r="A471" s="3480" t="s">
        <v>1</v>
      </c>
      <c r="B471" s="3480"/>
      <c r="C471" s="46"/>
      <c r="D471" s="124"/>
      <c r="F471" s="104"/>
      <c r="H471" s="45"/>
      <c r="I471" s="556"/>
    </row>
    <row r="472" spans="1:11" ht="35.25" thickBot="1">
      <c r="F472" s="104"/>
      <c r="K472" s="732"/>
    </row>
    <row r="473" spans="1:11">
      <c r="A473" s="3445"/>
      <c r="B473" s="3446" t="s">
        <v>2</v>
      </c>
      <c r="C473" s="48" t="s">
        <v>3</v>
      </c>
      <c r="D473" s="436" t="s">
        <v>4</v>
      </c>
      <c r="E473" s="868" t="s">
        <v>5</v>
      </c>
      <c r="F473" s="849" t="s">
        <v>5</v>
      </c>
      <c r="G473" s="211" t="s">
        <v>6</v>
      </c>
      <c r="H473" s="48" t="s">
        <v>7</v>
      </c>
      <c r="I473" s="557" t="s">
        <v>8</v>
      </c>
      <c r="J473" s="573" t="s">
        <v>9</v>
      </c>
      <c r="K473" s="346" t="s">
        <v>9</v>
      </c>
    </row>
    <row r="474" spans="1:11" ht="35.25" thickBot="1">
      <c r="A474" s="51"/>
      <c r="B474" s="72"/>
      <c r="C474" s="50"/>
      <c r="D474" s="437" t="s">
        <v>10</v>
      </c>
      <c r="E474" s="869" t="s">
        <v>12</v>
      </c>
      <c r="F474" s="850" t="s">
        <v>11</v>
      </c>
      <c r="G474" s="212"/>
      <c r="H474" s="50" t="s">
        <v>13</v>
      </c>
      <c r="I474" s="558"/>
      <c r="J474" s="574" t="s">
        <v>14</v>
      </c>
      <c r="K474" s="347" t="s">
        <v>15</v>
      </c>
    </row>
    <row r="475" spans="1:11">
      <c r="A475" s="388"/>
      <c r="B475" s="382"/>
      <c r="C475" s="101"/>
      <c r="D475" s="322"/>
      <c r="E475" s="843"/>
      <c r="F475" s="767"/>
      <c r="G475" s="206"/>
      <c r="H475" s="74"/>
      <c r="I475" s="560"/>
      <c r="J475" s="544"/>
      <c r="K475" s="365"/>
    </row>
    <row r="476" spans="1:11">
      <c r="A476" s="83"/>
      <c r="B476" s="362"/>
      <c r="C476" s="101"/>
      <c r="D476" s="342"/>
      <c r="E476" s="872"/>
      <c r="F476" s="853"/>
      <c r="G476" s="206"/>
      <c r="H476" s="74"/>
      <c r="I476" s="560"/>
      <c r="J476" s="547"/>
      <c r="K476" s="550"/>
    </row>
    <row r="477" spans="1:11">
      <c r="A477" s="83"/>
      <c r="B477" s="362"/>
      <c r="C477" s="101"/>
      <c r="D477" s="342"/>
      <c r="E477" s="871"/>
      <c r="F477" s="767"/>
      <c r="G477" s="206"/>
      <c r="H477" s="74"/>
      <c r="I477" s="560"/>
      <c r="J477" s="547"/>
      <c r="K477" s="550"/>
    </row>
    <row r="478" spans="1:11">
      <c r="A478" s="83"/>
      <c r="B478" s="362"/>
      <c r="C478" s="101"/>
      <c r="D478" s="342"/>
      <c r="E478" s="871"/>
      <c r="F478" s="767"/>
      <c r="G478" s="206"/>
      <c r="H478" s="74"/>
      <c r="I478" s="560"/>
      <c r="J478" s="547"/>
      <c r="K478" s="550"/>
    </row>
    <row r="479" spans="1:11">
      <c r="A479" s="83"/>
      <c r="B479" s="43"/>
      <c r="C479" s="101"/>
      <c r="D479" s="342"/>
      <c r="E479" s="871"/>
      <c r="F479" s="767"/>
      <c r="G479" s="206"/>
      <c r="H479" s="74"/>
      <c r="I479" s="560"/>
      <c r="J479" s="547"/>
      <c r="K479" s="365"/>
    </row>
    <row r="480" spans="1:11">
      <c r="A480" s="83"/>
      <c r="B480" s="43"/>
      <c r="C480" s="101"/>
      <c r="D480" s="342"/>
      <c r="E480" s="871"/>
      <c r="F480" s="767"/>
      <c r="G480" s="206"/>
      <c r="H480" s="74"/>
      <c r="I480" s="560"/>
      <c r="J480" s="547"/>
      <c r="K480" s="365"/>
    </row>
    <row r="481" spans="1:11">
      <c r="A481" s="83"/>
      <c r="B481" s="43"/>
      <c r="C481" s="101"/>
      <c r="D481" s="342"/>
      <c r="E481" s="871"/>
      <c r="F481" s="767"/>
      <c r="G481" s="206"/>
      <c r="H481" s="74"/>
      <c r="I481" s="560"/>
      <c r="J481" s="731"/>
      <c r="K481" s="365"/>
    </row>
    <row r="482" spans="1:11">
      <c r="A482" s="83"/>
      <c r="B482" s="43"/>
      <c r="C482" s="101"/>
      <c r="D482" s="342"/>
      <c r="E482" s="871"/>
      <c r="F482" s="767"/>
      <c r="G482" s="206"/>
      <c r="H482" s="74"/>
      <c r="I482" s="560"/>
      <c r="J482" s="731"/>
      <c r="K482" s="365"/>
    </row>
    <row r="483" spans="1:11">
      <c r="A483" s="83"/>
      <c r="B483" s="43"/>
      <c r="C483" s="101"/>
      <c r="D483" s="342"/>
      <c r="E483" s="871"/>
      <c r="F483" s="767"/>
      <c r="G483" s="206"/>
      <c r="H483" s="74"/>
      <c r="I483" s="560"/>
      <c r="J483" s="731"/>
      <c r="K483" s="365"/>
    </row>
    <row r="484" spans="1:11">
      <c r="A484" s="83"/>
      <c r="B484" s="43"/>
      <c r="C484" s="101"/>
      <c r="D484" s="342"/>
      <c r="E484" s="871"/>
      <c r="F484" s="767"/>
      <c r="G484" s="206"/>
      <c r="H484" s="74"/>
      <c r="I484" s="560"/>
      <c r="J484" s="731"/>
      <c r="K484" s="365"/>
    </row>
    <row r="485" spans="1:11">
      <c r="A485" s="83"/>
      <c r="B485" s="43"/>
      <c r="C485" s="101"/>
      <c r="D485" s="342"/>
      <c r="E485" s="871"/>
      <c r="F485" s="767"/>
      <c r="G485" s="206"/>
      <c r="H485" s="74"/>
      <c r="I485" s="560"/>
      <c r="J485" s="731"/>
      <c r="K485" s="365"/>
    </row>
    <row r="486" spans="1:11">
      <c r="A486" s="389"/>
      <c r="B486" s="382"/>
      <c r="C486" s="105"/>
      <c r="D486" s="342"/>
      <c r="E486" s="871"/>
      <c r="F486" s="767"/>
      <c r="G486" s="206"/>
      <c r="H486" s="74"/>
      <c r="I486" s="560"/>
      <c r="J486" s="544"/>
      <c r="K486" s="365"/>
    </row>
    <row r="487" spans="1:11">
      <c r="A487" s="83"/>
      <c r="B487" s="43"/>
      <c r="C487" s="101"/>
      <c r="D487" s="342"/>
      <c r="E487" s="871"/>
      <c r="F487" s="767"/>
      <c r="G487" s="206"/>
      <c r="H487" s="74"/>
      <c r="I487" s="560"/>
      <c r="J487" s="544"/>
      <c r="K487" s="550"/>
    </row>
    <row r="488" spans="1:11">
      <c r="A488" s="83"/>
      <c r="B488" s="43"/>
      <c r="C488" s="101"/>
      <c r="D488" s="342"/>
      <c r="E488" s="871"/>
      <c r="F488" s="767"/>
      <c r="G488" s="206"/>
      <c r="H488" s="74"/>
      <c r="I488" s="560"/>
      <c r="J488" s="547"/>
      <c r="K488" s="550"/>
    </row>
    <row r="489" spans="1:11">
      <c r="A489" s="83"/>
      <c r="B489" s="43"/>
      <c r="C489" s="101"/>
      <c r="D489" s="342"/>
      <c r="E489" s="871"/>
      <c r="F489" s="767"/>
      <c r="G489" s="206"/>
      <c r="H489" s="74"/>
      <c r="I489" s="560"/>
      <c r="J489" s="544"/>
      <c r="K489" s="365"/>
    </row>
    <row r="490" spans="1:11">
      <c r="A490" s="83"/>
      <c r="B490" s="43"/>
      <c r="C490" s="101"/>
      <c r="D490" s="342"/>
      <c r="E490" s="871"/>
      <c r="F490" s="767"/>
      <c r="G490" s="206"/>
      <c r="H490" s="74"/>
      <c r="I490" s="560"/>
      <c r="J490" s="544"/>
      <c r="K490" s="365"/>
    </row>
    <row r="491" spans="1:11">
      <c r="A491" s="315"/>
      <c r="B491" s="43"/>
      <c r="C491" s="101"/>
      <c r="D491" s="517"/>
      <c r="E491" s="873"/>
      <c r="F491" s="767"/>
      <c r="G491" s="206"/>
      <c r="H491" s="58"/>
      <c r="I491" s="559"/>
      <c r="J491" s="544"/>
      <c r="K491" s="365"/>
    </row>
    <row r="492" spans="1:11">
      <c r="A492" s="83"/>
      <c r="B492" s="43"/>
      <c r="C492" s="101"/>
      <c r="D492" s="342"/>
      <c r="E492" s="871"/>
      <c r="F492" s="767"/>
      <c r="G492" s="206"/>
      <c r="H492" s="74"/>
      <c r="I492" s="560"/>
      <c r="J492" s="544"/>
      <c r="K492" s="365"/>
    </row>
    <row r="493" spans="1:11">
      <c r="A493" s="83"/>
      <c r="B493" s="43"/>
      <c r="C493" s="101"/>
      <c r="D493" s="342"/>
      <c r="E493" s="871"/>
      <c r="F493" s="767"/>
      <c r="G493" s="206"/>
      <c r="H493" s="74"/>
      <c r="I493" s="560"/>
      <c r="J493" s="544"/>
      <c r="K493" s="365"/>
    </row>
    <row r="494" spans="1:11">
      <c r="A494" s="493"/>
      <c r="B494" s="448"/>
      <c r="C494" s="661"/>
      <c r="D494" s="342"/>
      <c r="E494" s="871"/>
      <c r="F494" s="767"/>
      <c r="G494" s="206"/>
      <c r="H494" s="74"/>
      <c r="I494" s="560"/>
      <c r="J494" s="544"/>
      <c r="K494" s="365"/>
    </row>
    <row r="495" spans="1:11">
      <c r="A495" s="83"/>
      <c r="B495" s="43"/>
      <c r="C495" s="101"/>
      <c r="D495" s="342"/>
      <c r="E495" s="871"/>
      <c r="F495" s="767"/>
      <c r="G495" s="206"/>
      <c r="H495" s="74"/>
      <c r="I495" s="560"/>
      <c r="J495" s="544"/>
      <c r="K495" s="365"/>
    </row>
    <row r="496" spans="1:11">
      <c r="A496" s="83"/>
      <c r="B496" s="43"/>
      <c r="C496" s="101"/>
      <c r="D496" s="342"/>
      <c r="E496" s="871"/>
      <c r="F496" s="767"/>
      <c r="G496" s="206"/>
      <c r="H496" s="74"/>
      <c r="I496" s="560"/>
      <c r="J496" s="544"/>
      <c r="K496" s="365"/>
    </row>
    <row r="497" spans="1:11">
      <c r="A497" s="83"/>
      <c r="B497" s="43"/>
      <c r="C497" s="101"/>
      <c r="D497" s="342"/>
      <c r="E497" s="871"/>
      <c r="F497" s="767"/>
      <c r="G497" s="206"/>
      <c r="H497" s="74"/>
      <c r="I497" s="560"/>
      <c r="J497" s="544"/>
      <c r="K497" s="365"/>
    </row>
    <row r="498" spans="1:11">
      <c r="A498" s="83"/>
      <c r="B498" s="43"/>
      <c r="C498" s="101"/>
      <c r="D498" s="342"/>
      <c r="E498" s="871"/>
      <c r="F498" s="767"/>
      <c r="G498" s="206"/>
      <c r="H498" s="74"/>
      <c r="I498" s="560"/>
      <c r="J498" s="544"/>
      <c r="K498" s="365"/>
    </row>
    <row r="499" spans="1:11">
      <c r="A499" s="83"/>
      <c r="B499" s="362"/>
      <c r="C499" s="101"/>
      <c r="D499" s="342"/>
      <c r="E499" s="873"/>
      <c r="F499" s="767"/>
      <c r="G499" s="206"/>
      <c r="H499" s="74"/>
      <c r="I499" s="560"/>
      <c r="J499" s="544"/>
      <c r="K499" s="365"/>
    </row>
    <row r="500" spans="1:11">
      <c r="A500" s="83"/>
      <c r="B500" s="362"/>
      <c r="C500" s="101"/>
      <c r="D500" s="342"/>
      <c r="E500" s="873"/>
      <c r="F500" s="767"/>
      <c r="G500" s="206"/>
      <c r="H500" s="74"/>
      <c r="I500" s="560"/>
      <c r="J500" s="544"/>
      <c r="K500" s="365"/>
    </row>
    <row r="501" spans="1:11">
      <c r="A501" s="315"/>
      <c r="B501" s="43"/>
      <c r="C501" s="101"/>
      <c r="D501" s="342"/>
      <c r="E501" s="873"/>
      <c r="F501" s="767"/>
      <c r="G501" s="206"/>
      <c r="H501" s="58"/>
      <c r="I501" s="560"/>
      <c r="J501" s="544"/>
      <c r="K501" s="365"/>
    </row>
    <row r="502" spans="1:11">
      <c r="A502" s="315"/>
      <c r="B502" s="43"/>
      <c r="C502" s="101"/>
      <c r="D502" s="342"/>
      <c r="E502" s="873"/>
      <c r="F502" s="767"/>
      <c r="G502" s="206"/>
      <c r="H502" s="58"/>
      <c r="I502" s="559"/>
      <c r="J502" s="544"/>
      <c r="K502" s="365"/>
    </row>
    <row r="503" spans="1:11">
      <c r="A503" s="315"/>
      <c r="B503" s="43"/>
      <c r="C503" s="101"/>
      <c r="D503" s="342"/>
      <c r="E503" s="873"/>
      <c r="F503" s="767"/>
      <c r="G503" s="206"/>
      <c r="H503" s="58"/>
      <c r="I503" s="560"/>
      <c r="J503" s="544"/>
      <c r="K503" s="365"/>
    </row>
    <row r="504" spans="1:11">
      <c r="A504" s="315"/>
      <c r="B504" s="43"/>
      <c r="C504" s="101"/>
      <c r="D504" s="342"/>
      <c r="E504" s="873"/>
      <c r="F504" s="767"/>
      <c r="G504" s="206"/>
      <c r="H504" s="58"/>
      <c r="I504" s="559"/>
      <c r="J504" s="544"/>
      <c r="K504" s="365"/>
    </row>
  </sheetData>
  <mergeCells count="37">
    <mergeCell ref="A223:B223"/>
    <mergeCell ref="A3:B3"/>
    <mergeCell ref="A39:B39"/>
    <mergeCell ref="A75:B75"/>
    <mergeCell ref="A77:B77"/>
    <mergeCell ref="A111:B111"/>
    <mergeCell ref="A113:B113"/>
    <mergeCell ref="A51:B51"/>
    <mergeCell ref="A147:B147"/>
    <mergeCell ref="A149:B149"/>
    <mergeCell ref="A183:B183"/>
    <mergeCell ref="A186:B186"/>
    <mergeCell ref="A188:B188"/>
    <mergeCell ref="A363:B363"/>
    <mergeCell ref="A255:B255"/>
    <mergeCell ref="A259:B259"/>
    <mergeCell ref="A273:B273"/>
    <mergeCell ref="A284:B284"/>
    <mergeCell ref="A291:B291"/>
    <mergeCell ref="A295:B295"/>
    <mergeCell ref="A327:B327"/>
    <mergeCell ref="A329:B329"/>
    <mergeCell ref="A348:B348"/>
    <mergeCell ref="A354:B354"/>
    <mergeCell ref="A357:B357"/>
    <mergeCell ref="A471:B471"/>
    <mergeCell ref="A365:B365"/>
    <mergeCell ref="A367:B367"/>
    <mergeCell ref="A392:B392"/>
    <mergeCell ref="A399:B399"/>
    <mergeCell ref="A401:B401"/>
    <mergeCell ref="A403:B403"/>
    <mergeCell ref="A408:B408"/>
    <mergeCell ref="A435:B435"/>
    <mergeCell ref="A437:B437"/>
    <mergeCell ref="A439:B439"/>
    <mergeCell ref="A445:B445"/>
  </mergeCells>
  <hyperlinks>
    <hyperlink ref="I224" r:id="rId1" xr:uid="{AFCF650F-E49A-486A-B808-3A167FEA2001}"/>
    <hyperlink ref="K56" r:id="rId2" display="ก้อน8.86" xr:uid="{CF4AAFA8-FE9D-407D-B5CB-C6C6D94495EA}"/>
    <hyperlink ref="K57" r:id="rId3" xr:uid="{2BE0E0C0-B9B9-4E8D-A8F7-0B04D1133C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14C3-56D9-4565-9066-EFBE307A0EB8}">
  <dimension ref="A1:P504"/>
  <sheetViews>
    <sheetView view="pageBreakPreview" topLeftCell="A124" zoomScale="60" zoomScaleNormal="100" workbookViewId="0">
      <selection activeCell="G138" sqref="G138"/>
    </sheetView>
  </sheetViews>
  <sheetFormatPr defaultRowHeight="34.5"/>
  <cols>
    <col min="1" max="1" width="7.5703125" style="75" customWidth="1"/>
    <col min="2" max="2" width="28.140625" style="76" customWidth="1"/>
    <col min="3" max="3" width="10.85546875" style="102" customWidth="1"/>
    <col min="4" max="4" width="13.140625" style="335" customWidth="1"/>
    <col min="5" max="5" width="9.28515625" style="335" customWidth="1"/>
    <col min="6" max="6" width="12" style="863" customWidth="1"/>
    <col min="7" max="7" width="13.28515625" style="210" customWidth="1"/>
    <col min="8" max="8" width="13.85546875" style="76" customWidth="1"/>
    <col min="9" max="9" width="22" style="555" customWidth="1"/>
    <col min="10" max="10" width="13.140625" style="540" customWidth="1"/>
    <col min="11" max="11" width="11.7109375" style="366" customWidth="1"/>
    <col min="12" max="12" width="24.28515625" style="76" customWidth="1"/>
    <col min="13" max="16384" width="9.140625" style="76"/>
  </cols>
  <sheetData>
    <row r="1" spans="1:11" ht="29.25" customHeight="1">
      <c r="F1" s="104"/>
      <c r="K1" s="537">
        <v>1</v>
      </c>
    </row>
    <row r="2" spans="1:11" s="45" customFormat="1">
      <c r="A2" s="45" t="s">
        <v>0</v>
      </c>
      <c r="C2" s="68"/>
      <c r="D2" s="612"/>
      <c r="E2" s="335"/>
      <c r="F2" s="104"/>
      <c r="G2" s="210"/>
      <c r="I2" s="556"/>
      <c r="J2" s="540"/>
      <c r="K2" s="366"/>
    </row>
    <row r="3" spans="1:11" s="45" customFormat="1">
      <c r="A3" s="3480" t="s">
        <v>1</v>
      </c>
      <c r="B3" s="3480"/>
      <c r="C3" s="46"/>
      <c r="D3" s="124"/>
      <c r="E3" s="335"/>
      <c r="F3" s="104"/>
      <c r="G3" s="210"/>
      <c r="I3" s="556"/>
      <c r="J3" s="540"/>
      <c r="K3" s="366"/>
    </row>
    <row r="4" spans="1:11" ht="18" customHeight="1" thickBot="1">
      <c r="F4" s="104"/>
    </row>
    <row r="5" spans="1:11" s="46" customFormat="1">
      <c r="A5" s="3445"/>
      <c r="B5" s="3446" t="s">
        <v>2</v>
      </c>
      <c r="C5" s="48" t="s">
        <v>3</v>
      </c>
      <c r="D5" s="436" t="s">
        <v>4</v>
      </c>
      <c r="E5" s="868" t="s">
        <v>5</v>
      </c>
      <c r="F5" s="849" t="s">
        <v>5</v>
      </c>
      <c r="G5" s="219" t="s">
        <v>6</v>
      </c>
      <c r="H5" s="48" t="s">
        <v>7</v>
      </c>
      <c r="I5" s="557" t="s">
        <v>8</v>
      </c>
      <c r="J5" s="541" t="s">
        <v>9</v>
      </c>
      <c r="K5" s="346" t="s">
        <v>9</v>
      </c>
    </row>
    <row r="6" spans="1:11" s="46" customFormat="1" ht="35.25" thickBot="1">
      <c r="A6" s="51"/>
      <c r="B6" s="72"/>
      <c r="C6" s="50"/>
      <c r="D6" s="437" t="s">
        <v>10</v>
      </c>
      <c r="E6" s="869" t="s">
        <v>11</v>
      </c>
      <c r="F6" s="850" t="s">
        <v>12</v>
      </c>
      <c r="G6" s="212"/>
      <c r="H6" s="50" t="s">
        <v>13</v>
      </c>
      <c r="I6" s="558"/>
      <c r="J6" s="542" t="s">
        <v>14</v>
      </c>
      <c r="K6" s="347" t="s">
        <v>15</v>
      </c>
    </row>
    <row r="7" spans="1:11" s="46" customFormat="1">
      <c r="A7" s="781"/>
      <c r="B7" s="781" t="s">
        <v>357</v>
      </c>
      <c r="C7" s="207"/>
      <c r="D7" s="959"/>
      <c r="E7" s="298"/>
      <c r="F7" s="381"/>
      <c r="G7" s="478"/>
      <c r="H7" s="74"/>
      <c r="I7" s="431"/>
      <c r="J7" s="647"/>
      <c r="K7" s="780"/>
    </row>
    <row r="8" spans="1:11">
      <c r="A8" s="662"/>
      <c r="B8" s="1000" t="s">
        <v>358</v>
      </c>
      <c r="C8" s="207" t="s">
        <v>192</v>
      </c>
      <c r="D8" s="959" t="s">
        <v>193</v>
      </c>
      <c r="E8" s="1950">
        <v>40</v>
      </c>
      <c r="F8" s="856" t="s">
        <v>359</v>
      </c>
      <c r="G8" s="2405" t="s">
        <v>360</v>
      </c>
      <c r="H8" s="224">
        <v>710</v>
      </c>
      <c r="I8" s="224" t="s">
        <v>361</v>
      </c>
      <c r="J8" s="647">
        <v>730</v>
      </c>
      <c r="K8" s="780">
        <v>36.5</v>
      </c>
    </row>
    <row r="9" spans="1:11">
      <c r="A9" s="770"/>
      <c r="B9" s="1000" t="s">
        <v>362</v>
      </c>
      <c r="C9" s="207" t="s">
        <v>192</v>
      </c>
      <c r="D9" s="959" t="s">
        <v>193</v>
      </c>
      <c r="E9" s="1950">
        <v>40</v>
      </c>
      <c r="F9" s="856" t="s">
        <v>359</v>
      </c>
      <c r="G9" s="2405" t="s">
        <v>363</v>
      </c>
      <c r="H9" s="224">
        <v>710</v>
      </c>
      <c r="I9" s="224" t="s">
        <v>361</v>
      </c>
      <c r="J9" s="647">
        <v>730</v>
      </c>
      <c r="K9" s="780">
        <v>36.5</v>
      </c>
    </row>
    <row r="10" spans="1:11">
      <c r="A10" s="1000"/>
      <c r="B10" s="662" t="s">
        <v>364</v>
      </c>
      <c r="C10" s="207" t="s">
        <v>192</v>
      </c>
      <c r="D10" s="959" t="s">
        <v>193</v>
      </c>
      <c r="E10" s="1950">
        <v>40</v>
      </c>
      <c r="F10" s="856" t="s">
        <v>359</v>
      </c>
      <c r="G10" s="2405" t="s">
        <v>360</v>
      </c>
      <c r="H10" s="224">
        <v>710</v>
      </c>
      <c r="I10" s="224" t="s">
        <v>361</v>
      </c>
      <c r="J10" s="647">
        <v>730</v>
      </c>
      <c r="K10" s="780">
        <v>36.5</v>
      </c>
    </row>
    <row r="11" spans="1:11">
      <c r="A11" s="1000"/>
      <c r="B11" s="662" t="s">
        <v>365</v>
      </c>
      <c r="C11" s="207" t="s">
        <v>192</v>
      </c>
      <c r="D11" s="959" t="s">
        <v>193</v>
      </c>
      <c r="E11" s="1950">
        <v>40</v>
      </c>
      <c r="F11" s="856" t="s">
        <v>359</v>
      </c>
      <c r="G11" s="2405" t="s">
        <v>363</v>
      </c>
      <c r="H11" s="224">
        <v>710</v>
      </c>
      <c r="I11" s="224" t="s">
        <v>361</v>
      </c>
      <c r="J11" s="647">
        <v>730</v>
      </c>
      <c r="K11" s="780">
        <v>36.5</v>
      </c>
    </row>
    <row r="12" spans="1:11">
      <c r="A12" s="662"/>
      <c r="B12" s="770" t="s">
        <v>366</v>
      </c>
      <c r="C12" s="207" t="s">
        <v>192</v>
      </c>
      <c r="D12" s="959" t="s">
        <v>193</v>
      </c>
      <c r="E12" s="1950">
        <v>45</v>
      </c>
      <c r="F12" s="856" t="s">
        <v>367</v>
      </c>
      <c r="G12" s="2405" t="s">
        <v>363</v>
      </c>
      <c r="H12" s="224">
        <v>780</v>
      </c>
      <c r="I12" s="224" t="s">
        <v>368</v>
      </c>
      <c r="J12" s="647">
        <v>810</v>
      </c>
      <c r="K12" s="780">
        <v>40.5</v>
      </c>
    </row>
    <row r="13" spans="1:11">
      <c r="A13" s="662"/>
      <c r="B13" s="1000" t="s">
        <v>369</v>
      </c>
      <c r="C13" s="207" t="s">
        <v>192</v>
      </c>
      <c r="D13" s="959" t="s">
        <v>193</v>
      </c>
      <c r="E13" s="1950">
        <v>40</v>
      </c>
      <c r="F13" s="856" t="s">
        <v>359</v>
      </c>
      <c r="G13" s="2405" t="s">
        <v>363</v>
      </c>
      <c r="H13" s="224">
        <v>710</v>
      </c>
      <c r="I13" s="224" t="s">
        <v>361</v>
      </c>
      <c r="J13" s="647">
        <v>730</v>
      </c>
      <c r="K13" s="780">
        <v>36.5</v>
      </c>
    </row>
    <row r="14" spans="1:11">
      <c r="A14" s="770"/>
      <c r="B14" s="1336" t="s">
        <v>370</v>
      </c>
      <c r="C14" s="207" t="s">
        <v>192</v>
      </c>
      <c r="D14" s="959" t="s">
        <v>193</v>
      </c>
      <c r="E14" s="1950">
        <v>40</v>
      </c>
      <c r="F14" s="856" t="s">
        <v>359</v>
      </c>
      <c r="G14" s="2405" t="s">
        <v>363</v>
      </c>
      <c r="H14" s="224">
        <v>710</v>
      </c>
      <c r="I14" s="224" t="s">
        <v>368</v>
      </c>
      <c r="J14" s="647">
        <v>740</v>
      </c>
      <c r="K14" s="780">
        <v>37</v>
      </c>
    </row>
    <row r="15" spans="1:11">
      <c r="A15" s="1000"/>
      <c r="B15" s="383" t="s">
        <v>371</v>
      </c>
      <c r="C15" s="207" t="s">
        <v>192</v>
      </c>
      <c r="D15" s="959" t="s">
        <v>193</v>
      </c>
      <c r="E15" s="1950">
        <v>40</v>
      </c>
      <c r="F15" s="856" t="s">
        <v>359</v>
      </c>
      <c r="G15" s="2405" t="s">
        <v>360</v>
      </c>
      <c r="H15" s="224">
        <v>710</v>
      </c>
      <c r="I15" s="224" t="s">
        <v>361</v>
      </c>
      <c r="J15" s="647">
        <v>730</v>
      </c>
      <c r="K15" s="780">
        <v>36.5</v>
      </c>
    </row>
    <row r="16" spans="1:11">
      <c r="A16" s="1336"/>
      <c r="B16" s="383" t="s">
        <v>372</v>
      </c>
      <c r="C16" s="207" t="s">
        <v>192</v>
      </c>
      <c r="D16" s="959" t="s">
        <v>193</v>
      </c>
      <c r="E16" s="1950">
        <v>40</v>
      </c>
      <c r="F16" s="856" t="s">
        <v>359</v>
      </c>
      <c r="G16" s="2405" t="s">
        <v>360</v>
      </c>
      <c r="H16" s="224">
        <v>710</v>
      </c>
      <c r="I16" s="224" t="s">
        <v>361</v>
      </c>
      <c r="J16" s="647">
        <v>730</v>
      </c>
      <c r="K16" s="780">
        <v>36.5</v>
      </c>
    </row>
    <row r="17" spans="1:16">
      <c r="A17" s="43"/>
      <c r="B17" s="770" t="s">
        <v>373</v>
      </c>
      <c r="C17" s="341" t="s">
        <v>192</v>
      </c>
      <c r="D17" s="852" t="s">
        <v>193</v>
      </c>
      <c r="E17" s="1950">
        <v>35</v>
      </c>
      <c r="F17" s="856" t="s">
        <v>374</v>
      </c>
      <c r="G17" s="2405" t="s">
        <v>363</v>
      </c>
      <c r="H17" s="224">
        <v>610</v>
      </c>
      <c r="I17" s="224" t="s">
        <v>368</v>
      </c>
      <c r="J17" s="647">
        <v>640</v>
      </c>
      <c r="K17" s="780">
        <v>32</v>
      </c>
    </row>
    <row r="18" spans="1:16">
      <c r="A18" s="362"/>
      <c r="B18" s="1338" t="s">
        <v>375</v>
      </c>
      <c r="C18" s="341" t="s">
        <v>192</v>
      </c>
      <c r="D18" s="852" t="s">
        <v>193</v>
      </c>
      <c r="E18" s="1950">
        <v>35</v>
      </c>
      <c r="F18" s="856" t="s">
        <v>374</v>
      </c>
      <c r="G18" s="2405" t="s">
        <v>363</v>
      </c>
      <c r="H18" s="224">
        <v>610</v>
      </c>
      <c r="I18" s="224" t="s">
        <v>368</v>
      </c>
      <c r="J18" s="647">
        <v>640</v>
      </c>
      <c r="K18" s="780">
        <v>32</v>
      </c>
    </row>
    <row r="19" spans="1:16">
      <c r="A19" s="770"/>
      <c r="B19" s="2607" t="s">
        <v>376</v>
      </c>
      <c r="C19" s="341" t="s">
        <v>192</v>
      </c>
      <c r="D19" s="852" t="s">
        <v>193</v>
      </c>
      <c r="E19" s="1950">
        <v>35</v>
      </c>
      <c r="F19" s="856" t="s">
        <v>374</v>
      </c>
      <c r="G19" s="2405" t="s">
        <v>363</v>
      </c>
      <c r="H19" s="224">
        <v>610</v>
      </c>
      <c r="I19" s="224" t="s">
        <v>368</v>
      </c>
      <c r="J19" s="647">
        <v>640</v>
      </c>
      <c r="K19" s="780">
        <v>32</v>
      </c>
    </row>
    <row r="20" spans="1:16">
      <c r="A20" s="770"/>
      <c r="B20" s="2607" t="s">
        <v>377</v>
      </c>
      <c r="C20" s="341" t="s">
        <v>192</v>
      </c>
      <c r="D20" s="852" t="s">
        <v>193</v>
      </c>
      <c r="E20" s="1950">
        <v>35</v>
      </c>
      <c r="F20" s="856" t="s">
        <v>374</v>
      </c>
      <c r="G20" s="2405" t="s">
        <v>363</v>
      </c>
      <c r="H20" s="224">
        <v>610</v>
      </c>
      <c r="I20" s="224" t="s">
        <v>368</v>
      </c>
      <c r="J20" s="647">
        <v>640</v>
      </c>
      <c r="K20" s="780">
        <v>32</v>
      </c>
    </row>
    <row r="21" spans="1:16">
      <c r="A21" s="770"/>
      <c r="B21" s="81"/>
      <c r="C21" s="207"/>
      <c r="D21" s="959"/>
      <c r="E21" s="1950"/>
      <c r="F21" s="2310"/>
      <c r="G21" s="2726"/>
      <c r="H21" s="74"/>
      <c r="I21" s="224"/>
      <c r="J21" s="647"/>
      <c r="K21" s="780"/>
    </row>
    <row r="22" spans="1:16">
      <c r="A22" s="770"/>
      <c r="B22" s="81" t="s">
        <v>378</v>
      </c>
      <c r="C22" s="207" t="s">
        <v>192</v>
      </c>
      <c r="D22" s="959" t="s">
        <v>193</v>
      </c>
      <c r="E22" s="1950">
        <v>40</v>
      </c>
      <c r="F22" s="2310" t="s">
        <v>379</v>
      </c>
      <c r="G22" s="2726" t="s">
        <v>380</v>
      </c>
      <c r="H22" s="74">
        <v>525</v>
      </c>
      <c r="I22" s="224" t="s">
        <v>381</v>
      </c>
      <c r="J22" s="647">
        <v>560</v>
      </c>
      <c r="K22" s="780">
        <v>35</v>
      </c>
    </row>
    <row r="23" spans="1:16">
      <c r="A23" s="599"/>
      <c r="B23" s="81" t="s">
        <v>382</v>
      </c>
      <c r="C23" s="207" t="s">
        <v>192</v>
      </c>
      <c r="D23" s="959" t="s">
        <v>193</v>
      </c>
      <c r="E23" s="1950">
        <v>40</v>
      </c>
      <c r="F23" s="2310" t="s">
        <v>379</v>
      </c>
      <c r="G23" s="2726" t="s">
        <v>380</v>
      </c>
      <c r="H23" s="74">
        <v>525</v>
      </c>
      <c r="I23" s="224" t="s">
        <v>381</v>
      </c>
      <c r="J23" s="647">
        <v>560</v>
      </c>
      <c r="K23" s="780">
        <v>35</v>
      </c>
    </row>
    <row r="24" spans="1:16">
      <c r="A24" s="81"/>
      <c r="B24" s="43" t="s">
        <v>383</v>
      </c>
      <c r="C24" s="207" t="s">
        <v>192</v>
      </c>
      <c r="D24" s="959" t="s">
        <v>193</v>
      </c>
      <c r="E24" s="1950">
        <v>40</v>
      </c>
      <c r="F24" s="2310" t="s">
        <v>384</v>
      </c>
      <c r="G24" s="2726"/>
      <c r="H24" s="74"/>
      <c r="I24" s="224" t="s">
        <v>381</v>
      </c>
      <c r="J24" s="647">
        <v>645</v>
      </c>
      <c r="K24" s="780">
        <v>32.25</v>
      </c>
    </row>
    <row r="25" spans="1:16">
      <c r="A25" s="43"/>
      <c r="B25" s="43" t="s">
        <v>385</v>
      </c>
      <c r="C25" s="207" t="s">
        <v>192</v>
      </c>
      <c r="D25" s="959" t="s">
        <v>386</v>
      </c>
      <c r="E25" s="1950">
        <v>75</v>
      </c>
      <c r="F25" s="2310" t="s">
        <v>387</v>
      </c>
      <c r="G25" s="887" t="s">
        <v>388</v>
      </c>
      <c r="H25" s="74">
        <v>1000</v>
      </c>
      <c r="I25" s="224" t="s">
        <v>368</v>
      </c>
      <c r="J25" s="647">
        <v>1030</v>
      </c>
      <c r="K25" s="780">
        <v>64.37</v>
      </c>
    </row>
    <row r="26" spans="1:16">
      <c r="A26" s="43" t="s">
        <v>357</v>
      </c>
      <c r="B26" s="43" t="s">
        <v>389</v>
      </c>
      <c r="C26" s="207" t="s">
        <v>103</v>
      </c>
      <c r="D26" s="959" t="s">
        <v>390</v>
      </c>
      <c r="E26" s="1950">
        <v>60</v>
      </c>
      <c r="F26" s="2310" t="s">
        <v>391</v>
      </c>
      <c r="G26" s="887" t="s">
        <v>392</v>
      </c>
      <c r="H26" s="74">
        <v>600</v>
      </c>
      <c r="I26" s="224" t="s">
        <v>393</v>
      </c>
      <c r="J26" s="647">
        <v>630</v>
      </c>
      <c r="K26" s="780">
        <v>52.5</v>
      </c>
    </row>
    <row r="27" spans="1:16">
      <c r="A27" s="43" t="s">
        <v>394</v>
      </c>
      <c r="B27" s="43" t="s">
        <v>389</v>
      </c>
      <c r="C27" s="207" t="s">
        <v>103</v>
      </c>
      <c r="D27" s="959" t="s">
        <v>390</v>
      </c>
      <c r="E27" s="1950">
        <v>60</v>
      </c>
      <c r="F27" s="2310" t="s">
        <v>391</v>
      </c>
      <c r="G27" s="887" t="s">
        <v>395</v>
      </c>
      <c r="H27" s="74">
        <v>620</v>
      </c>
      <c r="I27" s="224" t="s">
        <v>393</v>
      </c>
      <c r="J27" s="647">
        <v>650</v>
      </c>
      <c r="K27" s="780">
        <v>54.16</v>
      </c>
    </row>
    <row r="28" spans="1:16">
      <c r="A28" s="770"/>
      <c r="B28" s="81"/>
      <c r="C28" s="207"/>
      <c r="D28" s="959"/>
      <c r="E28" s="1950"/>
      <c r="F28" s="2310"/>
      <c r="G28" s="887"/>
      <c r="H28" s="74"/>
      <c r="I28" s="224"/>
      <c r="J28" s="647"/>
      <c r="K28" s="780"/>
      <c r="L28" s="575"/>
      <c r="M28" s="188"/>
      <c r="N28" s="188"/>
      <c r="O28" s="189"/>
      <c r="P28" s="170"/>
    </row>
    <row r="29" spans="1:16">
      <c r="A29" s="770"/>
      <c r="B29" s="43"/>
      <c r="C29" s="207"/>
      <c r="D29" s="959"/>
      <c r="E29" s="1950"/>
      <c r="F29" s="2310"/>
      <c r="G29" s="887"/>
      <c r="H29" s="74"/>
      <c r="I29" s="224"/>
      <c r="J29" s="647"/>
      <c r="K29" s="780"/>
      <c r="L29" s="575"/>
      <c r="M29" s="188"/>
      <c r="N29" s="188"/>
      <c r="O29" s="189"/>
      <c r="P29" s="170"/>
    </row>
    <row r="30" spans="1:16" ht="35.25" thickBot="1">
      <c r="A30" s="315"/>
      <c r="B30" s="43" t="s">
        <v>396</v>
      </c>
      <c r="C30" s="207" t="s">
        <v>247</v>
      </c>
      <c r="D30" s="959" t="s">
        <v>397</v>
      </c>
      <c r="E30" s="1950">
        <v>45</v>
      </c>
      <c r="F30" s="2310">
        <v>2100</v>
      </c>
      <c r="G30" s="887" t="s">
        <v>398</v>
      </c>
      <c r="H30" s="74">
        <v>1900</v>
      </c>
      <c r="I30" s="224" t="s">
        <v>393</v>
      </c>
      <c r="J30" s="647">
        <v>1930</v>
      </c>
      <c r="K30" s="780">
        <v>38.6</v>
      </c>
      <c r="L30" s="575"/>
      <c r="M30" s="188"/>
      <c r="N30" s="188"/>
      <c r="O30" s="189"/>
      <c r="P30" s="170"/>
    </row>
    <row r="31" spans="1:16" ht="35.25" thickBot="1">
      <c r="A31" s="438"/>
      <c r="B31" s="770" t="s">
        <v>399</v>
      </c>
      <c r="C31" s="207" t="s">
        <v>400</v>
      </c>
      <c r="D31" s="959" t="s">
        <v>23</v>
      </c>
      <c r="E31" s="1950">
        <v>96</v>
      </c>
      <c r="F31" s="856"/>
      <c r="G31" s="312"/>
      <c r="H31" s="224"/>
      <c r="I31" s="224"/>
      <c r="J31" s="647"/>
      <c r="K31" s="1154"/>
      <c r="L31" s="575"/>
      <c r="M31" s="188"/>
      <c r="N31" s="188"/>
      <c r="O31" s="189"/>
      <c r="P31" s="170"/>
    </row>
    <row r="32" spans="1:16" ht="35.25" thickBot="1">
      <c r="A32" s="389"/>
      <c r="B32" s="770" t="s">
        <v>399</v>
      </c>
      <c r="C32" s="207" t="s">
        <v>400</v>
      </c>
      <c r="D32" s="959" t="s">
        <v>23</v>
      </c>
      <c r="E32" s="1950">
        <v>175</v>
      </c>
      <c r="F32" s="856"/>
      <c r="G32" s="353"/>
      <c r="H32" s="224"/>
      <c r="I32" s="224"/>
      <c r="J32" s="647"/>
      <c r="K32" s="1154"/>
    </row>
    <row r="33" spans="1:12">
      <c r="A33" s="315"/>
      <c r="B33" s="770" t="s">
        <v>401</v>
      </c>
      <c r="C33" s="207" t="s">
        <v>402</v>
      </c>
      <c r="D33" s="959" t="s">
        <v>309</v>
      </c>
      <c r="E33" s="1950">
        <v>70</v>
      </c>
      <c r="F33" s="856"/>
      <c r="G33" s="312"/>
      <c r="H33" s="224">
        <v>550</v>
      </c>
      <c r="I33" s="224" t="s">
        <v>361</v>
      </c>
      <c r="J33" s="647">
        <v>570</v>
      </c>
      <c r="K33" s="1154">
        <v>57</v>
      </c>
    </row>
    <row r="34" spans="1:12">
      <c r="A34" s="59"/>
      <c r="B34" s="81" t="s">
        <v>403</v>
      </c>
      <c r="C34" s="103"/>
      <c r="D34" s="322" t="s">
        <v>404</v>
      </c>
      <c r="E34" s="100"/>
      <c r="F34" s="381"/>
      <c r="G34" s="312" t="s">
        <v>405</v>
      </c>
      <c r="H34" s="224" t="s">
        <v>406</v>
      </c>
      <c r="I34" s="224" t="s">
        <v>407</v>
      </c>
      <c r="J34" s="647" t="s">
        <v>408</v>
      </c>
      <c r="K34" s="365"/>
    </row>
    <row r="35" spans="1:12">
      <c r="A35" s="83"/>
      <c r="B35" s="43" t="s">
        <v>409</v>
      </c>
      <c r="C35" s="101" t="s">
        <v>236</v>
      </c>
      <c r="D35" s="322" t="s">
        <v>404</v>
      </c>
      <c r="E35" s="100">
        <v>45</v>
      </c>
      <c r="F35" s="381"/>
      <c r="G35" s="312" t="s">
        <v>405</v>
      </c>
      <c r="H35" s="224" t="s">
        <v>410</v>
      </c>
      <c r="I35" s="224" t="s">
        <v>411</v>
      </c>
      <c r="J35" s="647" t="s">
        <v>412</v>
      </c>
      <c r="K35" s="365"/>
    </row>
    <row r="36" spans="1:12">
      <c r="A36" s="83"/>
      <c r="B36" s="662" t="s">
        <v>413</v>
      </c>
      <c r="C36" s="207" t="s">
        <v>192</v>
      </c>
      <c r="D36" s="959" t="s">
        <v>414</v>
      </c>
      <c r="E36" s="298">
        <v>34</v>
      </c>
      <c r="F36" s="381"/>
      <c r="G36" s="478" t="s">
        <v>415</v>
      </c>
      <c r="H36" s="74">
        <v>505</v>
      </c>
      <c r="I36" s="431" t="s">
        <v>416</v>
      </c>
      <c r="J36" s="647">
        <v>535</v>
      </c>
      <c r="K36" s="780">
        <v>29.72</v>
      </c>
    </row>
    <row r="37" spans="1:12">
      <c r="B37" s="75"/>
      <c r="C37" s="104"/>
      <c r="D37" s="167"/>
      <c r="E37" s="167"/>
      <c r="F37" s="167"/>
      <c r="G37" s="167"/>
      <c r="H37" s="75"/>
      <c r="I37" s="561"/>
      <c r="J37" s="545"/>
    </row>
    <row r="38" spans="1:12">
      <c r="A38" s="45" t="s">
        <v>0</v>
      </c>
      <c r="B38" s="45"/>
      <c r="C38" s="68"/>
      <c r="D38" s="612"/>
      <c r="F38" s="104"/>
      <c r="H38" s="45"/>
      <c r="I38" s="556"/>
      <c r="K38" s="492">
        <v>2</v>
      </c>
      <c r="L38" s="45"/>
    </row>
    <row r="39" spans="1:12" s="45" customFormat="1">
      <c r="A39" s="3480" t="s">
        <v>1</v>
      </c>
      <c r="B39" s="3480"/>
      <c r="C39" s="46"/>
      <c r="D39" s="124"/>
      <c r="E39" s="335"/>
      <c r="F39" s="104"/>
      <c r="G39" s="210"/>
      <c r="I39" s="556"/>
      <c r="J39" s="611"/>
      <c r="K39" s="366"/>
    </row>
    <row r="40" spans="1:12" ht="15.75" customHeight="1" thickBot="1">
      <c r="F40" s="104"/>
    </row>
    <row r="41" spans="1:12">
      <c r="A41" s="3445"/>
      <c r="B41" s="3446" t="s">
        <v>2</v>
      </c>
      <c r="C41" s="48" t="s">
        <v>3</v>
      </c>
      <c r="D41" s="436" t="s">
        <v>4</v>
      </c>
      <c r="E41" s="868" t="s">
        <v>5</v>
      </c>
      <c r="F41" s="849" t="s">
        <v>5</v>
      </c>
      <c r="G41" s="219" t="s">
        <v>6</v>
      </c>
      <c r="H41" s="48" t="s">
        <v>7</v>
      </c>
      <c r="I41" s="557" t="s">
        <v>8</v>
      </c>
      <c r="J41" s="541" t="s">
        <v>9</v>
      </c>
      <c r="K41" s="346" t="s">
        <v>9</v>
      </c>
      <c r="L41" s="46"/>
    </row>
    <row r="42" spans="1:12" ht="35.25" thickBot="1">
      <c r="A42" s="51"/>
      <c r="B42" s="72"/>
      <c r="C42" s="50"/>
      <c r="D42" s="437" t="s">
        <v>10</v>
      </c>
      <c r="E42" s="869" t="s">
        <v>11</v>
      </c>
      <c r="F42" s="850" t="s">
        <v>12</v>
      </c>
      <c r="G42" s="301"/>
      <c r="H42" s="50" t="s">
        <v>13</v>
      </c>
      <c r="I42" s="558"/>
      <c r="J42" s="542" t="s">
        <v>14</v>
      </c>
      <c r="K42" s="347" t="s">
        <v>15</v>
      </c>
      <c r="L42" s="46"/>
    </row>
    <row r="43" spans="1:12">
      <c r="A43" s="663"/>
      <c r="B43" s="2328" t="s">
        <v>417</v>
      </c>
      <c r="C43" s="515"/>
      <c r="D43" s="196"/>
      <c r="E43" s="142"/>
      <c r="F43" s="381"/>
      <c r="G43" s="477"/>
      <c r="H43" s="74"/>
      <c r="I43" s="431"/>
      <c r="J43" s="586"/>
      <c r="K43" s="526"/>
    </row>
    <row r="44" spans="1:12" ht="37.5">
      <c r="A44" s="398"/>
      <c r="B44" s="43" t="s">
        <v>418</v>
      </c>
      <c r="C44" s="101" t="s">
        <v>419</v>
      </c>
      <c r="D44" s="322" t="s">
        <v>420</v>
      </c>
      <c r="E44" s="99">
        <v>39</v>
      </c>
      <c r="F44" s="856" t="s">
        <v>421</v>
      </c>
      <c r="G44" s="3390" t="s">
        <v>422</v>
      </c>
      <c r="H44" s="224" t="s">
        <v>423</v>
      </c>
      <c r="I44" s="224" t="s">
        <v>424</v>
      </c>
      <c r="J44" s="2745" t="s">
        <v>425</v>
      </c>
      <c r="K44" s="2739">
        <v>36.67</v>
      </c>
    </row>
    <row r="45" spans="1:12" ht="37.5">
      <c r="A45" s="398"/>
      <c r="B45" s="43" t="s">
        <v>426</v>
      </c>
      <c r="C45" s="101" t="s">
        <v>419</v>
      </c>
      <c r="D45" s="322" t="s">
        <v>420</v>
      </c>
      <c r="E45" s="99">
        <v>39</v>
      </c>
      <c r="F45" s="856" t="s">
        <v>421</v>
      </c>
      <c r="G45" s="3390" t="s">
        <v>422</v>
      </c>
      <c r="H45" s="224" t="s">
        <v>423</v>
      </c>
      <c r="I45" s="224" t="s">
        <v>424</v>
      </c>
      <c r="J45" s="2745" t="s">
        <v>425</v>
      </c>
      <c r="K45" s="2739">
        <v>36.67</v>
      </c>
    </row>
    <row r="46" spans="1:12" ht="37.5">
      <c r="A46" s="398"/>
      <c r="B46" s="43" t="s">
        <v>427</v>
      </c>
      <c r="C46" s="101" t="s">
        <v>419</v>
      </c>
      <c r="D46" s="322" t="s">
        <v>420</v>
      </c>
      <c r="E46" s="99">
        <v>39</v>
      </c>
      <c r="F46" s="856" t="s">
        <v>421</v>
      </c>
      <c r="G46" s="3390" t="s">
        <v>422</v>
      </c>
      <c r="H46" s="224" t="s">
        <v>423</v>
      </c>
      <c r="I46" s="224" t="s">
        <v>424</v>
      </c>
      <c r="J46" s="2745" t="s">
        <v>425</v>
      </c>
      <c r="K46" s="2739">
        <v>36.67</v>
      </c>
    </row>
    <row r="47" spans="1:12" ht="37.5">
      <c r="A47" s="83"/>
      <c r="B47" s="43" t="s">
        <v>428</v>
      </c>
      <c r="C47" s="101" t="s">
        <v>419</v>
      </c>
      <c r="D47" s="322" t="s">
        <v>420</v>
      </c>
      <c r="E47" s="99">
        <v>39</v>
      </c>
      <c r="F47" s="856" t="s">
        <v>421</v>
      </c>
      <c r="G47" s="3390" t="s">
        <v>422</v>
      </c>
      <c r="H47" s="224" t="s">
        <v>423</v>
      </c>
      <c r="I47" s="224" t="s">
        <v>424</v>
      </c>
      <c r="J47" s="2745" t="s">
        <v>425</v>
      </c>
      <c r="K47" s="2739">
        <v>36.67</v>
      </c>
    </row>
    <row r="48" spans="1:12" ht="37.5">
      <c r="A48" s="83"/>
      <c r="B48" s="662" t="s">
        <v>429</v>
      </c>
      <c r="C48" s="101" t="s">
        <v>419</v>
      </c>
      <c r="D48" s="322" t="s">
        <v>420</v>
      </c>
      <c r="E48" s="99">
        <v>39</v>
      </c>
      <c r="F48" s="856" t="s">
        <v>421</v>
      </c>
      <c r="G48" s="3390" t="s">
        <v>422</v>
      </c>
      <c r="H48" s="224" t="s">
        <v>423</v>
      </c>
      <c r="I48" s="224" t="s">
        <v>424</v>
      </c>
      <c r="J48" s="2745" t="s">
        <v>425</v>
      </c>
      <c r="K48" s="2739">
        <v>36.67</v>
      </c>
    </row>
    <row r="49" spans="1:14" ht="37.5">
      <c r="A49" s="83"/>
      <c r="B49" s="43" t="s">
        <v>430</v>
      </c>
      <c r="C49" s="101" t="s">
        <v>419</v>
      </c>
      <c r="D49" s="322" t="s">
        <v>431</v>
      </c>
      <c r="E49" s="99">
        <v>39</v>
      </c>
      <c r="F49" s="856" t="s">
        <v>421</v>
      </c>
      <c r="G49" s="3390" t="s">
        <v>422</v>
      </c>
      <c r="H49" s="224" t="s">
        <v>423</v>
      </c>
      <c r="I49" s="224" t="s">
        <v>424</v>
      </c>
      <c r="J49" s="2745" t="s">
        <v>425</v>
      </c>
      <c r="K49" s="2739">
        <v>36.67</v>
      </c>
    </row>
    <row r="50" spans="1:14" ht="37.5">
      <c r="A50" s="157"/>
      <c r="B50" s="962" t="s">
        <v>432</v>
      </c>
      <c r="C50" s="101" t="s">
        <v>419</v>
      </c>
      <c r="D50" s="322" t="s">
        <v>420</v>
      </c>
      <c r="E50" s="99">
        <v>39</v>
      </c>
      <c r="F50" s="856" t="s">
        <v>421</v>
      </c>
      <c r="G50" s="3390" t="s">
        <v>422</v>
      </c>
      <c r="H50" s="224" t="s">
        <v>423</v>
      </c>
      <c r="I50" s="224" t="s">
        <v>424</v>
      </c>
      <c r="J50" s="2745" t="s">
        <v>425</v>
      </c>
      <c r="K50" s="2739">
        <v>36.67</v>
      </c>
    </row>
    <row r="51" spans="1:14" ht="37.5">
      <c r="A51" s="157"/>
      <c r="B51" s="43" t="s">
        <v>433</v>
      </c>
      <c r="C51" s="101" t="s">
        <v>419</v>
      </c>
      <c r="D51" s="322" t="s">
        <v>431</v>
      </c>
      <c r="E51" s="99">
        <v>39</v>
      </c>
      <c r="F51" s="856" t="s">
        <v>421</v>
      </c>
      <c r="G51" s="3390" t="s">
        <v>422</v>
      </c>
      <c r="H51" s="224" t="s">
        <v>423</v>
      </c>
      <c r="I51" s="224" t="s">
        <v>424</v>
      </c>
      <c r="J51" s="2745" t="s">
        <v>425</v>
      </c>
      <c r="K51" s="2739">
        <v>36.67</v>
      </c>
    </row>
    <row r="52" spans="1:14" ht="38.25" thickBot="1">
      <c r="A52" s="1952"/>
      <c r="B52" s="1905" t="s">
        <v>434</v>
      </c>
      <c r="C52" s="1906" t="s">
        <v>419</v>
      </c>
      <c r="D52" s="1907" t="s">
        <v>420</v>
      </c>
      <c r="E52" s="3397">
        <v>39</v>
      </c>
      <c r="F52" s="1935" t="s">
        <v>421</v>
      </c>
      <c r="G52" s="3398" t="s">
        <v>422</v>
      </c>
      <c r="H52" s="1953" t="s">
        <v>423</v>
      </c>
      <c r="I52" s="1953" t="s">
        <v>424</v>
      </c>
      <c r="J52" s="3399" t="s">
        <v>425</v>
      </c>
      <c r="K52" s="3400">
        <v>36.67</v>
      </c>
    </row>
    <row r="53" spans="1:14" ht="38.25" thickTop="1">
      <c r="A53" s="1951"/>
      <c r="B53" s="770" t="s">
        <v>435</v>
      </c>
      <c r="C53" s="103" t="s">
        <v>419</v>
      </c>
      <c r="D53" s="412" t="s">
        <v>431</v>
      </c>
      <c r="E53" s="3394">
        <v>66</v>
      </c>
      <c r="F53" s="1932" t="s">
        <v>299</v>
      </c>
      <c r="G53" s="3393" t="s">
        <v>436</v>
      </c>
      <c r="H53" s="1479" t="s">
        <v>437</v>
      </c>
      <c r="I53" s="1511" t="s">
        <v>424</v>
      </c>
      <c r="J53" s="3395" t="s">
        <v>438</v>
      </c>
      <c r="K53" s="3396">
        <v>63.17</v>
      </c>
    </row>
    <row r="54" spans="1:14" ht="37.5">
      <c r="A54" s="958"/>
      <c r="B54" s="406" t="s">
        <v>439</v>
      </c>
      <c r="C54" s="101" t="s">
        <v>419</v>
      </c>
      <c r="D54" s="322" t="s">
        <v>431</v>
      </c>
      <c r="E54" s="1409">
        <v>66</v>
      </c>
      <c r="F54" s="856" t="s">
        <v>299</v>
      </c>
      <c r="G54" s="3389" t="s">
        <v>436</v>
      </c>
      <c r="H54" s="224" t="s">
        <v>437</v>
      </c>
      <c r="I54" s="778" t="s">
        <v>424</v>
      </c>
      <c r="J54" s="2740" t="s">
        <v>438</v>
      </c>
      <c r="K54" s="2739">
        <v>63.17</v>
      </c>
    </row>
    <row r="55" spans="1:14" ht="37.5">
      <c r="A55" s="81"/>
      <c r="B55" s="406" t="s">
        <v>440</v>
      </c>
      <c r="C55" s="101" t="s">
        <v>419</v>
      </c>
      <c r="D55" s="322" t="s">
        <v>431</v>
      </c>
      <c r="E55" s="249" t="s">
        <v>441</v>
      </c>
      <c r="F55" s="381"/>
      <c r="G55" s="478" t="s">
        <v>442</v>
      </c>
      <c r="H55" s="224"/>
      <c r="I55" s="778"/>
      <c r="J55" s="2740">
        <v>1280</v>
      </c>
      <c r="K55" s="2739" t="s">
        <v>443</v>
      </c>
    </row>
    <row r="56" spans="1:14" ht="38.25" thickBot="1">
      <c r="A56" s="157"/>
      <c r="B56" s="406" t="s">
        <v>444</v>
      </c>
      <c r="C56" s="101" t="s">
        <v>419</v>
      </c>
      <c r="D56" s="1907" t="s">
        <v>420</v>
      </c>
      <c r="E56" s="1409">
        <v>55</v>
      </c>
      <c r="F56" s="856" t="s">
        <v>445</v>
      </c>
      <c r="G56" s="3389" t="s">
        <v>446</v>
      </c>
      <c r="H56" s="925" t="s">
        <v>447</v>
      </c>
      <c r="I56" s="778" t="s">
        <v>424</v>
      </c>
      <c r="J56" s="2740" t="s">
        <v>448</v>
      </c>
      <c r="K56" s="2739">
        <v>52.17</v>
      </c>
    </row>
    <row r="57" spans="1:14" ht="39" thickTop="1" thickBot="1">
      <c r="A57" s="1952"/>
      <c r="B57" s="2620" t="s">
        <v>449</v>
      </c>
      <c r="C57" s="1906" t="s">
        <v>419</v>
      </c>
      <c r="D57" s="1907" t="s">
        <v>420</v>
      </c>
      <c r="E57" s="3402">
        <v>55</v>
      </c>
      <c r="F57" s="1935" t="s">
        <v>445</v>
      </c>
      <c r="G57" s="3392" t="s">
        <v>446</v>
      </c>
      <c r="H57" s="1953" t="s">
        <v>447</v>
      </c>
      <c r="I57" s="3403" t="s">
        <v>424</v>
      </c>
      <c r="J57" s="3404" t="s">
        <v>448</v>
      </c>
      <c r="K57" s="3400">
        <v>52.17</v>
      </c>
    </row>
    <row r="58" spans="1:14" ht="38.25" thickTop="1">
      <c r="A58" s="2750"/>
      <c r="B58" s="2752" t="s">
        <v>450</v>
      </c>
      <c r="C58" s="2753" t="s">
        <v>451</v>
      </c>
      <c r="D58" s="2754" t="s">
        <v>420</v>
      </c>
      <c r="E58" s="2766" t="s">
        <v>452</v>
      </c>
      <c r="F58" s="2770" t="s">
        <v>453</v>
      </c>
      <c r="G58" s="3401" t="s">
        <v>454</v>
      </c>
      <c r="H58" s="2771" t="s">
        <v>455</v>
      </c>
      <c r="I58" s="2772" t="s">
        <v>456</v>
      </c>
      <c r="J58" s="2773">
        <v>1665</v>
      </c>
      <c r="K58" s="2773">
        <v>138.75</v>
      </c>
    </row>
    <row r="59" spans="1:14" ht="37.5">
      <c r="A59" s="2751"/>
      <c r="B59" s="2755" t="s">
        <v>457</v>
      </c>
      <c r="C59" s="2756" t="s">
        <v>451</v>
      </c>
      <c r="D59" s="2754" t="s">
        <v>420</v>
      </c>
      <c r="E59" s="2766" t="s">
        <v>452</v>
      </c>
      <c r="F59" s="2770" t="s">
        <v>453</v>
      </c>
      <c r="G59" s="3401" t="s">
        <v>454</v>
      </c>
      <c r="H59" s="2771" t="s">
        <v>455</v>
      </c>
      <c r="I59" s="2772" t="s">
        <v>456</v>
      </c>
      <c r="J59" s="2773">
        <v>1665</v>
      </c>
      <c r="K59" s="2773">
        <v>138.75</v>
      </c>
      <c r="L59" s="75"/>
    </row>
    <row r="60" spans="1:14" ht="37.5">
      <c r="A60" s="2774"/>
      <c r="B60" s="2759" t="s">
        <v>458</v>
      </c>
      <c r="C60" s="2756" t="s">
        <v>451</v>
      </c>
      <c r="D60" s="2760" t="s">
        <v>420</v>
      </c>
      <c r="E60" s="2766" t="s">
        <v>452</v>
      </c>
      <c r="F60" s="2770" t="s">
        <v>453</v>
      </c>
      <c r="G60" s="3401" t="s">
        <v>454</v>
      </c>
      <c r="H60" s="2771" t="s">
        <v>455</v>
      </c>
      <c r="I60" s="2772" t="s">
        <v>456</v>
      </c>
      <c r="J60" s="2773">
        <v>1665</v>
      </c>
      <c r="K60" s="2773">
        <v>138.75</v>
      </c>
      <c r="L60" s="366"/>
    </row>
    <row r="61" spans="1:14" ht="37.5">
      <c r="A61" s="316"/>
      <c r="B61" s="2752" t="s">
        <v>459</v>
      </c>
      <c r="C61" s="2753" t="s">
        <v>451</v>
      </c>
      <c r="D61" s="2754" t="s">
        <v>420</v>
      </c>
      <c r="E61" s="2766" t="s">
        <v>452</v>
      </c>
      <c r="F61" s="2770" t="s">
        <v>453</v>
      </c>
      <c r="G61" s="3401" t="s">
        <v>454</v>
      </c>
      <c r="H61" s="2771" t="s">
        <v>455</v>
      </c>
      <c r="I61" s="2772" t="s">
        <v>456</v>
      </c>
      <c r="J61" s="2773">
        <v>1665</v>
      </c>
      <c r="K61" s="2773">
        <v>138.75</v>
      </c>
      <c r="L61" s="771"/>
    </row>
    <row r="62" spans="1:14" ht="37.5">
      <c r="A62" s="58"/>
      <c r="B62" s="2752" t="s">
        <v>460</v>
      </c>
      <c r="C62" s="2753" t="s">
        <v>451</v>
      </c>
      <c r="D62" s="2754" t="s">
        <v>420</v>
      </c>
      <c r="E62" s="2766" t="s">
        <v>452</v>
      </c>
      <c r="F62" s="2770" t="s">
        <v>453</v>
      </c>
      <c r="G62" s="3401" t="s">
        <v>454</v>
      </c>
      <c r="H62" s="2771" t="s">
        <v>455</v>
      </c>
      <c r="I62" s="2772" t="s">
        <v>456</v>
      </c>
      <c r="J62" s="2773">
        <v>1665</v>
      </c>
      <c r="K62" s="2773">
        <v>138.75</v>
      </c>
      <c r="L62" s="75"/>
    </row>
    <row r="63" spans="1:14" ht="37.5">
      <c r="A63" s="58"/>
      <c r="B63" s="2752" t="s">
        <v>461</v>
      </c>
      <c r="C63" s="2753" t="s">
        <v>451</v>
      </c>
      <c r="D63" s="2754" t="s">
        <v>462</v>
      </c>
      <c r="E63" s="2767" t="s">
        <v>463</v>
      </c>
      <c r="F63" s="856" t="s">
        <v>464</v>
      </c>
      <c r="G63" s="3391" t="s">
        <v>422</v>
      </c>
      <c r="H63" s="2768" t="s">
        <v>465</v>
      </c>
      <c r="I63" s="2769" t="s">
        <v>456</v>
      </c>
      <c r="J63" s="2764">
        <v>3426</v>
      </c>
      <c r="K63" s="2764">
        <v>285.5</v>
      </c>
      <c r="N63" s="76" t="s">
        <v>466</v>
      </c>
    </row>
    <row r="64" spans="1:14" ht="37.5">
      <c r="A64" s="1945"/>
      <c r="B64" s="2759" t="s">
        <v>467</v>
      </c>
      <c r="C64" s="2756" t="s">
        <v>451</v>
      </c>
      <c r="D64" s="2760" t="s">
        <v>420</v>
      </c>
      <c r="E64" s="2767" t="s">
        <v>463</v>
      </c>
      <c r="F64" s="856" t="s">
        <v>464</v>
      </c>
      <c r="G64" s="3391" t="s">
        <v>422</v>
      </c>
      <c r="H64" s="2768" t="s">
        <v>465</v>
      </c>
      <c r="I64" s="2769" t="s">
        <v>456</v>
      </c>
      <c r="J64" s="2764">
        <v>3426</v>
      </c>
      <c r="K64" s="2764">
        <v>285.5</v>
      </c>
    </row>
    <row r="65" spans="1:12" ht="38.25" thickBot="1">
      <c r="A65" s="1952"/>
      <c r="B65" s="2757" t="s">
        <v>444</v>
      </c>
      <c r="C65" s="2758" t="s">
        <v>451</v>
      </c>
      <c r="D65" s="2761" t="s">
        <v>420</v>
      </c>
      <c r="E65" s="2775" t="s">
        <v>468</v>
      </c>
      <c r="F65" s="1935" t="s">
        <v>469</v>
      </c>
      <c r="G65" s="3392" t="s">
        <v>470</v>
      </c>
      <c r="H65" s="2776" t="s">
        <v>471</v>
      </c>
      <c r="I65" s="2777" t="s">
        <v>456</v>
      </c>
      <c r="J65" s="2778">
        <v>2583</v>
      </c>
      <c r="K65" s="2779">
        <v>215.25</v>
      </c>
    </row>
    <row r="66" spans="1:12" ht="38.25" thickTop="1">
      <c r="A66" s="1945"/>
      <c r="B66" s="1918" t="s">
        <v>472</v>
      </c>
      <c r="C66" s="117" t="s">
        <v>256</v>
      </c>
      <c r="D66" s="1144" t="s">
        <v>473</v>
      </c>
      <c r="E66" s="1931">
        <v>48</v>
      </c>
      <c r="F66" s="1932" t="s">
        <v>474</v>
      </c>
      <c r="G66" s="3393" t="s">
        <v>436</v>
      </c>
      <c r="H66" s="82">
        <v>517</v>
      </c>
      <c r="I66" s="432" t="s">
        <v>475</v>
      </c>
      <c r="J66" s="2746">
        <v>527</v>
      </c>
      <c r="K66" s="2741">
        <v>43.92</v>
      </c>
    </row>
    <row r="67" spans="1:12" ht="37.5">
      <c r="A67" s="157"/>
      <c r="B67" s="74" t="s">
        <v>476</v>
      </c>
      <c r="C67" s="320" t="s">
        <v>103</v>
      </c>
      <c r="D67" s="101" t="s">
        <v>193</v>
      </c>
      <c r="E67" s="2324">
        <v>110</v>
      </c>
      <c r="F67" s="856" t="s">
        <v>477</v>
      </c>
      <c r="G67" s="887" t="s">
        <v>478</v>
      </c>
      <c r="H67" s="74" t="s">
        <v>479</v>
      </c>
      <c r="I67" s="431" t="s">
        <v>368</v>
      </c>
      <c r="J67" s="2747">
        <v>1890</v>
      </c>
      <c r="K67" s="2742">
        <v>94.5</v>
      </c>
    </row>
    <row r="68" spans="1:12" ht="37.5">
      <c r="A68" s="156"/>
      <c r="B68" s="74" t="s">
        <v>480</v>
      </c>
      <c r="C68" s="207" t="s">
        <v>123</v>
      </c>
      <c r="D68" s="101" t="s">
        <v>481</v>
      </c>
      <c r="E68" s="2614">
        <v>175</v>
      </c>
      <c r="F68" s="2615"/>
      <c r="G68" s="2616" t="s">
        <v>422</v>
      </c>
      <c r="H68" s="74">
        <v>157</v>
      </c>
      <c r="I68" s="431" t="s">
        <v>482</v>
      </c>
      <c r="J68" s="2748">
        <v>6657</v>
      </c>
      <c r="K68" s="2743">
        <v>158.5</v>
      </c>
    </row>
    <row r="69" spans="1:12" ht="37.5">
      <c r="A69" s="156"/>
      <c r="B69" s="74" t="s">
        <v>483</v>
      </c>
      <c r="C69" s="101" t="s">
        <v>256</v>
      </c>
      <c r="D69" s="101" t="s">
        <v>484</v>
      </c>
      <c r="E69" s="3405">
        <v>98</v>
      </c>
      <c r="F69" s="3405" t="s">
        <v>485</v>
      </c>
      <c r="G69" s="2618" t="s">
        <v>486</v>
      </c>
      <c r="H69" s="74">
        <v>1104</v>
      </c>
      <c r="I69" s="560" t="s">
        <v>204</v>
      </c>
      <c r="J69" s="2749">
        <v>1119</v>
      </c>
      <c r="K69" s="2744">
        <v>93.25</v>
      </c>
    </row>
    <row r="70" spans="1:12" ht="37.5">
      <c r="A70" s="157"/>
      <c r="B70" s="662" t="s">
        <v>487</v>
      </c>
      <c r="C70" s="207" t="s">
        <v>488</v>
      </c>
      <c r="D70" s="101" t="s">
        <v>484</v>
      </c>
      <c r="E70" s="1950">
        <v>230</v>
      </c>
      <c r="F70" s="856"/>
      <c r="G70" s="312" t="s">
        <v>489</v>
      </c>
      <c r="H70" s="224">
        <v>2503.25</v>
      </c>
      <c r="I70" s="560" t="s">
        <v>204</v>
      </c>
      <c r="J70" s="3342" t="s">
        <v>490</v>
      </c>
      <c r="K70" s="2739">
        <v>209.85</v>
      </c>
    </row>
    <row r="71" spans="1:12" s="114" customFormat="1" ht="37.5">
      <c r="A71" s="58"/>
      <c r="B71" s="74"/>
      <c r="C71" s="320"/>
      <c r="D71" s="101"/>
      <c r="E71" s="2324"/>
      <c r="F71" s="856"/>
      <c r="G71" s="887"/>
      <c r="H71" s="74"/>
      <c r="I71" s="431"/>
      <c r="J71" s="2747"/>
      <c r="K71" s="2742"/>
    </row>
    <row r="72" spans="1:12" ht="29.25" customHeight="1">
      <c r="A72" s="58"/>
      <c r="B72" s="74"/>
      <c r="C72" s="207"/>
      <c r="D72" s="101"/>
      <c r="E72" s="2614"/>
      <c r="F72" s="2615"/>
      <c r="G72" s="2616"/>
      <c r="H72" s="74"/>
      <c r="I72" s="431"/>
      <c r="J72" s="2748"/>
      <c r="K72" s="2743"/>
    </row>
    <row r="73" spans="1:12" ht="29.25" customHeight="1">
      <c r="A73" s="58"/>
      <c r="B73" s="58"/>
      <c r="C73" s="101"/>
      <c r="D73" s="101"/>
      <c r="E73" s="1211"/>
      <c r="F73" s="1211"/>
      <c r="G73" s="2618"/>
      <c r="H73" s="74"/>
      <c r="I73" s="560"/>
      <c r="J73" s="2749"/>
      <c r="K73" s="2744"/>
    </row>
    <row r="74" spans="1:12">
      <c r="A74" s="45" t="s">
        <v>0</v>
      </c>
      <c r="B74" s="45"/>
      <c r="C74" s="68"/>
      <c r="D74" s="612"/>
      <c r="F74" s="104"/>
      <c r="H74" s="45"/>
      <c r="I74" s="556"/>
      <c r="L74" s="45"/>
    </row>
    <row r="75" spans="1:12" s="45" customFormat="1">
      <c r="A75" s="3480" t="s">
        <v>1</v>
      </c>
      <c r="B75" s="3480"/>
      <c r="C75" s="46"/>
      <c r="D75" s="124"/>
      <c r="E75" s="335"/>
      <c r="F75" s="104"/>
      <c r="G75" s="210"/>
      <c r="I75" s="556"/>
      <c r="J75" s="540"/>
      <c r="K75" s="366"/>
    </row>
    <row r="76" spans="1:12" ht="27" customHeight="1" thickBot="1">
      <c r="F76" s="104"/>
    </row>
    <row r="77" spans="1:12">
      <c r="A77" s="3493" t="s">
        <v>2</v>
      </c>
      <c r="B77" s="3482"/>
      <c r="C77" s="48" t="s">
        <v>3</v>
      </c>
      <c r="D77" s="436" t="s">
        <v>4</v>
      </c>
      <c r="E77" s="868" t="s">
        <v>5</v>
      </c>
      <c r="F77" s="849" t="s">
        <v>5</v>
      </c>
      <c r="G77" s="219" t="s">
        <v>6</v>
      </c>
      <c r="H77" s="48" t="s">
        <v>7</v>
      </c>
      <c r="I77" s="557" t="s">
        <v>8</v>
      </c>
      <c r="J77" s="541" t="s">
        <v>9</v>
      </c>
      <c r="K77" s="2723" t="s">
        <v>9</v>
      </c>
      <c r="L77" s="46"/>
    </row>
    <row r="78" spans="1:12" ht="35.25" thickBot="1">
      <c r="A78" s="155"/>
      <c r="B78" s="72"/>
      <c r="C78" s="50"/>
      <c r="D78" s="437" t="s">
        <v>10</v>
      </c>
      <c r="E78" s="869" t="s">
        <v>12</v>
      </c>
      <c r="F78" s="850" t="s">
        <v>11</v>
      </c>
      <c r="G78" s="301"/>
      <c r="H78" s="50" t="s">
        <v>13</v>
      </c>
      <c r="I78" s="558"/>
      <c r="J78" s="542" t="s">
        <v>14</v>
      </c>
      <c r="K78" s="2724" t="s">
        <v>15</v>
      </c>
      <c r="L78" s="46"/>
    </row>
    <row r="79" spans="1:12" ht="37.5">
      <c r="A79" s="2719"/>
      <c r="B79" s="662" t="s">
        <v>491</v>
      </c>
      <c r="C79" s="207" t="s">
        <v>123</v>
      </c>
      <c r="D79" s="959" t="s">
        <v>193</v>
      </c>
      <c r="E79" s="1950">
        <v>42</v>
      </c>
      <c r="F79" s="856" t="s">
        <v>492</v>
      </c>
      <c r="G79" s="3390" t="s">
        <v>486</v>
      </c>
      <c r="H79" s="224">
        <v>725</v>
      </c>
      <c r="I79" s="224" t="s">
        <v>493</v>
      </c>
      <c r="J79" s="2745">
        <v>765</v>
      </c>
      <c r="K79" s="2739">
        <v>38.25</v>
      </c>
    </row>
    <row r="80" spans="1:12" ht="37.5">
      <c r="A80" s="224"/>
      <c r="B80" s="662" t="s">
        <v>494</v>
      </c>
      <c r="C80" s="207" t="s">
        <v>192</v>
      </c>
      <c r="D80" s="959" t="s">
        <v>495</v>
      </c>
      <c r="E80" s="1950">
        <v>50</v>
      </c>
      <c r="F80" s="856" t="s">
        <v>485</v>
      </c>
      <c r="G80" s="312" t="s">
        <v>496</v>
      </c>
      <c r="H80" s="224">
        <v>1050</v>
      </c>
      <c r="I80" s="224" t="s">
        <v>381</v>
      </c>
      <c r="J80" s="2745">
        <v>1085</v>
      </c>
      <c r="K80" s="2739">
        <v>45.21</v>
      </c>
    </row>
    <row r="81" spans="1:15" ht="37.5">
      <c r="A81" s="224"/>
      <c r="B81" s="662" t="s">
        <v>497</v>
      </c>
      <c r="C81" s="207" t="s">
        <v>123</v>
      </c>
      <c r="D81" s="959" t="s">
        <v>193</v>
      </c>
      <c r="E81" s="1950">
        <v>40</v>
      </c>
      <c r="F81" s="856" t="s">
        <v>359</v>
      </c>
      <c r="G81" s="2405" t="s">
        <v>498</v>
      </c>
      <c r="H81" s="224">
        <v>685</v>
      </c>
      <c r="I81" s="224" t="s">
        <v>368</v>
      </c>
      <c r="J81" s="2745">
        <v>715</v>
      </c>
      <c r="K81" s="2739">
        <v>35.75</v>
      </c>
    </row>
    <row r="82" spans="1:15" ht="37.5">
      <c r="A82" s="224"/>
      <c r="B82" s="662" t="s">
        <v>499</v>
      </c>
      <c r="C82" s="207" t="s">
        <v>192</v>
      </c>
      <c r="D82" s="959" t="s">
        <v>193</v>
      </c>
      <c r="E82" s="1950">
        <v>35</v>
      </c>
      <c r="F82" s="856" t="s">
        <v>374</v>
      </c>
      <c r="G82" s="312" t="s">
        <v>500</v>
      </c>
      <c r="H82" s="224">
        <v>600</v>
      </c>
      <c r="I82" s="224" t="s">
        <v>368</v>
      </c>
      <c r="J82" s="2745">
        <v>630</v>
      </c>
      <c r="K82" s="2739">
        <v>31.5</v>
      </c>
    </row>
    <row r="83" spans="1:15">
      <c r="A83" s="224"/>
      <c r="B83" s="74"/>
      <c r="C83" s="207"/>
      <c r="D83" s="3457"/>
      <c r="E83" s="100"/>
      <c r="F83" s="381"/>
      <c r="G83" s="2726"/>
      <c r="H83" s="2729"/>
      <c r="I83" s="431"/>
      <c r="J83" s="547"/>
      <c r="K83" s="2617"/>
    </row>
    <row r="84" spans="1:15">
      <c r="A84" s="253"/>
      <c r="B84" s="74"/>
      <c r="C84" s="207"/>
      <c r="D84" s="3457"/>
      <c r="E84" s="100"/>
      <c r="F84" s="381"/>
      <c r="G84" s="2726"/>
      <c r="H84" s="2729"/>
      <c r="I84" s="431"/>
      <c r="J84" s="547"/>
      <c r="K84" s="2617"/>
    </row>
    <row r="85" spans="1:15">
      <c r="A85" s="253"/>
      <c r="B85" s="74"/>
      <c r="C85" s="207"/>
      <c r="D85" s="3457"/>
      <c r="E85" s="100"/>
      <c r="F85" s="381"/>
      <c r="G85" s="2726"/>
      <c r="H85" s="2729"/>
      <c r="I85" s="431"/>
      <c r="J85" s="547"/>
      <c r="K85" s="2617"/>
      <c r="O85" s="743"/>
    </row>
    <row r="86" spans="1:15">
      <c r="A86" s="2719"/>
      <c r="B86" s="2720" t="s">
        <v>417</v>
      </c>
      <c r="C86" s="103"/>
      <c r="D86" s="412"/>
      <c r="E86" s="870"/>
      <c r="F86" s="853"/>
      <c r="G86" s="1072"/>
      <c r="H86" s="82"/>
      <c r="I86" s="2721"/>
      <c r="J86" s="1996"/>
      <c r="K86" s="2722"/>
    </row>
    <row r="87" spans="1:15">
      <c r="A87" s="224"/>
      <c r="B87" s="74" t="s">
        <v>501</v>
      </c>
      <c r="C87" s="207"/>
      <c r="D87" s="3457" t="s">
        <v>23</v>
      </c>
      <c r="E87" s="100">
        <v>76</v>
      </c>
      <c r="F87" s="381">
        <v>890</v>
      </c>
      <c r="G87" s="3389" t="s">
        <v>502</v>
      </c>
      <c r="H87" s="74">
        <v>838</v>
      </c>
      <c r="I87" s="431" t="s">
        <v>503</v>
      </c>
      <c r="J87" s="547">
        <v>863</v>
      </c>
      <c r="K87" s="2617" t="s">
        <v>504</v>
      </c>
    </row>
    <row r="88" spans="1:15">
      <c r="A88" s="224"/>
      <c r="B88" s="74" t="s">
        <v>505</v>
      </c>
      <c r="C88" s="207"/>
      <c r="D88" s="3457" t="s">
        <v>23</v>
      </c>
      <c r="E88" s="100">
        <v>76</v>
      </c>
      <c r="F88" s="381">
        <v>890</v>
      </c>
      <c r="G88" s="3389" t="s">
        <v>502</v>
      </c>
      <c r="H88" s="74">
        <v>838</v>
      </c>
      <c r="I88" s="431" t="s">
        <v>503</v>
      </c>
      <c r="J88" s="547">
        <v>863</v>
      </c>
      <c r="K88" s="2617" t="s">
        <v>504</v>
      </c>
    </row>
    <row r="89" spans="1:15">
      <c r="A89" s="224"/>
      <c r="B89" s="74" t="s">
        <v>506</v>
      </c>
      <c r="C89" s="207"/>
      <c r="D89" s="3457" t="s">
        <v>23</v>
      </c>
      <c r="E89" s="100">
        <v>76</v>
      </c>
      <c r="F89" s="381">
        <v>890</v>
      </c>
      <c r="G89" s="3389" t="s">
        <v>502</v>
      </c>
      <c r="H89" s="74">
        <v>838</v>
      </c>
      <c r="I89" s="431" t="s">
        <v>503</v>
      </c>
      <c r="J89" s="547">
        <v>863</v>
      </c>
      <c r="K89" s="2617" t="s">
        <v>504</v>
      </c>
    </row>
    <row r="90" spans="1:15">
      <c r="A90" s="224"/>
      <c r="B90" s="74" t="s">
        <v>507</v>
      </c>
      <c r="C90" s="207"/>
      <c r="D90" s="3457" t="s">
        <v>23</v>
      </c>
      <c r="E90" s="100">
        <v>76</v>
      </c>
      <c r="F90" s="381">
        <v>890</v>
      </c>
      <c r="G90" s="3389" t="s">
        <v>502</v>
      </c>
      <c r="H90" s="74">
        <v>838</v>
      </c>
      <c r="I90" s="431" t="s">
        <v>503</v>
      </c>
      <c r="J90" s="547">
        <v>863</v>
      </c>
      <c r="K90" s="2617" t="s">
        <v>504</v>
      </c>
    </row>
    <row r="91" spans="1:15">
      <c r="A91" s="253"/>
      <c r="B91" s="74" t="s">
        <v>508</v>
      </c>
      <c r="C91" s="207"/>
      <c r="D91" s="3457" t="s">
        <v>23</v>
      </c>
      <c r="E91" s="100">
        <v>76</v>
      </c>
      <c r="F91" s="381">
        <v>890</v>
      </c>
      <c r="G91" s="3389" t="s">
        <v>502</v>
      </c>
      <c r="H91" s="74">
        <v>838</v>
      </c>
      <c r="I91" s="431" t="s">
        <v>503</v>
      </c>
      <c r="J91" s="547">
        <v>863</v>
      </c>
      <c r="K91" s="2617" t="s">
        <v>504</v>
      </c>
    </row>
    <row r="92" spans="1:15">
      <c r="A92" s="253"/>
      <c r="B92" s="74" t="s">
        <v>509</v>
      </c>
      <c r="C92" s="207"/>
      <c r="D92" s="3457" t="s">
        <v>23</v>
      </c>
      <c r="E92" s="100">
        <v>76</v>
      </c>
      <c r="F92" s="381">
        <v>890</v>
      </c>
      <c r="G92" s="3389" t="s">
        <v>502</v>
      </c>
      <c r="H92" s="74">
        <v>838</v>
      </c>
      <c r="I92" s="431" t="s">
        <v>503</v>
      </c>
      <c r="J92" s="547">
        <v>863</v>
      </c>
      <c r="K92" s="2617" t="s">
        <v>504</v>
      </c>
    </row>
    <row r="93" spans="1:15">
      <c r="A93" s="253"/>
      <c r="B93" s="74" t="s">
        <v>510</v>
      </c>
      <c r="C93" s="207"/>
      <c r="D93" s="3457" t="s">
        <v>23</v>
      </c>
      <c r="E93" s="100">
        <v>76</v>
      </c>
      <c r="F93" s="381">
        <v>890</v>
      </c>
      <c r="G93" s="3389" t="s">
        <v>502</v>
      </c>
      <c r="H93" s="74">
        <v>838</v>
      </c>
      <c r="I93" s="431" t="s">
        <v>503</v>
      </c>
      <c r="J93" s="547">
        <v>863</v>
      </c>
      <c r="K93" s="2617" t="s">
        <v>504</v>
      </c>
    </row>
    <row r="94" spans="1:15">
      <c r="A94" s="253"/>
      <c r="B94" s="224" t="s">
        <v>511</v>
      </c>
      <c r="C94" s="320"/>
      <c r="D94" s="3457" t="s">
        <v>23</v>
      </c>
      <c r="E94" s="100">
        <v>76</v>
      </c>
      <c r="F94" s="381">
        <v>890</v>
      </c>
      <c r="G94" s="3389" t="s">
        <v>502</v>
      </c>
      <c r="H94" s="74">
        <v>838</v>
      </c>
      <c r="I94" s="431" t="s">
        <v>503</v>
      </c>
      <c r="J94" s="547">
        <v>863</v>
      </c>
      <c r="K94" s="2617" t="s">
        <v>504</v>
      </c>
    </row>
    <row r="95" spans="1:15">
      <c r="A95" s="253"/>
      <c r="B95" s="224" t="s">
        <v>512</v>
      </c>
      <c r="C95" s="320"/>
      <c r="D95" s="3457" t="s">
        <v>23</v>
      </c>
      <c r="E95" s="100">
        <v>76</v>
      </c>
      <c r="F95" s="381">
        <v>890</v>
      </c>
      <c r="G95" s="3389" t="s">
        <v>502</v>
      </c>
      <c r="H95" s="74">
        <v>838</v>
      </c>
      <c r="I95" s="431" t="s">
        <v>503</v>
      </c>
      <c r="J95" s="547">
        <v>863</v>
      </c>
      <c r="K95" s="2617" t="s">
        <v>504</v>
      </c>
    </row>
    <row r="96" spans="1:15">
      <c r="A96" s="253"/>
      <c r="B96" s="74" t="s">
        <v>513</v>
      </c>
      <c r="C96" s="207"/>
      <c r="D96" s="3457" t="s">
        <v>23</v>
      </c>
      <c r="E96" s="100">
        <v>76</v>
      </c>
      <c r="F96" s="381">
        <v>890</v>
      </c>
      <c r="G96" s="3389" t="s">
        <v>502</v>
      </c>
      <c r="H96" s="74">
        <v>838</v>
      </c>
      <c r="I96" s="431" t="s">
        <v>503</v>
      </c>
      <c r="J96" s="547">
        <v>863</v>
      </c>
      <c r="K96" s="2617" t="s">
        <v>504</v>
      </c>
    </row>
    <row r="97" spans="1:12">
      <c r="A97" s="253"/>
      <c r="B97" s="74" t="s">
        <v>514</v>
      </c>
      <c r="C97" s="207"/>
      <c r="D97" s="3457" t="s">
        <v>23</v>
      </c>
      <c r="E97" s="100">
        <v>76</v>
      </c>
      <c r="F97" s="381">
        <v>890</v>
      </c>
      <c r="G97" s="3389" t="s">
        <v>502</v>
      </c>
      <c r="H97" s="74">
        <v>838</v>
      </c>
      <c r="I97" s="431" t="s">
        <v>503</v>
      </c>
      <c r="J97" s="547">
        <v>863</v>
      </c>
      <c r="K97" s="2617" t="s">
        <v>504</v>
      </c>
    </row>
    <row r="98" spans="1:12">
      <c r="A98" s="224"/>
      <c r="B98" s="74" t="s">
        <v>515</v>
      </c>
      <c r="C98" s="207"/>
      <c r="D98" s="3457" t="s">
        <v>23</v>
      </c>
      <c r="E98" s="100">
        <v>76</v>
      </c>
      <c r="F98" s="381">
        <v>890</v>
      </c>
      <c r="G98" s="3389" t="s">
        <v>502</v>
      </c>
      <c r="H98" s="74">
        <v>838</v>
      </c>
      <c r="I98" s="431" t="s">
        <v>503</v>
      </c>
      <c r="J98" s="547">
        <v>863</v>
      </c>
      <c r="K98" s="2617" t="s">
        <v>504</v>
      </c>
    </row>
    <row r="99" spans="1:12">
      <c r="A99" s="253"/>
      <c r="B99" s="74" t="s">
        <v>516</v>
      </c>
      <c r="C99" s="207"/>
      <c r="D99" s="3457" t="s">
        <v>23</v>
      </c>
      <c r="E99" s="100">
        <v>76</v>
      </c>
      <c r="F99" s="381">
        <v>890</v>
      </c>
      <c r="G99" s="3389" t="s">
        <v>502</v>
      </c>
      <c r="H99" s="74">
        <v>838</v>
      </c>
      <c r="I99" s="431" t="s">
        <v>503</v>
      </c>
      <c r="J99" s="547">
        <v>863</v>
      </c>
      <c r="K99" s="2617" t="s">
        <v>504</v>
      </c>
    </row>
    <row r="100" spans="1:12">
      <c r="A100" s="253"/>
      <c r="B100" s="74" t="s">
        <v>517</v>
      </c>
      <c r="C100" s="207"/>
      <c r="D100" s="3457" t="s">
        <v>23</v>
      </c>
      <c r="E100" s="100">
        <v>76</v>
      </c>
      <c r="F100" s="381">
        <v>890</v>
      </c>
      <c r="G100" s="3389" t="s">
        <v>502</v>
      </c>
      <c r="H100" s="74">
        <v>838</v>
      </c>
      <c r="I100" s="431" t="s">
        <v>503</v>
      </c>
      <c r="J100" s="547">
        <v>863</v>
      </c>
      <c r="K100" s="2617" t="s">
        <v>504</v>
      </c>
    </row>
    <row r="101" spans="1:12">
      <c r="A101" s="253"/>
      <c r="B101" s="74" t="s">
        <v>518</v>
      </c>
      <c r="C101" s="207"/>
      <c r="D101" s="3457" t="s">
        <v>23</v>
      </c>
      <c r="E101" s="100">
        <v>76</v>
      </c>
      <c r="F101" s="381">
        <v>890</v>
      </c>
      <c r="G101" s="3389" t="s">
        <v>502</v>
      </c>
      <c r="H101" s="74">
        <v>838</v>
      </c>
      <c r="I101" s="431" t="s">
        <v>503</v>
      </c>
      <c r="J101" s="547">
        <v>863</v>
      </c>
      <c r="K101" s="2617" t="s">
        <v>504</v>
      </c>
    </row>
    <row r="102" spans="1:12">
      <c r="A102" s="222"/>
      <c r="B102" s="74" t="s">
        <v>519</v>
      </c>
      <c r="C102" s="207"/>
      <c r="D102" s="3457" t="s">
        <v>23</v>
      </c>
      <c r="E102" s="100">
        <v>76</v>
      </c>
      <c r="F102" s="381">
        <v>890</v>
      </c>
      <c r="G102" s="3389" t="s">
        <v>502</v>
      </c>
      <c r="H102" s="74">
        <v>838</v>
      </c>
      <c r="I102" s="431" t="s">
        <v>503</v>
      </c>
      <c r="J102" s="547">
        <v>863</v>
      </c>
      <c r="K102" s="2617" t="s">
        <v>504</v>
      </c>
    </row>
    <row r="103" spans="1:12">
      <c r="A103" s="253"/>
      <c r="B103" s="224" t="s">
        <v>520</v>
      </c>
      <c r="C103" s="320"/>
      <c r="D103" s="3457" t="s">
        <v>23</v>
      </c>
      <c r="E103" s="100">
        <v>76</v>
      </c>
      <c r="F103" s="381">
        <v>890</v>
      </c>
      <c r="G103" s="3389" t="s">
        <v>502</v>
      </c>
      <c r="H103" s="74">
        <v>838</v>
      </c>
      <c r="I103" s="431" t="s">
        <v>503</v>
      </c>
      <c r="J103" s="547">
        <v>863</v>
      </c>
      <c r="K103" s="2617" t="s">
        <v>504</v>
      </c>
    </row>
    <row r="104" spans="1:12">
      <c r="A104" s="253"/>
      <c r="B104" s="74" t="s">
        <v>521</v>
      </c>
      <c r="C104" s="515"/>
      <c r="D104" s="3457" t="s">
        <v>23</v>
      </c>
      <c r="E104" s="100">
        <v>76</v>
      </c>
      <c r="F104" s="381">
        <v>890</v>
      </c>
      <c r="G104" s="3389" t="s">
        <v>502</v>
      </c>
      <c r="H104" s="74">
        <v>838</v>
      </c>
      <c r="I104" s="431" t="s">
        <v>503</v>
      </c>
      <c r="J104" s="547">
        <v>863</v>
      </c>
      <c r="K104" s="2617" t="s">
        <v>504</v>
      </c>
    </row>
    <row r="105" spans="1:12">
      <c r="A105" s="253"/>
      <c r="B105" s="74" t="s">
        <v>522</v>
      </c>
      <c r="C105" s="320"/>
      <c r="D105" s="3457" t="s">
        <v>23</v>
      </c>
      <c r="E105" s="100">
        <v>76</v>
      </c>
      <c r="F105" s="381">
        <v>890</v>
      </c>
      <c r="G105" s="3389" t="s">
        <v>502</v>
      </c>
      <c r="H105" s="74">
        <v>838</v>
      </c>
      <c r="I105" s="431" t="s">
        <v>503</v>
      </c>
      <c r="J105" s="547">
        <v>863</v>
      </c>
      <c r="K105" s="2617" t="s">
        <v>504</v>
      </c>
    </row>
    <row r="106" spans="1:12">
      <c r="A106" s="253"/>
      <c r="B106" s="74" t="s">
        <v>523</v>
      </c>
      <c r="C106" s="207"/>
      <c r="D106" s="3457" t="s">
        <v>23</v>
      </c>
      <c r="E106" s="100">
        <v>69</v>
      </c>
      <c r="F106" s="381">
        <v>805</v>
      </c>
      <c r="G106" s="3389" t="s">
        <v>524</v>
      </c>
      <c r="H106" s="74">
        <v>769</v>
      </c>
      <c r="I106" s="431" t="s">
        <v>503</v>
      </c>
      <c r="J106" s="547">
        <v>789</v>
      </c>
      <c r="K106" s="2617" t="s">
        <v>525</v>
      </c>
    </row>
    <row r="107" spans="1:12">
      <c r="A107" s="253"/>
      <c r="B107" s="74" t="s">
        <v>526</v>
      </c>
      <c r="C107" s="515"/>
      <c r="D107" s="3457" t="s">
        <v>23</v>
      </c>
      <c r="E107" s="100">
        <v>86</v>
      </c>
      <c r="F107" s="381">
        <v>1020</v>
      </c>
      <c r="G107" s="3389" t="s">
        <v>502</v>
      </c>
      <c r="H107" s="74">
        <v>987.6</v>
      </c>
      <c r="I107" s="431" t="s">
        <v>503</v>
      </c>
      <c r="J107" s="547">
        <v>987.6</v>
      </c>
      <c r="K107" s="3406" t="s">
        <v>527</v>
      </c>
    </row>
    <row r="108" spans="1:12">
      <c r="A108" s="224"/>
      <c r="B108" s="74" t="s">
        <v>528</v>
      </c>
      <c r="C108" s="515"/>
      <c r="D108" s="3457" t="s">
        <v>23</v>
      </c>
      <c r="E108" s="100">
        <v>78</v>
      </c>
      <c r="F108" s="381">
        <v>915</v>
      </c>
      <c r="G108" s="3389" t="s">
        <v>529</v>
      </c>
      <c r="H108" s="74">
        <v>867.6</v>
      </c>
      <c r="I108" s="431" t="s">
        <v>503</v>
      </c>
      <c r="J108" s="547">
        <v>888</v>
      </c>
      <c r="K108" s="2617" t="s">
        <v>530</v>
      </c>
    </row>
    <row r="109" spans="1:12">
      <c r="A109" s="74"/>
      <c r="B109" s="74" t="s">
        <v>531</v>
      </c>
      <c r="C109" s="515"/>
      <c r="D109" s="3457" t="s">
        <v>23</v>
      </c>
      <c r="E109" s="100">
        <v>78</v>
      </c>
      <c r="F109" s="381">
        <v>915</v>
      </c>
      <c r="G109" s="3389" t="s">
        <v>529</v>
      </c>
      <c r="H109" s="74">
        <v>867</v>
      </c>
      <c r="I109" s="431" t="s">
        <v>503</v>
      </c>
      <c r="J109" s="547">
        <v>887</v>
      </c>
      <c r="K109" s="2617" t="s">
        <v>530</v>
      </c>
    </row>
    <row r="110" spans="1:12">
      <c r="A110" s="45" t="s">
        <v>0</v>
      </c>
      <c r="B110" s="45"/>
      <c r="C110" s="68"/>
      <c r="D110" s="612"/>
      <c r="F110" s="104"/>
      <c r="H110" s="45"/>
      <c r="I110" s="556"/>
      <c r="L110" s="45"/>
    </row>
    <row r="111" spans="1:12" s="45" customFormat="1">
      <c r="A111" s="3480" t="s">
        <v>1</v>
      </c>
      <c r="B111" s="3480"/>
      <c r="C111" s="46"/>
      <c r="D111" s="124"/>
      <c r="E111" s="335"/>
      <c r="F111" s="104"/>
      <c r="G111" s="210"/>
      <c r="I111" s="556"/>
      <c r="J111" s="540"/>
      <c r="K111" s="366"/>
    </row>
    <row r="112" spans="1:12" ht="24" customHeight="1" thickBot="1">
      <c r="F112" s="104"/>
    </row>
    <row r="113" spans="1:12">
      <c r="A113" s="3481" t="s">
        <v>2</v>
      </c>
      <c r="B113" s="3482"/>
      <c r="C113" s="48" t="s">
        <v>3</v>
      </c>
      <c r="D113" s="436" t="s">
        <v>4</v>
      </c>
      <c r="E113" s="868" t="s">
        <v>5</v>
      </c>
      <c r="F113" s="849" t="s">
        <v>5</v>
      </c>
      <c r="G113" s="211" t="s">
        <v>6</v>
      </c>
      <c r="H113" s="48" t="s">
        <v>7</v>
      </c>
      <c r="I113" s="557" t="s">
        <v>8</v>
      </c>
      <c r="J113" s="541" t="s">
        <v>9</v>
      </c>
      <c r="K113" s="346" t="s">
        <v>9</v>
      </c>
      <c r="L113" s="46"/>
    </row>
    <row r="114" spans="1:12" ht="35.25" thickBot="1">
      <c r="A114" s="51"/>
      <c r="B114" s="72"/>
      <c r="C114" s="50"/>
      <c r="D114" s="437" t="s">
        <v>10</v>
      </c>
      <c r="E114" s="869" t="s">
        <v>12</v>
      </c>
      <c r="F114" s="850" t="s">
        <v>11</v>
      </c>
      <c r="G114" s="212"/>
      <c r="H114" s="50" t="s">
        <v>13</v>
      </c>
      <c r="I114" s="558"/>
      <c r="J114" s="542" t="s">
        <v>14</v>
      </c>
      <c r="K114" s="347" t="s">
        <v>15</v>
      </c>
      <c r="L114" s="46"/>
    </row>
    <row r="115" spans="1:12" ht="40.5">
      <c r="A115" s="2705"/>
      <c r="B115" s="2725" t="s">
        <v>532</v>
      </c>
      <c r="C115" s="787"/>
      <c r="D115" s="322"/>
      <c r="E115" s="838"/>
      <c r="F115" s="767"/>
      <c r="G115" s="477" t="s">
        <v>533</v>
      </c>
      <c r="H115" s="207"/>
      <c r="I115" s="785"/>
      <c r="J115" s="546"/>
      <c r="K115" s="792"/>
    </row>
    <row r="116" spans="1:12">
      <c r="A116" s="662"/>
      <c r="B116" s="74" t="s">
        <v>501</v>
      </c>
      <c r="C116" s="207"/>
      <c r="D116" s="3457" t="s">
        <v>23</v>
      </c>
      <c r="E116" s="100">
        <v>72</v>
      </c>
      <c r="F116" s="381">
        <v>840</v>
      </c>
      <c r="G116" s="887" t="s">
        <v>534</v>
      </c>
      <c r="H116" s="74">
        <v>805</v>
      </c>
      <c r="I116" s="431" t="s">
        <v>535</v>
      </c>
      <c r="J116" s="547">
        <v>820</v>
      </c>
      <c r="K116" s="2617">
        <v>68.33</v>
      </c>
    </row>
    <row r="117" spans="1:12">
      <c r="A117" s="406"/>
      <c r="B117" s="74" t="s">
        <v>521</v>
      </c>
      <c r="C117" s="515"/>
      <c r="D117" s="3457" t="s">
        <v>23</v>
      </c>
      <c r="E117" s="100">
        <v>72</v>
      </c>
      <c r="F117" s="381">
        <v>840</v>
      </c>
      <c r="G117" s="887" t="s">
        <v>534</v>
      </c>
      <c r="H117" s="74">
        <v>805</v>
      </c>
      <c r="I117" s="431" t="s">
        <v>535</v>
      </c>
      <c r="J117" s="547">
        <v>820</v>
      </c>
      <c r="K117" s="2617">
        <v>68.33</v>
      </c>
    </row>
    <row r="118" spans="1:12">
      <c r="A118" s="406"/>
      <c r="B118" s="74" t="s">
        <v>523</v>
      </c>
      <c r="C118" s="207"/>
      <c r="D118" s="3457" t="s">
        <v>23</v>
      </c>
      <c r="E118" s="100">
        <v>65</v>
      </c>
      <c r="F118" s="381">
        <v>775</v>
      </c>
      <c r="G118" s="478" t="s">
        <v>534</v>
      </c>
      <c r="H118" s="74">
        <v>734</v>
      </c>
      <c r="I118" s="431" t="s">
        <v>535</v>
      </c>
      <c r="J118" s="547">
        <v>749</v>
      </c>
      <c r="K118" s="2617">
        <v>62.42</v>
      </c>
    </row>
    <row r="119" spans="1:12">
      <c r="A119" s="43"/>
      <c r="B119" s="74" t="s">
        <v>526</v>
      </c>
      <c r="C119" s="207"/>
      <c r="D119" s="3457" t="s">
        <v>23</v>
      </c>
      <c r="E119" s="100">
        <v>83</v>
      </c>
      <c r="F119" s="381">
        <v>965</v>
      </c>
      <c r="G119" s="887" t="s">
        <v>534</v>
      </c>
      <c r="H119" s="74">
        <v>931</v>
      </c>
      <c r="I119" s="431" t="s">
        <v>535</v>
      </c>
      <c r="J119" s="547">
        <v>946</v>
      </c>
      <c r="K119" s="2617">
        <v>78.83</v>
      </c>
    </row>
    <row r="120" spans="1:12">
      <c r="A120" s="406"/>
      <c r="B120" s="74" t="s">
        <v>528</v>
      </c>
      <c r="C120" s="515"/>
      <c r="D120" s="3457" t="s">
        <v>23</v>
      </c>
      <c r="E120" s="100">
        <v>75</v>
      </c>
      <c r="F120" s="381">
        <v>865</v>
      </c>
      <c r="G120" s="887" t="s">
        <v>534</v>
      </c>
      <c r="H120" s="74">
        <v>832</v>
      </c>
      <c r="I120" s="431" t="s">
        <v>535</v>
      </c>
      <c r="J120" s="547">
        <v>847</v>
      </c>
      <c r="K120" s="2617">
        <v>70.58</v>
      </c>
    </row>
    <row r="121" spans="1:12">
      <c r="A121" s="406"/>
      <c r="B121" s="74" t="s">
        <v>531</v>
      </c>
      <c r="C121" s="515"/>
      <c r="D121" s="3457" t="s">
        <v>23</v>
      </c>
      <c r="E121" s="100">
        <v>75</v>
      </c>
      <c r="F121" s="381">
        <v>865</v>
      </c>
      <c r="G121" s="2726" t="s">
        <v>534</v>
      </c>
      <c r="H121" s="74">
        <v>832</v>
      </c>
      <c r="I121" s="431" t="s">
        <v>535</v>
      </c>
      <c r="J121" s="547">
        <v>847</v>
      </c>
      <c r="K121" s="2617">
        <v>70.58</v>
      </c>
    </row>
    <row r="122" spans="1:12" ht="38.25">
      <c r="A122" s="2462"/>
      <c r="B122" s="2716"/>
      <c r="C122" s="207"/>
      <c r="D122" s="3457"/>
      <c r="E122" s="2717"/>
      <c r="F122" s="2718"/>
      <c r="G122" s="478"/>
      <c r="H122" s="101"/>
      <c r="I122" s="600"/>
      <c r="J122" s="586"/>
      <c r="K122" s="526"/>
    </row>
    <row r="123" spans="1:12">
      <c r="A123" s="1447"/>
      <c r="B123" s="1447" t="s">
        <v>536</v>
      </c>
      <c r="C123" s="320"/>
      <c r="D123" s="413"/>
      <c r="E123" s="843"/>
      <c r="F123" s="853"/>
      <c r="G123" s="477"/>
      <c r="H123" s="74"/>
      <c r="I123" s="560"/>
      <c r="J123" s="547"/>
      <c r="K123" s="550"/>
    </row>
    <row r="124" spans="1:12">
      <c r="A124" s="662"/>
      <c r="B124" s="662" t="s">
        <v>537</v>
      </c>
      <c r="C124" s="3457" t="s">
        <v>192</v>
      </c>
      <c r="D124" s="1007" t="s">
        <v>414</v>
      </c>
      <c r="E124" s="84">
        <v>37</v>
      </c>
      <c r="F124" s="856" t="s">
        <v>538</v>
      </c>
      <c r="G124" s="1143">
        <v>24000</v>
      </c>
      <c r="H124" s="431" t="s">
        <v>539</v>
      </c>
      <c r="I124" s="2367" t="s">
        <v>540</v>
      </c>
      <c r="J124" s="2016">
        <v>571</v>
      </c>
      <c r="K124" s="2368">
        <v>31.72</v>
      </c>
    </row>
    <row r="125" spans="1:12">
      <c r="A125" s="406"/>
      <c r="B125" s="406" t="s">
        <v>541</v>
      </c>
      <c r="C125" s="320" t="s">
        <v>103</v>
      </c>
      <c r="D125" s="413" t="s">
        <v>390</v>
      </c>
      <c r="E125" s="3659">
        <v>65</v>
      </c>
      <c r="F125" s="2366" t="s">
        <v>384</v>
      </c>
      <c r="G125" s="478" t="s">
        <v>542</v>
      </c>
      <c r="H125" s="224">
        <v>620</v>
      </c>
      <c r="I125" s="778" t="s">
        <v>540</v>
      </c>
      <c r="J125" s="937">
        <v>655</v>
      </c>
      <c r="K125" s="2369">
        <v>54.59</v>
      </c>
    </row>
    <row r="126" spans="1:12">
      <c r="A126" s="406"/>
      <c r="B126" s="406" t="s">
        <v>543</v>
      </c>
      <c r="C126" s="320" t="s">
        <v>192</v>
      </c>
      <c r="D126" s="413" t="s">
        <v>309</v>
      </c>
      <c r="E126" s="843">
        <v>185</v>
      </c>
      <c r="F126" s="853"/>
      <c r="G126" s="477" t="s">
        <v>542</v>
      </c>
      <c r="H126" s="74">
        <v>1650</v>
      </c>
      <c r="I126" s="778" t="s">
        <v>540</v>
      </c>
      <c r="J126" s="694" t="s">
        <v>544</v>
      </c>
      <c r="K126" s="2370">
        <v>168.5</v>
      </c>
    </row>
    <row r="127" spans="1:12">
      <c r="A127" s="43"/>
      <c r="B127" s="43" t="s">
        <v>545</v>
      </c>
      <c r="C127" s="101" t="s">
        <v>546</v>
      </c>
      <c r="D127" s="3458" t="s">
        <v>547</v>
      </c>
      <c r="E127" s="143">
        <v>70</v>
      </c>
      <c r="F127" s="144"/>
      <c r="G127" s="483" t="s">
        <v>548</v>
      </c>
      <c r="H127" s="74">
        <v>900</v>
      </c>
      <c r="I127" s="105" t="s">
        <v>549</v>
      </c>
      <c r="J127" s="126" t="s">
        <v>550</v>
      </c>
      <c r="K127" s="375">
        <v>58.44</v>
      </c>
    </row>
    <row r="128" spans="1:12">
      <c r="A128" s="406"/>
      <c r="B128" s="43" t="s">
        <v>551</v>
      </c>
      <c r="C128" s="207" t="s">
        <v>284</v>
      </c>
      <c r="D128" s="959" t="s">
        <v>193</v>
      </c>
      <c r="E128" s="298">
        <v>155</v>
      </c>
      <c r="F128" s="381" t="s">
        <v>552</v>
      </c>
      <c r="G128" s="478" t="s">
        <v>553</v>
      </c>
      <c r="H128" s="74">
        <v>2760</v>
      </c>
      <c r="I128" s="431" t="s">
        <v>554</v>
      </c>
      <c r="J128" s="586" t="s">
        <v>555</v>
      </c>
      <c r="K128" s="1133">
        <v>139.5</v>
      </c>
    </row>
    <row r="129" spans="1:12">
      <c r="A129" s="406"/>
      <c r="B129" s="662" t="s">
        <v>556</v>
      </c>
      <c r="C129" s="207" t="s">
        <v>192</v>
      </c>
      <c r="D129" s="959" t="s">
        <v>414</v>
      </c>
      <c r="E129" s="298">
        <v>35</v>
      </c>
      <c r="F129" s="381" t="s">
        <v>557</v>
      </c>
      <c r="G129" s="887" t="s">
        <v>558</v>
      </c>
      <c r="H129" s="74">
        <v>570</v>
      </c>
      <c r="I129" s="431" t="s">
        <v>554</v>
      </c>
      <c r="J129" s="647" t="s">
        <v>557</v>
      </c>
      <c r="K129" s="780">
        <v>33.33</v>
      </c>
    </row>
    <row r="130" spans="1:12" ht="38.25">
      <c r="A130" s="2462"/>
      <c r="B130" s="2716" t="s">
        <v>559</v>
      </c>
      <c r="C130" s="207"/>
      <c r="D130" s="3457"/>
      <c r="E130" s="2717">
        <v>32</v>
      </c>
      <c r="F130" s="2718" t="s">
        <v>560</v>
      </c>
      <c r="G130" s="478" t="s">
        <v>561</v>
      </c>
      <c r="H130" s="101">
        <v>480</v>
      </c>
      <c r="I130" s="600" t="s">
        <v>562</v>
      </c>
      <c r="J130" s="586" t="s">
        <v>563</v>
      </c>
      <c r="K130" s="526"/>
    </row>
    <row r="131" spans="1:12">
      <c r="A131" s="224" t="s">
        <v>394</v>
      </c>
      <c r="B131" s="599" t="s">
        <v>564</v>
      </c>
      <c r="C131" s="207" t="s">
        <v>565</v>
      </c>
      <c r="D131" s="3457" t="s">
        <v>193</v>
      </c>
      <c r="E131" s="84">
        <v>45</v>
      </c>
      <c r="F131" s="856" t="s">
        <v>566</v>
      </c>
      <c r="G131" s="2726" t="s">
        <v>567</v>
      </c>
      <c r="H131" s="101">
        <v>800</v>
      </c>
      <c r="I131" s="600" t="s">
        <v>568</v>
      </c>
      <c r="J131" s="586">
        <v>830</v>
      </c>
      <c r="K131" s="527" t="s">
        <v>569</v>
      </c>
    </row>
    <row r="132" spans="1:12">
      <c r="A132" s="224" t="s">
        <v>394</v>
      </c>
      <c r="B132" s="599" t="s">
        <v>570</v>
      </c>
      <c r="C132" s="207" t="s">
        <v>565</v>
      </c>
      <c r="D132" s="3457" t="s">
        <v>193</v>
      </c>
      <c r="E132" s="84">
        <v>40</v>
      </c>
      <c r="F132" s="856" t="s">
        <v>374</v>
      </c>
      <c r="G132" s="2726" t="s">
        <v>571</v>
      </c>
      <c r="H132" s="101">
        <v>640</v>
      </c>
      <c r="I132" s="600" t="s">
        <v>572</v>
      </c>
      <c r="J132" s="586">
        <v>640</v>
      </c>
      <c r="K132" s="527" t="s">
        <v>573</v>
      </c>
    </row>
    <row r="133" spans="1:12">
      <c r="A133" s="224" t="s">
        <v>394</v>
      </c>
      <c r="B133" s="750" t="s">
        <v>574</v>
      </c>
      <c r="C133" s="207" t="s">
        <v>565</v>
      </c>
      <c r="D133" s="3457" t="s">
        <v>193</v>
      </c>
      <c r="E133" s="84">
        <v>40</v>
      </c>
      <c r="F133" s="856" t="s">
        <v>575</v>
      </c>
      <c r="G133" s="2765" t="s">
        <v>576</v>
      </c>
      <c r="H133" s="207" t="s">
        <v>577</v>
      </c>
      <c r="I133" s="600" t="s">
        <v>578</v>
      </c>
      <c r="J133" s="881" t="s">
        <v>579</v>
      </c>
      <c r="K133" s="3443" t="s">
        <v>580</v>
      </c>
    </row>
    <row r="134" spans="1:12">
      <c r="A134" s="224" t="s">
        <v>394</v>
      </c>
      <c r="B134" s="750" t="s">
        <v>581</v>
      </c>
      <c r="C134" s="207" t="s">
        <v>565</v>
      </c>
      <c r="D134" s="3457" t="s">
        <v>193</v>
      </c>
      <c r="E134" s="84">
        <v>40</v>
      </c>
      <c r="F134" s="856" t="s">
        <v>374</v>
      </c>
      <c r="G134" s="2731" t="s">
        <v>571</v>
      </c>
      <c r="H134" s="101">
        <v>640</v>
      </c>
      <c r="I134" s="600" t="s">
        <v>582</v>
      </c>
      <c r="J134" s="586">
        <v>640</v>
      </c>
      <c r="K134" s="527" t="s">
        <v>573</v>
      </c>
    </row>
    <row r="135" spans="1:12">
      <c r="A135" s="224"/>
      <c r="B135" s="662" t="s">
        <v>583</v>
      </c>
      <c r="C135" s="207" t="s">
        <v>565</v>
      </c>
      <c r="D135" s="3457" t="s">
        <v>193</v>
      </c>
      <c r="E135" s="84">
        <v>40</v>
      </c>
      <c r="F135" s="856" t="s">
        <v>391</v>
      </c>
      <c r="G135" s="2726"/>
      <c r="H135" s="74"/>
      <c r="I135" s="431" t="s">
        <v>393</v>
      </c>
      <c r="J135" s="647">
        <v>650</v>
      </c>
      <c r="K135" s="780" t="s">
        <v>584</v>
      </c>
    </row>
    <row r="136" spans="1:12">
      <c r="A136" s="406"/>
      <c r="B136" s="1733" t="s">
        <v>585</v>
      </c>
      <c r="C136" s="207" t="s">
        <v>565</v>
      </c>
      <c r="D136" s="3457" t="s">
        <v>193</v>
      </c>
      <c r="E136" s="84">
        <v>40</v>
      </c>
      <c r="F136" s="856" t="s">
        <v>391</v>
      </c>
      <c r="G136" s="478"/>
      <c r="H136" s="101"/>
      <c r="I136" s="431" t="s">
        <v>393</v>
      </c>
      <c r="J136" s="647">
        <v>650</v>
      </c>
      <c r="K136" s="780" t="s">
        <v>584</v>
      </c>
    </row>
    <row r="137" spans="1:12">
      <c r="A137" s="406"/>
      <c r="B137" s="1071" t="s">
        <v>586</v>
      </c>
      <c r="C137" s="207" t="s">
        <v>565</v>
      </c>
      <c r="D137" s="3457" t="s">
        <v>193</v>
      </c>
      <c r="E137" s="84">
        <v>40</v>
      </c>
      <c r="F137" s="856" t="s">
        <v>391</v>
      </c>
      <c r="G137" s="478"/>
      <c r="H137" s="74"/>
      <c r="I137" s="431" t="s">
        <v>393</v>
      </c>
      <c r="J137" s="647">
        <v>650</v>
      </c>
      <c r="K137" s="780" t="s">
        <v>584</v>
      </c>
    </row>
    <row r="138" spans="1:12">
      <c r="A138" s="398"/>
      <c r="B138" s="382" t="s">
        <v>587</v>
      </c>
      <c r="C138" s="207"/>
      <c r="D138" s="322"/>
      <c r="E138" s="60"/>
      <c r="F138" s="381"/>
      <c r="G138" s="310"/>
      <c r="H138" s="150"/>
      <c r="I138" s="431"/>
      <c r="J138" s="586"/>
      <c r="K138" s="365"/>
    </row>
    <row r="139" spans="1:12" ht="35.25" thickBot="1">
      <c r="A139" s="1782" t="s">
        <v>588</v>
      </c>
      <c r="B139" s="599" t="s">
        <v>589</v>
      </c>
      <c r="C139" s="207" t="s">
        <v>565</v>
      </c>
      <c r="D139" s="3457" t="s">
        <v>590</v>
      </c>
      <c r="E139" s="84">
        <v>40</v>
      </c>
      <c r="F139" s="856" t="s">
        <v>591</v>
      </c>
      <c r="G139" s="478" t="s">
        <v>592</v>
      </c>
      <c r="H139" s="101">
        <v>480</v>
      </c>
      <c r="I139" s="600" t="s">
        <v>554</v>
      </c>
      <c r="J139" s="586">
        <v>510</v>
      </c>
      <c r="K139" s="527" t="s">
        <v>593</v>
      </c>
    </row>
    <row r="140" spans="1:12">
      <c r="A140" s="1019" t="s">
        <v>588</v>
      </c>
      <c r="B140" s="81" t="s">
        <v>594</v>
      </c>
      <c r="C140" s="207" t="s">
        <v>565</v>
      </c>
      <c r="D140" s="3457" t="s">
        <v>590</v>
      </c>
      <c r="E140" s="84">
        <v>35</v>
      </c>
      <c r="F140" s="856" t="s">
        <v>595</v>
      </c>
      <c r="G140" s="478" t="s">
        <v>592</v>
      </c>
      <c r="H140" s="101">
        <v>450</v>
      </c>
      <c r="I140" s="600" t="s">
        <v>554</v>
      </c>
      <c r="J140" s="586">
        <v>480</v>
      </c>
      <c r="K140" s="526" t="s">
        <v>573</v>
      </c>
    </row>
    <row r="141" spans="1:12">
      <c r="A141" s="438" t="s">
        <v>588</v>
      </c>
      <c r="B141" s="81" t="s">
        <v>596</v>
      </c>
      <c r="C141" s="207" t="s">
        <v>565</v>
      </c>
      <c r="D141" s="3457" t="s">
        <v>590</v>
      </c>
      <c r="E141" s="84">
        <v>35</v>
      </c>
      <c r="F141" s="856" t="s">
        <v>595</v>
      </c>
      <c r="G141" s="478" t="s">
        <v>592</v>
      </c>
      <c r="H141" s="101">
        <v>450</v>
      </c>
      <c r="I141" s="600" t="s">
        <v>554</v>
      </c>
      <c r="J141" s="586">
        <v>480</v>
      </c>
      <c r="K141" s="526" t="s">
        <v>573</v>
      </c>
      <c r="L141" s="365"/>
    </row>
    <row r="142" spans="1:12">
      <c r="A142" s="254"/>
      <c r="B142" s="81" t="s">
        <v>597</v>
      </c>
      <c r="C142" s="207"/>
      <c r="D142" s="3457"/>
      <c r="E142" s="142"/>
      <c r="F142" s="381"/>
      <c r="G142" s="478" t="s">
        <v>598</v>
      </c>
      <c r="H142" s="101">
        <v>720</v>
      </c>
      <c r="I142" s="600" t="s">
        <v>599</v>
      </c>
      <c r="J142" s="586">
        <v>750</v>
      </c>
      <c r="K142" s="526"/>
      <c r="L142" s="780"/>
    </row>
    <row r="143" spans="1:12">
      <c r="A143" s="406"/>
      <c r="B143" s="406"/>
      <c r="C143" s="101"/>
      <c r="D143" s="322"/>
      <c r="E143" s="838"/>
      <c r="F143" s="767"/>
      <c r="G143" s="206"/>
      <c r="H143" s="74"/>
      <c r="I143" s="560"/>
      <c r="J143" s="547"/>
      <c r="K143" s="363"/>
      <c r="L143" s="363"/>
    </row>
    <row r="144" spans="1:12">
      <c r="A144" s="83"/>
      <c r="B144" s="43"/>
      <c r="C144" s="101"/>
      <c r="D144" s="322"/>
      <c r="E144" s="838"/>
      <c r="F144" s="767"/>
      <c r="G144" s="206"/>
      <c r="H144" s="74"/>
      <c r="I144" s="562"/>
      <c r="J144" s="547"/>
      <c r="K144" s="550"/>
    </row>
    <row r="145" spans="1:12" ht="32.25" customHeight="1">
      <c r="A145" s="44"/>
      <c r="B145" s="45"/>
      <c r="C145" s="46"/>
      <c r="D145" s="124"/>
      <c r="F145" s="104"/>
      <c r="H145" s="45"/>
      <c r="I145" s="556"/>
      <c r="K145" s="537">
        <v>5</v>
      </c>
    </row>
    <row r="146" spans="1:12">
      <c r="A146" s="45" t="s">
        <v>0</v>
      </c>
      <c r="B146" s="45"/>
      <c r="C146" s="68"/>
      <c r="D146" s="612"/>
      <c r="F146" s="104"/>
      <c r="H146" s="45"/>
      <c r="I146" s="556"/>
      <c r="L146" s="45"/>
    </row>
    <row r="147" spans="1:12" s="45" customFormat="1">
      <c r="A147" s="3480" t="s">
        <v>1</v>
      </c>
      <c r="B147" s="3480"/>
      <c r="C147" s="46"/>
      <c r="D147" s="124"/>
      <c r="E147" s="335"/>
      <c r="F147" s="104"/>
      <c r="G147" s="210"/>
      <c r="I147" s="556"/>
      <c r="J147" s="540"/>
      <c r="K147" s="366"/>
    </row>
    <row r="148" spans="1:12" ht="18.75" customHeight="1" thickBot="1">
      <c r="F148" s="104"/>
    </row>
    <row r="149" spans="1:12">
      <c r="A149" s="3481" t="s">
        <v>2</v>
      </c>
      <c r="B149" s="3482"/>
      <c r="C149" s="48" t="s">
        <v>3</v>
      </c>
      <c r="D149" s="436" t="s">
        <v>4</v>
      </c>
      <c r="E149" s="849" t="s">
        <v>5</v>
      </c>
      <c r="F149" s="849" t="s">
        <v>5</v>
      </c>
      <c r="G149" s="211" t="s">
        <v>6</v>
      </c>
      <c r="H149" s="48" t="s">
        <v>7</v>
      </c>
      <c r="I149" s="557" t="s">
        <v>8</v>
      </c>
      <c r="J149" s="541" t="s">
        <v>9</v>
      </c>
      <c r="K149" s="346" t="s">
        <v>9</v>
      </c>
      <c r="L149" s="46"/>
    </row>
    <row r="150" spans="1:12" ht="35.25" thickBot="1">
      <c r="A150" s="51"/>
      <c r="B150" s="72"/>
      <c r="C150" s="50"/>
      <c r="D150" s="437" t="s">
        <v>10</v>
      </c>
      <c r="E150" s="850" t="s">
        <v>11</v>
      </c>
      <c r="F150" s="850" t="s">
        <v>12</v>
      </c>
      <c r="G150" s="212"/>
      <c r="H150" s="50" t="s">
        <v>13</v>
      </c>
      <c r="I150" s="558"/>
      <c r="J150" s="542" t="s">
        <v>14</v>
      </c>
      <c r="K150" s="347" t="s">
        <v>15</v>
      </c>
      <c r="L150" s="46"/>
    </row>
    <row r="151" spans="1:12" ht="38.25">
      <c r="A151" s="963"/>
      <c r="B151" s="963" t="s">
        <v>600</v>
      </c>
      <c r="C151" s="207"/>
      <c r="D151" s="3457"/>
      <c r="E151" s="142"/>
      <c r="F151" s="381"/>
      <c r="G151" s="206" t="s">
        <v>601</v>
      </c>
      <c r="H151" s="74" t="s">
        <v>602</v>
      </c>
      <c r="I151" s="183" t="s">
        <v>603</v>
      </c>
      <c r="J151" s="175"/>
      <c r="K151" s="526"/>
    </row>
    <row r="152" spans="1:12">
      <c r="A152" s="662"/>
      <c r="B152" s="662" t="s">
        <v>604</v>
      </c>
      <c r="C152" s="3457" t="s">
        <v>192</v>
      </c>
      <c r="D152" s="1007" t="s">
        <v>414</v>
      </c>
      <c r="E152" s="84">
        <v>32</v>
      </c>
      <c r="F152" s="856">
        <v>520</v>
      </c>
      <c r="G152" s="1143">
        <v>21538</v>
      </c>
      <c r="H152" s="431" t="s">
        <v>605</v>
      </c>
      <c r="I152" s="881"/>
      <c r="J152" s="365">
        <v>460</v>
      </c>
      <c r="K152" s="527">
        <v>25.55</v>
      </c>
    </row>
    <row r="153" spans="1:12">
      <c r="A153" s="43"/>
      <c r="B153" s="43" t="s">
        <v>606</v>
      </c>
      <c r="C153" s="101" t="s">
        <v>192</v>
      </c>
      <c r="D153" s="322" t="s">
        <v>193</v>
      </c>
      <c r="E153" s="843"/>
      <c r="F153" s="853"/>
      <c r="G153" s="477" t="s">
        <v>607</v>
      </c>
      <c r="H153" s="74">
        <v>640</v>
      </c>
      <c r="I153" s="560" t="s">
        <v>608</v>
      </c>
      <c r="J153" s="547">
        <v>600</v>
      </c>
      <c r="K153" s="550">
        <v>30</v>
      </c>
    </row>
    <row r="154" spans="1:12">
      <c r="A154" s="43"/>
      <c r="B154" s="43" t="s">
        <v>609</v>
      </c>
      <c r="C154" s="101" t="s">
        <v>610</v>
      </c>
      <c r="D154" s="322" t="s">
        <v>611</v>
      </c>
      <c r="E154" s="843">
        <v>650</v>
      </c>
      <c r="F154" s="853">
        <v>3600</v>
      </c>
      <c r="G154" s="477" t="s">
        <v>612</v>
      </c>
      <c r="H154" s="74">
        <v>3300</v>
      </c>
      <c r="I154" s="560"/>
      <c r="J154" s="547">
        <v>3300</v>
      </c>
      <c r="K154" s="550">
        <v>550</v>
      </c>
    </row>
    <row r="155" spans="1:12">
      <c r="A155" s="662"/>
      <c r="B155" s="81" t="s">
        <v>403</v>
      </c>
      <c r="C155" s="3457"/>
      <c r="D155" s="1007" t="s">
        <v>613</v>
      </c>
      <c r="E155" s="84">
        <v>125</v>
      </c>
      <c r="F155" s="856" t="s">
        <v>614</v>
      </c>
      <c r="G155" s="887" t="s">
        <v>615</v>
      </c>
      <c r="H155" s="74">
        <v>3980</v>
      </c>
      <c r="I155" s="432" t="s">
        <v>407</v>
      </c>
      <c r="J155" s="734">
        <v>4000</v>
      </c>
      <c r="K155" s="365">
        <v>111</v>
      </c>
    </row>
    <row r="156" spans="1:12">
      <c r="A156" s="662"/>
      <c r="B156" s="662" t="s">
        <v>616</v>
      </c>
      <c r="C156" s="3457" t="s">
        <v>617</v>
      </c>
      <c r="D156" s="1007" t="s">
        <v>618</v>
      </c>
      <c r="E156" s="84">
        <v>32</v>
      </c>
      <c r="F156" s="856" t="s">
        <v>619</v>
      </c>
      <c r="G156" s="2414">
        <v>24219</v>
      </c>
      <c r="H156" s="431" t="s">
        <v>620</v>
      </c>
      <c r="I156" s="586" t="s">
        <v>540</v>
      </c>
      <c r="J156" s="365">
        <v>1355</v>
      </c>
      <c r="K156" s="526">
        <v>28.23</v>
      </c>
    </row>
    <row r="157" spans="1:12">
      <c r="A157" s="43"/>
      <c r="B157" s="43" t="s">
        <v>621</v>
      </c>
      <c r="C157" s="3457" t="s">
        <v>617</v>
      </c>
      <c r="D157" s="1007" t="s">
        <v>618</v>
      </c>
      <c r="E157" s="84">
        <v>32</v>
      </c>
      <c r="F157" s="856" t="s">
        <v>619</v>
      </c>
      <c r="G157" s="2414">
        <v>24441</v>
      </c>
      <c r="H157" s="431" t="s">
        <v>622</v>
      </c>
      <c r="I157" s="586" t="s">
        <v>540</v>
      </c>
      <c r="J157" s="365">
        <v>1355</v>
      </c>
      <c r="K157" s="526">
        <v>28.23</v>
      </c>
    </row>
    <row r="158" spans="1:12">
      <c r="A158" s="662"/>
      <c r="B158" s="662" t="s">
        <v>623</v>
      </c>
      <c r="C158" s="3457" t="s">
        <v>624</v>
      </c>
      <c r="D158" s="1007" t="s">
        <v>625</v>
      </c>
      <c r="E158" s="84">
        <v>32</v>
      </c>
      <c r="F158" s="856" t="s">
        <v>619</v>
      </c>
      <c r="G158" s="2414">
        <v>24219</v>
      </c>
      <c r="H158" s="431" t="s">
        <v>620</v>
      </c>
      <c r="I158" s="586" t="s">
        <v>540</v>
      </c>
      <c r="J158" s="365">
        <v>1355</v>
      </c>
      <c r="K158" s="526">
        <v>28.23</v>
      </c>
    </row>
    <row r="159" spans="1:12">
      <c r="A159" s="81"/>
      <c r="B159" s="81" t="s">
        <v>626</v>
      </c>
      <c r="C159" s="1144" t="s">
        <v>617</v>
      </c>
      <c r="D159" s="1145" t="s">
        <v>618</v>
      </c>
      <c r="E159" s="84">
        <v>32</v>
      </c>
      <c r="F159" s="856" t="s">
        <v>619</v>
      </c>
      <c r="G159" s="2414">
        <v>24219</v>
      </c>
      <c r="H159" s="431" t="s">
        <v>620</v>
      </c>
      <c r="I159" s="586" t="s">
        <v>540</v>
      </c>
      <c r="J159" s="365">
        <v>1355</v>
      </c>
      <c r="K159" s="526">
        <v>28.23</v>
      </c>
    </row>
    <row r="160" spans="1:12">
      <c r="A160" s="43"/>
      <c r="B160" s="43" t="s">
        <v>627</v>
      </c>
      <c r="C160" s="1144" t="s">
        <v>617</v>
      </c>
      <c r="D160" s="1145" t="s">
        <v>618</v>
      </c>
      <c r="E160" s="84">
        <v>32</v>
      </c>
      <c r="F160" s="856" t="s">
        <v>628</v>
      </c>
      <c r="G160" s="2414">
        <v>24441</v>
      </c>
      <c r="H160" s="431" t="s">
        <v>622</v>
      </c>
      <c r="I160" s="586" t="s">
        <v>540</v>
      </c>
      <c r="J160" s="365">
        <v>1335</v>
      </c>
      <c r="K160" s="526">
        <v>27.81</v>
      </c>
    </row>
    <row r="161" spans="1:11">
      <c r="A161" s="43"/>
      <c r="B161" s="43" t="s">
        <v>629</v>
      </c>
      <c r="C161" s="3457" t="s">
        <v>617</v>
      </c>
      <c r="D161" s="1007" t="s">
        <v>618</v>
      </c>
      <c r="E161" s="84">
        <v>32</v>
      </c>
      <c r="F161" s="856" t="s">
        <v>619</v>
      </c>
      <c r="G161" s="2414">
        <v>24441</v>
      </c>
      <c r="H161" s="431" t="s">
        <v>622</v>
      </c>
      <c r="I161" s="586" t="s">
        <v>540</v>
      </c>
      <c r="J161" s="365">
        <v>1355</v>
      </c>
      <c r="K161" s="526">
        <v>28.23</v>
      </c>
    </row>
    <row r="162" spans="1:11">
      <c r="A162" s="406"/>
      <c r="B162" s="406" t="s">
        <v>630</v>
      </c>
      <c r="C162" s="3457" t="s">
        <v>617</v>
      </c>
      <c r="D162" s="1007" t="s">
        <v>618</v>
      </c>
      <c r="E162" s="84">
        <v>32</v>
      </c>
      <c r="F162" s="856" t="s">
        <v>619</v>
      </c>
      <c r="G162" s="2414">
        <v>24219</v>
      </c>
      <c r="H162" s="431" t="s">
        <v>620</v>
      </c>
      <c r="I162" s="586" t="s">
        <v>540</v>
      </c>
      <c r="J162" s="365">
        <v>1355</v>
      </c>
      <c r="K162" s="526">
        <v>28.23</v>
      </c>
    </row>
    <row r="163" spans="1:11">
      <c r="A163" s="43"/>
      <c r="B163" s="43" t="s">
        <v>631</v>
      </c>
      <c r="C163" s="3457" t="s">
        <v>617</v>
      </c>
      <c r="D163" s="1007" t="s">
        <v>618</v>
      </c>
      <c r="E163" s="84">
        <v>32</v>
      </c>
      <c r="F163" s="856" t="s">
        <v>619</v>
      </c>
      <c r="G163" s="2414">
        <v>24219</v>
      </c>
      <c r="H163" s="431" t="s">
        <v>620</v>
      </c>
      <c r="I163" s="586" t="s">
        <v>540</v>
      </c>
      <c r="J163" s="365">
        <v>1355</v>
      </c>
      <c r="K163" s="526">
        <v>28.23</v>
      </c>
    </row>
    <row r="164" spans="1:11">
      <c r="A164" s="1150"/>
      <c r="B164" s="1150" t="s">
        <v>632</v>
      </c>
      <c r="C164" s="3457" t="s">
        <v>617</v>
      </c>
      <c r="D164" s="1007" t="s">
        <v>618</v>
      </c>
      <c r="E164" s="84">
        <v>32</v>
      </c>
      <c r="F164" s="856" t="s">
        <v>619</v>
      </c>
      <c r="G164" s="2414">
        <v>24219</v>
      </c>
      <c r="H164" s="431" t="s">
        <v>620</v>
      </c>
      <c r="I164" s="586" t="s">
        <v>540</v>
      </c>
      <c r="J164" s="365">
        <v>1355</v>
      </c>
      <c r="K164" s="526">
        <v>28.23</v>
      </c>
    </row>
    <row r="165" spans="1:11" ht="35.25" thickBot="1">
      <c r="A165" s="1922"/>
      <c r="B165" s="1922" t="s">
        <v>633</v>
      </c>
      <c r="C165" s="1913" t="s">
        <v>634</v>
      </c>
      <c r="D165" s="1933" t="s">
        <v>625</v>
      </c>
      <c r="E165" s="1934">
        <v>22</v>
      </c>
      <c r="F165" s="1935" t="s">
        <v>635</v>
      </c>
      <c r="G165" s="1936">
        <v>22611</v>
      </c>
      <c r="H165" s="1915" t="s">
        <v>636</v>
      </c>
      <c r="I165" s="1937" t="s">
        <v>554</v>
      </c>
      <c r="J165" s="1938">
        <v>1110</v>
      </c>
      <c r="K165" s="1939">
        <v>18.329999999999998</v>
      </c>
    </row>
    <row r="166" spans="1:11" ht="35.25" thickTop="1">
      <c r="A166" s="1150"/>
      <c r="B166" s="1150" t="s">
        <v>637</v>
      </c>
      <c r="C166" s="1144" t="s">
        <v>617</v>
      </c>
      <c r="D166" s="1007" t="s">
        <v>618</v>
      </c>
      <c r="E166" s="1931">
        <v>35</v>
      </c>
      <c r="F166" s="1932" t="s">
        <v>638</v>
      </c>
      <c r="G166" s="1714" t="s">
        <v>615</v>
      </c>
      <c r="H166" s="82">
        <v>1360</v>
      </c>
      <c r="I166" s="432" t="s">
        <v>639</v>
      </c>
      <c r="J166" s="702">
        <v>1395</v>
      </c>
      <c r="K166" s="1148">
        <v>29.06</v>
      </c>
    </row>
    <row r="167" spans="1:11">
      <c r="A167" s="788"/>
      <c r="B167" s="788" t="s">
        <v>640</v>
      </c>
      <c r="C167" s="3457" t="s">
        <v>617</v>
      </c>
      <c r="D167" s="1007" t="s">
        <v>618</v>
      </c>
      <c r="E167" s="1931">
        <v>30</v>
      </c>
      <c r="F167" s="1932" t="s">
        <v>641</v>
      </c>
      <c r="G167" s="1072" t="s">
        <v>642</v>
      </c>
      <c r="H167" s="82"/>
      <c r="I167" s="432"/>
      <c r="J167" s="702">
        <v>1380</v>
      </c>
      <c r="K167" s="1148">
        <v>23</v>
      </c>
    </row>
    <row r="168" spans="1:11" ht="35.25" thickBot="1">
      <c r="A168" s="1922"/>
      <c r="B168" s="1922" t="s">
        <v>643</v>
      </c>
      <c r="C168" s="1913" t="s">
        <v>617</v>
      </c>
      <c r="D168" s="1007" t="s">
        <v>618</v>
      </c>
      <c r="E168" s="1934">
        <v>35</v>
      </c>
      <c r="F168" s="1935" t="s">
        <v>644</v>
      </c>
      <c r="G168" s="2420" t="s">
        <v>645</v>
      </c>
      <c r="H168" s="82">
        <v>1360</v>
      </c>
      <c r="I168" s="432" t="s">
        <v>639</v>
      </c>
      <c r="J168" s="702">
        <v>1395</v>
      </c>
      <c r="K168" s="1148">
        <v>29.06</v>
      </c>
    </row>
    <row r="169" spans="1:11" ht="35.25" thickTop="1">
      <c r="A169" s="770"/>
      <c r="B169" s="770" t="s">
        <v>646</v>
      </c>
      <c r="C169" s="1144" t="s">
        <v>617</v>
      </c>
      <c r="D169" s="1145" t="s">
        <v>625</v>
      </c>
      <c r="E169" s="1931">
        <v>35</v>
      </c>
      <c r="F169" s="1932" t="s">
        <v>647</v>
      </c>
      <c r="G169" s="1072" t="s">
        <v>642</v>
      </c>
      <c r="H169" s="82"/>
      <c r="I169" s="432"/>
      <c r="J169" s="370">
        <v>1680</v>
      </c>
      <c r="K169" s="369">
        <v>35</v>
      </c>
    </row>
    <row r="170" spans="1:11">
      <c r="A170" s="81"/>
      <c r="B170" s="81" t="s">
        <v>648</v>
      </c>
      <c r="C170" s="3457" t="s">
        <v>617</v>
      </c>
      <c r="D170" s="1007" t="s">
        <v>625</v>
      </c>
      <c r="E170" s="84">
        <v>35</v>
      </c>
      <c r="F170" s="856" t="s">
        <v>647</v>
      </c>
      <c r="G170" s="477" t="s">
        <v>642</v>
      </c>
      <c r="H170" s="74"/>
      <c r="I170" s="431"/>
      <c r="J170" s="734">
        <v>1680</v>
      </c>
      <c r="K170" s="365">
        <v>35</v>
      </c>
    </row>
    <row r="171" spans="1:11">
      <c r="A171" s="81"/>
      <c r="B171" s="81" t="s">
        <v>649</v>
      </c>
      <c r="C171" s="3457" t="s">
        <v>617</v>
      </c>
      <c r="D171" s="1007" t="s">
        <v>625</v>
      </c>
      <c r="E171" s="84">
        <v>35</v>
      </c>
      <c r="F171" s="856" t="s">
        <v>647</v>
      </c>
      <c r="G171" s="477" t="s">
        <v>642</v>
      </c>
      <c r="H171" s="74"/>
      <c r="I171" s="431"/>
      <c r="J171" s="734">
        <v>1680</v>
      </c>
      <c r="K171" s="365">
        <v>35</v>
      </c>
    </row>
    <row r="172" spans="1:11" ht="35.25" thickBot="1">
      <c r="A172" s="1905"/>
      <c r="B172" s="1905" t="s">
        <v>646</v>
      </c>
      <c r="C172" s="1913" t="s">
        <v>634</v>
      </c>
      <c r="D172" s="1933" t="s">
        <v>625</v>
      </c>
      <c r="E172" s="1934">
        <v>35</v>
      </c>
      <c r="F172" s="1935" t="s">
        <v>647</v>
      </c>
      <c r="G172" s="1908" t="s">
        <v>650</v>
      </c>
      <c r="H172" s="1909">
        <v>1620</v>
      </c>
      <c r="I172" s="1915" t="s">
        <v>301</v>
      </c>
      <c r="J172" s="3660">
        <v>1650</v>
      </c>
      <c r="K172" s="1938">
        <v>27.5</v>
      </c>
    </row>
    <row r="173" spans="1:11" ht="35.25" thickTop="1">
      <c r="A173" s="43"/>
      <c r="B173" s="43" t="s">
        <v>629</v>
      </c>
      <c r="C173" s="1144" t="s">
        <v>284</v>
      </c>
      <c r="D173" s="1145" t="s">
        <v>193</v>
      </c>
      <c r="E173" s="1931">
        <v>75</v>
      </c>
      <c r="F173" s="1932" t="s">
        <v>651</v>
      </c>
      <c r="G173" s="1072" t="s">
        <v>37</v>
      </c>
      <c r="H173" s="82">
        <v>1250</v>
      </c>
      <c r="I173" s="432" t="s">
        <v>301</v>
      </c>
      <c r="J173" s="370">
        <v>1280</v>
      </c>
      <c r="K173" s="369">
        <v>64</v>
      </c>
    </row>
    <row r="174" spans="1:11">
      <c r="A174" s="43"/>
      <c r="B174" s="43" t="s">
        <v>627</v>
      </c>
      <c r="C174" s="1144" t="s">
        <v>284</v>
      </c>
      <c r="D174" s="1145" t="s">
        <v>193</v>
      </c>
      <c r="E174" s="1931">
        <v>75</v>
      </c>
      <c r="F174" s="1932" t="s">
        <v>651</v>
      </c>
      <c r="G174" s="1072" t="s">
        <v>37</v>
      </c>
      <c r="H174" s="82">
        <v>1250</v>
      </c>
      <c r="I174" s="432" t="s">
        <v>301</v>
      </c>
      <c r="J174" s="370">
        <v>1280</v>
      </c>
      <c r="K174" s="369">
        <v>64</v>
      </c>
    </row>
    <row r="175" spans="1:11">
      <c r="A175" s="81"/>
      <c r="B175" s="81" t="s">
        <v>403</v>
      </c>
      <c r="C175" s="3457"/>
      <c r="D175" s="1007" t="s">
        <v>613</v>
      </c>
      <c r="E175" s="84">
        <v>125</v>
      </c>
      <c r="F175" s="856" t="s">
        <v>652</v>
      </c>
      <c r="G175" s="477" t="s">
        <v>653</v>
      </c>
      <c r="H175" s="74">
        <v>3980</v>
      </c>
      <c r="I175" s="432" t="s">
        <v>407</v>
      </c>
      <c r="J175" s="734">
        <v>4000</v>
      </c>
      <c r="K175" s="365">
        <v>111</v>
      </c>
    </row>
    <row r="176" spans="1:11">
      <c r="A176" s="81"/>
      <c r="B176" s="81" t="s">
        <v>654</v>
      </c>
      <c r="C176" s="3457" t="s">
        <v>103</v>
      </c>
      <c r="D176" s="1007" t="s">
        <v>655</v>
      </c>
      <c r="E176" s="84">
        <v>55</v>
      </c>
      <c r="F176" s="856" t="s">
        <v>656</v>
      </c>
      <c r="G176" s="477" t="s">
        <v>657</v>
      </c>
      <c r="H176" s="74">
        <v>980</v>
      </c>
      <c r="I176" s="432" t="s">
        <v>407</v>
      </c>
      <c r="J176" s="734">
        <v>1000</v>
      </c>
      <c r="K176" s="365">
        <v>49.55</v>
      </c>
    </row>
    <row r="177" spans="1:12">
      <c r="A177" s="770"/>
      <c r="B177" s="770" t="s">
        <v>658</v>
      </c>
      <c r="C177" s="1144" t="s">
        <v>659</v>
      </c>
      <c r="D177" s="1145" t="s">
        <v>484</v>
      </c>
      <c r="E177" s="1931">
        <v>40</v>
      </c>
      <c r="F177" s="1932" t="s">
        <v>660</v>
      </c>
      <c r="G177" s="1072" t="s">
        <v>661</v>
      </c>
      <c r="H177" s="82" t="s">
        <v>662</v>
      </c>
      <c r="I177" s="432" t="s">
        <v>411</v>
      </c>
      <c r="J177" s="82" t="s">
        <v>663</v>
      </c>
      <c r="K177" s="369">
        <v>34.159999999999997</v>
      </c>
    </row>
    <row r="178" spans="1:12">
      <c r="A178" s="770"/>
      <c r="B178" s="770" t="s">
        <v>664</v>
      </c>
      <c r="C178" s="1144" t="s">
        <v>659</v>
      </c>
      <c r="D178" s="1145" t="s">
        <v>484</v>
      </c>
      <c r="E178" s="1931">
        <v>40</v>
      </c>
      <c r="F178" s="1932" t="s">
        <v>660</v>
      </c>
      <c r="G178" s="1072" t="s">
        <v>661</v>
      </c>
      <c r="H178" s="82" t="s">
        <v>662</v>
      </c>
      <c r="I178" s="432" t="s">
        <v>411</v>
      </c>
      <c r="J178" s="82" t="s">
        <v>663</v>
      </c>
      <c r="K178" s="369">
        <v>34.159999999999997</v>
      </c>
    </row>
    <row r="179" spans="1:12">
      <c r="A179" s="770"/>
      <c r="B179" s="770" t="s">
        <v>665</v>
      </c>
      <c r="C179" s="1144" t="s">
        <v>659</v>
      </c>
      <c r="D179" s="1145" t="s">
        <v>484</v>
      </c>
      <c r="E179" s="1931">
        <v>40</v>
      </c>
      <c r="F179" s="1932" t="s">
        <v>660</v>
      </c>
      <c r="G179" s="1072" t="s">
        <v>661</v>
      </c>
      <c r="H179" s="82" t="s">
        <v>662</v>
      </c>
      <c r="I179" s="432" t="s">
        <v>411</v>
      </c>
      <c r="J179" s="82" t="s">
        <v>663</v>
      </c>
      <c r="K179" s="369">
        <v>34.159999999999997</v>
      </c>
    </row>
    <row r="180" spans="1:12">
      <c r="A180" s="770"/>
      <c r="B180" s="770" t="s">
        <v>666</v>
      </c>
      <c r="C180" s="1144" t="s">
        <v>659</v>
      </c>
      <c r="D180" s="1145" t="s">
        <v>484</v>
      </c>
      <c r="E180" s="1931">
        <v>40</v>
      </c>
      <c r="F180" s="1932" t="s">
        <v>660</v>
      </c>
      <c r="G180" s="1072" t="s">
        <v>661</v>
      </c>
      <c r="H180" s="82" t="s">
        <v>662</v>
      </c>
      <c r="I180" s="432" t="s">
        <v>411</v>
      </c>
      <c r="J180" s="82" t="s">
        <v>663</v>
      </c>
      <c r="K180" s="369">
        <v>34.159999999999997</v>
      </c>
    </row>
    <row r="181" spans="1:12" ht="26.25" customHeight="1">
      <c r="A181" s="44"/>
      <c r="B181" s="45"/>
      <c r="C181" s="46"/>
      <c r="D181" s="124"/>
      <c r="F181" s="104"/>
      <c r="H181" s="45"/>
      <c r="I181" s="556"/>
      <c r="K181" s="492">
        <v>6</v>
      </c>
    </row>
    <row r="182" spans="1:12">
      <c r="A182" s="45"/>
      <c r="B182" s="45"/>
      <c r="C182" s="68"/>
      <c r="D182" s="612"/>
      <c r="F182" s="104"/>
      <c r="H182" s="45"/>
      <c r="I182" s="556"/>
      <c r="L182" s="45"/>
    </row>
    <row r="183" spans="1:12" s="45" customFormat="1">
      <c r="A183" s="3480"/>
      <c r="B183" s="3480"/>
      <c r="C183" s="46"/>
      <c r="D183" s="124"/>
      <c r="E183" s="335"/>
      <c r="F183" s="104"/>
      <c r="G183" s="210"/>
      <c r="I183" s="556"/>
      <c r="J183" s="540"/>
      <c r="K183" s="366"/>
    </row>
    <row r="184" spans="1:12" ht="34.9" customHeight="1">
      <c r="F184" s="104"/>
    </row>
    <row r="185" spans="1:12">
      <c r="A185" s="45" t="s">
        <v>0</v>
      </c>
      <c r="B185" s="45"/>
      <c r="C185" s="68"/>
      <c r="D185" s="612"/>
      <c r="F185" s="104"/>
      <c r="H185" s="45"/>
      <c r="I185" s="556"/>
      <c r="L185" s="46"/>
    </row>
    <row r="186" spans="1:12">
      <c r="A186" s="3480" t="s">
        <v>1</v>
      </c>
      <c r="B186" s="3480"/>
      <c r="C186" s="46"/>
      <c r="D186" s="124"/>
      <c r="F186" s="104"/>
      <c r="H186" s="45"/>
      <c r="I186" s="556"/>
      <c r="L186" s="46"/>
    </row>
    <row r="187" spans="1:12" ht="35.25" thickBot="1">
      <c r="F187" s="104"/>
    </row>
    <row r="188" spans="1:12">
      <c r="A188" s="3481" t="s">
        <v>2</v>
      </c>
      <c r="B188" s="3482"/>
      <c r="C188" s="48" t="s">
        <v>3</v>
      </c>
      <c r="D188" s="436" t="s">
        <v>4</v>
      </c>
      <c r="E188" s="868" t="s">
        <v>5</v>
      </c>
      <c r="F188" s="849" t="s">
        <v>5</v>
      </c>
      <c r="G188" s="211" t="s">
        <v>6</v>
      </c>
      <c r="H188" s="48" t="s">
        <v>7</v>
      </c>
      <c r="I188" s="557" t="s">
        <v>8</v>
      </c>
      <c r="J188" s="541" t="s">
        <v>9</v>
      </c>
      <c r="K188" s="346" t="s">
        <v>9</v>
      </c>
    </row>
    <row r="189" spans="1:12" ht="35.25" thickBot="1">
      <c r="A189" s="51"/>
      <c r="B189" s="72"/>
      <c r="C189" s="50"/>
      <c r="D189" s="437" t="s">
        <v>10</v>
      </c>
      <c r="E189" s="869" t="s">
        <v>12</v>
      </c>
      <c r="F189" s="850" t="s">
        <v>11</v>
      </c>
      <c r="G189" s="212"/>
      <c r="H189" s="50" t="s">
        <v>13</v>
      </c>
      <c r="I189" s="558"/>
      <c r="J189" s="542" t="s">
        <v>14</v>
      </c>
      <c r="K189" s="347" t="s">
        <v>15</v>
      </c>
    </row>
    <row r="190" spans="1:12">
      <c r="A190" s="2801"/>
      <c r="B190" s="2799"/>
      <c r="C190" s="2794"/>
      <c r="D190" s="3455"/>
      <c r="E190" s="838"/>
      <c r="F190" s="767"/>
      <c r="G190" s="206"/>
      <c r="H190" s="74"/>
      <c r="I190" s="560"/>
      <c r="J190" s="544"/>
      <c r="K190" s="365"/>
    </row>
    <row r="191" spans="1:12">
      <c r="A191" s="83"/>
      <c r="B191" s="362" t="s">
        <v>667</v>
      </c>
      <c r="C191" s="101"/>
      <c r="D191" s="342" t="s">
        <v>23</v>
      </c>
      <c r="E191" s="767">
        <v>95</v>
      </c>
      <c r="F191" s="767"/>
      <c r="G191" s="206"/>
      <c r="H191" s="74">
        <v>900</v>
      </c>
      <c r="I191" s="559" t="s">
        <v>272</v>
      </c>
      <c r="J191" s="544">
        <v>900</v>
      </c>
      <c r="K191" s="365">
        <v>75</v>
      </c>
    </row>
    <row r="192" spans="1:12">
      <c r="A192" s="406"/>
      <c r="B192" s="362"/>
      <c r="C192" s="101"/>
      <c r="D192" s="342"/>
      <c r="E192" s="767"/>
      <c r="F192" s="767"/>
      <c r="G192" s="206"/>
      <c r="H192" s="74"/>
      <c r="I192" s="559"/>
      <c r="J192" s="544"/>
      <c r="K192" s="365"/>
    </row>
    <row r="193" spans="1:11">
      <c r="A193" s="406"/>
      <c r="B193" s="43"/>
      <c r="C193" s="101"/>
      <c r="D193" s="322"/>
      <c r="E193" s="838"/>
      <c r="F193" s="767"/>
      <c r="G193" s="206"/>
      <c r="H193" s="74"/>
      <c r="I193" s="562"/>
      <c r="J193" s="544"/>
      <c r="K193" s="365"/>
    </row>
    <row r="194" spans="1:11">
      <c r="A194" s="406"/>
      <c r="B194" s="3358" t="s">
        <v>668</v>
      </c>
      <c r="C194" s="101" t="s">
        <v>669</v>
      </c>
      <c r="D194" s="322"/>
      <c r="E194" s="838"/>
      <c r="F194" s="767"/>
      <c r="G194" s="206"/>
      <c r="H194" s="74"/>
      <c r="I194" s="562"/>
      <c r="J194" s="544"/>
      <c r="K194" s="365"/>
    </row>
    <row r="195" spans="1:11">
      <c r="A195" s="406"/>
      <c r="B195" s="362" t="s">
        <v>670</v>
      </c>
      <c r="C195" s="101" t="s">
        <v>671</v>
      </c>
      <c r="D195" s="342" t="s">
        <v>23</v>
      </c>
      <c r="E195" s="767">
        <v>95</v>
      </c>
      <c r="F195" s="767"/>
      <c r="G195" s="206"/>
      <c r="H195" s="74">
        <v>900</v>
      </c>
      <c r="I195" s="559" t="s">
        <v>272</v>
      </c>
      <c r="J195" s="544">
        <v>900</v>
      </c>
      <c r="K195" s="365">
        <v>75</v>
      </c>
    </row>
    <row r="196" spans="1:11">
      <c r="A196" s="406"/>
      <c r="B196" s="362" t="s">
        <v>672</v>
      </c>
      <c r="C196" s="102" t="s">
        <v>671</v>
      </c>
      <c r="D196" s="342" t="s">
        <v>23</v>
      </c>
      <c r="E196" s="767">
        <v>95</v>
      </c>
      <c r="F196" s="767"/>
      <c r="G196" s="206" t="s">
        <v>673</v>
      </c>
      <c r="H196" s="74">
        <v>800</v>
      </c>
      <c r="I196" s="559" t="s">
        <v>272</v>
      </c>
      <c r="J196" s="544">
        <v>800</v>
      </c>
      <c r="K196" s="365">
        <v>66.67</v>
      </c>
    </row>
    <row r="197" spans="1:11" ht="38.25">
      <c r="A197" s="2462"/>
      <c r="B197" s="362" t="s">
        <v>670</v>
      </c>
      <c r="C197" s="1220" t="s">
        <v>674</v>
      </c>
      <c r="D197" s="342" t="s">
        <v>18</v>
      </c>
      <c r="E197" s="2028">
        <v>45</v>
      </c>
      <c r="F197" s="960"/>
      <c r="G197" s="248" t="s">
        <v>675</v>
      </c>
      <c r="H197" s="398">
        <v>850</v>
      </c>
      <c r="I197" s="559" t="s">
        <v>272</v>
      </c>
      <c r="J197" s="74">
        <v>850</v>
      </c>
      <c r="K197" s="526">
        <v>35.42</v>
      </c>
    </row>
    <row r="198" spans="1:11" ht="38.25">
      <c r="A198" s="3459"/>
      <c r="B198" s="3459"/>
      <c r="C198" s="2804"/>
      <c r="D198" s="2774"/>
      <c r="E198" s="2028"/>
      <c r="F198" s="960"/>
      <c r="G198" s="248"/>
      <c r="H198" s="398"/>
      <c r="I198" s="2029"/>
      <c r="J198" s="74"/>
      <c r="K198" s="526"/>
    </row>
    <row r="199" spans="1:11">
      <c r="A199" s="2802"/>
      <c r="B199" s="2802"/>
      <c r="C199" s="2794"/>
      <c r="D199" s="3356"/>
      <c r="E199" s="3662"/>
      <c r="F199" s="3663"/>
      <c r="G199" s="3664"/>
      <c r="H199" s="3665"/>
      <c r="I199" s="3666"/>
      <c r="J199" s="3665"/>
      <c r="K199" s="3669"/>
    </row>
    <row r="200" spans="1:11">
      <c r="A200" s="3450"/>
      <c r="B200" s="3450"/>
      <c r="C200" s="2781"/>
      <c r="D200" s="3357"/>
      <c r="E200" s="142"/>
      <c r="F200" s="381"/>
      <c r="G200" s="478"/>
      <c r="H200" s="101"/>
      <c r="I200" s="339"/>
      <c r="J200" s="586"/>
      <c r="K200" s="526"/>
    </row>
    <row r="201" spans="1:11">
      <c r="A201" s="81"/>
      <c r="B201" s="81"/>
      <c r="C201" s="207"/>
      <c r="D201" s="391"/>
      <c r="E201" s="1409"/>
      <c r="F201" s="856"/>
      <c r="G201" s="887"/>
      <c r="H201" s="101"/>
      <c r="I201" s="1495"/>
      <c r="J201" s="3670"/>
      <c r="K201" s="3671"/>
    </row>
    <row r="202" spans="1:11">
      <c r="A202" s="43"/>
      <c r="B202" s="43"/>
      <c r="C202" s="101"/>
      <c r="D202" s="2030"/>
      <c r="E202" s="3662"/>
      <c r="F202" s="3663"/>
      <c r="G202" s="2407"/>
      <c r="H202" s="398"/>
      <c r="I202" s="3668"/>
      <c r="J202" s="3665"/>
      <c r="K202" s="3669"/>
    </row>
    <row r="203" spans="1:11">
      <c r="A203" s="43"/>
      <c r="B203" s="362"/>
      <c r="C203" s="101"/>
      <c r="D203" s="2030"/>
      <c r="E203" s="3662"/>
      <c r="F203" s="3663"/>
      <c r="G203" s="2407"/>
      <c r="H203" s="398"/>
      <c r="I203" s="3668"/>
      <c r="J203" s="3665"/>
      <c r="K203" s="3669"/>
    </row>
    <row r="204" spans="1:11">
      <c r="A204" s="995" t="s">
        <v>676</v>
      </c>
      <c r="B204" s="775"/>
      <c r="C204" s="101"/>
      <c r="D204" s="342"/>
      <c r="E204" s="871"/>
      <c r="F204" s="767"/>
      <c r="G204" s="206"/>
      <c r="H204" s="74"/>
      <c r="I204" s="560"/>
      <c r="J204" s="547"/>
      <c r="K204" s="365"/>
    </row>
    <row r="205" spans="1:11">
      <c r="A205" s="1382"/>
      <c r="B205" s="74" t="s">
        <v>677</v>
      </c>
      <c r="C205" s="101" t="s">
        <v>678</v>
      </c>
      <c r="D205" s="342" t="s">
        <v>390</v>
      </c>
      <c r="E205" s="871">
        <v>72</v>
      </c>
      <c r="F205" s="767" t="s">
        <v>367</v>
      </c>
      <c r="G205" s="979" t="s">
        <v>561</v>
      </c>
      <c r="H205" s="74"/>
      <c r="I205" s="560" t="s">
        <v>679</v>
      </c>
      <c r="J205" s="547">
        <v>814.15</v>
      </c>
      <c r="K205" s="365">
        <v>67.849999999999994</v>
      </c>
    </row>
    <row r="206" spans="1:11">
      <c r="A206" s="1382"/>
      <c r="B206" s="74"/>
      <c r="C206" s="101"/>
      <c r="D206" s="342"/>
      <c r="E206" s="871"/>
      <c r="F206" s="767"/>
      <c r="G206" s="206"/>
      <c r="H206" s="74"/>
      <c r="I206" s="560"/>
      <c r="J206" s="731"/>
      <c r="K206" s="365"/>
    </row>
    <row r="207" spans="1:11" ht="38.25">
      <c r="A207" s="1139"/>
      <c r="B207" s="1973" t="s">
        <v>680</v>
      </c>
      <c r="C207" s="2027"/>
      <c r="D207" s="2013"/>
      <c r="E207" s="142"/>
      <c r="F207" s="381"/>
      <c r="G207" s="206"/>
      <c r="H207" s="74"/>
      <c r="I207" s="560" t="s">
        <v>681</v>
      </c>
      <c r="J207" s="603"/>
      <c r="K207" s="378"/>
    </row>
    <row r="208" spans="1:11">
      <c r="A208" s="1382"/>
      <c r="B208" s="224" t="s">
        <v>682</v>
      </c>
      <c r="C208" s="877" t="s">
        <v>192</v>
      </c>
      <c r="D208" s="1619" t="s">
        <v>683</v>
      </c>
      <c r="E208" s="871" t="s">
        <v>684</v>
      </c>
      <c r="F208" s="767" t="s">
        <v>566</v>
      </c>
      <c r="G208" s="799" t="s">
        <v>685</v>
      </c>
      <c r="H208" s="74"/>
      <c r="I208" s="560" t="s">
        <v>686</v>
      </c>
      <c r="J208" s="603" t="s">
        <v>687</v>
      </c>
      <c r="K208" s="378">
        <v>71.17</v>
      </c>
    </row>
    <row r="209" spans="1:12">
      <c r="A209" s="1382"/>
      <c r="B209" s="778" t="s">
        <v>688</v>
      </c>
      <c r="C209" s="877" t="s">
        <v>192</v>
      </c>
      <c r="D209" s="1619" t="s">
        <v>683</v>
      </c>
      <c r="E209" s="871" t="s">
        <v>689</v>
      </c>
      <c r="F209" s="767" t="s">
        <v>690</v>
      </c>
      <c r="G209" s="2731"/>
      <c r="H209" s="74">
        <v>712.15</v>
      </c>
      <c r="I209" s="560" t="s">
        <v>691</v>
      </c>
      <c r="J209" s="603" t="s">
        <v>692</v>
      </c>
      <c r="K209" s="378">
        <v>61.75</v>
      </c>
    </row>
    <row r="210" spans="1:12">
      <c r="A210" s="74"/>
      <c r="B210" s="224"/>
      <c r="C210" s="877"/>
      <c r="D210" s="1619"/>
      <c r="E210" s="871"/>
      <c r="F210" s="767"/>
      <c r="G210" s="206"/>
      <c r="H210" s="74"/>
      <c r="I210" s="560" t="s">
        <v>693</v>
      </c>
      <c r="J210" s="547"/>
      <c r="K210" s="365"/>
    </row>
    <row r="211" spans="1:12">
      <c r="A211" s="74"/>
      <c r="B211" s="778" t="s">
        <v>688</v>
      </c>
      <c r="C211" s="877" t="s">
        <v>192</v>
      </c>
      <c r="D211" s="1619" t="s">
        <v>683</v>
      </c>
      <c r="E211" s="871" t="s">
        <v>689</v>
      </c>
      <c r="F211" s="767" t="s">
        <v>690</v>
      </c>
      <c r="G211" s="2737" t="s">
        <v>694</v>
      </c>
      <c r="H211" s="74">
        <v>712.15</v>
      </c>
      <c r="I211" s="562" t="s">
        <v>695</v>
      </c>
      <c r="J211" s="1031" t="s">
        <v>696</v>
      </c>
      <c r="K211" s="550">
        <v>62.58</v>
      </c>
    </row>
    <row r="212" spans="1:12">
      <c r="A212" s="74"/>
      <c r="B212" s="224" t="s">
        <v>697</v>
      </c>
      <c r="C212" s="877" t="s">
        <v>192</v>
      </c>
      <c r="D212" s="1619" t="s">
        <v>683</v>
      </c>
      <c r="E212" s="84" t="s">
        <v>698</v>
      </c>
      <c r="F212" s="856" t="s">
        <v>699</v>
      </c>
      <c r="G212" s="2737" t="s">
        <v>700</v>
      </c>
      <c r="H212" s="74">
        <v>1135.52</v>
      </c>
      <c r="I212" s="562" t="s">
        <v>701</v>
      </c>
      <c r="J212" s="1031" t="s">
        <v>702</v>
      </c>
      <c r="K212" s="550">
        <v>99.25</v>
      </c>
    </row>
    <row r="213" spans="1:12">
      <c r="A213" s="63"/>
      <c r="B213" s="224" t="s">
        <v>703</v>
      </c>
      <c r="C213" s="320" t="s">
        <v>276</v>
      </c>
      <c r="D213" s="624" t="s">
        <v>130</v>
      </c>
      <c r="E213" s="871">
        <v>125</v>
      </c>
      <c r="F213" s="767" t="s">
        <v>704</v>
      </c>
      <c r="G213" s="3036" t="s">
        <v>700</v>
      </c>
      <c r="H213" s="74">
        <v>2668.25</v>
      </c>
      <c r="I213" s="560"/>
      <c r="J213" s="546" t="s">
        <v>705</v>
      </c>
      <c r="K213" s="2601">
        <v>118.96</v>
      </c>
    </row>
    <row r="214" spans="1:12">
      <c r="A214" s="63"/>
      <c r="B214" s="224" t="s">
        <v>706</v>
      </c>
      <c r="C214" s="320" t="s">
        <v>276</v>
      </c>
      <c r="D214" s="624" t="s">
        <v>130</v>
      </c>
      <c r="E214" s="871">
        <v>125</v>
      </c>
      <c r="F214" s="767" t="s">
        <v>704</v>
      </c>
      <c r="G214" s="3036" t="s">
        <v>700</v>
      </c>
      <c r="H214" s="74">
        <v>2660.75</v>
      </c>
      <c r="I214" s="560"/>
      <c r="J214" s="546" t="s">
        <v>707</v>
      </c>
      <c r="K214" s="2601">
        <v>118.63</v>
      </c>
    </row>
    <row r="215" spans="1:12">
      <c r="A215" s="63"/>
      <c r="B215" s="224" t="s">
        <v>708</v>
      </c>
      <c r="C215" s="101" t="s">
        <v>276</v>
      </c>
      <c r="D215" s="624" t="s">
        <v>709</v>
      </c>
      <c r="E215" s="84">
        <v>125</v>
      </c>
      <c r="F215" s="856" t="s">
        <v>710</v>
      </c>
      <c r="G215" s="3035" t="s">
        <v>700</v>
      </c>
      <c r="H215" s="101">
        <v>1303.74</v>
      </c>
      <c r="I215" s="562" t="s">
        <v>711</v>
      </c>
      <c r="J215" s="2602" t="s">
        <v>712</v>
      </c>
      <c r="K215" s="176">
        <v>110.5</v>
      </c>
    </row>
    <row r="216" spans="1:12">
      <c r="A216" s="753"/>
      <c r="B216" s="224" t="s">
        <v>713</v>
      </c>
      <c r="C216" s="101" t="s">
        <v>284</v>
      </c>
      <c r="D216" s="624" t="s">
        <v>130</v>
      </c>
      <c r="E216" s="84">
        <v>190</v>
      </c>
      <c r="F216" s="856" t="s">
        <v>714</v>
      </c>
      <c r="G216" s="2596" t="s">
        <v>715</v>
      </c>
      <c r="H216" s="101"/>
      <c r="I216" s="1071"/>
      <c r="J216" s="2602" t="s">
        <v>716</v>
      </c>
      <c r="K216" s="176">
        <v>176.25</v>
      </c>
    </row>
    <row r="217" spans="1:12" ht="33" customHeight="1">
      <c r="A217" s="74"/>
      <c r="B217" s="224" t="s">
        <v>713</v>
      </c>
      <c r="C217" s="101" t="s">
        <v>717</v>
      </c>
      <c r="D217" s="624" t="s">
        <v>130</v>
      </c>
      <c r="E217" s="2020">
        <v>65</v>
      </c>
      <c r="F217" s="859" t="s">
        <v>552</v>
      </c>
      <c r="G217" s="217" t="s">
        <v>715</v>
      </c>
      <c r="H217" s="74"/>
      <c r="I217" s="560"/>
      <c r="J217" s="547" t="s">
        <v>707</v>
      </c>
      <c r="K217" s="792">
        <v>59.31</v>
      </c>
    </row>
    <row r="218" spans="1:12">
      <c r="A218" s="74"/>
      <c r="B218" s="406" t="s">
        <v>718</v>
      </c>
      <c r="C218" s="101" t="s">
        <v>352</v>
      </c>
      <c r="D218" s="207" t="s">
        <v>719</v>
      </c>
      <c r="E218" s="2020">
        <v>210</v>
      </c>
      <c r="F218" s="859" t="s">
        <v>699</v>
      </c>
      <c r="G218" s="3036" t="s">
        <v>700</v>
      </c>
      <c r="H218" s="74">
        <v>1124</v>
      </c>
      <c r="I218" s="560"/>
      <c r="J218" s="547" t="s">
        <v>720</v>
      </c>
      <c r="K218" s="792">
        <v>200.45</v>
      </c>
      <c r="L218" s="45"/>
    </row>
    <row r="219" spans="1:12" s="45" customFormat="1">
      <c r="A219" s="74"/>
      <c r="B219" s="224"/>
      <c r="C219" s="101"/>
      <c r="D219" s="624"/>
      <c r="E219" s="84"/>
      <c r="F219" s="856"/>
      <c r="G219" s="3035"/>
      <c r="H219" s="101"/>
      <c r="I219" s="562"/>
      <c r="J219" s="2602"/>
      <c r="K219" s="176"/>
    </row>
    <row r="220" spans="1:12" ht="35.450000000000003" customHeight="1">
      <c r="A220" s="63"/>
      <c r="B220" s="224"/>
      <c r="C220" s="877"/>
      <c r="D220" s="1619"/>
      <c r="E220" s="84"/>
      <c r="F220" s="856"/>
      <c r="G220" s="2737"/>
      <c r="H220" s="74"/>
      <c r="I220" s="562"/>
      <c r="J220" s="1031"/>
      <c r="K220" s="550"/>
    </row>
    <row r="221" spans="1:12">
      <c r="A221" s="63"/>
      <c r="B221" s="224"/>
      <c r="C221" s="320"/>
      <c r="D221" s="624"/>
      <c r="E221" s="871"/>
      <c r="F221" s="767"/>
      <c r="G221" s="3036"/>
      <c r="H221" s="74"/>
      <c r="I221" s="560"/>
      <c r="J221" s="546"/>
      <c r="K221" s="2601"/>
      <c r="L221" s="46"/>
    </row>
    <row r="222" spans="1:12">
      <c r="A222" s="63"/>
      <c r="B222" s="224"/>
      <c r="C222" s="320"/>
      <c r="D222" s="624"/>
      <c r="E222" s="871"/>
      <c r="F222" s="767"/>
      <c r="G222" s="3036"/>
      <c r="H222" s="74"/>
      <c r="I222" s="560"/>
      <c r="J222" s="546"/>
      <c r="K222" s="2601"/>
      <c r="L222" s="46"/>
    </row>
    <row r="223" spans="1:12">
      <c r="A223" s="753"/>
      <c r="B223" s="406"/>
      <c r="C223" s="101"/>
      <c r="D223" s="207"/>
      <c r="E223" s="2020"/>
      <c r="F223" s="859"/>
      <c r="G223" s="3036"/>
      <c r="H223" s="74"/>
      <c r="I223" s="560"/>
      <c r="J223" s="547"/>
      <c r="K223" s="792"/>
    </row>
    <row r="224" spans="1:12">
      <c r="B224" s="75"/>
      <c r="C224" s="104"/>
      <c r="D224" s="167"/>
      <c r="E224" s="2473"/>
      <c r="F224" s="2474"/>
      <c r="G224" s="269"/>
      <c r="H224" s="642"/>
      <c r="I224" s="2475"/>
      <c r="J224" s="545"/>
    </row>
    <row r="225" spans="1:11">
      <c r="A225" s="45" t="s">
        <v>0</v>
      </c>
      <c r="B225" s="45"/>
      <c r="C225" s="68"/>
      <c r="D225" s="612"/>
      <c r="F225" s="104"/>
      <c r="H225" s="45"/>
      <c r="I225" s="556"/>
    </row>
    <row r="226" spans="1:11">
      <c r="A226" s="3480" t="s">
        <v>1</v>
      </c>
      <c r="B226" s="3480"/>
      <c r="C226" s="46"/>
      <c r="D226" s="124"/>
      <c r="F226" s="104"/>
      <c r="H226" s="45"/>
      <c r="I226" s="556"/>
    </row>
    <row r="227" spans="1:11" ht="35.25" thickBot="1">
      <c r="F227" s="104"/>
    </row>
    <row r="228" spans="1:11">
      <c r="A228" s="3481" t="s">
        <v>2</v>
      </c>
      <c r="B228" s="3482"/>
      <c r="C228" s="48" t="s">
        <v>3</v>
      </c>
      <c r="D228" s="436" t="s">
        <v>4</v>
      </c>
      <c r="E228" s="868" t="s">
        <v>5</v>
      </c>
      <c r="F228" s="849" t="s">
        <v>5</v>
      </c>
      <c r="G228" s="211" t="s">
        <v>6</v>
      </c>
      <c r="H228" s="48" t="s">
        <v>7</v>
      </c>
      <c r="I228" s="557" t="s">
        <v>8</v>
      </c>
      <c r="J228" s="541" t="s">
        <v>9</v>
      </c>
      <c r="K228" s="346" t="s">
        <v>9</v>
      </c>
    </row>
    <row r="229" spans="1:11" ht="35.25" thickBot="1">
      <c r="A229" s="51"/>
      <c r="B229" s="72"/>
      <c r="C229" s="50"/>
      <c r="D229" s="437" t="s">
        <v>10</v>
      </c>
      <c r="E229" s="869" t="s">
        <v>12</v>
      </c>
      <c r="F229" s="850" t="s">
        <v>11</v>
      </c>
      <c r="G229" s="212"/>
      <c r="H229" s="50" t="s">
        <v>13</v>
      </c>
      <c r="I229" s="558"/>
      <c r="J229" s="542" t="s">
        <v>14</v>
      </c>
      <c r="K229" s="347" t="s">
        <v>15</v>
      </c>
    </row>
    <row r="230" spans="1:11">
      <c r="A230" s="782"/>
      <c r="B230" s="1814" t="s">
        <v>721</v>
      </c>
      <c r="C230" s="877"/>
      <c r="D230" s="1619"/>
      <c r="E230" s="142"/>
      <c r="F230" s="381"/>
      <c r="G230" s="1616"/>
      <c r="H230" s="971"/>
      <c r="I230" s="506"/>
      <c r="J230" s="1620"/>
      <c r="K230" s="1618"/>
    </row>
    <row r="231" spans="1:11">
      <c r="A231" s="398"/>
      <c r="B231" s="1006" t="s">
        <v>682</v>
      </c>
      <c r="C231" s="877" t="s">
        <v>192</v>
      </c>
      <c r="D231" s="1619" t="s">
        <v>683</v>
      </c>
      <c r="E231" s="142">
        <v>80</v>
      </c>
      <c r="F231" s="381" t="s">
        <v>722</v>
      </c>
      <c r="G231" s="2412" t="s">
        <v>723</v>
      </c>
      <c r="H231" s="971">
        <v>845</v>
      </c>
      <c r="I231" s="506" t="s">
        <v>724</v>
      </c>
      <c r="J231" s="1620" t="s">
        <v>725</v>
      </c>
      <c r="K231" s="2384" t="s">
        <v>726</v>
      </c>
    </row>
    <row r="232" spans="1:11">
      <c r="A232" s="406"/>
      <c r="B232" s="1006" t="s">
        <v>727</v>
      </c>
      <c r="C232" s="877" t="s">
        <v>192</v>
      </c>
      <c r="D232" s="1619" t="s">
        <v>683</v>
      </c>
      <c r="E232" s="142">
        <v>120</v>
      </c>
      <c r="F232" s="381" t="s">
        <v>728</v>
      </c>
      <c r="G232" s="2412" t="s">
        <v>729</v>
      </c>
      <c r="H232" s="971">
        <v>1265</v>
      </c>
      <c r="I232" s="506" t="s">
        <v>724</v>
      </c>
      <c r="J232" s="1620" t="s">
        <v>730</v>
      </c>
      <c r="K232" s="2384" t="s">
        <v>731</v>
      </c>
    </row>
    <row r="233" spans="1:11">
      <c r="A233" s="406"/>
      <c r="B233" s="406" t="s">
        <v>703</v>
      </c>
      <c r="C233" s="320"/>
      <c r="D233" s="624" t="s">
        <v>130</v>
      </c>
      <c r="E233" s="420">
        <v>130</v>
      </c>
      <c r="F233" s="852"/>
      <c r="G233" s="979" t="s">
        <v>732</v>
      </c>
      <c r="H233" s="224">
        <v>2980</v>
      </c>
      <c r="I233" s="778" t="s">
        <v>578</v>
      </c>
      <c r="J233" s="609" t="s">
        <v>733</v>
      </c>
      <c r="K233" s="780" t="s">
        <v>734</v>
      </c>
    </row>
    <row r="234" spans="1:11">
      <c r="A234" s="406"/>
      <c r="B234" s="406" t="s">
        <v>703</v>
      </c>
      <c r="C234" s="320"/>
      <c r="D234" s="624" t="s">
        <v>130</v>
      </c>
      <c r="E234" s="420">
        <v>130</v>
      </c>
      <c r="F234" s="852"/>
      <c r="G234" s="979" t="s">
        <v>732</v>
      </c>
      <c r="H234" s="224">
        <v>2980</v>
      </c>
      <c r="I234" s="778" t="s">
        <v>578</v>
      </c>
      <c r="J234" s="609" t="s">
        <v>733</v>
      </c>
      <c r="K234" s="2603" t="s">
        <v>734</v>
      </c>
    </row>
    <row r="235" spans="1:11">
      <c r="A235" s="406"/>
      <c r="B235" s="406" t="s">
        <v>735</v>
      </c>
      <c r="C235" s="320"/>
      <c r="D235" s="624"/>
      <c r="E235" s="420"/>
      <c r="F235" s="852"/>
      <c r="G235" s="979"/>
      <c r="H235" s="224"/>
      <c r="I235" s="778"/>
      <c r="J235" s="609"/>
      <c r="K235" s="780"/>
    </row>
    <row r="236" spans="1:11">
      <c r="A236" s="406"/>
      <c r="B236" s="362"/>
      <c r="C236" s="207"/>
      <c r="D236" s="322"/>
      <c r="E236" s="84"/>
      <c r="F236" s="856"/>
      <c r="G236" s="1889"/>
      <c r="H236" s="320"/>
      <c r="I236" s="3672"/>
      <c r="J236" s="3046"/>
      <c r="K236" s="3385"/>
    </row>
    <row r="237" spans="1:11" ht="38.25">
      <c r="A237" s="2462"/>
      <c r="B237" s="750"/>
      <c r="C237" s="207"/>
      <c r="D237" s="207"/>
      <c r="E237" s="84"/>
      <c r="F237" s="856"/>
      <c r="G237" s="312"/>
      <c r="H237" s="341"/>
      <c r="I237" s="505"/>
      <c r="J237" s="3046"/>
      <c r="K237" s="3385"/>
    </row>
    <row r="238" spans="1:11">
      <c r="A238" s="1516"/>
      <c r="B238" s="750"/>
      <c r="C238" s="207"/>
      <c r="D238" s="207"/>
      <c r="E238" s="84"/>
      <c r="F238" s="856"/>
      <c r="G238" s="2405"/>
      <c r="H238" s="341"/>
      <c r="I238" s="3673"/>
      <c r="J238" s="3046"/>
      <c r="K238" s="3385"/>
    </row>
    <row r="239" spans="1:11">
      <c r="A239" s="1384"/>
      <c r="B239" s="1336"/>
      <c r="C239" s="341"/>
      <c r="D239" s="207"/>
      <c r="E239" s="875"/>
      <c r="F239" s="852"/>
      <c r="G239" s="310"/>
      <c r="H239" s="207"/>
      <c r="I239" s="431"/>
      <c r="J239" s="3046"/>
      <c r="K239" s="3385"/>
    </row>
    <row r="240" spans="1:11">
      <c r="A240" s="1161"/>
      <c r="B240" s="362"/>
      <c r="C240" s="341"/>
      <c r="D240" s="413"/>
      <c r="E240" s="142"/>
      <c r="F240" s="381"/>
      <c r="G240" s="312"/>
      <c r="H240" s="341"/>
      <c r="I240" s="505"/>
      <c r="J240" s="3046"/>
      <c r="K240" s="2534"/>
    </row>
    <row r="241" spans="1:11">
      <c r="A241" s="770"/>
      <c r="B241" s="770"/>
      <c r="C241" s="341"/>
      <c r="D241" s="413"/>
      <c r="E241" s="1409"/>
      <c r="F241" s="856"/>
      <c r="G241" s="312"/>
      <c r="H241" s="341"/>
      <c r="I241" s="505"/>
      <c r="J241" s="3046"/>
      <c r="K241" s="3674"/>
    </row>
    <row r="242" spans="1:11">
      <c r="A242" s="406"/>
      <c r="B242" s="1336"/>
      <c r="C242" s="341"/>
      <c r="D242" s="413"/>
      <c r="E242" s="3662"/>
      <c r="F242" s="3663"/>
      <c r="G242" s="312"/>
      <c r="H242" s="341"/>
      <c r="I242" s="505"/>
      <c r="J242" s="3046"/>
      <c r="K242" s="3674"/>
    </row>
    <row r="243" spans="1:11">
      <c r="A243" s="406"/>
      <c r="B243" s="406"/>
      <c r="C243" s="341"/>
      <c r="D243" s="413"/>
      <c r="E243" s="3662"/>
      <c r="F243" s="3663"/>
      <c r="G243" s="312"/>
      <c r="H243" s="341"/>
      <c r="I243" s="505"/>
      <c r="J243" s="3046"/>
      <c r="K243" s="3674"/>
    </row>
    <row r="244" spans="1:11">
      <c r="A244" s="398"/>
      <c r="B244" s="1336"/>
      <c r="C244" s="320"/>
      <c r="D244" s="624"/>
      <c r="E244" s="871"/>
      <c r="F244" s="767"/>
      <c r="G244" s="223"/>
      <c r="H244" s="74"/>
      <c r="I244" s="560"/>
      <c r="J244" s="547"/>
      <c r="K244" s="550"/>
    </row>
    <row r="245" spans="1:11" ht="35.25" thickBot="1">
      <c r="A245" s="1782"/>
      <c r="B245" s="1336"/>
      <c r="C245" s="341"/>
      <c r="D245" s="413"/>
      <c r="E245" s="1409"/>
      <c r="F245" s="856"/>
      <c r="G245" s="312"/>
      <c r="H245" s="341"/>
      <c r="I245" s="505"/>
      <c r="J245" s="3046"/>
      <c r="K245" s="2304"/>
    </row>
    <row r="246" spans="1:11">
      <c r="A246" s="1019"/>
      <c r="B246" s="1009"/>
      <c r="C246" s="207"/>
      <c r="D246" s="322"/>
      <c r="E246" s="3662"/>
      <c r="F246" s="3663"/>
      <c r="G246" s="310"/>
      <c r="H246" s="207"/>
      <c r="I246" s="431"/>
      <c r="J246" s="3670"/>
      <c r="K246" s="3675"/>
    </row>
    <row r="247" spans="1:11">
      <c r="A247" s="438"/>
      <c r="B247" s="406"/>
      <c r="C247" s="320"/>
      <c r="D247" s="624"/>
      <c r="E247" s="871"/>
      <c r="F247" s="767"/>
      <c r="G247" s="223"/>
      <c r="H247" s="74"/>
      <c r="I247" s="560"/>
      <c r="J247" s="547"/>
      <c r="K247" s="365"/>
    </row>
    <row r="248" spans="1:11">
      <c r="A248" s="254"/>
      <c r="B248" s="996"/>
      <c r="C248" s="986"/>
      <c r="D248" s="413"/>
      <c r="E248" s="1409"/>
      <c r="F248" s="856"/>
      <c r="G248" s="312"/>
      <c r="H248" s="341"/>
      <c r="I248" s="505"/>
      <c r="J248" s="3046"/>
      <c r="K248" s="2304"/>
    </row>
    <row r="249" spans="1:11">
      <c r="A249" s="398"/>
      <c r="B249" s="1009"/>
      <c r="C249" s="207"/>
      <c r="D249" s="322"/>
      <c r="E249" s="3662"/>
      <c r="F249" s="3663"/>
      <c r="G249" s="310"/>
      <c r="H249" s="207"/>
      <c r="I249" s="431"/>
      <c r="J249" s="3670"/>
      <c r="K249" s="3675"/>
    </row>
    <row r="250" spans="1:11">
      <c r="A250" s="782"/>
      <c r="B250" s="1614"/>
      <c r="C250" s="877"/>
      <c r="D250" s="1619"/>
      <c r="E250" s="142"/>
      <c r="F250" s="381"/>
      <c r="G250" s="1616"/>
      <c r="H250" s="971"/>
      <c r="I250" s="506"/>
      <c r="J250" s="1620"/>
      <c r="K250" s="1618"/>
    </row>
    <row r="251" spans="1:11">
      <c r="A251" s="663"/>
      <c r="B251" s="1006"/>
      <c r="C251" s="877"/>
      <c r="D251" s="1619"/>
      <c r="E251" s="142"/>
      <c r="F251" s="381"/>
      <c r="G251" s="1616"/>
      <c r="H251" s="971"/>
      <c r="I251" s="506"/>
      <c r="J251" s="1620"/>
      <c r="K251" s="2384"/>
    </row>
    <row r="252" spans="1:11">
      <c r="A252" s="766"/>
      <c r="B252" s="1006"/>
      <c r="C252" s="877"/>
      <c r="D252" s="1619"/>
      <c r="E252" s="142"/>
      <c r="F252" s="381"/>
      <c r="G252" s="1616"/>
      <c r="H252" s="971"/>
      <c r="I252" s="506"/>
      <c r="J252" s="1620"/>
      <c r="K252" s="2384"/>
    </row>
    <row r="253" spans="1:11">
      <c r="A253" s="406"/>
      <c r="B253" s="406"/>
      <c r="C253" s="320"/>
      <c r="D253" s="624"/>
      <c r="E253" s="420"/>
      <c r="F253" s="852"/>
      <c r="G253" s="223"/>
      <c r="H253" s="224"/>
      <c r="I253" s="778"/>
      <c r="J253" s="609"/>
      <c r="K253" s="780"/>
    </row>
    <row r="254" spans="1:11">
      <c r="A254" s="406"/>
      <c r="B254" s="406"/>
      <c r="C254" s="320"/>
      <c r="D254" s="413"/>
      <c r="E254" s="875"/>
      <c r="F254" s="852"/>
      <c r="G254" s="223"/>
      <c r="H254" s="224"/>
      <c r="I254" s="1456"/>
      <c r="J254" s="603"/>
      <c r="K254" s="779"/>
    </row>
    <row r="255" spans="1:11">
      <c r="A255" s="406"/>
      <c r="B255" s="406"/>
      <c r="C255" s="320"/>
      <c r="D255" s="413"/>
      <c r="E255" s="875"/>
      <c r="F255" s="852"/>
      <c r="G255" s="223"/>
      <c r="H255" s="224"/>
      <c r="I255" s="1456"/>
      <c r="J255" s="1457"/>
      <c r="K255" s="378"/>
    </row>
    <row r="256" spans="1:11">
      <c r="A256" s="438"/>
      <c r="B256" s="406"/>
      <c r="C256" s="320"/>
      <c r="D256" s="624"/>
      <c r="E256" s="871"/>
      <c r="F256" s="767"/>
      <c r="G256" s="223"/>
      <c r="H256" s="74"/>
      <c r="I256" s="560"/>
      <c r="J256" s="603"/>
      <c r="K256" s="378"/>
    </row>
    <row r="257" spans="1:11">
      <c r="A257" s="254"/>
      <c r="B257" s="406"/>
      <c r="C257" s="320"/>
      <c r="D257" s="624"/>
      <c r="E257" s="871"/>
      <c r="F257" s="767"/>
      <c r="G257" s="223"/>
      <c r="H257" s="74"/>
      <c r="I257" s="560"/>
      <c r="J257" s="603"/>
      <c r="K257" s="378"/>
    </row>
    <row r="258" spans="1:11">
      <c r="A258" s="398"/>
      <c r="B258" s="406"/>
      <c r="C258" s="320"/>
      <c r="D258" s="624"/>
      <c r="E258" s="767"/>
      <c r="F258" s="767"/>
      <c r="G258" s="223"/>
      <c r="H258" s="74"/>
      <c r="I258" s="560"/>
      <c r="J258" s="547"/>
      <c r="K258" s="365"/>
    </row>
    <row r="259" spans="1:11">
      <c r="A259" s="398"/>
      <c r="B259" s="406"/>
      <c r="C259" s="320"/>
      <c r="D259" s="413"/>
      <c r="E259" s="838"/>
      <c r="F259" s="767"/>
      <c r="G259" s="223"/>
      <c r="H259" s="74"/>
      <c r="I259" s="562"/>
      <c r="J259" s="547"/>
      <c r="K259" s="550"/>
    </row>
    <row r="260" spans="1:11">
      <c r="A260" s="398"/>
      <c r="B260" s="1336"/>
      <c r="C260" s="320"/>
      <c r="D260" s="413"/>
      <c r="E260" s="838"/>
      <c r="F260" s="767"/>
      <c r="G260" s="223"/>
      <c r="H260" s="74"/>
      <c r="I260" s="562"/>
      <c r="J260" s="644"/>
      <c r="K260" s="365"/>
    </row>
    <row r="261" spans="1:11" ht="37.5">
      <c r="A261" s="766"/>
      <c r="B261" s="2022"/>
      <c r="C261" s="1765"/>
      <c r="D261" s="831"/>
      <c r="E261" s="838"/>
      <c r="F261" s="767"/>
      <c r="G261" s="2476"/>
      <c r="H261" s="778"/>
      <c r="I261" s="562"/>
      <c r="J261" s="2252"/>
      <c r="K261" s="780"/>
    </row>
    <row r="262" spans="1:11">
      <c r="A262" s="782"/>
      <c r="B262" s="788"/>
      <c r="C262" s="320"/>
      <c r="D262" s="831"/>
      <c r="E262" s="838"/>
      <c r="F262" s="767"/>
      <c r="G262" s="223"/>
      <c r="H262" s="74"/>
      <c r="I262" s="562"/>
      <c r="J262" s="644"/>
      <c r="K262" s="365"/>
    </row>
    <row r="263" spans="1:11">
      <c r="A263" s="398"/>
      <c r="B263" s="406"/>
      <c r="C263" s="320"/>
      <c r="D263" s="413"/>
      <c r="E263" s="838"/>
      <c r="F263" s="767"/>
      <c r="G263" s="223"/>
      <c r="H263" s="74"/>
      <c r="I263" s="562"/>
      <c r="J263" s="546"/>
      <c r="K263" s="365"/>
    </row>
    <row r="264" spans="1:11">
      <c r="A264" s="766"/>
      <c r="B264" s="320"/>
      <c r="C264" s="413"/>
      <c r="D264" s="776"/>
      <c r="E264" s="624"/>
      <c r="F264" s="223"/>
      <c r="G264" s="224"/>
      <c r="H264" s="778"/>
      <c r="I264" s="609"/>
      <c r="J264" s="779"/>
      <c r="K264" s="780"/>
    </row>
    <row r="265" spans="1:11">
      <c r="A265" s="406"/>
      <c r="B265" s="766"/>
      <c r="C265" s="320"/>
      <c r="D265" s="413"/>
      <c r="E265" s="838"/>
      <c r="F265" s="767"/>
      <c r="G265" s="206"/>
      <c r="H265" s="74"/>
      <c r="I265" s="560"/>
      <c r="J265" s="547"/>
      <c r="K265" s="394"/>
    </row>
    <row r="266" spans="1:11">
      <c r="A266" s="406"/>
      <c r="B266" s="406"/>
      <c r="C266" s="320"/>
      <c r="D266" s="413"/>
      <c r="E266" s="838"/>
      <c r="F266" s="767"/>
      <c r="G266" s="206"/>
      <c r="H266" s="74"/>
      <c r="I266" s="563"/>
      <c r="J266" s="544"/>
      <c r="K266" s="394"/>
    </row>
    <row r="267" spans="1:11">
      <c r="A267" s="43"/>
      <c r="B267" s="43"/>
      <c r="C267" s="101"/>
      <c r="D267" s="322"/>
      <c r="E267" s="838"/>
      <c r="F267" s="767"/>
      <c r="G267" s="206"/>
      <c r="H267" s="74"/>
      <c r="I267" s="563"/>
      <c r="J267" s="548"/>
      <c r="K267" s="365"/>
    </row>
    <row r="268" spans="1:11">
      <c r="A268" s="43"/>
      <c r="B268" s="43"/>
      <c r="C268" s="101"/>
      <c r="D268" s="342"/>
      <c r="E268" s="871"/>
      <c r="F268" s="767"/>
      <c r="G268" s="206"/>
      <c r="H268" s="74"/>
      <c r="I268" s="563"/>
      <c r="J268" s="544"/>
      <c r="K268" s="365"/>
    </row>
    <row r="269" spans="1:11">
      <c r="A269" s="362"/>
      <c r="B269" s="43"/>
      <c r="C269" s="101"/>
      <c r="D269" s="342"/>
      <c r="E269" s="871"/>
      <c r="F269" s="767"/>
      <c r="G269" s="206"/>
      <c r="H269" s="74"/>
      <c r="I269" s="563"/>
      <c r="J269" s="544"/>
      <c r="K269" s="365"/>
    </row>
    <row r="270" spans="1:11">
      <c r="A270" s="362"/>
      <c r="B270" s="362"/>
      <c r="C270" s="101"/>
      <c r="D270" s="342"/>
      <c r="E270" s="871"/>
      <c r="F270" s="767"/>
      <c r="G270" s="206"/>
      <c r="H270" s="74"/>
      <c r="I270" s="563"/>
      <c r="J270" s="544"/>
      <c r="K270" s="365"/>
    </row>
    <row r="271" spans="1:11">
      <c r="A271" s="362"/>
      <c r="B271" s="362"/>
      <c r="C271" s="101"/>
      <c r="D271" s="342"/>
      <c r="E271" s="871"/>
      <c r="F271" s="767"/>
      <c r="G271" s="206"/>
      <c r="H271" s="74"/>
      <c r="I271" s="563"/>
      <c r="J271" s="544"/>
      <c r="K271" s="365"/>
    </row>
    <row r="272" spans="1:11">
      <c r="A272" s="83"/>
      <c r="B272" s="362"/>
      <c r="C272" s="101"/>
      <c r="D272" s="342"/>
      <c r="E272" s="871"/>
      <c r="F272" s="767"/>
      <c r="G272" s="206"/>
      <c r="H272" s="74"/>
      <c r="I272" s="563"/>
      <c r="J272" s="544"/>
      <c r="K272" s="365"/>
    </row>
    <row r="273" spans="1:11">
      <c r="A273" s="3483"/>
      <c r="B273" s="3484"/>
      <c r="C273" s="101"/>
      <c r="D273" s="322"/>
      <c r="E273" s="838"/>
      <c r="F273" s="767"/>
      <c r="G273" s="206"/>
      <c r="H273" s="74"/>
      <c r="I273" s="560"/>
      <c r="J273" s="544"/>
      <c r="K273" s="365"/>
    </row>
    <row r="274" spans="1:11">
      <c r="A274" s="389"/>
      <c r="B274" s="382"/>
      <c r="C274" s="101"/>
      <c r="D274" s="342"/>
      <c r="E274" s="871"/>
      <c r="F274" s="767"/>
      <c r="G274" s="206"/>
      <c r="H274" s="74"/>
      <c r="I274" s="560"/>
      <c r="J274" s="547"/>
      <c r="K274" s="616"/>
    </row>
    <row r="275" spans="1:11">
      <c r="A275" s="87"/>
      <c r="B275" s="43"/>
      <c r="C275" s="101"/>
      <c r="D275" s="342"/>
      <c r="E275" s="871"/>
      <c r="F275" s="767"/>
      <c r="G275" s="206"/>
      <c r="H275" s="74"/>
      <c r="I275" s="560"/>
      <c r="J275" s="547"/>
      <c r="K275" s="550"/>
    </row>
    <row r="276" spans="1:11">
      <c r="A276" s="438"/>
      <c r="B276" s="766"/>
      <c r="C276" s="101"/>
      <c r="D276" s="342"/>
      <c r="E276" s="871"/>
      <c r="F276" s="767"/>
      <c r="G276" s="206"/>
      <c r="H276" s="74"/>
      <c r="I276" s="560"/>
      <c r="J276" s="547"/>
      <c r="K276" s="616"/>
    </row>
    <row r="277" spans="1:11">
      <c r="A277" s="3451"/>
      <c r="B277" s="3452"/>
      <c r="C277" s="101"/>
      <c r="D277" s="322"/>
      <c r="E277" s="838"/>
      <c r="F277" s="767"/>
      <c r="G277" s="206"/>
      <c r="H277" s="74"/>
      <c r="I277" s="560"/>
      <c r="J277" s="544"/>
      <c r="K277" s="365"/>
    </row>
    <row r="278" spans="1:11">
      <c r="A278" s="83"/>
      <c r="B278" s="383"/>
      <c r="C278" s="390"/>
      <c r="D278" s="322"/>
      <c r="E278" s="838"/>
      <c r="F278" s="767"/>
      <c r="G278" s="206"/>
      <c r="H278" s="74"/>
      <c r="I278" s="562"/>
      <c r="J278" s="544"/>
      <c r="K278" s="365"/>
    </row>
    <row r="279" spans="1:11">
      <c r="A279" s="766"/>
      <c r="B279" s="1384"/>
      <c r="C279" s="390"/>
      <c r="D279" s="322"/>
      <c r="E279" s="838"/>
      <c r="F279" s="767"/>
      <c r="G279" s="206"/>
      <c r="H279" s="74"/>
      <c r="I279" s="562"/>
      <c r="J279" s="544"/>
      <c r="K279" s="365"/>
    </row>
    <row r="280" spans="1:11">
      <c r="A280" s="265"/>
      <c r="B280" s="43"/>
      <c r="C280" s="101"/>
      <c r="D280" s="322"/>
      <c r="E280" s="838"/>
      <c r="F280" s="767"/>
      <c r="G280" s="206"/>
      <c r="H280" s="74"/>
      <c r="I280" s="562"/>
      <c r="J280" s="546"/>
      <c r="K280" s="365"/>
    </row>
    <row r="281" spans="1:11">
      <c r="A281" s="254"/>
      <c r="B281" s="43"/>
      <c r="C281" s="320"/>
      <c r="D281" s="342"/>
      <c r="E281" s="871"/>
      <c r="F281" s="767"/>
      <c r="G281" s="206"/>
      <c r="H281" s="74"/>
      <c r="I281" s="560"/>
      <c r="J281" s="548"/>
      <c r="K281" s="365"/>
    </row>
    <row r="282" spans="1:11">
      <c r="A282" s="265"/>
      <c r="B282" s="43"/>
      <c r="C282" s="101"/>
      <c r="D282" s="322"/>
      <c r="E282" s="838"/>
      <c r="F282" s="767"/>
      <c r="G282" s="206"/>
      <c r="H282" s="74"/>
      <c r="I282" s="562"/>
      <c r="J282" s="546"/>
      <c r="K282" s="365"/>
    </row>
    <row r="283" spans="1:11">
      <c r="A283" s="254"/>
      <c r="B283" s="43"/>
      <c r="C283" s="320"/>
      <c r="D283" s="342"/>
      <c r="E283" s="871"/>
      <c r="F283" s="767"/>
      <c r="G283" s="206"/>
      <c r="H283" s="74"/>
      <c r="I283" s="560"/>
      <c r="J283" s="548"/>
      <c r="K283" s="365"/>
    </row>
    <row r="284" spans="1:11">
      <c r="A284" s="3491"/>
      <c r="B284" s="3492"/>
      <c r="C284" s="101"/>
      <c r="D284" s="322"/>
      <c r="E284" s="838"/>
      <c r="F284" s="767"/>
      <c r="G284" s="206"/>
      <c r="H284" s="74"/>
      <c r="I284" s="560"/>
      <c r="J284" s="544"/>
      <c r="K284" s="365"/>
    </row>
    <row r="285" spans="1:11">
      <c r="A285" s="83"/>
      <c r="B285" s="43"/>
      <c r="C285" s="101"/>
      <c r="D285" s="322"/>
      <c r="E285" s="838"/>
      <c r="F285" s="767"/>
      <c r="G285" s="206"/>
      <c r="H285" s="74"/>
      <c r="I285" s="562"/>
      <c r="J285" s="544"/>
      <c r="K285" s="365"/>
    </row>
    <row r="286" spans="1:11" ht="37.5">
      <c r="A286" s="766"/>
      <c r="B286" s="880"/>
      <c r="C286" s="1765"/>
      <c r="D286" s="831"/>
      <c r="E286" s="624"/>
      <c r="F286" s="223"/>
      <c r="G286" s="1767"/>
      <c r="H286" s="778"/>
      <c r="I286" s="609"/>
      <c r="J286" s="1766"/>
      <c r="K286" s="780"/>
    </row>
    <row r="287" spans="1:11">
      <c r="A287" s="775"/>
      <c r="B287" s="406"/>
      <c r="C287" s="101"/>
      <c r="D287" s="322"/>
      <c r="E287" s="838"/>
      <c r="F287" s="767"/>
      <c r="G287" s="206"/>
      <c r="H287" s="74"/>
      <c r="I287" s="560"/>
      <c r="J287" s="547"/>
      <c r="K287" s="363"/>
    </row>
    <row r="288" spans="1:11">
      <c r="A288" s="83"/>
      <c r="B288" s="362"/>
      <c r="C288" s="101"/>
      <c r="D288" s="342"/>
      <c r="E288" s="838"/>
      <c r="F288" s="876"/>
      <c r="G288" s="206"/>
      <c r="H288" s="74"/>
      <c r="I288" s="562"/>
      <c r="J288" s="547"/>
      <c r="K288" s="550"/>
    </row>
    <row r="289" spans="1:11">
      <c r="B289" s="75"/>
      <c r="C289" s="104"/>
      <c r="D289" s="167"/>
      <c r="E289" s="167"/>
      <c r="F289" s="167"/>
      <c r="G289" s="167"/>
      <c r="H289" s="75"/>
      <c r="I289" s="561"/>
      <c r="J289" s="545"/>
    </row>
    <row r="290" spans="1:11">
      <c r="A290" s="45" t="s">
        <v>0</v>
      </c>
      <c r="B290" s="45"/>
      <c r="C290" s="68"/>
      <c r="D290" s="612"/>
      <c r="F290" s="104"/>
      <c r="H290" s="45"/>
      <c r="I290" s="556"/>
      <c r="K290" s="492">
        <v>9</v>
      </c>
    </row>
    <row r="291" spans="1:11">
      <c r="A291" s="3480" t="s">
        <v>1</v>
      </c>
      <c r="B291" s="3480"/>
      <c r="C291" s="46"/>
      <c r="D291" s="124"/>
      <c r="F291" s="104"/>
      <c r="H291" s="45"/>
      <c r="I291" s="556"/>
      <c r="J291" s="611"/>
    </row>
    <row r="292" spans="1:11" ht="35.25" thickBot="1">
      <c r="F292" s="104"/>
    </row>
    <row r="293" spans="1:11">
      <c r="A293" s="3445"/>
      <c r="B293" s="3446" t="s">
        <v>2</v>
      </c>
      <c r="C293" s="48" t="s">
        <v>3</v>
      </c>
      <c r="D293" s="436" t="s">
        <v>4</v>
      </c>
      <c r="E293" s="868" t="s">
        <v>5</v>
      </c>
      <c r="F293" s="849" t="s">
        <v>5</v>
      </c>
      <c r="G293" s="219" t="s">
        <v>6</v>
      </c>
      <c r="H293" s="48" t="s">
        <v>7</v>
      </c>
      <c r="I293" s="557" t="s">
        <v>8</v>
      </c>
      <c r="J293" s="541" t="s">
        <v>9</v>
      </c>
      <c r="K293" s="346" t="s">
        <v>9</v>
      </c>
    </row>
    <row r="294" spans="1:11" ht="35.25" thickBot="1">
      <c r="A294" s="51"/>
      <c r="B294" s="72"/>
      <c r="C294" s="50"/>
      <c r="D294" s="437" t="s">
        <v>10</v>
      </c>
      <c r="E294" s="869" t="s">
        <v>11</v>
      </c>
      <c r="F294" s="850" t="s">
        <v>12</v>
      </c>
      <c r="G294" s="301"/>
      <c r="H294" s="50" t="s">
        <v>13</v>
      </c>
      <c r="I294" s="558"/>
      <c r="J294" s="542" t="s">
        <v>14</v>
      </c>
      <c r="K294" s="347" t="s">
        <v>15</v>
      </c>
    </row>
    <row r="295" spans="1:11">
      <c r="A295" s="3491"/>
      <c r="B295" s="3492"/>
      <c r="C295" s="101"/>
      <c r="D295" s="322"/>
      <c r="E295" s="838"/>
      <c r="F295" s="767"/>
      <c r="G295" s="206"/>
      <c r="H295" s="74"/>
      <c r="I295" s="560"/>
      <c r="J295" s="544"/>
      <c r="K295" s="365"/>
    </row>
    <row r="296" spans="1:11">
      <c r="A296" s="83"/>
      <c r="B296" s="43"/>
      <c r="C296" s="101"/>
      <c r="D296" s="322"/>
      <c r="E296" s="838"/>
      <c r="F296" s="767"/>
      <c r="G296" s="206"/>
      <c r="H296" s="74"/>
      <c r="I296" s="562"/>
      <c r="J296" s="544"/>
      <c r="K296" s="365"/>
    </row>
    <row r="297" spans="1:11">
      <c r="A297" s="766"/>
      <c r="B297" s="1384"/>
      <c r="C297" s="390"/>
      <c r="D297" s="322"/>
      <c r="E297" s="838"/>
      <c r="F297" s="767"/>
      <c r="G297" s="206"/>
      <c r="H297" s="74"/>
      <c r="I297" s="562"/>
      <c r="J297" s="544"/>
      <c r="K297" s="365"/>
    </row>
    <row r="298" spans="1:11">
      <c r="A298" s="265"/>
      <c r="B298" s="43"/>
      <c r="C298" s="207"/>
      <c r="D298" s="322"/>
      <c r="E298" s="838"/>
      <c r="F298" s="1497"/>
      <c r="G298" s="206"/>
      <c r="H298" s="74"/>
      <c r="I298" s="560"/>
      <c r="J298" s="546"/>
      <c r="K298" s="365"/>
    </row>
    <row r="299" spans="1:11" ht="38.25">
      <c r="A299" s="2026"/>
      <c r="B299" s="2026"/>
      <c r="C299" s="2027"/>
      <c r="D299" s="995"/>
      <c r="E299" s="2028"/>
      <c r="F299" s="960"/>
      <c r="G299" s="248"/>
      <c r="H299" s="398"/>
      <c r="I299" s="2029"/>
      <c r="J299" s="74"/>
      <c r="K299" s="526"/>
    </row>
    <row r="300" spans="1:11">
      <c r="A300" s="1918"/>
      <c r="B300" s="1918"/>
      <c r="C300" s="101"/>
      <c r="D300" s="2030"/>
      <c r="E300" s="3662"/>
      <c r="F300" s="3663"/>
      <c r="G300" s="3664"/>
      <c r="H300" s="3665"/>
      <c r="I300" s="3666"/>
      <c r="J300" s="3665"/>
      <c r="K300" s="3667"/>
    </row>
    <row r="301" spans="1:11">
      <c r="A301" s="83"/>
      <c r="B301" s="43"/>
      <c r="C301" s="101"/>
      <c r="D301" s="322"/>
      <c r="E301" s="838"/>
      <c r="F301" s="767"/>
      <c r="G301" s="206"/>
      <c r="H301" s="74"/>
      <c r="I301" s="562"/>
      <c r="J301" s="544"/>
      <c r="K301" s="365"/>
    </row>
    <row r="302" spans="1:11" ht="37.5">
      <c r="A302" s="766"/>
      <c r="B302" s="880"/>
      <c r="C302" s="1765"/>
      <c r="D302" s="831"/>
      <c r="E302" s="624"/>
      <c r="F302" s="223"/>
      <c r="G302" s="1767"/>
      <c r="H302" s="778"/>
      <c r="I302" s="609"/>
      <c r="J302" s="1766"/>
      <c r="K302" s="780"/>
    </row>
    <row r="303" spans="1:11">
      <c r="A303" s="775"/>
      <c r="B303" s="406"/>
      <c r="C303" s="101"/>
      <c r="D303" s="322"/>
      <c r="E303" s="838"/>
      <c r="F303" s="767"/>
      <c r="G303" s="206"/>
      <c r="H303" s="74"/>
      <c r="I303" s="560"/>
      <c r="J303" s="547"/>
      <c r="K303" s="363"/>
    </row>
    <row r="304" spans="1:11">
      <c r="A304" s="1336"/>
      <c r="B304" s="1336"/>
      <c r="C304" s="320"/>
      <c r="D304" s="624"/>
      <c r="E304" s="420"/>
      <c r="F304" s="852"/>
      <c r="G304" s="223"/>
      <c r="H304" s="224"/>
      <c r="I304" s="1456"/>
      <c r="J304" s="603"/>
      <c r="K304" s="378"/>
    </row>
    <row r="305" spans="1:12" ht="38.25">
      <c r="A305" s="3448"/>
      <c r="B305" s="2026"/>
      <c r="C305" s="2027"/>
      <c r="D305" s="995"/>
      <c r="E305" s="2028"/>
      <c r="F305" s="960"/>
      <c r="G305" s="248"/>
      <c r="H305" s="398"/>
      <c r="I305" s="2029"/>
      <c r="J305" s="74"/>
      <c r="K305" s="526"/>
    </row>
    <row r="306" spans="1:12">
      <c r="A306" s="81"/>
      <c r="B306" s="1918"/>
      <c r="C306" s="101"/>
      <c r="D306" s="2030"/>
      <c r="E306" s="3662"/>
      <c r="F306" s="3663"/>
      <c r="G306" s="3664"/>
      <c r="H306" s="3665"/>
      <c r="I306" s="3666"/>
      <c r="J306" s="3665"/>
      <c r="K306" s="3667"/>
      <c r="L306" s="365"/>
    </row>
    <row r="307" spans="1:12">
      <c r="A307" s="43"/>
      <c r="B307" s="43"/>
      <c r="C307" s="101"/>
      <c r="D307" s="2030"/>
      <c r="E307" s="3662"/>
      <c r="F307" s="3663"/>
      <c r="G307" s="2407"/>
      <c r="H307" s="398"/>
      <c r="I307" s="3668"/>
      <c r="J307" s="3665"/>
      <c r="K307" s="3669"/>
      <c r="L307" s="365">
        <v>111.78</v>
      </c>
    </row>
    <row r="308" spans="1:12">
      <c r="A308" s="43"/>
      <c r="B308" s="43"/>
      <c r="C308" s="101"/>
      <c r="D308" s="2030"/>
      <c r="E308" s="3662"/>
      <c r="F308" s="3663"/>
      <c r="G308" s="2407"/>
      <c r="H308" s="398"/>
      <c r="I308" s="3668"/>
      <c r="J308" s="3665"/>
      <c r="K308" s="3669"/>
    </row>
    <row r="309" spans="1:12">
      <c r="A309" s="1022"/>
      <c r="B309" s="406"/>
      <c r="C309" s="320"/>
      <c r="D309" s="624"/>
      <c r="E309" s="420"/>
      <c r="F309" s="852"/>
      <c r="G309" s="979"/>
      <c r="H309" s="224"/>
      <c r="I309" s="778"/>
      <c r="J309" s="609"/>
      <c r="K309" s="780"/>
    </row>
    <row r="310" spans="1:12">
      <c r="A310" s="1814"/>
      <c r="B310" s="1814"/>
      <c r="C310" s="877"/>
      <c r="D310" s="1619"/>
      <c r="E310" s="142"/>
      <c r="F310" s="381"/>
      <c r="G310" s="1616"/>
      <c r="H310" s="971"/>
      <c r="I310" s="506"/>
      <c r="J310" s="1620"/>
      <c r="K310" s="1618"/>
    </row>
    <row r="311" spans="1:12">
      <c r="A311" s="1006"/>
      <c r="B311" s="1006"/>
      <c r="C311" s="877"/>
      <c r="D311" s="1619"/>
      <c r="E311" s="142"/>
      <c r="F311" s="381"/>
      <c r="G311" s="2412"/>
      <c r="H311" s="971"/>
      <c r="I311" s="506"/>
      <c r="J311" s="1620"/>
      <c r="K311" s="2384"/>
    </row>
    <row r="312" spans="1:12" ht="38.25">
      <c r="A312" s="1006"/>
      <c r="B312" s="2026"/>
      <c r="C312" s="2027"/>
      <c r="D312" s="995"/>
      <c r="E312" s="2028"/>
      <c r="F312" s="960"/>
      <c r="G312" s="248"/>
      <c r="H312" s="398"/>
      <c r="I312" s="2029"/>
      <c r="J312" s="74"/>
      <c r="K312" s="526"/>
    </row>
    <row r="313" spans="1:12">
      <c r="A313" s="89"/>
      <c r="B313" s="1918"/>
      <c r="C313" s="101"/>
      <c r="D313" s="2030"/>
      <c r="E313" s="3662"/>
      <c r="F313" s="3663"/>
      <c r="G313" s="3664"/>
      <c r="H313" s="3665"/>
      <c r="I313" s="3666"/>
      <c r="J313" s="3665"/>
      <c r="K313" s="3667"/>
    </row>
    <row r="314" spans="1:12">
      <c r="A314" s="766"/>
      <c r="B314" s="1384"/>
      <c r="C314" s="786"/>
      <c r="D314" s="413"/>
      <c r="E314" s="875"/>
      <c r="F314" s="852"/>
      <c r="G314" s="223"/>
      <c r="H314" s="224"/>
      <c r="I314" s="784"/>
      <c r="J314" s="603"/>
      <c r="K314" s="378"/>
    </row>
    <row r="315" spans="1:12">
      <c r="A315" s="3448"/>
      <c r="B315" s="3448"/>
      <c r="C315" s="207"/>
      <c r="D315" s="3457"/>
      <c r="E315" s="142"/>
      <c r="F315" s="381"/>
      <c r="G315" s="478"/>
      <c r="H315" s="101"/>
      <c r="I315" s="339"/>
      <c r="J315" s="586"/>
      <c r="K315" s="526"/>
    </row>
    <row r="316" spans="1:12">
      <c r="A316" s="81"/>
      <c r="B316" s="81"/>
      <c r="C316" s="207"/>
      <c r="D316" s="391"/>
      <c r="E316" s="1409"/>
      <c r="F316" s="856"/>
      <c r="G316" s="887"/>
      <c r="H316" s="101"/>
      <c r="I316" s="1495"/>
      <c r="J316" s="3670"/>
      <c r="K316" s="3671"/>
    </row>
    <row r="317" spans="1:12">
      <c r="A317" s="43"/>
      <c r="B317" s="43"/>
      <c r="C317" s="101"/>
      <c r="D317" s="2030"/>
      <c r="E317" s="3662"/>
      <c r="F317" s="3663"/>
      <c r="G317" s="2407"/>
      <c r="H317" s="398"/>
      <c r="I317" s="3668"/>
      <c r="J317" s="3665"/>
      <c r="K317" s="3669"/>
    </row>
    <row r="318" spans="1:12">
      <c r="A318" s="43"/>
      <c r="B318" s="43"/>
      <c r="C318" s="101"/>
      <c r="D318" s="2030"/>
      <c r="E318" s="3662"/>
      <c r="F318" s="3663"/>
      <c r="G318" s="2407"/>
      <c r="H318" s="398"/>
      <c r="I318" s="3668"/>
      <c r="J318" s="3665"/>
      <c r="K318" s="3669"/>
    </row>
    <row r="319" spans="1:12" ht="38.25">
      <c r="A319" s="2462"/>
      <c r="B319" s="2462"/>
      <c r="C319" s="1200"/>
      <c r="D319" s="438"/>
      <c r="E319" s="2028"/>
      <c r="F319" s="960"/>
      <c r="G319" s="248"/>
      <c r="H319" s="398"/>
      <c r="I319" s="2029"/>
      <c r="J319" s="74"/>
      <c r="K319" s="526"/>
    </row>
    <row r="320" spans="1:12" ht="38.25">
      <c r="A320" s="2026"/>
      <c r="B320" s="2026"/>
      <c r="C320" s="2027"/>
      <c r="D320" s="995"/>
      <c r="E320" s="2028"/>
      <c r="F320" s="960"/>
      <c r="G320" s="248"/>
      <c r="H320" s="398"/>
      <c r="I320" s="2029"/>
      <c r="J320" s="74"/>
      <c r="K320" s="526"/>
    </row>
    <row r="321" spans="1:11">
      <c r="A321" s="1918"/>
      <c r="B321" s="1918"/>
      <c r="C321" s="101"/>
      <c r="D321" s="2030"/>
      <c r="E321" s="3662"/>
      <c r="F321" s="3663"/>
      <c r="G321" s="3664"/>
      <c r="H321" s="3665"/>
      <c r="I321" s="3666"/>
      <c r="J321" s="3665"/>
      <c r="K321" s="3667"/>
    </row>
    <row r="322" spans="1:11">
      <c r="A322" s="83"/>
      <c r="B322" s="43"/>
      <c r="C322" s="101"/>
      <c r="D322" s="342"/>
      <c r="E322" s="871"/>
      <c r="F322" s="767"/>
      <c r="G322" s="206"/>
      <c r="H322" s="74"/>
      <c r="I322" s="560"/>
      <c r="J322" s="544"/>
      <c r="K322" s="365"/>
    </row>
    <row r="323" spans="1:11">
      <c r="A323" s="83"/>
      <c r="B323" s="43"/>
      <c r="C323" s="101"/>
      <c r="D323" s="342"/>
      <c r="E323" s="871"/>
      <c r="F323" s="767"/>
      <c r="G323" s="206"/>
      <c r="H323" s="74"/>
      <c r="I323" s="560"/>
      <c r="J323" s="547"/>
      <c r="K323" s="550"/>
    </row>
    <row r="324" spans="1:11">
      <c r="A324" s="70"/>
      <c r="B324" s="56"/>
      <c r="C324" s="57"/>
      <c r="D324" s="613"/>
      <c r="E324" s="872"/>
      <c r="F324" s="853"/>
      <c r="G324" s="214"/>
      <c r="H324" s="103"/>
      <c r="I324" s="733"/>
      <c r="J324" s="543"/>
      <c r="K324" s="734"/>
    </row>
    <row r="325" spans="1:11">
      <c r="A325" s="44"/>
      <c r="B325" s="45"/>
      <c r="C325" s="46"/>
      <c r="D325" s="124"/>
      <c r="F325" s="104"/>
      <c r="H325" s="45"/>
      <c r="I325" s="556"/>
      <c r="K325" s="537">
        <v>10</v>
      </c>
    </row>
    <row r="326" spans="1:11">
      <c r="A326" s="45" t="s">
        <v>0</v>
      </c>
      <c r="B326" s="45"/>
      <c r="C326" s="68"/>
      <c r="D326" s="612"/>
      <c r="F326" s="104"/>
      <c r="H326" s="45"/>
      <c r="I326" s="556"/>
    </row>
    <row r="327" spans="1:11">
      <c r="A327" s="3480" t="s">
        <v>1</v>
      </c>
      <c r="B327" s="3480"/>
      <c r="C327" s="46"/>
      <c r="D327" s="124"/>
      <c r="F327" s="104"/>
      <c r="H327" s="45"/>
      <c r="I327" s="556"/>
    </row>
    <row r="328" spans="1:11" ht="35.25" thickBot="1">
      <c r="F328" s="104"/>
    </row>
    <row r="329" spans="1:11">
      <c r="A329" s="3481" t="s">
        <v>2</v>
      </c>
      <c r="B329" s="3482"/>
      <c r="C329" s="48" t="s">
        <v>3</v>
      </c>
      <c r="D329" s="436" t="s">
        <v>4</v>
      </c>
      <c r="E329" s="868" t="s">
        <v>5</v>
      </c>
      <c r="F329" s="849" t="s">
        <v>5</v>
      </c>
      <c r="G329" s="219" t="s">
        <v>6</v>
      </c>
      <c r="H329" s="48" t="s">
        <v>7</v>
      </c>
      <c r="I329" s="557" t="s">
        <v>8</v>
      </c>
      <c r="J329" s="541" t="s">
        <v>9</v>
      </c>
      <c r="K329" s="346" t="s">
        <v>9</v>
      </c>
    </row>
    <row r="330" spans="1:11" ht="35.25" thickBot="1">
      <c r="A330" s="51"/>
      <c r="B330" s="72"/>
      <c r="C330" s="50"/>
      <c r="D330" s="437" t="s">
        <v>10</v>
      </c>
      <c r="E330" s="869" t="s">
        <v>12</v>
      </c>
      <c r="F330" s="850" t="s">
        <v>11</v>
      </c>
      <c r="G330" s="301"/>
      <c r="H330" s="50" t="s">
        <v>13</v>
      </c>
      <c r="I330" s="558"/>
      <c r="J330" s="542" t="s">
        <v>14</v>
      </c>
      <c r="K330" s="347" t="s">
        <v>15</v>
      </c>
    </row>
    <row r="331" spans="1:11">
      <c r="A331" s="782"/>
      <c r="B331" s="1814"/>
      <c r="C331" s="877"/>
      <c r="D331" s="1619"/>
      <c r="E331" s="142"/>
      <c r="F331" s="381"/>
      <c r="G331" s="1616"/>
      <c r="H331" s="971"/>
      <c r="I331" s="506"/>
      <c r="J331" s="1620"/>
      <c r="K331" s="1618"/>
    </row>
    <row r="332" spans="1:11">
      <c r="A332" s="663"/>
      <c r="B332" s="1006"/>
      <c r="C332" s="877"/>
      <c r="D332" s="1619"/>
      <c r="E332" s="142"/>
      <c r="F332" s="381"/>
      <c r="G332" s="2412"/>
      <c r="H332" s="971"/>
      <c r="I332" s="506"/>
      <c r="J332" s="1620"/>
      <c r="K332" s="2384"/>
    </row>
    <row r="333" spans="1:11">
      <c r="A333" s="766"/>
      <c r="B333" s="1006"/>
      <c r="C333" s="877"/>
      <c r="D333" s="1619"/>
      <c r="E333" s="142"/>
      <c r="F333" s="381"/>
      <c r="G333" s="2412"/>
      <c r="H333" s="971"/>
      <c r="I333" s="506"/>
      <c r="J333" s="1620"/>
      <c r="K333" s="2384"/>
    </row>
    <row r="334" spans="1:11">
      <c r="A334" s="406"/>
      <c r="B334" s="406"/>
      <c r="C334" s="320"/>
      <c r="D334" s="624"/>
      <c r="E334" s="420"/>
      <c r="F334" s="852"/>
      <c r="G334" s="979"/>
      <c r="H334" s="224"/>
      <c r="I334" s="778"/>
      <c r="J334" s="609"/>
      <c r="K334" s="780"/>
    </row>
    <row r="335" spans="1:11">
      <c r="A335" s="406"/>
      <c r="B335" s="406"/>
      <c r="C335" s="320"/>
      <c r="D335" s="413"/>
      <c r="E335" s="875"/>
      <c r="F335" s="852"/>
      <c r="G335" s="223"/>
      <c r="H335" s="224"/>
      <c r="I335" s="1456"/>
      <c r="J335" s="603"/>
      <c r="K335" s="779"/>
    </row>
    <row r="336" spans="1:11">
      <c r="A336" s="406"/>
      <c r="B336" s="406"/>
      <c r="C336" s="320"/>
      <c r="D336" s="413"/>
      <c r="E336" s="875"/>
      <c r="F336" s="852"/>
      <c r="G336" s="223"/>
      <c r="H336" s="224"/>
      <c r="I336" s="1456"/>
      <c r="J336" s="1457"/>
      <c r="K336" s="378"/>
    </row>
    <row r="337" spans="1:11">
      <c r="A337" s="995"/>
      <c r="B337" s="775"/>
      <c r="C337" s="101"/>
      <c r="D337" s="342"/>
      <c r="E337" s="871"/>
      <c r="F337" s="767"/>
      <c r="G337" s="206"/>
      <c r="H337" s="74"/>
      <c r="I337" s="560"/>
      <c r="J337" s="603"/>
      <c r="K337" s="378"/>
    </row>
    <row r="338" spans="1:11">
      <c r="A338" s="254"/>
      <c r="B338" s="43"/>
      <c r="C338" s="101"/>
      <c r="D338" s="342"/>
      <c r="E338" s="871"/>
      <c r="F338" s="767"/>
      <c r="G338" s="206"/>
      <c r="H338" s="74"/>
      <c r="I338" s="560"/>
      <c r="J338" s="603"/>
      <c r="K338" s="378"/>
    </row>
    <row r="339" spans="1:11">
      <c r="A339" s="1336"/>
      <c r="B339" s="1336"/>
      <c r="C339" s="320"/>
      <c r="D339" s="624"/>
      <c r="E339" s="420"/>
      <c r="F339" s="852"/>
      <c r="G339" s="223"/>
      <c r="H339" s="224"/>
      <c r="I339" s="1456"/>
      <c r="J339" s="603"/>
      <c r="K339" s="378"/>
    </row>
    <row r="340" spans="1:11">
      <c r="A340" s="1336"/>
      <c r="B340" s="1336"/>
      <c r="C340" s="320"/>
      <c r="D340" s="624"/>
      <c r="E340" s="420"/>
      <c r="F340" s="852"/>
      <c r="G340" s="223"/>
      <c r="H340" s="224"/>
      <c r="I340" s="1456"/>
      <c r="J340" s="603"/>
      <c r="K340" s="378"/>
    </row>
    <row r="341" spans="1:11">
      <c r="A341" s="398"/>
      <c r="B341" s="1336"/>
      <c r="C341" s="320"/>
      <c r="D341" s="624"/>
      <c r="E341" s="420"/>
      <c r="F341" s="852"/>
      <c r="G341" s="223"/>
      <c r="H341" s="224"/>
      <c r="I341" s="1456"/>
      <c r="J341" s="603"/>
      <c r="K341" s="378"/>
    </row>
    <row r="342" spans="1:11">
      <c r="A342" s="782"/>
      <c r="B342" s="783"/>
      <c r="C342" s="320"/>
      <c r="D342" s="624"/>
      <c r="E342" s="420"/>
      <c r="F342" s="852"/>
      <c r="G342" s="223"/>
      <c r="H342" s="224"/>
      <c r="I342" s="778"/>
      <c r="J342" s="603"/>
      <c r="K342" s="378"/>
    </row>
    <row r="343" spans="1:11">
      <c r="A343" s="398"/>
      <c r="B343" s="406"/>
      <c r="C343" s="320"/>
      <c r="D343" s="624"/>
      <c r="E343" s="420"/>
      <c r="F343" s="852"/>
      <c r="G343" s="223"/>
      <c r="H343" s="224"/>
      <c r="I343" s="778"/>
      <c r="J343" s="603"/>
      <c r="K343" s="378"/>
    </row>
    <row r="344" spans="1:11">
      <c r="A344" s="438"/>
      <c r="B344" s="766"/>
      <c r="C344" s="320"/>
      <c r="D344" s="624"/>
      <c r="E344" s="420"/>
      <c r="F344" s="852"/>
      <c r="G344" s="223"/>
      <c r="H344" s="224"/>
      <c r="I344" s="778"/>
      <c r="J344" s="609"/>
      <c r="K344" s="1458"/>
    </row>
    <row r="345" spans="1:11">
      <c r="A345" s="1022"/>
      <c r="B345" s="406"/>
      <c r="C345" s="320"/>
      <c r="D345" s="624"/>
      <c r="E345" s="420"/>
      <c r="F345" s="852"/>
      <c r="G345" s="223"/>
      <c r="H345" s="224"/>
      <c r="I345" s="778"/>
      <c r="J345" s="609"/>
      <c r="K345" s="780"/>
    </row>
    <row r="346" spans="1:11">
      <c r="A346" s="398"/>
      <c r="B346" s="406"/>
      <c r="C346" s="320"/>
      <c r="D346" s="624"/>
      <c r="E346" s="420"/>
      <c r="F346" s="852"/>
      <c r="G346" s="223"/>
      <c r="H346" s="224"/>
      <c r="I346" s="778"/>
      <c r="J346" s="603"/>
      <c r="K346" s="378"/>
    </row>
    <row r="347" spans="1:11">
      <c r="A347" s="398"/>
      <c r="B347" s="1336"/>
      <c r="C347" s="320"/>
      <c r="D347" s="624"/>
      <c r="E347" s="1459"/>
      <c r="F347" s="852"/>
      <c r="G347" s="223"/>
      <c r="H347" s="224"/>
      <c r="I347" s="778"/>
      <c r="J347" s="603"/>
      <c r="K347" s="378"/>
    </row>
    <row r="348" spans="1:11">
      <c r="A348" s="3483"/>
      <c r="B348" s="3484"/>
      <c r="C348" s="320"/>
      <c r="D348" s="413"/>
      <c r="E348" s="875"/>
      <c r="F348" s="852"/>
      <c r="G348" s="223"/>
      <c r="H348" s="224"/>
      <c r="I348" s="778"/>
      <c r="J348" s="603"/>
      <c r="K348" s="378"/>
    </row>
    <row r="349" spans="1:11">
      <c r="A349" s="398"/>
      <c r="B349" s="969"/>
      <c r="C349" s="786"/>
      <c r="D349" s="413"/>
      <c r="E349" s="875"/>
      <c r="F349" s="852"/>
      <c r="G349" s="223"/>
      <c r="H349" s="224"/>
      <c r="I349" s="784"/>
      <c r="J349" s="603"/>
      <c r="K349" s="378"/>
    </row>
    <row r="350" spans="1:11">
      <c r="A350" s="766"/>
      <c r="B350" s="1384"/>
      <c r="C350" s="786"/>
      <c r="D350" s="413"/>
      <c r="E350" s="875"/>
      <c r="F350" s="852"/>
      <c r="G350" s="223"/>
      <c r="H350" s="224"/>
      <c r="I350" s="784"/>
      <c r="J350" s="603"/>
      <c r="K350" s="378"/>
    </row>
    <row r="351" spans="1:11">
      <c r="A351" s="398"/>
      <c r="B351" s="1336"/>
      <c r="C351" s="320"/>
      <c r="D351" s="413"/>
      <c r="E351" s="875"/>
      <c r="F351" s="852"/>
      <c r="G351" s="223"/>
      <c r="H351" s="224"/>
      <c r="I351" s="784"/>
      <c r="J351" s="609"/>
      <c r="K351" s="780"/>
    </row>
    <row r="352" spans="1:11">
      <c r="A352" s="83"/>
      <c r="B352" s="43"/>
      <c r="C352" s="101"/>
      <c r="D352" s="322"/>
      <c r="E352" s="838"/>
      <c r="F352" s="767"/>
      <c r="G352" s="206"/>
      <c r="H352" s="74"/>
      <c r="I352" s="562"/>
      <c r="J352" s="547"/>
      <c r="K352" s="550"/>
    </row>
    <row r="353" spans="1:11">
      <c r="A353" s="83"/>
      <c r="B353" s="43"/>
      <c r="C353" s="101"/>
      <c r="D353" s="322"/>
      <c r="E353" s="838"/>
      <c r="F353" s="767"/>
      <c r="G353" s="206"/>
      <c r="H353" s="74"/>
      <c r="I353" s="562"/>
      <c r="J353" s="547"/>
      <c r="K353" s="550"/>
    </row>
    <row r="354" spans="1:11">
      <c r="A354" s="3483"/>
      <c r="B354" s="3484"/>
      <c r="C354" s="101"/>
      <c r="D354" s="342"/>
      <c r="E354" s="871"/>
      <c r="F354" s="767"/>
      <c r="G354" s="206"/>
      <c r="H354" s="74"/>
      <c r="I354" s="560"/>
      <c r="J354" s="544"/>
      <c r="K354" s="365"/>
    </row>
    <row r="355" spans="1:11">
      <c r="A355" s="83"/>
      <c r="B355" s="43"/>
      <c r="C355" s="101"/>
      <c r="D355" s="342"/>
      <c r="E355" s="871"/>
      <c r="F355" s="767"/>
      <c r="G355" s="206"/>
      <c r="H355" s="74"/>
      <c r="I355" s="560"/>
      <c r="J355" s="544"/>
      <c r="K355" s="365"/>
    </row>
    <row r="356" spans="1:11">
      <c r="A356" s="83"/>
      <c r="B356" s="43"/>
      <c r="C356" s="101"/>
      <c r="D356" s="342"/>
      <c r="E356" s="871"/>
      <c r="F356" s="767"/>
      <c r="G356" s="206"/>
      <c r="H356" s="74"/>
      <c r="I356" s="560"/>
      <c r="J356" s="544"/>
      <c r="K356" s="365"/>
    </row>
    <row r="357" spans="1:11">
      <c r="A357" s="3483"/>
      <c r="B357" s="3484"/>
      <c r="C357" s="101"/>
      <c r="D357" s="342"/>
      <c r="E357" s="871"/>
      <c r="F357" s="767"/>
      <c r="G357" s="206"/>
      <c r="H357" s="74"/>
      <c r="I357" s="560"/>
      <c r="J357" s="544"/>
      <c r="K357" s="365"/>
    </row>
    <row r="358" spans="1:11">
      <c r="A358" s="83"/>
      <c r="B358" s="43"/>
      <c r="C358" s="101"/>
      <c r="D358" s="342"/>
      <c r="E358" s="871"/>
      <c r="F358" s="767"/>
      <c r="G358" s="206"/>
      <c r="H358" s="74"/>
      <c r="I358" s="560"/>
      <c r="J358" s="544"/>
      <c r="K358" s="365"/>
    </row>
    <row r="359" spans="1:11">
      <c r="A359" s="83"/>
      <c r="B359" s="43"/>
      <c r="C359" s="101"/>
      <c r="D359" s="342"/>
      <c r="E359" s="871"/>
      <c r="F359" s="767"/>
      <c r="G359" s="206"/>
      <c r="H359" s="74"/>
      <c r="I359" s="560"/>
      <c r="J359" s="547"/>
      <c r="K359" s="550"/>
    </row>
    <row r="360" spans="1:11">
      <c r="A360" s="70"/>
      <c r="B360" s="56"/>
      <c r="C360" s="57"/>
      <c r="D360" s="613"/>
      <c r="E360" s="872"/>
      <c r="F360" s="853"/>
      <c r="G360" s="214"/>
      <c r="H360" s="103"/>
      <c r="I360" s="733"/>
      <c r="J360" s="543"/>
      <c r="K360" s="734"/>
    </row>
    <row r="361" spans="1:11">
      <c r="A361" s="44"/>
      <c r="B361" s="45"/>
      <c r="C361" s="46"/>
      <c r="D361" s="124"/>
      <c r="F361" s="104"/>
      <c r="H361" s="45"/>
      <c r="I361" s="556"/>
      <c r="K361" s="537">
        <v>11</v>
      </c>
    </row>
    <row r="362" spans="1:11">
      <c r="A362" s="45" t="s">
        <v>0</v>
      </c>
      <c r="B362" s="45"/>
      <c r="C362" s="68"/>
      <c r="D362" s="612"/>
      <c r="F362" s="104"/>
      <c r="H362" s="45"/>
      <c r="I362" s="556"/>
    </row>
    <row r="363" spans="1:11">
      <c r="A363" s="3480" t="s">
        <v>1</v>
      </c>
      <c r="B363" s="3480"/>
      <c r="C363" s="46"/>
      <c r="D363" s="124"/>
      <c r="F363" s="104"/>
      <c r="H363" s="45"/>
      <c r="I363" s="556"/>
    </row>
    <row r="364" spans="1:11" ht="35.25" thickBot="1">
      <c r="F364" s="104"/>
    </row>
    <row r="365" spans="1:11">
      <c r="A365" s="3481" t="s">
        <v>2</v>
      </c>
      <c r="B365" s="3482"/>
      <c r="C365" s="48" t="s">
        <v>3</v>
      </c>
      <c r="D365" s="436" t="s">
        <v>4</v>
      </c>
      <c r="E365" s="868" t="s">
        <v>5</v>
      </c>
      <c r="F365" s="849" t="s">
        <v>5</v>
      </c>
      <c r="G365" s="211" t="s">
        <v>6</v>
      </c>
      <c r="H365" s="48" t="s">
        <v>7</v>
      </c>
      <c r="I365" s="557" t="s">
        <v>8</v>
      </c>
      <c r="J365" s="541" t="s">
        <v>9</v>
      </c>
      <c r="K365" s="346" t="s">
        <v>9</v>
      </c>
    </row>
    <row r="366" spans="1:11" ht="35.25" thickBot="1">
      <c r="A366" s="51"/>
      <c r="B366" s="72"/>
      <c r="C366" s="50"/>
      <c r="D366" s="437" t="s">
        <v>10</v>
      </c>
      <c r="E366" s="869" t="s">
        <v>12</v>
      </c>
      <c r="F366" s="850" t="s">
        <v>11</v>
      </c>
      <c r="G366" s="212"/>
      <c r="H366" s="50" t="s">
        <v>13</v>
      </c>
      <c r="I366" s="558"/>
      <c r="J366" s="542" t="s">
        <v>14</v>
      </c>
      <c r="K366" s="347" t="s">
        <v>15</v>
      </c>
    </row>
    <row r="367" spans="1:11">
      <c r="A367" s="3489"/>
      <c r="B367" s="3490"/>
      <c r="C367" s="126"/>
      <c r="D367" s="536"/>
      <c r="E367" s="843"/>
      <c r="F367" s="853"/>
      <c r="G367" s="206"/>
      <c r="H367" s="74"/>
      <c r="I367" s="560"/>
      <c r="J367" s="544"/>
      <c r="K367" s="365"/>
    </row>
    <row r="368" spans="1:11">
      <c r="A368" s="398"/>
      <c r="B368" s="43"/>
      <c r="C368" s="101"/>
      <c r="D368" s="322"/>
      <c r="E368" s="843"/>
      <c r="F368" s="853"/>
      <c r="G368" s="206"/>
      <c r="H368" s="74"/>
      <c r="I368" s="355"/>
      <c r="J368" s="544"/>
      <c r="K368" s="365"/>
    </row>
    <row r="369" spans="1:11">
      <c r="A369" s="398"/>
      <c r="B369" s="43"/>
      <c r="C369" s="101"/>
      <c r="D369" s="322"/>
      <c r="E369" s="843"/>
      <c r="F369" s="853"/>
      <c r="G369" s="206"/>
      <c r="H369" s="74"/>
      <c r="I369" s="355"/>
      <c r="J369" s="544"/>
      <c r="K369" s="365"/>
    </row>
    <row r="370" spans="1:11">
      <c r="A370" s="83"/>
      <c r="B370" s="43"/>
      <c r="C370" s="101"/>
      <c r="D370" s="322"/>
      <c r="E370" s="843"/>
      <c r="F370" s="767"/>
      <c r="G370" s="206"/>
      <c r="H370" s="74"/>
      <c r="I370" s="355"/>
      <c r="J370" s="544"/>
      <c r="K370" s="365"/>
    </row>
    <row r="371" spans="1:11">
      <c r="A371" s="398"/>
      <c r="B371" s="43"/>
      <c r="C371" s="101"/>
      <c r="D371" s="322"/>
      <c r="E371" s="843"/>
      <c r="F371" s="853"/>
      <c r="G371" s="206"/>
      <c r="H371" s="74"/>
      <c r="I371" s="355"/>
      <c r="J371" s="544"/>
      <c r="K371" s="365"/>
    </row>
    <row r="372" spans="1:11">
      <c r="A372" s="398"/>
      <c r="B372" s="43"/>
      <c r="C372" s="101"/>
      <c r="D372" s="322"/>
      <c r="E372" s="843"/>
      <c r="F372" s="853"/>
      <c r="G372" s="206"/>
      <c r="H372" s="74"/>
      <c r="I372" s="560"/>
      <c r="J372" s="544"/>
      <c r="K372" s="365"/>
    </row>
    <row r="373" spans="1:11">
      <c r="A373" s="398"/>
      <c r="B373" s="43"/>
      <c r="C373" s="101"/>
      <c r="D373" s="322"/>
      <c r="E373" s="838"/>
      <c r="F373" s="853"/>
      <c r="G373" s="206"/>
      <c r="H373" s="74"/>
      <c r="I373" s="560"/>
      <c r="J373" s="544"/>
      <c r="K373" s="365"/>
    </row>
    <row r="374" spans="1:11">
      <c r="A374" s="83"/>
      <c r="B374" s="43"/>
      <c r="C374" s="101"/>
      <c r="D374" s="342"/>
      <c r="E374" s="871"/>
      <c r="F374" s="767"/>
      <c r="G374" s="206"/>
      <c r="H374" s="74"/>
      <c r="I374" s="560"/>
      <c r="J374" s="544"/>
      <c r="K374" s="365"/>
    </row>
    <row r="375" spans="1:11">
      <c r="A375" s="83"/>
      <c r="B375" s="43"/>
      <c r="C375" s="101"/>
      <c r="D375" s="342"/>
      <c r="E375" s="871"/>
      <c r="F375" s="853"/>
      <c r="G375" s="206"/>
      <c r="H375" s="74"/>
      <c r="I375" s="560"/>
      <c r="J375" s="544"/>
      <c r="K375" s="365"/>
    </row>
    <row r="376" spans="1:11">
      <c r="A376" s="83"/>
      <c r="B376" s="43"/>
      <c r="C376" s="101"/>
      <c r="D376" s="342"/>
      <c r="E376" s="871"/>
      <c r="F376" s="853"/>
      <c r="G376" s="206"/>
      <c r="H376" s="74"/>
      <c r="I376" s="560"/>
      <c r="J376" s="544"/>
      <c r="K376" s="365"/>
    </row>
    <row r="377" spans="1:11">
      <c r="A377" s="398"/>
      <c r="B377" s="43"/>
      <c r="C377" s="101"/>
      <c r="D377" s="322"/>
      <c r="E377" s="843"/>
      <c r="F377" s="853"/>
      <c r="G377" s="206"/>
      <c r="H377" s="74"/>
      <c r="I377" s="560"/>
      <c r="J377" s="547"/>
      <c r="K377" s="365"/>
    </row>
    <row r="378" spans="1:11">
      <c r="A378" s="398"/>
      <c r="B378" s="43"/>
      <c r="C378" s="101"/>
      <c r="D378" s="322"/>
      <c r="E378" s="843"/>
      <c r="F378" s="853"/>
      <c r="G378" s="206"/>
      <c r="H378" s="74"/>
      <c r="I378" s="560"/>
      <c r="J378" s="547"/>
      <c r="K378" s="365"/>
    </row>
    <row r="379" spans="1:11">
      <c r="A379" s="83"/>
      <c r="B379" s="43"/>
      <c r="C379" s="101"/>
      <c r="D379" s="342"/>
      <c r="E379" s="871"/>
      <c r="F379" s="853"/>
      <c r="G379" s="206"/>
      <c r="H379" s="74"/>
      <c r="I379" s="560"/>
      <c r="J379" s="544"/>
      <c r="K379" s="394"/>
    </row>
    <row r="380" spans="1:11">
      <c r="A380" s="83"/>
      <c r="B380" s="43"/>
      <c r="C380" s="101"/>
      <c r="D380" s="342"/>
      <c r="E380" s="843"/>
      <c r="F380" s="853"/>
      <c r="G380" s="206"/>
      <c r="H380" s="74"/>
      <c r="I380" s="560"/>
      <c r="J380" s="544"/>
      <c r="K380" s="365"/>
    </row>
    <row r="381" spans="1:11">
      <c r="A381" s="493"/>
      <c r="B381" s="448"/>
      <c r="C381" s="222"/>
      <c r="D381" s="342"/>
      <c r="E381" s="843"/>
      <c r="F381" s="853"/>
      <c r="G381" s="206"/>
      <c r="H381" s="74"/>
      <c r="I381" s="560"/>
      <c r="J381" s="544"/>
      <c r="K381" s="365"/>
    </row>
    <row r="382" spans="1:11">
      <c r="A382" s="83"/>
      <c r="B382" s="43"/>
      <c r="C382" s="101"/>
      <c r="D382" s="342"/>
      <c r="E382" s="843"/>
      <c r="F382" s="853"/>
      <c r="G382" s="206"/>
      <c r="H382" s="74"/>
      <c r="I382" s="385"/>
      <c r="J382" s="547"/>
      <c r="K382" s="365"/>
    </row>
    <row r="383" spans="1:11">
      <c r="A383" s="83"/>
      <c r="B383" s="43"/>
      <c r="C383" s="101"/>
      <c r="D383" s="342"/>
      <c r="E383" s="871"/>
      <c r="F383" s="767"/>
      <c r="G383" s="206"/>
      <c r="H383" s="74"/>
      <c r="I383" s="385"/>
      <c r="J383" s="547"/>
      <c r="K383" s="365"/>
    </row>
    <row r="384" spans="1:11">
      <c r="A384" s="83"/>
      <c r="B384" s="43"/>
      <c r="C384" s="101"/>
      <c r="D384" s="322"/>
      <c r="E384" s="838"/>
      <c r="F384" s="767"/>
      <c r="G384" s="206"/>
      <c r="H384" s="74"/>
      <c r="I384" s="560"/>
      <c r="J384" s="547"/>
      <c r="K384" s="365"/>
    </row>
    <row r="385" spans="1:11">
      <c r="A385" s="83"/>
      <c r="B385" s="43"/>
      <c r="C385" s="101"/>
      <c r="D385" s="322"/>
      <c r="E385" s="838"/>
      <c r="F385" s="767"/>
      <c r="G385" s="206"/>
      <c r="H385" s="74"/>
      <c r="I385" s="560"/>
      <c r="J385" s="547"/>
      <c r="K385" s="365"/>
    </row>
    <row r="386" spans="1:11">
      <c r="A386" s="83"/>
      <c r="B386" s="43"/>
      <c r="C386" s="101"/>
      <c r="D386" s="322"/>
      <c r="E386" s="838"/>
      <c r="F386" s="767"/>
      <c r="G386" s="206"/>
      <c r="H386" s="74"/>
      <c r="I386" s="560"/>
      <c r="J386" s="547"/>
      <c r="K386" s="365"/>
    </row>
    <row r="387" spans="1:11">
      <c r="A387" s="83"/>
      <c r="B387" s="43"/>
      <c r="C387" s="101"/>
      <c r="D387" s="322"/>
      <c r="E387" s="838"/>
      <c r="F387" s="767"/>
      <c r="G387" s="206"/>
      <c r="H387" s="74"/>
      <c r="I387" s="560"/>
      <c r="J387" s="547"/>
      <c r="K387" s="365"/>
    </row>
    <row r="388" spans="1:11">
      <c r="A388" s="83"/>
      <c r="B388" s="43"/>
      <c r="C388" s="101"/>
      <c r="D388" s="322"/>
      <c r="E388" s="838"/>
      <c r="F388" s="767"/>
      <c r="G388" s="206"/>
      <c r="H388" s="74"/>
      <c r="I388" s="560"/>
      <c r="J388" s="547"/>
      <c r="K388" s="365"/>
    </row>
    <row r="389" spans="1:11">
      <c r="A389" s="83"/>
      <c r="B389" s="43"/>
      <c r="C389" s="101"/>
      <c r="D389" s="322"/>
      <c r="E389" s="838"/>
      <c r="F389" s="767"/>
      <c r="G389" s="206"/>
      <c r="H389" s="74"/>
      <c r="I389" s="560"/>
      <c r="J389" s="547"/>
      <c r="K389" s="365"/>
    </row>
    <row r="390" spans="1:11">
      <c r="A390" s="83"/>
      <c r="B390" s="43"/>
      <c r="C390" s="101"/>
      <c r="D390" s="322"/>
      <c r="E390" s="838"/>
      <c r="F390" s="767"/>
      <c r="G390" s="206"/>
      <c r="H390" s="74"/>
      <c r="I390" s="560"/>
      <c r="J390" s="547"/>
      <c r="K390" s="365"/>
    </row>
    <row r="391" spans="1:11">
      <c r="A391" s="83"/>
      <c r="B391" s="43"/>
      <c r="C391" s="101"/>
      <c r="D391" s="322"/>
      <c r="E391" s="838"/>
      <c r="F391" s="767"/>
      <c r="G391" s="206"/>
      <c r="H391" s="74"/>
      <c r="I391" s="560"/>
      <c r="J391" s="547"/>
      <c r="K391" s="365"/>
    </row>
    <row r="392" spans="1:11">
      <c r="A392" s="3489"/>
      <c r="B392" s="3490"/>
      <c r="C392" s="63"/>
      <c r="D392" s="342"/>
      <c r="E392" s="838"/>
      <c r="F392" s="767"/>
      <c r="G392" s="206"/>
      <c r="H392" s="74"/>
      <c r="I392" s="560"/>
      <c r="J392" s="547"/>
      <c r="K392" s="365"/>
    </row>
    <row r="393" spans="1:11">
      <c r="A393" s="87"/>
      <c r="B393" s="43"/>
      <c r="C393" s="101"/>
      <c r="D393" s="342"/>
      <c r="E393" s="871"/>
      <c r="F393" s="767"/>
      <c r="G393" s="206"/>
      <c r="H393" s="150"/>
      <c r="I393" s="560"/>
      <c r="J393" s="544"/>
      <c r="K393" s="365"/>
    </row>
    <row r="394" spans="1:11">
      <c r="A394" s="83"/>
      <c r="B394" s="43"/>
      <c r="C394" s="101"/>
      <c r="D394" s="342"/>
      <c r="E394" s="871"/>
      <c r="F394" s="767"/>
      <c r="G394" s="206"/>
      <c r="H394" s="74"/>
      <c r="I394" s="560"/>
      <c r="J394" s="544"/>
      <c r="K394" s="365"/>
    </row>
    <row r="395" spans="1:11">
      <c r="A395" s="83"/>
      <c r="B395" s="43"/>
      <c r="C395" s="101"/>
      <c r="D395" s="342"/>
      <c r="E395" s="871"/>
      <c r="F395" s="767"/>
      <c r="G395" s="206"/>
      <c r="H395" s="74"/>
      <c r="I395" s="560"/>
      <c r="J395" s="544"/>
      <c r="K395" s="365"/>
    </row>
    <row r="396" spans="1:11">
      <c r="A396" s="44"/>
      <c r="B396" s="45"/>
      <c r="C396" s="46"/>
      <c r="D396" s="124"/>
      <c r="F396" s="104"/>
      <c r="H396" s="45"/>
      <c r="I396" s="556"/>
    </row>
    <row r="397" spans="1:11">
      <c r="A397" s="44"/>
      <c r="B397" s="45"/>
      <c r="C397" s="46"/>
      <c r="D397" s="124"/>
      <c r="F397" s="104"/>
      <c r="H397" s="45"/>
      <c r="I397" s="556"/>
      <c r="K397" s="537">
        <v>12</v>
      </c>
    </row>
    <row r="398" spans="1:11">
      <c r="A398" s="45" t="s">
        <v>0</v>
      </c>
      <c r="B398" s="45"/>
      <c r="C398" s="68"/>
      <c r="D398" s="612"/>
      <c r="F398" s="104"/>
      <c r="H398" s="45"/>
      <c r="I398" s="556"/>
    </row>
    <row r="399" spans="1:11">
      <c r="A399" s="3480" t="s">
        <v>1</v>
      </c>
      <c r="B399" s="3480"/>
      <c r="C399" s="46"/>
      <c r="D399" s="124"/>
      <c r="F399" s="104"/>
      <c r="H399" s="45"/>
      <c r="I399" s="556"/>
    </row>
    <row r="400" spans="1:11" ht="35.25" thickBot="1">
      <c r="F400" s="104"/>
    </row>
    <row r="401" spans="1:11">
      <c r="A401" s="3481" t="s">
        <v>2</v>
      </c>
      <c r="B401" s="3482"/>
      <c r="C401" s="48" t="s">
        <v>3</v>
      </c>
      <c r="D401" s="436" t="s">
        <v>4</v>
      </c>
      <c r="E401" s="868" t="s">
        <v>5</v>
      </c>
      <c r="F401" s="849" t="s">
        <v>5</v>
      </c>
      <c r="G401" s="211" t="s">
        <v>6</v>
      </c>
      <c r="H401" s="48" t="s">
        <v>7</v>
      </c>
      <c r="I401" s="557" t="s">
        <v>8</v>
      </c>
      <c r="J401" s="541" t="s">
        <v>9</v>
      </c>
      <c r="K401" s="346" t="s">
        <v>9</v>
      </c>
    </row>
    <row r="402" spans="1:11" ht="35.25" thickBot="1">
      <c r="A402" s="51"/>
      <c r="B402" s="72"/>
      <c r="C402" s="50"/>
      <c r="D402" s="437" t="s">
        <v>10</v>
      </c>
      <c r="E402" s="869" t="s">
        <v>12</v>
      </c>
      <c r="F402" s="850" t="s">
        <v>11</v>
      </c>
      <c r="G402" s="212"/>
      <c r="H402" s="50" t="s">
        <v>13</v>
      </c>
      <c r="I402" s="558"/>
      <c r="J402" s="542" t="s">
        <v>14</v>
      </c>
      <c r="K402" s="347" t="s">
        <v>15</v>
      </c>
    </row>
    <row r="403" spans="1:11">
      <c r="A403" s="3483"/>
      <c r="B403" s="3484"/>
      <c r="C403" s="320"/>
      <c r="D403" s="413"/>
      <c r="E403" s="875"/>
      <c r="F403" s="852"/>
      <c r="G403" s="223"/>
      <c r="H403" s="224"/>
      <c r="I403" s="778"/>
      <c r="J403" s="603"/>
      <c r="K403" s="378"/>
    </row>
    <row r="404" spans="1:11">
      <c r="A404" s="398"/>
      <c r="B404" s="406"/>
      <c r="C404" s="320"/>
      <c r="D404" s="413"/>
      <c r="E404" s="875"/>
      <c r="F404" s="852"/>
      <c r="G404" s="223"/>
      <c r="H404" s="224"/>
      <c r="I404" s="784"/>
      <c r="J404" s="603"/>
      <c r="K404" s="378"/>
    </row>
    <row r="405" spans="1:11">
      <c r="A405" s="83"/>
      <c r="B405" s="43"/>
      <c r="C405" s="101"/>
      <c r="D405" s="322"/>
      <c r="E405" s="843"/>
      <c r="F405" s="853"/>
      <c r="G405" s="206"/>
      <c r="H405" s="74"/>
      <c r="I405" s="562"/>
      <c r="J405" s="544"/>
      <c r="K405" s="365"/>
    </row>
    <row r="406" spans="1:11">
      <c r="A406" s="83"/>
      <c r="B406" s="43"/>
      <c r="C406" s="101"/>
      <c r="D406" s="322"/>
      <c r="E406" s="843"/>
      <c r="F406" s="853"/>
      <c r="G406" s="206"/>
      <c r="H406" s="74"/>
      <c r="I406" s="562"/>
      <c r="J406" s="544"/>
      <c r="K406" s="365"/>
    </row>
    <row r="407" spans="1:11">
      <c r="A407" s="398"/>
      <c r="B407" s="43"/>
      <c r="C407" s="101"/>
      <c r="D407" s="322"/>
      <c r="E407" s="843"/>
      <c r="F407" s="853"/>
      <c r="G407" s="206"/>
      <c r="H407" s="74"/>
      <c r="I407" s="560"/>
      <c r="J407" s="544"/>
      <c r="K407" s="394"/>
    </row>
    <row r="408" spans="1:11">
      <c r="A408" s="3483"/>
      <c r="B408" s="3484"/>
      <c r="C408" s="126"/>
      <c r="D408" s="536"/>
      <c r="E408" s="843"/>
      <c r="F408" s="853"/>
      <c r="G408" s="206"/>
      <c r="H408" s="74"/>
      <c r="I408" s="560"/>
      <c r="J408" s="544"/>
      <c r="K408" s="365"/>
    </row>
    <row r="409" spans="1:11">
      <c r="A409" s="398"/>
      <c r="B409" s="43"/>
      <c r="C409" s="101"/>
      <c r="D409" s="322"/>
      <c r="E409" s="843"/>
      <c r="F409" s="853"/>
      <c r="G409" s="206"/>
      <c r="H409" s="74"/>
      <c r="I409" s="355"/>
      <c r="J409" s="544"/>
      <c r="K409" s="365"/>
    </row>
    <row r="410" spans="1:11">
      <c r="A410" s="398"/>
      <c r="B410" s="43"/>
      <c r="C410" s="101"/>
      <c r="D410" s="322"/>
      <c r="E410" s="843"/>
      <c r="F410" s="853"/>
      <c r="G410" s="206"/>
      <c r="H410" s="74"/>
      <c r="I410" s="355"/>
      <c r="J410" s="544"/>
      <c r="K410" s="365"/>
    </row>
    <row r="411" spans="1:11">
      <c r="A411" s="83"/>
      <c r="B411" s="43"/>
      <c r="C411" s="101"/>
      <c r="D411" s="322"/>
      <c r="E411" s="843"/>
      <c r="F411" s="767"/>
      <c r="G411" s="206"/>
      <c r="H411" s="74"/>
      <c r="I411" s="355"/>
      <c r="J411" s="544"/>
      <c r="K411" s="365"/>
    </row>
    <row r="412" spans="1:11">
      <c r="A412" s="398"/>
      <c r="B412" s="43"/>
      <c r="C412" s="101"/>
      <c r="D412" s="322"/>
      <c r="E412" s="843"/>
      <c r="F412" s="853"/>
      <c r="G412" s="206"/>
      <c r="H412" s="74"/>
      <c r="I412" s="355"/>
      <c r="J412" s="544"/>
      <c r="K412" s="365"/>
    </row>
    <row r="413" spans="1:11">
      <c r="A413" s="398"/>
      <c r="B413" s="43"/>
      <c r="C413" s="101"/>
      <c r="D413" s="322"/>
      <c r="E413" s="843"/>
      <c r="F413" s="853"/>
      <c r="G413" s="206"/>
      <c r="H413" s="74"/>
      <c r="I413" s="560"/>
      <c r="J413" s="544"/>
      <c r="K413" s="365"/>
    </row>
    <row r="414" spans="1:11">
      <c r="A414" s="398"/>
      <c r="B414" s="43"/>
      <c r="C414" s="101"/>
      <c r="D414" s="322"/>
      <c r="E414" s="838"/>
      <c r="F414" s="853"/>
      <c r="G414" s="206"/>
      <c r="H414" s="74"/>
      <c r="I414" s="560"/>
      <c r="J414" s="544"/>
      <c r="K414" s="365"/>
    </row>
    <row r="415" spans="1:11">
      <c r="A415" s="83"/>
      <c r="B415" s="43"/>
      <c r="C415" s="101"/>
      <c r="D415" s="342"/>
      <c r="E415" s="871"/>
      <c r="F415" s="767"/>
      <c r="G415" s="206"/>
      <c r="H415" s="74"/>
      <c r="I415" s="560"/>
      <c r="J415" s="544"/>
      <c r="K415" s="365"/>
    </row>
    <row r="416" spans="1:11">
      <c r="A416" s="83"/>
      <c r="B416" s="43"/>
      <c r="C416" s="101"/>
      <c r="D416" s="342"/>
      <c r="E416" s="871"/>
      <c r="F416" s="853"/>
      <c r="G416" s="206"/>
      <c r="H416" s="74"/>
      <c r="I416" s="560"/>
      <c r="J416" s="544"/>
      <c r="K416" s="365"/>
    </row>
    <row r="417" spans="1:11">
      <c r="A417" s="83"/>
      <c r="B417" s="43"/>
      <c r="C417" s="101"/>
      <c r="D417" s="342"/>
      <c r="E417" s="871"/>
      <c r="F417" s="853"/>
      <c r="G417" s="206"/>
      <c r="H417" s="74"/>
      <c r="I417" s="560"/>
      <c r="J417" s="544"/>
      <c r="K417" s="365"/>
    </row>
    <row r="418" spans="1:11">
      <c r="A418" s="83"/>
      <c r="B418" s="43"/>
      <c r="C418" s="101"/>
      <c r="D418" s="342"/>
      <c r="E418" s="843"/>
      <c r="F418" s="853"/>
      <c r="G418" s="206"/>
      <c r="H418" s="74"/>
      <c r="I418" s="560"/>
      <c r="J418" s="544"/>
      <c r="K418" s="365"/>
    </row>
    <row r="419" spans="1:11">
      <c r="A419" s="782"/>
      <c r="B419" s="783"/>
      <c r="C419" s="222"/>
      <c r="D419" s="517"/>
      <c r="E419" s="843"/>
      <c r="F419" s="853"/>
      <c r="G419" s="206"/>
      <c r="H419" s="74"/>
      <c r="I419" s="560"/>
      <c r="J419" s="544"/>
      <c r="K419" s="365"/>
    </row>
    <row r="420" spans="1:11">
      <c r="A420" s="83"/>
      <c r="B420" s="362"/>
      <c r="C420" s="101"/>
      <c r="D420" s="342"/>
      <c r="E420" s="843"/>
      <c r="F420" s="853"/>
      <c r="G420" s="206"/>
      <c r="H420" s="74"/>
      <c r="I420" s="562"/>
      <c r="J420" s="547"/>
      <c r="K420" s="550"/>
    </row>
    <row r="421" spans="1:11">
      <c r="A421" s="83"/>
      <c r="B421" s="362"/>
      <c r="C421" s="101"/>
      <c r="D421" s="342"/>
      <c r="E421" s="871"/>
      <c r="F421" s="767"/>
      <c r="G421" s="206"/>
      <c r="H421" s="74"/>
      <c r="I421" s="562"/>
      <c r="J421" s="547"/>
      <c r="K421" s="550"/>
    </row>
    <row r="422" spans="1:11">
      <c r="A422" s="83"/>
      <c r="B422" s="362"/>
      <c r="C422" s="101"/>
      <c r="D422" s="322"/>
      <c r="E422" s="838"/>
      <c r="F422" s="767"/>
      <c r="G422" s="206"/>
      <c r="H422" s="74"/>
      <c r="I422" s="562"/>
      <c r="J422" s="547"/>
      <c r="K422" s="550"/>
    </row>
    <row r="423" spans="1:11">
      <c r="A423" s="83"/>
      <c r="B423" s="43"/>
      <c r="C423" s="101"/>
      <c r="D423" s="322"/>
      <c r="E423" s="838"/>
      <c r="F423" s="767"/>
      <c r="G423" s="206"/>
      <c r="H423" s="74"/>
      <c r="I423" s="562"/>
      <c r="J423" s="547"/>
      <c r="K423" s="550"/>
    </row>
    <row r="424" spans="1:11">
      <c r="A424" s="83"/>
      <c r="B424" s="43"/>
      <c r="C424" s="101"/>
      <c r="D424" s="322"/>
      <c r="E424" s="838"/>
      <c r="F424" s="767"/>
      <c r="G424" s="206"/>
      <c r="H424" s="74"/>
      <c r="I424" s="562"/>
      <c r="J424" s="547"/>
      <c r="K424" s="550"/>
    </row>
    <row r="425" spans="1:11">
      <c r="A425" s="83"/>
      <c r="B425" s="43"/>
      <c r="C425" s="101"/>
      <c r="D425" s="322"/>
      <c r="E425" s="871"/>
      <c r="F425" s="767"/>
      <c r="G425" s="206"/>
      <c r="H425" s="74"/>
      <c r="I425" s="562"/>
      <c r="J425" s="547"/>
      <c r="K425" s="550"/>
    </row>
    <row r="426" spans="1:11">
      <c r="A426" s="83"/>
      <c r="B426" s="43"/>
      <c r="C426" s="101"/>
      <c r="D426" s="322"/>
      <c r="E426" s="871"/>
      <c r="F426" s="767"/>
      <c r="G426" s="206"/>
      <c r="H426" s="74"/>
      <c r="I426" s="562"/>
      <c r="J426" s="547"/>
      <c r="K426" s="550"/>
    </row>
    <row r="427" spans="1:11">
      <c r="A427" s="83"/>
      <c r="B427" s="43"/>
      <c r="C427" s="101"/>
      <c r="D427" s="342"/>
      <c r="E427" s="871"/>
      <c r="F427" s="767"/>
      <c r="G427" s="206"/>
      <c r="H427" s="74"/>
      <c r="I427" s="560"/>
      <c r="J427" s="547"/>
      <c r="K427" s="616"/>
    </row>
    <row r="428" spans="1:11">
      <c r="A428" s="389"/>
      <c r="B428" s="382"/>
      <c r="C428" s="101"/>
      <c r="D428" s="342"/>
      <c r="E428" s="871"/>
      <c r="F428" s="767"/>
      <c r="G428" s="206"/>
      <c r="H428" s="74"/>
      <c r="I428" s="560"/>
      <c r="J428" s="547"/>
      <c r="K428" s="616"/>
    </row>
    <row r="429" spans="1:11">
      <c r="A429" s="87"/>
      <c r="B429" s="43"/>
      <c r="C429" s="101"/>
      <c r="D429" s="342"/>
      <c r="E429" s="871"/>
      <c r="F429" s="767"/>
      <c r="G429" s="206"/>
      <c r="H429" s="74"/>
      <c r="I429" s="560"/>
      <c r="J429" s="547"/>
      <c r="K429" s="616"/>
    </row>
    <row r="430" spans="1:11">
      <c r="A430" s="87"/>
      <c r="B430" s="43"/>
      <c r="C430" s="101"/>
      <c r="D430" s="342"/>
      <c r="E430" s="871"/>
      <c r="F430" s="767"/>
      <c r="G430" s="206"/>
      <c r="H430" s="74"/>
      <c r="I430" s="560"/>
      <c r="J430" s="547"/>
      <c r="K430" s="616"/>
    </row>
    <row r="431" spans="1:11">
      <c r="A431" s="87"/>
      <c r="B431" s="43"/>
      <c r="C431" s="101"/>
      <c r="D431" s="342"/>
      <c r="E431" s="871"/>
      <c r="F431" s="767"/>
      <c r="G431" s="206"/>
      <c r="H431" s="74"/>
      <c r="I431" s="560"/>
      <c r="J431" s="547"/>
      <c r="K431" s="616"/>
    </row>
    <row r="432" spans="1:11">
      <c r="A432" s="87"/>
      <c r="B432" s="43"/>
      <c r="C432" s="101"/>
      <c r="D432" s="342"/>
      <c r="E432" s="871"/>
      <c r="F432" s="767"/>
      <c r="G432" s="206"/>
      <c r="H432" s="74"/>
      <c r="I432" s="560"/>
      <c r="J432" s="547"/>
      <c r="K432" s="616"/>
    </row>
    <row r="433" spans="1:11">
      <c r="A433" s="44"/>
      <c r="B433" s="45"/>
      <c r="C433" s="46"/>
      <c r="D433" s="124"/>
      <c r="F433" s="104"/>
      <c r="H433" s="45"/>
      <c r="I433" s="556"/>
      <c r="K433" s="492">
        <v>13</v>
      </c>
    </row>
    <row r="434" spans="1:11">
      <c r="A434" s="45" t="s">
        <v>0</v>
      </c>
      <c r="B434" s="45"/>
      <c r="C434" s="68"/>
      <c r="D434" s="612"/>
      <c r="F434" s="104"/>
      <c r="H434" s="45"/>
      <c r="I434" s="556"/>
    </row>
    <row r="435" spans="1:11">
      <c r="A435" s="3480" t="s">
        <v>1</v>
      </c>
      <c r="B435" s="3480"/>
      <c r="C435" s="46"/>
      <c r="D435" s="124"/>
      <c r="F435" s="104"/>
      <c r="H435" s="45"/>
      <c r="I435" s="556"/>
    </row>
    <row r="436" spans="1:11" ht="35.25" thickBot="1">
      <c r="F436" s="104"/>
    </row>
    <row r="437" spans="1:11">
      <c r="A437" s="3481" t="s">
        <v>2</v>
      </c>
      <c r="B437" s="3482"/>
      <c r="C437" s="48" t="s">
        <v>3</v>
      </c>
      <c r="D437" s="436" t="s">
        <v>4</v>
      </c>
      <c r="E437" s="868" t="s">
        <v>5</v>
      </c>
      <c r="F437" s="849" t="s">
        <v>5</v>
      </c>
      <c r="G437" s="211" t="s">
        <v>6</v>
      </c>
      <c r="H437" s="48" t="s">
        <v>7</v>
      </c>
      <c r="I437" s="557" t="s">
        <v>8</v>
      </c>
      <c r="J437" s="541" t="s">
        <v>9</v>
      </c>
      <c r="K437" s="346" t="s">
        <v>9</v>
      </c>
    </row>
    <row r="438" spans="1:11" ht="35.25" thickBot="1">
      <c r="A438" s="51"/>
      <c r="B438" s="72"/>
      <c r="C438" s="50"/>
      <c r="D438" s="437" t="s">
        <v>10</v>
      </c>
      <c r="E438" s="869" t="s">
        <v>12</v>
      </c>
      <c r="F438" s="850" t="s">
        <v>11</v>
      </c>
      <c r="G438" s="212"/>
      <c r="H438" s="50" t="s">
        <v>13</v>
      </c>
      <c r="I438" s="558"/>
      <c r="J438" s="542" t="s">
        <v>14</v>
      </c>
      <c r="K438" s="347" t="s">
        <v>15</v>
      </c>
    </row>
    <row r="439" spans="1:11">
      <c r="A439" s="3485"/>
      <c r="B439" s="3486"/>
      <c r="C439" s="63"/>
      <c r="D439" s="322"/>
      <c r="E439" s="843"/>
      <c r="F439" s="767"/>
      <c r="G439" s="206"/>
      <c r="H439" s="74"/>
      <c r="I439" s="560"/>
      <c r="J439" s="544"/>
      <c r="K439" s="365"/>
    </row>
    <row r="440" spans="1:11">
      <c r="A440" s="398"/>
      <c r="B440" s="43"/>
      <c r="C440" s="101"/>
      <c r="D440" s="322"/>
      <c r="E440" s="843"/>
      <c r="F440" s="853"/>
      <c r="G440" s="206"/>
      <c r="H440" s="74"/>
      <c r="I440" s="560"/>
      <c r="J440" s="547"/>
      <c r="K440" s="550"/>
    </row>
    <row r="441" spans="1:11">
      <c r="A441" s="398"/>
      <c r="B441" s="43"/>
      <c r="C441" s="101"/>
      <c r="D441" s="322"/>
      <c r="E441" s="843"/>
      <c r="F441" s="853"/>
      <c r="G441" s="206"/>
      <c r="H441" s="74"/>
      <c r="I441" s="560"/>
      <c r="J441" s="547"/>
      <c r="K441" s="550"/>
    </row>
    <row r="442" spans="1:11">
      <c r="A442" s="398"/>
      <c r="B442" s="43"/>
      <c r="C442" s="101"/>
      <c r="D442" s="322"/>
      <c r="E442" s="843"/>
      <c r="F442" s="853"/>
      <c r="G442" s="206"/>
      <c r="H442" s="74"/>
      <c r="I442" s="560"/>
      <c r="J442" s="547"/>
      <c r="K442" s="550"/>
    </row>
    <row r="443" spans="1:11">
      <c r="A443" s="398"/>
      <c r="B443" s="43"/>
      <c r="C443" s="101"/>
      <c r="D443" s="322"/>
      <c r="E443" s="843"/>
      <c r="F443" s="853"/>
      <c r="G443" s="206"/>
      <c r="H443" s="74"/>
      <c r="I443" s="560"/>
      <c r="J443" s="547"/>
      <c r="K443" s="550"/>
    </row>
    <row r="444" spans="1:11">
      <c r="A444" s="398"/>
      <c r="B444" s="43"/>
      <c r="C444" s="101"/>
      <c r="D444" s="322"/>
      <c r="E444" s="843"/>
      <c r="F444" s="853"/>
      <c r="G444" s="206"/>
      <c r="H444" s="74"/>
      <c r="I444" s="560"/>
      <c r="J444" s="547"/>
      <c r="K444" s="550"/>
    </row>
    <row r="445" spans="1:11">
      <c r="A445" s="3487"/>
      <c r="B445" s="3488"/>
      <c r="C445" s="101"/>
      <c r="D445" s="322"/>
      <c r="E445" s="843"/>
      <c r="F445" s="853"/>
      <c r="G445" s="206"/>
      <c r="H445" s="74"/>
      <c r="I445" s="560"/>
      <c r="J445" s="544"/>
      <c r="K445" s="550"/>
    </row>
    <row r="446" spans="1:11">
      <c r="A446" s="663"/>
      <c r="B446" s="43"/>
      <c r="C446" s="101"/>
      <c r="D446" s="322"/>
      <c r="E446" s="843"/>
      <c r="F446" s="853"/>
      <c r="G446" s="206"/>
      <c r="H446" s="74"/>
      <c r="I446" s="560"/>
      <c r="J446" s="547"/>
      <c r="K446" s="550"/>
    </row>
    <row r="447" spans="1:11">
      <c r="A447" s="398"/>
      <c r="B447" s="43"/>
      <c r="C447" s="101"/>
      <c r="D447" s="322"/>
      <c r="E447" s="843"/>
      <c r="F447" s="853"/>
      <c r="G447" s="206"/>
      <c r="H447" s="74"/>
      <c r="I447" s="560"/>
      <c r="J447" s="547"/>
      <c r="K447" s="550"/>
    </row>
    <row r="448" spans="1:11">
      <c r="A448" s="398"/>
      <c r="B448" s="43"/>
      <c r="C448" s="101"/>
      <c r="D448" s="322"/>
      <c r="E448" s="843"/>
      <c r="F448" s="853"/>
      <c r="G448" s="206"/>
      <c r="H448" s="74"/>
      <c r="I448" s="560"/>
      <c r="J448" s="547"/>
      <c r="K448" s="550"/>
    </row>
    <row r="449" spans="1:11">
      <c r="A449" s="398"/>
      <c r="B449" s="43"/>
      <c r="C449" s="101"/>
      <c r="D449" s="322"/>
      <c r="E449" s="843"/>
      <c r="F449" s="853"/>
      <c r="G449" s="206"/>
      <c r="H449" s="74"/>
      <c r="I449" s="560"/>
      <c r="J449" s="547"/>
      <c r="K449" s="550"/>
    </row>
    <row r="450" spans="1:11">
      <c r="A450" s="83"/>
      <c r="B450" s="43"/>
      <c r="C450" s="101"/>
      <c r="D450" s="322"/>
      <c r="E450" s="843"/>
      <c r="F450" s="767"/>
      <c r="G450" s="206"/>
      <c r="H450" s="74"/>
      <c r="I450" s="560"/>
      <c r="J450" s="547"/>
      <c r="K450" s="550"/>
    </row>
    <row r="451" spans="1:11">
      <c r="A451" s="83"/>
      <c r="B451" s="43"/>
      <c r="C451" s="101"/>
      <c r="D451" s="322"/>
      <c r="E451" s="843"/>
      <c r="F451" s="853"/>
      <c r="G451" s="206"/>
      <c r="H451" s="74"/>
      <c r="I451" s="560"/>
      <c r="J451" s="547"/>
      <c r="K451" s="550"/>
    </row>
    <row r="452" spans="1:11">
      <c r="A452" s="83"/>
      <c r="B452" s="43"/>
      <c r="C452" s="101"/>
      <c r="D452" s="322"/>
      <c r="E452" s="843"/>
      <c r="F452" s="853"/>
      <c r="G452" s="206"/>
      <c r="H452" s="74"/>
      <c r="I452" s="560"/>
      <c r="J452" s="547"/>
      <c r="K452" s="550"/>
    </row>
    <row r="453" spans="1:11">
      <c r="A453" s="83"/>
      <c r="B453" s="43"/>
      <c r="C453" s="101"/>
      <c r="D453" s="322"/>
      <c r="E453" s="843"/>
      <c r="F453" s="853"/>
      <c r="G453" s="206"/>
      <c r="H453" s="74"/>
      <c r="I453" s="560"/>
      <c r="J453" s="547"/>
      <c r="K453" s="550"/>
    </row>
    <row r="454" spans="1:11">
      <c r="A454" s="83"/>
      <c r="B454" s="43"/>
      <c r="C454" s="101"/>
      <c r="D454" s="342"/>
      <c r="E454" s="843"/>
      <c r="F454" s="853"/>
      <c r="G454" s="206"/>
      <c r="H454" s="74"/>
      <c r="I454" s="560"/>
      <c r="J454" s="547"/>
      <c r="K454" s="550"/>
    </row>
    <row r="455" spans="1:11">
      <c r="A455" s="83"/>
      <c r="B455" s="43"/>
      <c r="C455" s="101"/>
      <c r="D455" s="322"/>
      <c r="E455" s="843"/>
      <c r="F455" s="853"/>
      <c r="G455" s="206"/>
      <c r="H455" s="74"/>
      <c r="I455" s="560"/>
      <c r="J455" s="547"/>
      <c r="K455" s="550"/>
    </row>
    <row r="456" spans="1:11">
      <c r="A456" s="83"/>
      <c r="B456" s="43"/>
      <c r="C456" s="101"/>
      <c r="D456" s="322"/>
      <c r="E456" s="843"/>
      <c r="F456" s="853"/>
      <c r="G456" s="206"/>
      <c r="H456" s="74"/>
      <c r="I456" s="560"/>
      <c r="J456" s="547"/>
      <c r="K456" s="550"/>
    </row>
    <row r="457" spans="1:11">
      <c r="A457" s="83"/>
      <c r="B457" s="43"/>
      <c r="C457" s="101"/>
      <c r="D457" s="342"/>
      <c r="E457" s="843"/>
      <c r="F457" s="853"/>
      <c r="G457" s="206"/>
      <c r="H457" s="74"/>
      <c r="I457" s="385"/>
      <c r="J457" s="547"/>
      <c r="K457" s="550"/>
    </row>
    <row r="458" spans="1:11">
      <c r="A458" s="83"/>
      <c r="B458" s="43"/>
      <c r="C458" s="101"/>
      <c r="D458" s="342"/>
      <c r="E458" s="843"/>
      <c r="F458" s="767"/>
      <c r="G458" s="206"/>
      <c r="H458" s="74"/>
      <c r="I458" s="560"/>
      <c r="J458" s="547"/>
      <c r="K458" s="550"/>
    </row>
    <row r="459" spans="1:11">
      <c r="A459" s="83"/>
      <c r="B459" s="43"/>
      <c r="C459" s="101"/>
      <c r="D459" s="322"/>
      <c r="E459" s="843"/>
      <c r="F459" s="767"/>
      <c r="G459" s="206"/>
      <c r="H459" s="74"/>
      <c r="I459" s="560"/>
      <c r="J459" s="547"/>
      <c r="K459" s="550"/>
    </row>
    <row r="460" spans="1:11">
      <c r="A460" s="83"/>
      <c r="B460" s="43"/>
      <c r="C460" s="101"/>
      <c r="D460" s="342"/>
      <c r="E460" s="843"/>
      <c r="F460" s="767"/>
      <c r="G460" s="206"/>
      <c r="H460" s="74"/>
      <c r="I460" s="560"/>
      <c r="J460" s="547"/>
      <c r="K460" s="550"/>
    </row>
    <row r="461" spans="1:11">
      <c r="A461" s="83"/>
      <c r="B461" s="382"/>
      <c r="C461" s="101"/>
      <c r="D461" s="322"/>
      <c r="E461" s="838"/>
      <c r="F461" s="767"/>
      <c r="G461" s="206"/>
      <c r="H461" s="74"/>
      <c r="I461" s="560"/>
      <c r="J461" s="547"/>
      <c r="K461" s="394"/>
    </row>
    <row r="462" spans="1:11">
      <c r="A462" s="83"/>
      <c r="B462" s="43"/>
      <c r="C462" s="320"/>
      <c r="D462" s="322"/>
      <c r="E462" s="838"/>
      <c r="F462" s="767"/>
      <c r="G462" s="206"/>
      <c r="H462" s="74"/>
      <c r="I462" s="563"/>
      <c r="J462" s="544"/>
      <c r="K462" s="394"/>
    </row>
    <row r="463" spans="1:11">
      <c r="A463" s="83"/>
      <c r="B463" s="43"/>
      <c r="C463" s="101"/>
      <c r="D463" s="322"/>
      <c r="E463" s="838"/>
      <c r="F463" s="767"/>
      <c r="G463" s="206"/>
      <c r="H463" s="74"/>
      <c r="I463" s="563"/>
      <c r="J463" s="548"/>
      <c r="K463" s="365"/>
    </row>
    <row r="464" spans="1:11">
      <c r="A464" s="83"/>
      <c r="B464" s="43"/>
      <c r="C464" s="101"/>
      <c r="D464" s="342"/>
      <c r="E464" s="871"/>
      <c r="F464" s="767"/>
      <c r="G464" s="206"/>
      <c r="H464" s="74"/>
      <c r="I464" s="563"/>
      <c r="J464" s="544"/>
      <c r="K464" s="365"/>
    </row>
    <row r="465" spans="1:11">
      <c r="A465" s="83"/>
      <c r="B465" s="43"/>
      <c r="C465" s="101"/>
      <c r="D465" s="342"/>
      <c r="E465" s="871"/>
      <c r="F465" s="767"/>
      <c r="G465" s="206"/>
      <c r="H465" s="74"/>
      <c r="I465" s="563"/>
      <c r="J465" s="544"/>
      <c r="K465" s="365"/>
    </row>
    <row r="466" spans="1:11">
      <c r="A466" s="83"/>
      <c r="B466" s="362"/>
      <c r="C466" s="101"/>
      <c r="D466" s="342"/>
      <c r="E466" s="871"/>
      <c r="F466" s="767"/>
      <c r="G466" s="206"/>
      <c r="H466" s="74"/>
      <c r="I466" s="563"/>
      <c r="J466" s="544"/>
      <c r="K466" s="365"/>
    </row>
    <row r="467" spans="1:11">
      <c r="A467" s="87"/>
      <c r="B467" s="362"/>
      <c r="C467" s="101"/>
      <c r="D467" s="342"/>
      <c r="E467" s="871"/>
      <c r="F467" s="767"/>
      <c r="G467" s="206"/>
      <c r="H467" s="74"/>
      <c r="I467" s="563"/>
      <c r="J467" s="544"/>
      <c r="K467" s="365"/>
    </row>
    <row r="468" spans="1:11">
      <c r="A468" s="87"/>
      <c r="B468" s="362"/>
      <c r="C468" s="101"/>
      <c r="D468" s="342"/>
      <c r="E468" s="871"/>
      <c r="F468" s="767"/>
      <c r="G468" s="206"/>
      <c r="H468" s="74"/>
      <c r="I468" s="563"/>
      <c r="J468" s="544"/>
      <c r="K468" s="365"/>
    </row>
    <row r="469" spans="1:11">
      <c r="A469" s="44"/>
      <c r="B469" s="45"/>
      <c r="C469" s="46"/>
      <c r="D469" s="124"/>
      <c r="F469" s="104"/>
      <c r="H469" s="45"/>
      <c r="I469" s="556"/>
      <c r="K469" s="537">
        <v>14</v>
      </c>
    </row>
    <row r="470" spans="1:11">
      <c r="A470" s="45" t="s">
        <v>0</v>
      </c>
      <c r="B470" s="45"/>
      <c r="C470" s="68"/>
      <c r="D470" s="612"/>
      <c r="F470" s="104"/>
      <c r="H470" s="45"/>
      <c r="I470" s="556"/>
    </row>
    <row r="471" spans="1:11">
      <c r="A471" s="3480" t="s">
        <v>1</v>
      </c>
      <c r="B471" s="3480"/>
      <c r="C471" s="46"/>
      <c r="D471" s="124"/>
      <c r="F471" s="104"/>
      <c r="H471" s="45"/>
      <c r="I471" s="556"/>
    </row>
    <row r="472" spans="1:11" ht="35.25" thickBot="1">
      <c r="F472" s="104"/>
      <c r="K472" s="732"/>
    </row>
    <row r="473" spans="1:11">
      <c r="A473" s="3445"/>
      <c r="B473" s="3446" t="s">
        <v>2</v>
      </c>
      <c r="C473" s="48" t="s">
        <v>3</v>
      </c>
      <c r="D473" s="436" t="s">
        <v>4</v>
      </c>
      <c r="E473" s="868" t="s">
        <v>5</v>
      </c>
      <c r="F473" s="849" t="s">
        <v>5</v>
      </c>
      <c r="G473" s="211" t="s">
        <v>6</v>
      </c>
      <c r="H473" s="48" t="s">
        <v>7</v>
      </c>
      <c r="I473" s="557" t="s">
        <v>8</v>
      </c>
      <c r="J473" s="573" t="s">
        <v>9</v>
      </c>
      <c r="K473" s="346" t="s">
        <v>9</v>
      </c>
    </row>
    <row r="474" spans="1:11" ht="35.25" thickBot="1">
      <c r="A474" s="51"/>
      <c r="B474" s="72"/>
      <c r="C474" s="50"/>
      <c r="D474" s="437" t="s">
        <v>10</v>
      </c>
      <c r="E474" s="869" t="s">
        <v>12</v>
      </c>
      <c r="F474" s="850" t="s">
        <v>11</v>
      </c>
      <c r="G474" s="212"/>
      <c r="H474" s="50" t="s">
        <v>13</v>
      </c>
      <c r="I474" s="558"/>
      <c r="J474" s="574" t="s">
        <v>14</v>
      </c>
      <c r="K474" s="347" t="s">
        <v>15</v>
      </c>
    </row>
    <row r="475" spans="1:11">
      <c r="A475" s="388"/>
      <c r="B475" s="382"/>
      <c r="C475" s="101"/>
      <c r="D475" s="322"/>
      <c r="E475" s="843"/>
      <c r="F475" s="767"/>
      <c r="G475" s="206"/>
      <c r="H475" s="74"/>
      <c r="I475" s="560"/>
      <c r="J475" s="544"/>
      <c r="K475" s="365"/>
    </row>
    <row r="476" spans="1:11">
      <c r="A476" s="83"/>
      <c r="B476" s="362"/>
      <c r="C476" s="101"/>
      <c r="D476" s="342"/>
      <c r="E476" s="872"/>
      <c r="F476" s="853"/>
      <c r="G476" s="206"/>
      <c r="H476" s="74"/>
      <c r="I476" s="560"/>
      <c r="J476" s="547"/>
      <c r="K476" s="550"/>
    </row>
    <row r="477" spans="1:11">
      <c r="A477" s="83"/>
      <c r="B477" s="362"/>
      <c r="C477" s="101"/>
      <c r="D477" s="342"/>
      <c r="E477" s="871"/>
      <c r="F477" s="767"/>
      <c r="G477" s="206"/>
      <c r="H477" s="74"/>
      <c r="I477" s="560"/>
      <c r="J477" s="547"/>
      <c r="K477" s="550"/>
    </row>
    <row r="478" spans="1:11">
      <c r="A478" s="83"/>
      <c r="B478" s="362"/>
      <c r="C478" s="101"/>
      <c r="D478" s="342"/>
      <c r="E478" s="871"/>
      <c r="F478" s="767"/>
      <c r="G478" s="206"/>
      <c r="H478" s="74"/>
      <c r="I478" s="560"/>
      <c r="J478" s="547"/>
      <c r="K478" s="550"/>
    </row>
    <row r="479" spans="1:11">
      <c r="A479" s="83"/>
      <c r="B479" s="43"/>
      <c r="C479" s="101"/>
      <c r="D479" s="342"/>
      <c r="E479" s="871"/>
      <c r="F479" s="767"/>
      <c r="G479" s="206"/>
      <c r="H479" s="74"/>
      <c r="I479" s="560"/>
      <c r="J479" s="547"/>
      <c r="K479" s="365"/>
    </row>
    <row r="480" spans="1:11">
      <c r="A480" s="83"/>
      <c r="B480" s="43"/>
      <c r="C480" s="101"/>
      <c r="D480" s="342"/>
      <c r="E480" s="871"/>
      <c r="F480" s="767"/>
      <c r="G480" s="206"/>
      <c r="H480" s="74"/>
      <c r="I480" s="560"/>
      <c r="J480" s="547"/>
      <c r="K480" s="365"/>
    </row>
    <row r="481" spans="1:11">
      <c r="A481" s="83"/>
      <c r="B481" s="43"/>
      <c r="C481" s="101"/>
      <c r="D481" s="342"/>
      <c r="E481" s="871"/>
      <c r="F481" s="767"/>
      <c r="G481" s="206"/>
      <c r="H481" s="74"/>
      <c r="I481" s="560"/>
      <c r="J481" s="731"/>
      <c r="K481" s="365"/>
    </row>
    <row r="482" spans="1:11">
      <c r="A482" s="83"/>
      <c r="B482" s="43"/>
      <c r="C482" s="101"/>
      <c r="D482" s="342"/>
      <c r="E482" s="871"/>
      <c r="F482" s="767"/>
      <c r="G482" s="206"/>
      <c r="H482" s="74"/>
      <c r="I482" s="560"/>
      <c r="J482" s="731"/>
      <c r="K482" s="365"/>
    </row>
    <row r="483" spans="1:11">
      <c r="A483" s="83"/>
      <c r="B483" s="43"/>
      <c r="C483" s="101"/>
      <c r="D483" s="342"/>
      <c r="E483" s="871"/>
      <c r="F483" s="767"/>
      <c r="G483" s="206"/>
      <c r="H483" s="74"/>
      <c r="I483" s="560"/>
      <c r="J483" s="731"/>
      <c r="K483" s="365"/>
    </row>
    <row r="484" spans="1:11">
      <c r="A484" s="83"/>
      <c r="B484" s="43"/>
      <c r="C484" s="101"/>
      <c r="D484" s="342"/>
      <c r="E484" s="871"/>
      <c r="F484" s="767"/>
      <c r="G484" s="206"/>
      <c r="H484" s="74"/>
      <c r="I484" s="560"/>
      <c r="J484" s="731"/>
      <c r="K484" s="365"/>
    </row>
    <row r="485" spans="1:11">
      <c r="A485" s="83"/>
      <c r="B485" s="43"/>
      <c r="C485" s="101"/>
      <c r="D485" s="342"/>
      <c r="E485" s="871"/>
      <c r="F485" s="767"/>
      <c r="G485" s="206"/>
      <c r="H485" s="74"/>
      <c r="I485" s="560"/>
      <c r="J485" s="731"/>
      <c r="K485" s="365"/>
    </row>
    <row r="486" spans="1:11">
      <c r="A486" s="389"/>
      <c r="B486" s="382"/>
      <c r="C486" s="105"/>
      <c r="D486" s="342"/>
      <c r="E486" s="871"/>
      <c r="F486" s="767"/>
      <c r="G486" s="206"/>
      <c r="H486" s="74"/>
      <c r="I486" s="560"/>
      <c r="J486" s="544"/>
      <c r="K486" s="365"/>
    </row>
    <row r="487" spans="1:11">
      <c r="A487" s="83"/>
      <c r="B487" s="43"/>
      <c r="C487" s="101"/>
      <c r="D487" s="342"/>
      <c r="E487" s="871"/>
      <c r="F487" s="767"/>
      <c r="G487" s="206"/>
      <c r="H487" s="74"/>
      <c r="I487" s="560"/>
      <c r="J487" s="544"/>
      <c r="K487" s="550"/>
    </row>
    <row r="488" spans="1:11">
      <c r="A488" s="83"/>
      <c r="B488" s="43"/>
      <c r="C488" s="101"/>
      <c r="D488" s="342"/>
      <c r="E488" s="871"/>
      <c r="F488" s="767"/>
      <c r="G488" s="206"/>
      <c r="H488" s="74"/>
      <c r="I488" s="560"/>
      <c r="J488" s="547"/>
      <c r="K488" s="550"/>
    </row>
    <row r="489" spans="1:11">
      <c r="A489" s="83"/>
      <c r="B489" s="43"/>
      <c r="C489" s="101"/>
      <c r="D489" s="342"/>
      <c r="E489" s="871"/>
      <c r="F489" s="767"/>
      <c r="G489" s="206"/>
      <c r="H489" s="74"/>
      <c r="I489" s="560"/>
      <c r="J489" s="544"/>
      <c r="K489" s="365"/>
    </row>
    <row r="490" spans="1:11">
      <c r="A490" s="83"/>
      <c r="B490" s="43"/>
      <c r="C490" s="101"/>
      <c r="D490" s="342"/>
      <c r="E490" s="871"/>
      <c r="F490" s="767"/>
      <c r="G490" s="206"/>
      <c r="H490" s="74"/>
      <c r="I490" s="560"/>
      <c r="J490" s="544"/>
      <c r="K490" s="365"/>
    </row>
    <row r="491" spans="1:11">
      <c r="A491" s="315"/>
      <c r="B491" s="43"/>
      <c r="C491" s="101"/>
      <c r="D491" s="517"/>
      <c r="E491" s="873"/>
      <c r="F491" s="767"/>
      <c r="G491" s="206"/>
      <c r="H491" s="58"/>
      <c r="I491" s="559"/>
      <c r="J491" s="544"/>
      <c r="K491" s="365"/>
    </row>
    <row r="492" spans="1:11">
      <c r="A492" s="83"/>
      <c r="B492" s="43"/>
      <c r="C492" s="101"/>
      <c r="D492" s="342"/>
      <c r="E492" s="871"/>
      <c r="F492" s="767"/>
      <c r="G492" s="206"/>
      <c r="H492" s="74"/>
      <c r="I492" s="560"/>
      <c r="J492" s="544"/>
      <c r="K492" s="365"/>
    </row>
    <row r="493" spans="1:11">
      <c r="A493" s="83"/>
      <c r="B493" s="43"/>
      <c r="C493" s="101"/>
      <c r="D493" s="342"/>
      <c r="E493" s="871"/>
      <c r="F493" s="767"/>
      <c r="G493" s="206"/>
      <c r="H493" s="74"/>
      <c r="I493" s="560"/>
      <c r="J493" s="544"/>
      <c r="K493" s="365"/>
    </row>
    <row r="494" spans="1:11">
      <c r="A494" s="493"/>
      <c r="B494" s="448"/>
      <c r="C494" s="661"/>
      <c r="D494" s="342"/>
      <c r="E494" s="871"/>
      <c r="F494" s="767"/>
      <c r="G494" s="206"/>
      <c r="H494" s="74"/>
      <c r="I494" s="560"/>
      <c r="J494" s="544"/>
      <c r="K494" s="365"/>
    </row>
    <row r="495" spans="1:11">
      <c r="A495" s="83"/>
      <c r="B495" s="43"/>
      <c r="C495" s="101"/>
      <c r="D495" s="342"/>
      <c r="E495" s="871"/>
      <c r="F495" s="767"/>
      <c r="G495" s="206"/>
      <c r="H495" s="74"/>
      <c r="I495" s="560"/>
      <c r="J495" s="544"/>
      <c r="K495" s="365"/>
    </row>
    <row r="496" spans="1:11">
      <c r="A496" s="83"/>
      <c r="B496" s="43"/>
      <c r="C496" s="101"/>
      <c r="D496" s="342"/>
      <c r="E496" s="871"/>
      <c r="F496" s="767"/>
      <c r="G496" s="206"/>
      <c r="H496" s="74"/>
      <c r="I496" s="560"/>
      <c r="J496" s="544"/>
      <c r="K496" s="365"/>
    </row>
    <row r="497" spans="1:11">
      <c r="A497" s="83"/>
      <c r="B497" s="43"/>
      <c r="C497" s="101"/>
      <c r="D497" s="342"/>
      <c r="E497" s="871"/>
      <c r="F497" s="767"/>
      <c r="G497" s="206"/>
      <c r="H497" s="74"/>
      <c r="I497" s="560"/>
      <c r="J497" s="544"/>
      <c r="K497" s="365"/>
    </row>
    <row r="498" spans="1:11">
      <c r="A498" s="83"/>
      <c r="B498" s="43"/>
      <c r="C498" s="101"/>
      <c r="D498" s="342"/>
      <c r="E498" s="871"/>
      <c r="F498" s="767"/>
      <c r="G498" s="206"/>
      <c r="H498" s="74"/>
      <c r="I498" s="560"/>
      <c r="J498" s="544"/>
      <c r="K498" s="365"/>
    </row>
    <row r="499" spans="1:11">
      <c r="A499" s="83"/>
      <c r="B499" s="362"/>
      <c r="C499" s="101"/>
      <c r="D499" s="342"/>
      <c r="E499" s="873"/>
      <c r="F499" s="767"/>
      <c r="G499" s="206"/>
      <c r="H499" s="74"/>
      <c r="I499" s="560"/>
      <c r="J499" s="544"/>
      <c r="K499" s="365"/>
    </row>
    <row r="500" spans="1:11">
      <c r="A500" s="83"/>
      <c r="B500" s="362"/>
      <c r="C500" s="101"/>
      <c r="D500" s="342"/>
      <c r="E500" s="873"/>
      <c r="F500" s="767"/>
      <c r="G500" s="206"/>
      <c r="H500" s="74"/>
      <c r="I500" s="560"/>
      <c r="J500" s="544"/>
      <c r="K500" s="365"/>
    </row>
    <row r="501" spans="1:11">
      <c r="A501" s="315"/>
      <c r="B501" s="43"/>
      <c r="C501" s="101"/>
      <c r="D501" s="342"/>
      <c r="E501" s="873"/>
      <c r="F501" s="767"/>
      <c r="G501" s="206"/>
      <c r="H501" s="58"/>
      <c r="I501" s="560"/>
      <c r="J501" s="544"/>
      <c r="K501" s="365"/>
    </row>
    <row r="502" spans="1:11">
      <c r="A502" s="315"/>
      <c r="B502" s="43"/>
      <c r="C502" s="101"/>
      <c r="D502" s="342"/>
      <c r="E502" s="873"/>
      <c r="F502" s="767"/>
      <c r="G502" s="206"/>
      <c r="H502" s="58"/>
      <c r="I502" s="559"/>
      <c r="J502" s="544"/>
      <c r="K502" s="365"/>
    </row>
    <row r="503" spans="1:11">
      <c r="A503" s="315"/>
      <c r="B503" s="43"/>
      <c r="C503" s="101"/>
      <c r="D503" s="342"/>
      <c r="E503" s="873"/>
      <c r="F503" s="767"/>
      <c r="G503" s="206"/>
      <c r="H503" s="58"/>
      <c r="I503" s="560"/>
      <c r="J503" s="544"/>
      <c r="K503" s="365"/>
    </row>
    <row r="504" spans="1:11">
      <c r="A504" s="315"/>
      <c r="B504" s="43"/>
      <c r="C504" s="101"/>
      <c r="D504" s="342"/>
      <c r="E504" s="873"/>
      <c r="F504" s="767"/>
      <c r="G504" s="206"/>
      <c r="H504" s="58"/>
      <c r="I504" s="559"/>
      <c r="J504" s="544"/>
      <c r="K504" s="365"/>
    </row>
  </sheetData>
  <mergeCells count="35">
    <mergeCell ref="A471:B471"/>
    <mergeCell ref="A401:B401"/>
    <mergeCell ref="A403:B403"/>
    <mergeCell ref="A408:B408"/>
    <mergeCell ref="A435:B435"/>
    <mergeCell ref="A437:B437"/>
    <mergeCell ref="A439:B439"/>
    <mergeCell ref="A365:B365"/>
    <mergeCell ref="A367:B367"/>
    <mergeCell ref="A392:B392"/>
    <mergeCell ref="A399:B399"/>
    <mergeCell ref="A445:B445"/>
    <mergeCell ref="A329:B329"/>
    <mergeCell ref="A348:B348"/>
    <mergeCell ref="A354:B354"/>
    <mergeCell ref="A357:B357"/>
    <mergeCell ref="A363:B363"/>
    <mergeCell ref="A273:B273"/>
    <mergeCell ref="A284:B284"/>
    <mergeCell ref="A291:B291"/>
    <mergeCell ref="A295:B295"/>
    <mergeCell ref="A327:B327"/>
    <mergeCell ref="A3:B3"/>
    <mergeCell ref="A39:B39"/>
    <mergeCell ref="A75:B75"/>
    <mergeCell ref="A77:B77"/>
    <mergeCell ref="A111:B111"/>
    <mergeCell ref="A188:B188"/>
    <mergeCell ref="A226:B226"/>
    <mergeCell ref="A228:B228"/>
    <mergeCell ref="A113:B113"/>
    <mergeCell ref="A147:B147"/>
    <mergeCell ref="A149:B149"/>
    <mergeCell ref="A183:B183"/>
    <mergeCell ref="A186:B186"/>
  </mergeCells>
  <phoneticPr fontId="6" type="noConversion"/>
  <pageMargins left="0.7" right="0.7" top="0.75" bottom="0.75" header="0.3" footer="0.3"/>
  <pageSetup paperSize="9" scale="56" orientation="portrait" horizontalDpi="0" verticalDpi="0" r:id="rId1"/>
  <rowBreaks count="3" manualBreakCount="3">
    <brk id="73" max="16383" man="1"/>
    <brk id="109" max="16383" man="1"/>
    <brk id="144" max="16383" man="1"/>
  </rowBreaks>
  <colBreaks count="1" manualBreakCount="1">
    <brk id="11" max="50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3418-B0FE-4A80-9EE6-33299A8A4CC0}">
  <sheetPr>
    <tabColor indexed="46"/>
  </sheetPr>
  <dimension ref="A1:P504"/>
  <sheetViews>
    <sheetView topLeftCell="A23" zoomScale="80" zoomScaleNormal="80" zoomScaleSheetLayoutView="220" workbookViewId="0">
      <selection activeCell="K27" sqref="K27"/>
    </sheetView>
  </sheetViews>
  <sheetFormatPr defaultRowHeight="34.5"/>
  <cols>
    <col min="1" max="1" width="7.5703125" style="75" customWidth="1"/>
    <col min="2" max="2" width="28.140625" style="76" customWidth="1"/>
    <col min="3" max="3" width="10.85546875" style="102" customWidth="1"/>
    <col min="4" max="4" width="13.140625" style="335" customWidth="1"/>
    <col min="5" max="5" width="9.28515625" style="335" customWidth="1"/>
    <col min="6" max="6" width="12" style="863" customWidth="1"/>
    <col min="7" max="7" width="13.28515625" style="210" customWidth="1"/>
    <col min="8" max="8" width="13.85546875" style="76" customWidth="1"/>
    <col min="9" max="9" width="22" style="555" customWidth="1"/>
    <col min="10" max="10" width="13.140625" style="540" customWidth="1"/>
    <col min="11" max="11" width="11.7109375" style="366" customWidth="1"/>
    <col min="12" max="12" width="24.28515625" style="76" customWidth="1"/>
    <col min="13" max="16384" width="9.140625" style="76"/>
  </cols>
  <sheetData>
    <row r="1" spans="1:11" ht="29.25" customHeight="1">
      <c r="F1" s="104"/>
      <c r="K1" s="537">
        <v>1</v>
      </c>
    </row>
    <row r="2" spans="1:11" s="45" customFormat="1">
      <c r="A2" s="45" t="s">
        <v>0</v>
      </c>
      <c r="C2" s="68"/>
      <c r="D2" s="612"/>
      <c r="E2" s="335"/>
      <c r="F2" s="104"/>
      <c r="G2" s="210"/>
      <c r="I2" s="556"/>
      <c r="J2" s="540"/>
      <c r="K2" s="366"/>
    </row>
    <row r="3" spans="1:11" s="45" customFormat="1">
      <c r="A3" s="3480" t="s">
        <v>1</v>
      </c>
      <c r="B3" s="3480"/>
      <c r="C3" s="46"/>
      <c r="D3" s="124"/>
      <c r="E3" s="335"/>
      <c r="F3" s="104"/>
      <c r="G3" s="210"/>
      <c r="I3" s="556"/>
      <c r="J3" s="540"/>
      <c r="K3" s="366"/>
    </row>
    <row r="4" spans="1:11" ht="18" customHeight="1" thickBot="1">
      <c r="F4" s="104"/>
    </row>
    <row r="5" spans="1:11" s="46" customFormat="1">
      <c r="A5" s="3445"/>
      <c r="B5" s="3446" t="s">
        <v>2</v>
      </c>
      <c r="C5" s="48" t="s">
        <v>3</v>
      </c>
      <c r="D5" s="436" t="s">
        <v>4</v>
      </c>
      <c r="E5" s="868" t="s">
        <v>5</v>
      </c>
      <c r="F5" s="849" t="s">
        <v>5</v>
      </c>
      <c r="G5" s="219" t="s">
        <v>6</v>
      </c>
      <c r="H5" s="48" t="s">
        <v>7</v>
      </c>
      <c r="I5" s="557" t="s">
        <v>8</v>
      </c>
      <c r="J5" s="541" t="s">
        <v>9</v>
      </c>
      <c r="K5" s="346" t="s">
        <v>9</v>
      </c>
    </row>
    <row r="6" spans="1:11" s="46" customFormat="1" ht="35.25" thickBot="1">
      <c r="A6" s="51"/>
      <c r="B6" s="72"/>
      <c r="C6" s="50"/>
      <c r="D6" s="437" t="s">
        <v>10</v>
      </c>
      <c r="E6" s="869" t="s">
        <v>11</v>
      </c>
      <c r="F6" s="850" t="s">
        <v>12</v>
      </c>
      <c r="G6" s="212"/>
      <c r="H6" s="50" t="s">
        <v>13</v>
      </c>
      <c r="I6" s="558"/>
      <c r="J6" s="542" t="s">
        <v>14</v>
      </c>
      <c r="K6" s="347" t="s">
        <v>15</v>
      </c>
    </row>
    <row r="7" spans="1:11" s="46" customFormat="1">
      <c r="A7" s="3494" t="s">
        <v>736</v>
      </c>
      <c r="B7" s="3495"/>
      <c r="D7" s="538"/>
      <c r="E7" s="843"/>
      <c r="F7" s="767"/>
      <c r="G7" s="206"/>
      <c r="H7" s="74"/>
      <c r="I7" s="560"/>
      <c r="J7" s="544"/>
      <c r="K7" s="365"/>
    </row>
    <row r="8" spans="1:11">
      <c r="A8" s="83"/>
      <c r="B8" s="1763" t="s">
        <v>737</v>
      </c>
      <c r="C8" s="390" t="s">
        <v>738</v>
      </c>
      <c r="D8" s="207" t="s">
        <v>414</v>
      </c>
      <c r="E8" s="838">
        <v>85</v>
      </c>
      <c r="F8" s="861"/>
      <c r="G8" s="248" t="s">
        <v>739</v>
      </c>
      <c r="H8" s="639">
        <v>90</v>
      </c>
      <c r="I8" s="665" t="s">
        <v>740</v>
      </c>
      <c r="J8" s="546" t="s">
        <v>741</v>
      </c>
      <c r="K8" s="365">
        <v>78.59</v>
      </c>
    </row>
    <row r="9" spans="1:11">
      <c r="A9" s="83"/>
      <c r="B9" s="1763" t="s">
        <v>742</v>
      </c>
      <c r="C9" s="390" t="s">
        <v>743</v>
      </c>
      <c r="D9" s="207" t="s">
        <v>414</v>
      </c>
      <c r="E9" s="838">
        <v>85</v>
      </c>
      <c r="F9" s="861"/>
      <c r="G9" s="248" t="s">
        <v>739</v>
      </c>
      <c r="H9" s="639">
        <v>90</v>
      </c>
      <c r="I9" s="665" t="s">
        <v>740</v>
      </c>
      <c r="J9" s="546" t="s">
        <v>741</v>
      </c>
      <c r="K9" s="365">
        <v>78.59</v>
      </c>
    </row>
    <row r="10" spans="1:11">
      <c r="A10" s="83"/>
      <c r="B10" s="1763" t="s">
        <v>744</v>
      </c>
      <c r="C10" s="390" t="s">
        <v>738</v>
      </c>
      <c r="D10" s="207" t="s">
        <v>414</v>
      </c>
      <c r="E10" s="838">
        <v>85</v>
      </c>
      <c r="F10" s="861"/>
      <c r="G10" s="248" t="s">
        <v>739</v>
      </c>
      <c r="H10" s="639">
        <v>90</v>
      </c>
      <c r="I10" s="665" t="s">
        <v>740</v>
      </c>
      <c r="J10" s="546" t="s">
        <v>741</v>
      </c>
      <c r="K10" s="365">
        <v>78.59</v>
      </c>
    </row>
    <row r="11" spans="1:11">
      <c r="A11" s="83"/>
      <c r="B11" s="1763" t="s">
        <v>745</v>
      </c>
      <c r="C11" s="390" t="s">
        <v>738</v>
      </c>
      <c r="D11" s="207" t="s">
        <v>414</v>
      </c>
      <c r="E11" s="838">
        <v>85</v>
      </c>
      <c r="F11" s="861"/>
      <c r="G11" s="248" t="s">
        <v>739</v>
      </c>
      <c r="H11" s="639">
        <v>90</v>
      </c>
      <c r="I11" s="665" t="s">
        <v>740</v>
      </c>
      <c r="J11" s="546" t="s">
        <v>741</v>
      </c>
      <c r="K11" s="365">
        <v>78.59</v>
      </c>
    </row>
    <row r="12" spans="1:11">
      <c r="A12" s="83"/>
      <c r="B12" s="1763" t="s">
        <v>737</v>
      </c>
      <c r="C12" s="2178" t="s">
        <v>746</v>
      </c>
      <c r="D12" s="207" t="s">
        <v>390</v>
      </c>
      <c r="E12" s="838">
        <v>189</v>
      </c>
      <c r="F12" s="861"/>
      <c r="G12" s="483" t="s">
        <v>747</v>
      </c>
      <c r="H12" s="639">
        <v>2108.9</v>
      </c>
      <c r="I12" s="665"/>
      <c r="J12" s="546" t="s">
        <v>748</v>
      </c>
      <c r="K12" s="365">
        <v>176.92</v>
      </c>
    </row>
    <row r="13" spans="1:11">
      <c r="A13" s="83"/>
      <c r="B13" s="1763" t="s">
        <v>742</v>
      </c>
      <c r="C13" s="2178" t="s">
        <v>746</v>
      </c>
      <c r="D13" s="207" t="s">
        <v>390</v>
      </c>
      <c r="E13" s="838">
        <v>189</v>
      </c>
      <c r="F13" s="861"/>
      <c r="G13" s="483" t="s">
        <v>747</v>
      </c>
      <c r="H13" s="639">
        <v>2108.9</v>
      </c>
      <c r="I13" s="665"/>
      <c r="J13" s="546" t="s">
        <v>748</v>
      </c>
      <c r="K13" s="365">
        <v>176.92</v>
      </c>
    </row>
    <row r="14" spans="1:11">
      <c r="A14" s="83"/>
      <c r="B14" s="1763" t="s">
        <v>737</v>
      </c>
      <c r="C14" s="390" t="s">
        <v>749</v>
      </c>
      <c r="D14" s="207" t="s">
        <v>750</v>
      </c>
      <c r="E14" s="767">
        <v>125</v>
      </c>
      <c r="F14" s="767"/>
      <c r="G14" s="248" t="s">
        <v>751</v>
      </c>
      <c r="H14" s="150">
        <v>1384.11</v>
      </c>
      <c r="I14" s="560" t="s">
        <v>752</v>
      </c>
      <c r="J14" s="544" t="s">
        <v>753</v>
      </c>
      <c r="K14" s="365">
        <v>113.74</v>
      </c>
    </row>
    <row r="15" spans="1:11">
      <c r="A15" s="1416"/>
      <c r="B15" s="465"/>
      <c r="C15" s="390"/>
      <c r="D15" s="207"/>
      <c r="E15" s="838"/>
      <c r="F15" s="767"/>
      <c r="G15" s="248"/>
      <c r="H15" s="150"/>
      <c r="I15" s="560"/>
      <c r="J15" s="544"/>
      <c r="K15" s="365"/>
    </row>
    <row r="16" spans="1:11">
      <c r="A16" s="1469" t="s">
        <v>754</v>
      </c>
      <c r="B16" s="1470"/>
      <c r="C16" s="1500"/>
      <c r="D16" s="1581"/>
      <c r="E16" s="838"/>
      <c r="F16" s="767"/>
      <c r="G16" s="206"/>
      <c r="H16" s="74"/>
      <c r="I16" s="560"/>
      <c r="J16" s="544"/>
      <c r="K16" s="365"/>
    </row>
    <row r="17" spans="1:16">
      <c r="A17" s="83"/>
      <c r="B17" s="362" t="s">
        <v>755</v>
      </c>
      <c r="C17" s="101" t="s">
        <v>247</v>
      </c>
      <c r="D17" s="342" t="s">
        <v>23</v>
      </c>
      <c r="E17" s="767">
        <v>129</v>
      </c>
      <c r="F17" s="861" t="s">
        <v>756</v>
      </c>
      <c r="G17" s="206" t="s">
        <v>700</v>
      </c>
      <c r="H17" s="74">
        <v>1818.72</v>
      </c>
      <c r="I17" s="559" t="s">
        <v>757</v>
      </c>
      <c r="J17" s="544" t="s">
        <v>758</v>
      </c>
      <c r="K17" s="365">
        <v>113.13</v>
      </c>
    </row>
    <row r="18" spans="1:16">
      <c r="A18" s="406"/>
      <c r="B18" s="362" t="s">
        <v>755</v>
      </c>
      <c r="C18" s="101" t="s">
        <v>256</v>
      </c>
      <c r="D18" s="342" t="s">
        <v>23</v>
      </c>
      <c r="E18" s="767">
        <v>230</v>
      </c>
      <c r="F18" s="861" t="s">
        <v>759</v>
      </c>
      <c r="G18" s="206" t="s">
        <v>760</v>
      </c>
      <c r="H18" s="74">
        <v>3227.52</v>
      </c>
      <c r="I18" s="559"/>
      <c r="J18" s="2360" t="s">
        <v>761</v>
      </c>
      <c r="K18" s="365">
        <v>216.45</v>
      </c>
    </row>
    <row r="19" spans="1:16">
      <c r="A19" s="406"/>
      <c r="B19" s="43" t="s">
        <v>762</v>
      </c>
      <c r="C19" s="101" t="s">
        <v>763</v>
      </c>
      <c r="D19" s="322" t="s">
        <v>130</v>
      </c>
      <c r="E19" s="838">
        <v>120</v>
      </c>
      <c r="F19" s="767">
        <v>2750</v>
      </c>
      <c r="G19" s="206" t="s">
        <v>764</v>
      </c>
      <c r="H19" s="74">
        <v>2664</v>
      </c>
      <c r="I19" s="562" t="s">
        <v>765</v>
      </c>
      <c r="J19" s="544">
        <v>2682.55</v>
      </c>
      <c r="K19" s="365">
        <v>111.78</v>
      </c>
    </row>
    <row r="20" spans="1:16">
      <c r="A20" s="83"/>
      <c r="B20" s="43" t="s">
        <v>766</v>
      </c>
      <c r="C20" s="101" t="s">
        <v>767</v>
      </c>
      <c r="D20" s="342" t="s">
        <v>23</v>
      </c>
      <c r="E20" s="767">
        <v>85</v>
      </c>
      <c r="F20" s="767"/>
      <c r="G20" s="206" t="s">
        <v>768</v>
      </c>
      <c r="H20" s="74">
        <v>882</v>
      </c>
      <c r="I20" s="559"/>
      <c r="J20" s="544">
        <v>904</v>
      </c>
      <c r="K20" s="365">
        <v>75</v>
      </c>
    </row>
    <row r="21" spans="1:16">
      <c r="A21" s="83"/>
      <c r="B21" s="43" t="s">
        <v>766</v>
      </c>
      <c r="C21" s="101" t="s">
        <v>769</v>
      </c>
      <c r="D21" s="342" t="s">
        <v>108</v>
      </c>
      <c r="E21" s="767">
        <v>165</v>
      </c>
      <c r="F21" s="767"/>
      <c r="G21" s="206" t="s">
        <v>770</v>
      </c>
      <c r="H21" s="74">
        <v>138.5</v>
      </c>
      <c r="I21" s="785" t="s">
        <v>771</v>
      </c>
      <c r="J21" s="544">
        <v>5334.48</v>
      </c>
      <c r="K21" s="365">
        <v>148.18</v>
      </c>
    </row>
    <row r="22" spans="1:16">
      <c r="A22" s="3449"/>
      <c r="B22" s="3450"/>
      <c r="C22" s="1460"/>
      <c r="D22" s="1461"/>
      <c r="E22" s="871"/>
      <c r="F22" s="767"/>
      <c r="G22" s="206"/>
      <c r="H22" s="74"/>
      <c r="I22" s="385"/>
      <c r="J22" s="544"/>
      <c r="K22" s="365"/>
    </row>
    <row r="23" spans="1:16">
      <c r="A23" s="83"/>
      <c r="B23" s="43"/>
      <c r="C23" s="207"/>
      <c r="D23" s="342"/>
      <c r="E23" s="871"/>
      <c r="F23" s="767"/>
      <c r="G23" s="206"/>
      <c r="H23" s="74"/>
      <c r="I23" s="3360"/>
      <c r="J23" s="546"/>
      <c r="K23" s="365"/>
    </row>
    <row r="24" spans="1:16">
      <c r="A24" s="3447" t="s">
        <v>772</v>
      </c>
      <c r="B24" s="3448"/>
      <c r="C24" s="1460" t="s">
        <v>773</v>
      </c>
      <c r="D24" s="1461"/>
      <c r="E24" s="871"/>
      <c r="F24" s="767"/>
      <c r="G24" s="206"/>
      <c r="H24" s="74"/>
      <c r="I24" s="385"/>
      <c r="J24" s="544"/>
      <c r="K24" s="365"/>
    </row>
    <row r="25" spans="1:16">
      <c r="A25" s="83"/>
      <c r="B25" s="43" t="s">
        <v>774</v>
      </c>
      <c r="C25" s="207" t="s">
        <v>775</v>
      </c>
      <c r="D25" s="342" t="s">
        <v>23</v>
      </c>
      <c r="E25" s="871">
        <v>235</v>
      </c>
      <c r="F25" s="767"/>
      <c r="G25" s="206" t="s">
        <v>673</v>
      </c>
      <c r="H25" s="74">
        <v>2640</v>
      </c>
      <c r="I25" s="3360" t="s">
        <v>776</v>
      </c>
      <c r="J25" s="546" t="s">
        <v>777</v>
      </c>
      <c r="K25" s="365">
        <v>222.5</v>
      </c>
    </row>
    <row r="26" spans="1:16">
      <c r="A26" s="83"/>
      <c r="B26" s="43" t="s">
        <v>778</v>
      </c>
      <c r="C26" s="101" t="s">
        <v>779</v>
      </c>
      <c r="D26" s="342" t="s">
        <v>23</v>
      </c>
      <c r="E26" s="871">
        <v>185</v>
      </c>
      <c r="F26" s="767"/>
      <c r="G26" s="206" t="s">
        <v>780</v>
      </c>
      <c r="H26" s="74">
        <v>2040</v>
      </c>
      <c r="I26" s="562"/>
      <c r="J26" s="546" t="s">
        <v>781</v>
      </c>
      <c r="K26" s="365">
        <v>160.5</v>
      </c>
    </row>
    <row r="27" spans="1:16">
      <c r="A27" s="83"/>
      <c r="B27" s="233" t="s">
        <v>782</v>
      </c>
      <c r="C27" s="103" t="s">
        <v>236</v>
      </c>
      <c r="D27" s="613" t="s">
        <v>23</v>
      </c>
      <c r="E27" s="873">
        <v>320</v>
      </c>
      <c r="F27" s="767"/>
      <c r="G27" s="214" t="s">
        <v>783</v>
      </c>
      <c r="H27" s="103">
        <v>3720</v>
      </c>
      <c r="I27" s="733"/>
      <c r="J27" s="543">
        <v>2996</v>
      </c>
      <c r="K27" s="735">
        <v>249.67</v>
      </c>
    </row>
    <row r="28" spans="1:16">
      <c r="A28" s="83"/>
      <c r="B28" s="233" t="s">
        <v>784</v>
      </c>
      <c r="C28" s="103" t="s">
        <v>236</v>
      </c>
      <c r="D28" s="613" t="s">
        <v>23</v>
      </c>
      <c r="E28" s="871"/>
      <c r="F28" s="767">
        <v>70</v>
      </c>
      <c r="G28" s="206" t="s">
        <v>785</v>
      </c>
      <c r="H28" s="74"/>
      <c r="I28" s="562" t="s">
        <v>786</v>
      </c>
      <c r="J28" s="544">
        <v>1473</v>
      </c>
      <c r="K28" s="365">
        <v>122.75</v>
      </c>
      <c r="L28" s="575"/>
      <c r="M28" s="188"/>
      <c r="N28" s="188"/>
      <c r="O28" s="189"/>
      <c r="P28" s="170"/>
    </row>
    <row r="29" spans="1:16">
      <c r="A29" s="772"/>
      <c r="B29" s="406"/>
      <c r="C29" s="320"/>
      <c r="D29" s="321"/>
      <c r="E29" s="767"/>
      <c r="F29" s="2790"/>
      <c r="G29"/>
      <c r="H29" s="560"/>
      <c r="I29" s="2791"/>
      <c r="J29" s="546"/>
      <c r="K29" s="2789"/>
      <c r="L29" s="575"/>
      <c r="M29" s="188"/>
      <c r="N29" s="188"/>
      <c r="O29" s="189"/>
      <c r="P29" s="170"/>
    </row>
    <row r="30" spans="1:16">
      <c r="A30" s="315"/>
      <c r="B30" s="406"/>
      <c r="C30" s="320"/>
      <c r="D30" s="321"/>
      <c r="E30" s="1980"/>
      <c r="F30"/>
      <c r="G30"/>
      <c r="H30" s="150"/>
      <c r="I30" s="785"/>
      <c r="J30" s="546"/>
      <c r="K30" s="2789"/>
      <c r="L30" s="575"/>
      <c r="M30" s="188"/>
      <c r="N30" s="188"/>
      <c r="O30" s="189"/>
      <c r="P30" s="170"/>
    </row>
    <row r="31" spans="1:16">
      <c r="A31" s="438"/>
      <c r="B31" s="766"/>
      <c r="C31" s="101"/>
      <c r="D31" s="342"/>
      <c r="E31" s="873"/>
      <c r="F31" s="767"/>
      <c r="G31" s="206"/>
      <c r="H31" s="74"/>
      <c r="I31" s="560"/>
      <c r="J31" s="544"/>
      <c r="K31" s="365"/>
      <c r="L31" s="575"/>
      <c r="M31" s="188"/>
      <c r="N31" s="188"/>
      <c r="O31" s="189"/>
      <c r="P31" s="170"/>
    </row>
    <row r="32" spans="1:16" ht="38.25">
      <c r="A32" s="389"/>
      <c r="B32" s="963" t="s">
        <v>787</v>
      </c>
      <c r="C32" s="1500"/>
      <c r="D32" s="2013"/>
      <c r="E32" s="871"/>
      <c r="F32" s="767"/>
      <c r="G32" s="206"/>
      <c r="H32" s="74"/>
      <c r="I32" s="560"/>
      <c r="J32" s="547"/>
      <c r="K32" s="550"/>
    </row>
    <row r="33" spans="1:12">
      <c r="A33" s="315"/>
      <c r="B33" s="43" t="s">
        <v>788</v>
      </c>
      <c r="C33" s="101" t="s">
        <v>624</v>
      </c>
      <c r="D33" s="342" t="s">
        <v>23</v>
      </c>
      <c r="E33" s="871">
        <v>150</v>
      </c>
      <c r="F33" s="767"/>
      <c r="G33" s="979" t="s">
        <v>789</v>
      </c>
      <c r="H33" s="74">
        <v>1550</v>
      </c>
      <c r="I33" s="560"/>
      <c r="J33" s="547">
        <v>1645.16</v>
      </c>
      <c r="K33" s="365">
        <v>137.09</v>
      </c>
    </row>
    <row r="34" spans="1:12">
      <c r="A34" s="59"/>
      <c r="B34" s="43" t="s">
        <v>788</v>
      </c>
      <c r="C34" s="101" t="s">
        <v>276</v>
      </c>
      <c r="D34" s="342" t="s">
        <v>23</v>
      </c>
      <c r="E34" s="871">
        <v>250</v>
      </c>
      <c r="F34" s="767"/>
      <c r="G34" s="206" t="s">
        <v>790</v>
      </c>
      <c r="H34" s="74">
        <v>2650</v>
      </c>
      <c r="I34" s="560"/>
      <c r="J34" s="547">
        <v>2774.51</v>
      </c>
      <c r="K34" s="365">
        <v>231.2</v>
      </c>
    </row>
    <row r="35" spans="1:12">
      <c r="A35" s="83"/>
      <c r="B35" s="43" t="s">
        <v>788</v>
      </c>
      <c r="C35" s="101" t="s">
        <v>791</v>
      </c>
      <c r="D35" s="342" t="s">
        <v>390</v>
      </c>
      <c r="E35" s="767">
        <v>110</v>
      </c>
      <c r="F35" s="767"/>
      <c r="G35" s="979" t="s">
        <v>789</v>
      </c>
      <c r="H35" s="74"/>
      <c r="I35" s="560"/>
      <c r="J35" s="544">
        <v>1176.3399999999999</v>
      </c>
      <c r="K35" s="365">
        <v>98.02</v>
      </c>
    </row>
    <row r="36" spans="1:12">
      <c r="A36" s="83"/>
      <c r="B36" s="43"/>
      <c r="C36" s="101"/>
      <c r="D36" s="342"/>
      <c r="E36" s="767"/>
      <c r="F36" s="767"/>
      <c r="G36" s="206"/>
      <c r="H36" s="74"/>
      <c r="I36" s="560"/>
      <c r="J36" s="544"/>
      <c r="K36" s="365"/>
    </row>
    <row r="37" spans="1:12">
      <c r="B37" s="75"/>
      <c r="C37" s="104"/>
      <c r="D37" s="167"/>
      <c r="E37" s="167"/>
      <c r="F37" s="167"/>
      <c r="G37" s="167"/>
      <c r="H37" s="75"/>
      <c r="I37" s="561"/>
      <c r="J37" s="545"/>
    </row>
    <row r="38" spans="1:12">
      <c r="A38" s="45" t="s">
        <v>0</v>
      </c>
      <c r="B38" s="45"/>
      <c r="C38" s="68"/>
      <c r="D38" s="612"/>
      <c r="F38" s="104"/>
      <c r="H38" s="45"/>
      <c r="I38" s="556"/>
      <c r="K38" s="492">
        <v>2</v>
      </c>
      <c r="L38" s="45"/>
    </row>
    <row r="39" spans="1:12" s="45" customFormat="1">
      <c r="A39" s="3480" t="s">
        <v>1</v>
      </c>
      <c r="B39" s="3480"/>
      <c r="C39" s="46"/>
      <c r="D39" s="124"/>
      <c r="E39" s="335"/>
      <c r="F39" s="104"/>
      <c r="G39" s="210"/>
      <c r="I39" s="556"/>
      <c r="J39" s="611"/>
      <c r="K39" s="366"/>
    </row>
    <row r="40" spans="1:12" ht="15.75" customHeight="1" thickBot="1">
      <c r="F40" s="104"/>
    </row>
    <row r="41" spans="1:12">
      <c r="A41" s="3445"/>
      <c r="B41" s="3446" t="s">
        <v>2</v>
      </c>
      <c r="C41" s="48" t="s">
        <v>3</v>
      </c>
      <c r="D41" s="436" t="s">
        <v>4</v>
      </c>
      <c r="E41" s="868" t="s">
        <v>5</v>
      </c>
      <c r="F41" s="849" t="s">
        <v>5</v>
      </c>
      <c r="G41" s="219" t="s">
        <v>6</v>
      </c>
      <c r="H41" s="48" t="s">
        <v>7</v>
      </c>
      <c r="I41" s="557" t="s">
        <v>8</v>
      </c>
      <c r="J41" s="541" t="s">
        <v>9</v>
      </c>
      <c r="K41" s="346" t="s">
        <v>9</v>
      </c>
      <c r="L41" s="46"/>
    </row>
    <row r="42" spans="1:12" ht="35.25" thickBot="1">
      <c r="A42" s="51"/>
      <c r="B42" s="72"/>
      <c r="C42" s="50"/>
      <c r="D42" s="437" t="s">
        <v>10</v>
      </c>
      <c r="E42" s="869" t="s">
        <v>11</v>
      </c>
      <c r="F42" s="850" t="s">
        <v>12</v>
      </c>
      <c r="G42" s="301"/>
      <c r="H42" s="50" t="s">
        <v>13</v>
      </c>
      <c r="I42" s="558"/>
      <c r="J42" s="542" t="s">
        <v>14</v>
      </c>
      <c r="K42" s="347" t="s">
        <v>15</v>
      </c>
      <c r="L42" s="46"/>
    </row>
    <row r="43" spans="1:12">
      <c r="A43" s="964"/>
      <c r="B43" s="781" t="s">
        <v>792</v>
      </c>
      <c r="C43" s="101"/>
      <c r="D43" s="322"/>
      <c r="E43" s="843"/>
      <c r="F43" s="767"/>
      <c r="G43" s="206"/>
      <c r="H43" s="74"/>
      <c r="I43" s="560"/>
      <c r="J43" s="544"/>
      <c r="K43" s="365"/>
    </row>
    <row r="44" spans="1:12">
      <c r="A44" s="265"/>
      <c r="B44" s="362" t="s">
        <v>793</v>
      </c>
      <c r="C44" s="101" t="s">
        <v>794</v>
      </c>
      <c r="D44" s="342" t="s">
        <v>23</v>
      </c>
      <c r="E44" s="872"/>
      <c r="F44" s="853"/>
      <c r="G44" s="206" t="s">
        <v>795</v>
      </c>
      <c r="H44" s="74">
        <v>2180</v>
      </c>
      <c r="I44" s="560" t="s">
        <v>796</v>
      </c>
      <c r="J44" s="547">
        <v>2080</v>
      </c>
      <c r="K44" s="550">
        <f>J44/12</f>
        <v>173.33333333333334</v>
      </c>
    </row>
    <row r="45" spans="1:12">
      <c r="A45" s="83"/>
      <c r="B45" s="362" t="s">
        <v>797</v>
      </c>
      <c r="C45" s="101" t="s">
        <v>794</v>
      </c>
      <c r="D45" s="342" t="s">
        <v>23</v>
      </c>
      <c r="E45" s="871"/>
      <c r="F45" s="767"/>
      <c r="G45" s="206" t="s">
        <v>795</v>
      </c>
      <c r="H45" s="74">
        <v>2180</v>
      </c>
      <c r="I45" s="560" t="s">
        <v>796</v>
      </c>
      <c r="J45" s="547">
        <f>10400/5</f>
        <v>2080</v>
      </c>
      <c r="K45" s="550">
        <f>J45/12</f>
        <v>173.33333333333334</v>
      </c>
    </row>
    <row r="46" spans="1:12">
      <c r="A46" s="83"/>
      <c r="B46" s="362" t="s">
        <v>793</v>
      </c>
      <c r="C46" s="101" t="s">
        <v>798</v>
      </c>
      <c r="D46" s="342" t="s">
        <v>18</v>
      </c>
      <c r="E46" s="871"/>
      <c r="F46" s="767"/>
      <c r="G46" s="206" t="s">
        <v>795</v>
      </c>
      <c r="H46" s="74">
        <v>2180</v>
      </c>
      <c r="I46" s="560" t="s">
        <v>796</v>
      </c>
      <c r="J46" s="547">
        <v>2080</v>
      </c>
      <c r="K46" s="550">
        <f>J46/24</f>
        <v>86.666666666666671</v>
      </c>
    </row>
    <row r="47" spans="1:12">
      <c r="A47" s="83"/>
      <c r="B47" s="43" t="s">
        <v>799</v>
      </c>
      <c r="C47" s="101" t="s">
        <v>236</v>
      </c>
      <c r="D47" s="342" t="s">
        <v>70</v>
      </c>
      <c r="E47" s="871"/>
      <c r="F47" s="767"/>
      <c r="G47" s="206" t="s">
        <v>800</v>
      </c>
      <c r="H47" s="74"/>
      <c r="I47" s="560"/>
      <c r="J47" s="547">
        <v>1335</v>
      </c>
      <c r="K47" s="365">
        <v>27.81</v>
      </c>
    </row>
    <row r="48" spans="1:12">
      <c r="A48" s="83"/>
      <c r="B48" s="43" t="s">
        <v>801</v>
      </c>
      <c r="C48" s="101" t="s">
        <v>802</v>
      </c>
      <c r="D48" s="342" t="s">
        <v>23</v>
      </c>
      <c r="E48" s="871">
        <v>105</v>
      </c>
      <c r="F48" s="767" t="s">
        <v>803</v>
      </c>
      <c r="G48" s="223" t="s">
        <v>804</v>
      </c>
      <c r="H48" s="74">
        <v>1210</v>
      </c>
      <c r="I48" s="560" t="s">
        <v>805</v>
      </c>
      <c r="J48" s="547">
        <v>1180</v>
      </c>
      <c r="K48" s="365">
        <v>98.33</v>
      </c>
    </row>
    <row r="49" spans="1:12">
      <c r="A49" s="83"/>
      <c r="B49" s="43" t="s">
        <v>801</v>
      </c>
      <c r="C49" s="101" t="s">
        <v>806</v>
      </c>
      <c r="D49" s="342" t="s">
        <v>23</v>
      </c>
      <c r="E49" s="871">
        <v>235</v>
      </c>
      <c r="F49" s="767" t="s">
        <v>807</v>
      </c>
      <c r="G49" s="223" t="s">
        <v>804</v>
      </c>
      <c r="H49" s="74">
        <v>2680</v>
      </c>
      <c r="I49" s="560"/>
      <c r="J49" s="547">
        <v>2680</v>
      </c>
      <c r="K49" s="365">
        <v>223.33</v>
      </c>
    </row>
    <row r="50" spans="1:12">
      <c r="A50" s="83"/>
      <c r="B50" s="43" t="s">
        <v>808</v>
      </c>
      <c r="C50" s="101" t="s">
        <v>100</v>
      </c>
      <c r="D50" s="342" t="s">
        <v>23</v>
      </c>
      <c r="E50" s="871">
        <v>145</v>
      </c>
      <c r="F50" s="1098"/>
      <c r="G50" s="979" t="s">
        <v>809</v>
      </c>
      <c r="H50" s="74">
        <v>1650</v>
      </c>
      <c r="I50" s="560"/>
      <c r="J50" s="731">
        <v>1650</v>
      </c>
      <c r="K50" s="365">
        <v>137.5</v>
      </c>
    </row>
    <row r="51" spans="1:12">
      <c r="A51" s="83"/>
      <c r="B51" s="43" t="s">
        <v>810</v>
      </c>
      <c r="C51" s="101" t="s">
        <v>811</v>
      </c>
      <c r="D51" s="342" t="s">
        <v>812</v>
      </c>
      <c r="E51" s="871">
        <v>57</v>
      </c>
      <c r="F51" s="767"/>
      <c r="G51" s="979" t="s">
        <v>813</v>
      </c>
      <c r="H51" s="74">
        <v>1590</v>
      </c>
      <c r="I51" s="560"/>
      <c r="J51" s="731">
        <v>1590</v>
      </c>
      <c r="K51" s="365">
        <v>53</v>
      </c>
    </row>
    <row r="52" spans="1:12">
      <c r="A52" s="83"/>
      <c r="B52" s="43" t="s">
        <v>810</v>
      </c>
      <c r="C52" s="101" t="s">
        <v>419</v>
      </c>
      <c r="D52" s="342" t="s">
        <v>814</v>
      </c>
      <c r="E52" s="871"/>
      <c r="F52" s="767"/>
      <c r="G52" s="206" t="s">
        <v>815</v>
      </c>
      <c r="H52" s="74">
        <v>1795</v>
      </c>
      <c r="I52" s="560" t="s">
        <v>816</v>
      </c>
      <c r="J52" s="731">
        <v>1770</v>
      </c>
      <c r="K52" s="365">
        <v>24.58</v>
      </c>
    </row>
    <row r="53" spans="1:12">
      <c r="A53" s="83"/>
      <c r="B53" s="43" t="s">
        <v>817</v>
      </c>
      <c r="C53" s="101" t="s">
        <v>236</v>
      </c>
      <c r="D53" s="322"/>
      <c r="E53" s="838"/>
      <c r="F53" s="767"/>
      <c r="G53" s="477"/>
      <c r="H53" s="207"/>
      <c r="I53" s="785"/>
      <c r="J53" s="546"/>
      <c r="K53" s="365"/>
    </row>
    <row r="54" spans="1:12">
      <c r="A54" s="83"/>
      <c r="B54" s="43"/>
      <c r="C54" s="101" t="s">
        <v>221</v>
      </c>
      <c r="D54" s="322"/>
      <c r="E54" s="838"/>
      <c r="F54" s="767"/>
      <c r="G54" s="477"/>
      <c r="H54" s="207"/>
      <c r="I54" s="559"/>
      <c r="J54" s="546"/>
      <c r="K54" s="365"/>
    </row>
    <row r="55" spans="1:12">
      <c r="A55" s="83"/>
      <c r="B55" s="43"/>
      <c r="C55" s="101" t="s">
        <v>818</v>
      </c>
      <c r="D55" s="322" t="s">
        <v>819</v>
      </c>
      <c r="E55" s="767"/>
      <c r="F55" s="767"/>
      <c r="G55" s="206"/>
      <c r="H55" s="74"/>
      <c r="I55" s="560"/>
      <c r="J55" s="544"/>
      <c r="K55" s="365"/>
    </row>
    <row r="56" spans="1:12">
      <c r="A56" s="83"/>
      <c r="B56" s="43"/>
      <c r="C56" s="101" t="s">
        <v>820</v>
      </c>
      <c r="D56" s="322" t="s">
        <v>819</v>
      </c>
      <c r="E56" s="767"/>
      <c r="F56" s="767"/>
      <c r="G56" s="206"/>
      <c r="H56" s="74"/>
      <c r="I56" s="559"/>
      <c r="J56" s="544"/>
      <c r="K56" s="365"/>
    </row>
    <row r="57" spans="1:12">
      <c r="A57" s="83"/>
      <c r="B57" s="43" t="s">
        <v>821</v>
      </c>
      <c r="C57" s="322" t="s">
        <v>822</v>
      </c>
      <c r="D57" s="322" t="s">
        <v>23</v>
      </c>
      <c r="E57" s="767"/>
      <c r="F57" s="767"/>
      <c r="G57" s="206"/>
      <c r="H57" s="74"/>
      <c r="I57" s="559"/>
      <c r="J57" s="544"/>
      <c r="K57" s="365"/>
    </row>
    <row r="58" spans="1:12">
      <c r="A58" s="83"/>
      <c r="B58" s="43"/>
      <c r="C58" s="322" t="s">
        <v>823</v>
      </c>
      <c r="D58" s="322" t="s">
        <v>23</v>
      </c>
      <c r="E58" s="871"/>
      <c r="F58" s="1098"/>
      <c r="G58" s="206"/>
      <c r="H58" s="74"/>
      <c r="I58" s="560"/>
      <c r="J58" s="544"/>
      <c r="K58" s="365"/>
    </row>
    <row r="59" spans="1:12">
      <c r="A59" s="83"/>
      <c r="B59" s="43" t="s">
        <v>824</v>
      </c>
      <c r="C59" s="322" t="s">
        <v>822</v>
      </c>
      <c r="D59" s="322" t="s">
        <v>23</v>
      </c>
      <c r="E59" s="852"/>
      <c r="F59" s="852"/>
      <c r="G59" s="206"/>
      <c r="H59" s="74"/>
      <c r="I59" s="560"/>
      <c r="J59" s="544"/>
      <c r="K59" s="365"/>
      <c r="L59" s="75"/>
    </row>
    <row r="60" spans="1:12">
      <c r="A60" s="265"/>
      <c r="B60" s="43"/>
      <c r="C60" s="322" t="s">
        <v>823</v>
      </c>
      <c r="D60" s="322" t="s">
        <v>23</v>
      </c>
      <c r="E60" s="852"/>
      <c r="F60" s="852"/>
      <c r="G60" s="223"/>
      <c r="H60" s="253"/>
      <c r="I60" s="1499"/>
      <c r="J60" s="603"/>
      <c r="K60" s="378"/>
      <c r="L60" s="366"/>
    </row>
    <row r="61" spans="1:12">
      <c r="A61" s="265"/>
      <c r="B61" s="43" t="s">
        <v>825</v>
      </c>
      <c r="C61" s="101"/>
      <c r="D61" s="322" t="s">
        <v>826</v>
      </c>
      <c r="E61" s="767"/>
      <c r="F61" s="767"/>
      <c r="G61" s="206"/>
      <c r="H61" s="74"/>
      <c r="I61" s="560"/>
      <c r="J61" s="544"/>
      <c r="K61" s="365"/>
      <c r="L61" s="771"/>
    </row>
    <row r="62" spans="1:12">
      <c r="A62" s="265"/>
      <c r="B62" s="43" t="s">
        <v>827</v>
      </c>
      <c r="C62" s="101"/>
      <c r="D62" s="322" t="s">
        <v>828</v>
      </c>
      <c r="E62" s="1770"/>
      <c r="F62" s="1771"/>
      <c r="G62" s="206"/>
      <c r="H62" s="74"/>
      <c r="I62" s="560"/>
      <c r="J62" s="544"/>
      <c r="K62" s="365"/>
      <c r="L62" s="75"/>
    </row>
    <row r="63" spans="1:12">
      <c r="A63" s="443"/>
      <c r="B63" s="43" t="s">
        <v>825</v>
      </c>
      <c r="C63" s="101"/>
      <c r="D63" s="322" t="s">
        <v>826</v>
      </c>
      <c r="E63" s="1770"/>
      <c r="F63" s="1772"/>
      <c r="G63" s="206"/>
      <c r="H63" s="74"/>
      <c r="I63" s="560"/>
      <c r="J63" s="546"/>
      <c r="K63" s="734"/>
    </row>
    <row r="64" spans="1:12">
      <c r="A64" s="536"/>
      <c r="B64" s="43" t="s">
        <v>799</v>
      </c>
      <c r="C64" s="101" t="s">
        <v>829</v>
      </c>
      <c r="D64" s="342" t="s">
        <v>298</v>
      </c>
      <c r="E64" s="852"/>
      <c r="F64" s="852"/>
      <c r="G64" s="223"/>
      <c r="H64" s="253"/>
      <c r="I64" s="1499"/>
      <c r="J64" s="603"/>
      <c r="K64" s="378"/>
    </row>
    <row r="65" spans="1:12">
      <c r="A65" s="2784"/>
      <c r="B65" s="43"/>
      <c r="C65" s="101" t="s">
        <v>236</v>
      </c>
      <c r="D65" s="342" t="s">
        <v>40</v>
      </c>
      <c r="E65" s="871"/>
      <c r="F65" s="767"/>
      <c r="G65" s="206"/>
      <c r="H65" s="74"/>
      <c r="I65" s="560"/>
      <c r="J65" s="544"/>
      <c r="K65" s="365"/>
    </row>
    <row r="66" spans="1:12">
      <c r="A66" s="83"/>
      <c r="B66" s="43"/>
      <c r="C66" s="101" t="s">
        <v>17</v>
      </c>
      <c r="D66" s="322"/>
      <c r="E66" s="767"/>
      <c r="F66" s="767"/>
      <c r="G66" s="206"/>
      <c r="H66" s="74"/>
      <c r="I66" s="560"/>
      <c r="J66" s="546"/>
      <c r="K66" s="365"/>
    </row>
    <row r="67" spans="1:12">
      <c r="A67" s="83"/>
      <c r="B67" s="43"/>
      <c r="C67" s="101" t="s">
        <v>451</v>
      </c>
      <c r="D67" s="322" t="s">
        <v>830</v>
      </c>
      <c r="E67" s="767"/>
      <c r="F67" s="767"/>
      <c r="G67" s="206"/>
      <c r="H67" s="74"/>
      <c r="I67" s="560"/>
      <c r="J67" s="544"/>
      <c r="K67" s="365"/>
    </row>
    <row r="68" spans="1:12">
      <c r="A68" s="83"/>
      <c r="B68" s="43"/>
      <c r="C68" s="101"/>
      <c r="D68" s="342"/>
      <c r="E68" s="767"/>
      <c r="F68" s="767"/>
      <c r="G68" s="206"/>
      <c r="H68" s="74"/>
      <c r="I68" s="560"/>
      <c r="J68" s="544"/>
      <c r="K68" s="365"/>
    </row>
    <row r="69" spans="1:12">
      <c r="A69" s="83"/>
      <c r="B69" s="139"/>
      <c r="C69" s="207"/>
      <c r="D69" s="412"/>
      <c r="E69" s="874"/>
      <c r="F69" s="853"/>
      <c r="G69" s="1072"/>
      <c r="H69" s="117"/>
      <c r="I69" s="1647"/>
      <c r="J69" s="543"/>
      <c r="K69" s="369"/>
    </row>
    <row r="70" spans="1:12">
      <c r="A70" s="59"/>
      <c r="B70" s="2728"/>
      <c r="C70" s="101"/>
      <c r="D70" s="342"/>
      <c r="E70" s="767"/>
      <c r="F70" s="767"/>
      <c r="G70" s="206"/>
      <c r="H70" s="74"/>
      <c r="I70" s="560"/>
      <c r="J70" s="547"/>
      <c r="K70" s="365"/>
    </row>
    <row r="71" spans="1:12" s="114" customFormat="1">
      <c r="A71" s="63"/>
      <c r="B71" s="406"/>
      <c r="C71" s="101"/>
      <c r="D71" s="342"/>
      <c r="E71" s="767"/>
      <c r="F71" s="767"/>
      <c r="G71" s="206"/>
      <c r="H71" s="74"/>
      <c r="I71" s="560"/>
      <c r="J71" s="547"/>
      <c r="K71" s="365"/>
    </row>
    <row r="72" spans="1:12" ht="29.25" customHeight="1">
      <c r="A72" s="74"/>
      <c r="B72" s="115"/>
      <c r="C72" s="390"/>
      <c r="D72" s="115"/>
      <c r="E72" s="341"/>
      <c r="F72" s="320"/>
      <c r="G72" s="217"/>
      <c r="H72" s="639"/>
      <c r="I72" s="115"/>
      <c r="J72" s="694"/>
      <c r="K72" s="792"/>
    </row>
    <row r="73" spans="1:12" ht="29.25" customHeight="1">
      <c r="A73" s="44"/>
      <c r="B73" s="45"/>
      <c r="C73" s="46"/>
      <c r="D73" s="124"/>
      <c r="F73" s="104"/>
      <c r="H73" s="45"/>
      <c r="I73" s="556"/>
      <c r="K73" s="537">
        <v>3</v>
      </c>
    </row>
    <row r="74" spans="1:12">
      <c r="A74" s="45" t="s">
        <v>0</v>
      </c>
      <c r="B74" s="45"/>
      <c r="C74" s="68"/>
      <c r="D74" s="612"/>
      <c r="F74" s="104"/>
      <c r="H74" s="45"/>
      <c r="I74" s="556"/>
      <c r="L74" s="45"/>
    </row>
    <row r="75" spans="1:12" s="45" customFormat="1">
      <c r="A75" s="3480" t="s">
        <v>1</v>
      </c>
      <c r="B75" s="3480"/>
      <c r="C75" s="46"/>
      <c r="D75" s="124"/>
      <c r="E75" s="335"/>
      <c r="F75" s="104"/>
      <c r="G75" s="210"/>
      <c r="I75" s="556"/>
      <c r="J75" s="540"/>
      <c r="K75" s="366"/>
    </row>
    <row r="76" spans="1:12" ht="27" customHeight="1" thickBot="1">
      <c r="F76" s="104"/>
    </row>
    <row r="77" spans="1:12">
      <c r="A77" s="3481" t="s">
        <v>2</v>
      </c>
      <c r="B77" s="3482"/>
      <c r="C77" s="48" t="s">
        <v>3</v>
      </c>
      <c r="D77" s="436" t="s">
        <v>4</v>
      </c>
      <c r="E77" s="868" t="s">
        <v>5</v>
      </c>
      <c r="F77" s="849" t="s">
        <v>5</v>
      </c>
      <c r="G77" s="219" t="s">
        <v>6</v>
      </c>
      <c r="H77" s="48" t="s">
        <v>7</v>
      </c>
      <c r="I77" s="557" t="s">
        <v>8</v>
      </c>
      <c r="J77" s="541" t="s">
        <v>9</v>
      </c>
      <c r="K77" s="346" t="s">
        <v>9</v>
      </c>
      <c r="L77" s="46"/>
    </row>
    <row r="78" spans="1:12" ht="35.25" thickBot="1">
      <c r="A78" s="51"/>
      <c r="B78" s="72"/>
      <c r="C78" s="50"/>
      <c r="D78" s="437" t="s">
        <v>10</v>
      </c>
      <c r="E78" s="869" t="s">
        <v>12</v>
      </c>
      <c r="F78" s="850" t="s">
        <v>11</v>
      </c>
      <c r="G78" s="301"/>
      <c r="H78" s="50" t="s">
        <v>13</v>
      </c>
      <c r="I78" s="558"/>
      <c r="J78" s="542" t="s">
        <v>14</v>
      </c>
      <c r="K78" s="347" t="s">
        <v>15</v>
      </c>
      <c r="L78" s="46"/>
    </row>
    <row r="79" spans="1:12">
      <c r="A79" s="3377" t="s">
        <v>676</v>
      </c>
      <c r="B79" s="2759"/>
      <c r="C79" s="101"/>
      <c r="D79" s="342"/>
      <c r="E79" s="871"/>
      <c r="F79" s="767"/>
      <c r="G79" s="206"/>
      <c r="H79" s="74"/>
      <c r="I79" s="560"/>
      <c r="J79" s="547"/>
      <c r="K79" s="365"/>
    </row>
    <row r="80" spans="1:12">
      <c r="A80" s="1382"/>
      <c r="B80" s="74" t="s">
        <v>677</v>
      </c>
      <c r="C80" s="101" t="s">
        <v>678</v>
      </c>
      <c r="D80" s="342" t="s">
        <v>390</v>
      </c>
      <c r="E80" s="871">
        <v>72</v>
      </c>
      <c r="F80" s="767" t="s">
        <v>367</v>
      </c>
      <c r="G80" s="979" t="s">
        <v>831</v>
      </c>
      <c r="H80" s="74" t="s">
        <v>832</v>
      </c>
      <c r="I80" s="560" t="s">
        <v>833</v>
      </c>
      <c r="J80" s="547" t="s">
        <v>834</v>
      </c>
      <c r="K80" s="365">
        <v>68.260000000000005</v>
      </c>
    </row>
    <row r="81" spans="1:15">
      <c r="A81" s="1382"/>
      <c r="B81" s="74"/>
      <c r="C81" s="101"/>
      <c r="D81" s="342"/>
      <c r="E81" s="871"/>
      <c r="F81" s="767"/>
      <c r="G81" s="206"/>
      <c r="H81" s="74"/>
      <c r="I81" s="560" t="s">
        <v>835</v>
      </c>
      <c r="J81" s="731"/>
      <c r="K81" s="365"/>
    </row>
    <row r="82" spans="1:15" ht="38.25">
      <c r="A82" s="3378"/>
      <c r="B82" s="3379" t="s">
        <v>680</v>
      </c>
      <c r="C82" s="3380"/>
      <c r="D82" s="3381"/>
      <c r="E82" s="142"/>
      <c r="F82" s="381"/>
      <c r="G82" s="206"/>
      <c r="H82" s="74"/>
      <c r="I82" s="560" t="s">
        <v>681</v>
      </c>
      <c r="J82" s="603"/>
      <c r="K82" s="378"/>
    </row>
    <row r="83" spans="1:15">
      <c r="A83" s="1382"/>
      <c r="B83" s="224" t="s">
        <v>682</v>
      </c>
      <c r="C83" s="877" t="s">
        <v>192</v>
      </c>
      <c r="D83" s="1619" t="s">
        <v>683</v>
      </c>
      <c r="E83" s="871" t="s">
        <v>684</v>
      </c>
      <c r="F83" s="767" t="s">
        <v>566</v>
      </c>
      <c r="G83" s="2737" t="s">
        <v>836</v>
      </c>
      <c r="H83" s="74">
        <v>837.38</v>
      </c>
      <c r="I83" s="560" t="s">
        <v>686</v>
      </c>
      <c r="J83" s="603" t="s">
        <v>687</v>
      </c>
      <c r="K83" s="378">
        <v>71.17</v>
      </c>
    </row>
    <row r="84" spans="1:15">
      <c r="A84" s="1382"/>
      <c r="B84" s="778" t="s">
        <v>688</v>
      </c>
      <c r="C84" s="877" t="s">
        <v>192</v>
      </c>
      <c r="D84" s="1619" t="s">
        <v>683</v>
      </c>
      <c r="E84" s="871" t="s">
        <v>689</v>
      </c>
      <c r="F84" s="767" t="s">
        <v>690</v>
      </c>
      <c r="G84" s="2731"/>
      <c r="H84" s="74">
        <v>712.15</v>
      </c>
      <c r="I84" s="560" t="s">
        <v>691</v>
      </c>
      <c r="J84" s="603" t="s">
        <v>692</v>
      </c>
      <c r="K84" s="378">
        <v>61.75</v>
      </c>
    </row>
    <row r="85" spans="1:15">
      <c r="A85" s="74"/>
      <c r="B85" s="224"/>
      <c r="C85" s="877"/>
      <c r="D85" s="1619"/>
      <c r="E85" s="871"/>
      <c r="F85" s="767"/>
      <c r="G85" s="206"/>
      <c r="H85" s="74"/>
      <c r="I85" s="560" t="s">
        <v>693</v>
      </c>
      <c r="J85" s="547"/>
      <c r="K85" s="365"/>
      <c r="O85" s="743"/>
    </row>
    <row r="86" spans="1:15">
      <c r="A86" s="74"/>
      <c r="B86" s="778" t="s">
        <v>688</v>
      </c>
      <c r="C86" s="877" t="s">
        <v>192</v>
      </c>
      <c r="D86" s="1619" t="s">
        <v>683</v>
      </c>
      <c r="E86" s="871" t="s">
        <v>689</v>
      </c>
      <c r="F86" s="767" t="s">
        <v>690</v>
      </c>
      <c r="G86" s="2737" t="s">
        <v>694</v>
      </c>
      <c r="H86" s="74">
        <v>712.15</v>
      </c>
      <c r="I86" s="562" t="s">
        <v>695</v>
      </c>
      <c r="J86" s="1031" t="s">
        <v>696</v>
      </c>
      <c r="K86" s="550">
        <v>62.58</v>
      </c>
    </row>
    <row r="87" spans="1:15">
      <c r="A87" s="74"/>
      <c r="B87" s="224" t="s">
        <v>697</v>
      </c>
      <c r="C87" s="877" t="s">
        <v>192</v>
      </c>
      <c r="D87" s="1619" t="s">
        <v>683</v>
      </c>
      <c r="E87" s="84" t="s">
        <v>698</v>
      </c>
      <c r="F87" s="856" t="s">
        <v>699</v>
      </c>
      <c r="G87" s="2737" t="s">
        <v>700</v>
      </c>
      <c r="H87" s="74">
        <v>1135.52</v>
      </c>
      <c r="I87" s="562" t="s">
        <v>701</v>
      </c>
      <c r="J87" s="1031" t="s">
        <v>702</v>
      </c>
      <c r="K87" s="550">
        <v>99.25</v>
      </c>
    </row>
    <row r="88" spans="1:15">
      <c r="A88" s="63"/>
      <c r="B88" s="224" t="s">
        <v>703</v>
      </c>
      <c r="C88" s="320" t="s">
        <v>276</v>
      </c>
      <c r="D88" s="624" t="s">
        <v>130</v>
      </c>
      <c r="E88" s="871">
        <v>125</v>
      </c>
      <c r="F88" s="767" t="s">
        <v>704</v>
      </c>
      <c r="G88" s="3036" t="s">
        <v>700</v>
      </c>
      <c r="H88" s="74">
        <v>2668.25</v>
      </c>
      <c r="I88" s="560"/>
      <c r="J88" s="546" t="s">
        <v>705</v>
      </c>
      <c r="K88" s="2601">
        <v>118.96</v>
      </c>
    </row>
    <row r="89" spans="1:15">
      <c r="A89" s="63"/>
      <c r="B89" s="224" t="s">
        <v>706</v>
      </c>
      <c r="C89" s="320" t="s">
        <v>276</v>
      </c>
      <c r="D89" s="624" t="s">
        <v>130</v>
      </c>
      <c r="E89" s="871">
        <v>125</v>
      </c>
      <c r="F89" s="767" t="s">
        <v>704</v>
      </c>
      <c r="G89" s="3036" t="s">
        <v>700</v>
      </c>
      <c r="H89" s="74">
        <v>2660.75</v>
      </c>
      <c r="I89" s="560"/>
      <c r="J89" s="546" t="s">
        <v>707</v>
      </c>
      <c r="K89" s="2601">
        <v>118.63</v>
      </c>
    </row>
    <row r="90" spans="1:15">
      <c r="A90" s="63"/>
      <c r="B90" s="224" t="s">
        <v>708</v>
      </c>
      <c r="C90" s="101" t="s">
        <v>276</v>
      </c>
      <c r="D90" s="624" t="s">
        <v>709</v>
      </c>
      <c r="E90" s="84">
        <v>125</v>
      </c>
      <c r="F90" s="856" t="s">
        <v>710</v>
      </c>
      <c r="G90" s="3035" t="s">
        <v>700</v>
      </c>
      <c r="H90" s="101">
        <v>1303.74</v>
      </c>
      <c r="I90" s="562" t="s">
        <v>711</v>
      </c>
      <c r="J90" s="2602" t="s">
        <v>712</v>
      </c>
      <c r="K90" s="176">
        <v>110.5</v>
      </c>
    </row>
    <row r="91" spans="1:15">
      <c r="A91" s="753"/>
      <c r="B91" s="224" t="s">
        <v>713</v>
      </c>
      <c r="C91" s="101" t="s">
        <v>284</v>
      </c>
      <c r="D91" s="624" t="s">
        <v>130</v>
      </c>
      <c r="E91" s="84">
        <v>190</v>
      </c>
      <c r="F91" s="856" t="s">
        <v>714</v>
      </c>
      <c r="G91" s="2596" t="s">
        <v>715</v>
      </c>
      <c r="H91" s="101"/>
      <c r="I91" s="1071"/>
      <c r="J91" s="2602" t="s">
        <v>716</v>
      </c>
      <c r="K91" s="176">
        <v>176.25</v>
      </c>
    </row>
    <row r="92" spans="1:15">
      <c r="A92" s="74"/>
      <c r="B92" s="224" t="s">
        <v>713</v>
      </c>
      <c r="C92" s="101" t="s">
        <v>717</v>
      </c>
      <c r="D92" s="624" t="s">
        <v>130</v>
      </c>
      <c r="E92" s="2020">
        <v>65</v>
      </c>
      <c r="F92" s="859" t="s">
        <v>552</v>
      </c>
      <c r="G92" s="217" t="s">
        <v>715</v>
      </c>
      <c r="H92" s="74"/>
      <c r="I92" s="560"/>
      <c r="J92" s="547" t="s">
        <v>707</v>
      </c>
      <c r="K92" s="792">
        <v>59.31</v>
      </c>
    </row>
    <row r="93" spans="1:15">
      <c r="A93" s="74"/>
      <c r="B93" s="406" t="s">
        <v>718</v>
      </c>
      <c r="C93" s="101" t="s">
        <v>352</v>
      </c>
      <c r="D93" s="207" t="s">
        <v>719</v>
      </c>
      <c r="E93" s="2020">
        <v>210</v>
      </c>
      <c r="F93" s="859" t="s">
        <v>699</v>
      </c>
      <c r="G93" s="3036" t="s">
        <v>700</v>
      </c>
      <c r="H93" s="74">
        <v>1124</v>
      </c>
      <c r="I93" s="560"/>
      <c r="J93" s="547" t="s">
        <v>720</v>
      </c>
      <c r="K93" s="792">
        <v>200.45</v>
      </c>
    </row>
    <row r="94" spans="1:15">
      <c r="A94" s="83"/>
      <c r="B94" s="43"/>
      <c r="C94" s="101"/>
      <c r="D94" s="322"/>
      <c r="E94" s="843"/>
      <c r="F94" s="853"/>
      <c r="G94" s="206"/>
      <c r="H94" s="74"/>
      <c r="I94" s="560"/>
      <c r="J94" s="547"/>
      <c r="K94" s="365"/>
    </row>
    <row r="95" spans="1:15" ht="38.25">
      <c r="A95" s="2026"/>
      <c r="B95" s="2026" t="s">
        <v>837</v>
      </c>
      <c r="C95" s="2027"/>
      <c r="D95" s="995"/>
      <c r="E95" s="2028"/>
      <c r="F95" s="960"/>
      <c r="G95" s="248" t="s">
        <v>838</v>
      </c>
      <c r="H95" s="398" t="s">
        <v>839</v>
      </c>
      <c r="I95" s="2029"/>
      <c r="J95" s="74"/>
      <c r="K95" s="526"/>
    </row>
    <row r="96" spans="1:15">
      <c r="A96" s="1918"/>
      <c r="B96" s="1918" t="s">
        <v>840</v>
      </c>
      <c r="C96" s="101" t="s">
        <v>284</v>
      </c>
      <c r="D96" s="2030" t="s">
        <v>298</v>
      </c>
      <c r="E96" s="3662">
        <v>90</v>
      </c>
      <c r="F96" s="3663" t="s">
        <v>841</v>
      </c>
      <c r="G96" s="3664" t="s">
        <v>842</v>
      </c>
      <c r="H96" s="3665">
        <v>1926</v>
      </c>
      <c r="I96" s="3666" t="s">
        <v>540</v>
      </c>
      <c r="J96" s="3665" t="s">
        <v>843</v>
      </c>
      <c r="K96" s="3667">
        <v>81.709999999999994</v>
      </c>
    </row>
    <row r="97" spans="1:12">
      <c r="A97" s="1384"/>
      <c r="B97" s="1384"/>
      <c r="C97" s="786"/>
      <c r="D97" s="413"/>
      <c r="E97" s="875"/>
      <c r="F97" s="852"/>
      <c r="G97" s="223"/>
      <c r="H97" s="224"/>
      <c r="I97" s="784"/>
      <c r="J97" s="603"/>
      <c r="K97" s="378"/>
    </row>
    <row r="98" spans="1:12">
      <c r="A98" s="3382"/>
      <c r="B98" s="3382" t="s">
        <v>844</v>
      </c>
      <c r="C98" s="2922"/>
      <c r="D98" s="3457"/>
      <c r="E98" s="142"/>
      <c r="F98" s="381"/>
      <c r="G98" s="478"/>
      <c r="H98" s="101"/>
      <c r="I98" s="339"/>
      <c r="J98" s="586"/>
      <c r="K98" s="526"/>
    </row>
    <row r="99" spans="1:12">
      <c r="A99" s="81"/>
      <c r="B99" s="81" t="s">
        <v>845</v>
      </c>
      <c r="C99" s="207" t="s">
        <v>192</v>
      </c>
      <c r="D99" s="391" t="s">
        <v>23</v>
      </c>
      <c r="E99" s="1409" t="s">
        <v>846</v>
      </c>
      <c r="F99" s="856" t="s">
        <v>847</v>
      </c>
      <c r="G99" s="887" t="s">
        <v>848</v>
      </c>
      <c r="H99" s="101">
        <v>2520</v>
      </c>
      <c r="I99" s="1495" t="s">
        <v>578</v>
      </c>
      <c r="J99" s="3670" t="s">
        <v>849</v>
      </c>
      <c r="K99" s="3671">
        <v>212.92</v>
      </c>
    </row>
    <row r="100" spans="1:12">
      <c r="A100" s="43"/>
      <c r="B100" s="43" t="s">
        <v>850</v>
      </c>
      <c r="C100" s="101" t="s">
        <v>284</v>
      </c>
      <c r="D100" s="2030" t="s">
        <v>18</v>
      </c>
      <c r="E100" s="3662" t="s">
        <v>851</v>
      </c>
      <c r="F100" s="3663" t="s">
        <v>852</v>
      </c>
      <c r="G100" s="2407" t="s">
        <v>853</v>
      </c>
      <c r="H100" s="398">
        <v>2280</v>
      </c>
      <c r="I100" s="3668" t="s">
        <v>578</v>
      </c>
      <c r="J100" s="3665" t="s">
        <v>854</v>
      </c>
      <c r="K100" s="3669">
        <v>96.46</v>
      </c>
    </row>
    <row r="101" spans="1:12">
      <c r="A101" s="43"/>
      <c r="B101" s="43" t="s">
        <v>855</v>
      </c>
      <c r="C101" s="101" t="s">
        <v>284</v>
      </c>
      <c r="D101" s="2030" t="s">
        <v>18</v>
      </c>
      <c r="E101" s="3662" t="s">
        <v>851</v>
      </c>
      <c r="F101" s="3663" t="s">
        <v>852</v>
      </c>
      <c r="G101" s="2407" t="s">
        <v>853</v>
      </c>
      <c r="H101" s="398">
        <v>2280</v>
      </c>
      <c r="I101" s="3668" t="s">
        <v>578</v>
      </c>
      <c r="J101" s="3665" t="s">
        <v>854</v>
      </c>
      <c r="K101" s="3669">
        <v>96.46</v>
      </c>
    </row>
    <row r="102" spans="1:12">
      <c r="A102" s="398"/>
      <c r="B102" s="362"/>
      <c r="C102" s="101"/>
      <c r="D102" s="342"/>
      <c r="E102" s="871"/>
      <c r="F102" s="767"/>
      <c r="G102" s="206"/>
      <c r="H102" s="74"/>
      <c r="I102" s="560"/>
      <c r="J102" s="547"/>
      <c r="K102" s="550"/>
    </row>
    <row r="103" spans="1:12" ht="35.25" thickBot="1">
      <c r="A103" s="1782"/>
      <c r="B103" s="362"/>
      <c r="C103" s="101"/>
      <c r="D103" s="342"/>
      <c r="E103" s="871"/>
      <c r="F103" s="767"/>
      <c r="G103" s="206"/>
      <c r="H103" s="74"/>
      <c r="I103" s="560"/>
      <c r="J103" s="547"/>
      <c r="K103" s="550"/>
    </row>
    <row r="104" spans="1:12">
      <c r="A104" s="1019"/>
      <c r="B104" s="43"/>
      <c r="C104" s="101"/>
      <c r="D104" s="342"/>
      <c r="E104" s="871"/>
      <c r="F104" s="767"/>
      <c r="G104" s="206"/>
      <c r="H104" s="74"/>
      <c r="I104" s="560"/>
      <c r="J104" s="3676"/>
      <c r="K104" s="3046"/>
    </row>
    <row r="105" spans="1:12">
      <c r="A105" s="995"/>
      <c r="B105" s="43"/>
      <c r="C105" s="101"/>
      <c r="D105" s="342"/>
      <c r="E105" s="871"/>
      <c r="F105" s="767"/>
      <c r="G105" s="206"/>
      <c r="H105" s="74"/>
      <c r="I105" s="560"/>
      <c r="J105" s="3676"/>
      <c r="K105" s="3046"/>
    </row>
    <row r="106" spans="1:12">
      <c r="A106" s="83"/>
      <c r="B106" s="139"/>
      <c r="C106" s="101"/>
      <c r="D106" s="322"/>
      <c r="E106" s="838"/>
      <c r="F106" s="767"/>
      <c r="G106" s="1073"/>
      <c r="H106" s="390"/>
      <c r="I106" s="1648"/>
      <c r="J106" s="546"/>
      <c r="K106" s="365"/>
    </row>
    <row r="107" spans="1:12">
      <c r="A107" s="70"/>
      <c r="B107" s="139"/>
      <c r="C107" s="207"/>
      <c r="D107" s="322"/>
      <c r="E107" s="838"/>
      <c r="F107" s="767"/>
      <c r="G107" s="1073"/>
      <c r="H107" s="207"/>
      <c r="I107" s="785"/>
      <c r="J107" s="544"/>
      <c r="K107" s="365"/>
    </row>
    <row r="108" spans="1:12">
      <c r="A108" s="70"/>
      <c r="B108" s="139"/>
      <c r="C108" s="207"/>
      <c r="D108" s="412"/>
      <c r="E108" s="874"/>
      <c r="F108" s="853"/>
      <c r="G108" s="1072"/>
      <c r="H108" s="117"/>
      <c r="I108" s="1647"/>
      <c r="J108" s="543"/>
      <c r="K108" s="369"/>
    </row>
    <row r="109" spans="1:12">
      <c r="A109" s="44"/>
      <c r="B109" s="45"/>
      <c r="C109" s="46"/>
      <c r="D109" s="124"/>
      <c r="F109" s="104"/>
      <c r="H109" s="45"/>
      <c r="I109" s="556"/>
      <c r="K109" s="537">
        <v>4</v>
      </c>
    </row>
    <row r="110" spans="1:12">
      <c r="A110" s="45" t="s">
        <v>0</v>
      </c>
      <c r="B110" s="45"/>
      <c r="C110" s="68"/>
      <c r="D110" s="612"/>
      <c r="F110" s="104"/>
      <c r="H110" s="45"/>
      <c r="I110" s="556"/>
      <c r="L110" s="45"/>
    </row>
    <row r="111" spans="1:12" s="45" customFormat="1">
      <c r="A111" s="3480" t="s">
        <v>1</v>
      </c>
      <c r="B111" s="3480"/>
      <c r="C111" s="46"/>
      <c r="D111" s="124"/>
      <c r="E111" s="335"/>
      <c r="F111" s="104"/>
      <c r="G111" s="210"/>
      <c r="I111" s="556"/>
      <c r="J111" s="540"/>
      <c r="K111" s="366"/>
    </row>
    <row r="112" spans="1:12" ht="24" customHeight="1" thickBot="1">
      <c r="F112" s="104"/>
    </row>
    <row r="113" spans="1:12">
      <c r="A113" s="3481" t="s">
        <v>2</v>
      </c>
      <c r="B113" s="3482"/>
      <c r="C113" s="48" t="s">
        <v>3</v>
      </c>
      <c r="D113" s="436" t="s">
        <v>4</v>
      </c>
      <c r="E113" s="868" t="s">
        <v>5</v>
      </c>
      <c r="F113" s="849" t="s">
        <v>5</v>
      </c>
      <c r="G113" s="211" t="s">
        <v>6</v>
      </c>
      <c r="H113" s="48" t="s">
        <v>7</v>
      </c>
      <c r="I113" s="557" t="s">
        <v>8</v>
      </c>
      <c r="J113" s="541" t="s">
        <v>9</v>
      </c>
      <c r="K113" s="346" t="s">
        <v>9</v>
      </c>
      <c r="L113" s="46"/>
    </row>
    <row r="114" spans="1:12" ht="35.25" thickBot="1">
      <c r="A114" s="51"/>
      <c r="B114" s="72"/>
      <c r="C114" s="50"/>
      <c r="D114" s="437" t="s">
        <v>10</v>
      </c>
      <c r="E114" s="869" t="s">
        <v>12</v>
      </c>
      <c r="F114" s="850" t="s">
        <v>11</v>
      </c>
      <c r="G114" s="212"/>
      <c r="H114" s="50" t="s">
        <v>13</v>
      </c>
      <c r="I114" s="558"/>
      <c r="J114" s="542" t="s">
        <v>14</v>
      </c>
      <c r="K114" s="347" t="s">
        <v>15</v>
      </c>
      <c r="L114" s="46"/>
    </row>
    <row r="115" spans="1:12">
      <c r="A115" s="1469" t="s">
        <v>856</v>
      </c>
      <c r="B115" s="1470"/>
      <c r="C115" s="1500"/>
      <c r="D115" s="624"/>
      <c r="E115" s="1770"/>
      <c r="F115" s="1771"/>
      <c r="G115" s="223"/>
      <c r="H115" s="224"/>
      <c r="I115" s="778"/>
      <c r="J115" s="603"/>
      <c r="K115" s="378"/>
    </row>
    <row r="116" spans="1:12">
      <c r="A116" s="398"/>
      <c r="B116" s="362" t="s">
        <v>857</v>
      </c>
      <c r="C116" s="207" t="s">
        <v>858</v>
      </c>
      <c r="D116" s="342" t="s">
        <v>23</v>
      </c>
      <c r="E116" s="1771">
        <v>130</v>
      </c>
      <c r="F116" s="1771"/>
      <c r="G116" s="206" t="s">
        <v>859</v>
      </c>
      <c r="H116" s="74">
        <v>2495.3200000000002</v>
      </c>
      <c r="I116" s="560"/>
      <c r="J116" s="548">
        <v>1334.99</v>
      </c>
      <c r="K116" s="365">
        <f>J116/12</f>
        <v>111.24916666666667</v>
      </c>
    </row>
    <row r="117" spans="1:12">
      <c r="A117" s="438"/>
      <c r="B117" s="362" t="s">
        <v>860</v>
      </c>
      <c r="C117" s="207" t="s">
        <v>858</v>
      </c>
      <c r="D117" s="342" t="s">
        <v>23</v>
      </c>
      <c r="E117" s="1771">
        <v>130</v>
      </c>
      <c r="F117" s="1771"/>
      <c r="G117" s="206" t="s">
        <v>859</v>
      </c>
      <c r="H117" s="74">
        <v>2495.3200000000002</v>
      </c>
      <c r="I117" s="560"/>
      <c r="J117" s="548">
        <v>1334.99</v>
      </c>
      <c r="K117" s="365">
        <f>J117/12</f>
        <v>111.24916666666667</v>
      </c>
    </row>
    <row r="118" spans="1:12">
      <c r="A118" s="398"/>
      <c r="B118" s="362" t="s">
        <v>861</v>
      </c>
      <c r="C118" s="207" t="s">
        <v>419</v>
      </c>
      <c r="D118" s="342" t="s">
        <v>23</v>
      </c>
      <c r="E118" s="1771">
        <v>85</v>
      </c>
      <c r="F118" s="1771"/>
      <c r="G118" s="2737" t="s">
        <v>862</v>
      </c>
      <c r="H118" s="74">
        <v>70.72</v>
      </c>
      <c r="I118" s="560"/>
      <c r="J118" s="548">
        <v>908.04</v>
      </c>
      <c r="K118" s="365">
        <v>75.67</v>
      </c>
    </row>
    <row r="119" spans="1:12">
      <c r="A119" s="438"/>
      <c r="B119" s="383" t="s">
        <v>863</v>
      </c>
      <c r="C119" s="207" t="s">
        <v>829</v>
      </c>
      <c r="D119" s="342" t="s">
        <v>23</v>
      </c>
      <c r="E119" s="1771">
        <v>85</v>
      </c>
      <c r="F119" s="1771"/>
      <c r="G119" s="2737" t="s">
        <v>862</v>
      </c>
      <c r="H119" s="74">
        <v>70.09</v>
      </c>
      <c r="I119" s="560"/>
      <c r="J119" s="548">
        <v>900</v>
      </c>
      <c r="K119" s="792">
        <v>75</v>
      </c>
    </row>
    <row r="120" spans="1:12">
      <c r="A120" s="438"/>
      <c r="B120" s="362" t="s">
        <v>864</v>
      </c>
      <c r="C120" s="207" t="s">
        <v>865</v>
      </c>
      <c r="D120" s="342" t="s">
        <v>23</v>
      </c>
      <c r="E120" s="1771">
        <v>80</v>
      </c>
      <c r="F120" s="1771"/>
      <c r="G120" s="206" t="s">
        <v>866</v>
      </c>
      <c r="H120" s="74">
        <v>66.98</v>
      </c>
      <c r="I120" s="560"/>
      <c r="J120" s="548">
        <v>860.02</v>
      </c>
      <c r="K120" s="792">
        <v>71.67</v>
      </c>
    </row>
    <row r="121" spans="1:12" ht="35.25" thickBot="1">
      <c r="A121" s="2042"/>
      <c r="B121" s="2043" t="s">
        <v>867</v>
      </c>
      <c r="C121" s="345" t="s">
        <v>419</v>
      </c>
      <c r="D121" s="415" t="s">
        <v>23</v>
      </c>
      <c r="E121" s="2044">
        <v>100</v>
      </c>
      <c r="F121" s="2044"/>
      <c r="G121" s="1115" t="s">
        <v>866</v>
      </c>
      <c r="H121" s="2045">
        <v>83.18</v>
      </c>
      <c r="I121" s="2046"/>
      <c r="J121" s="2047">
        <v>1067.8800000000001</v>
      </c>
      <c r="K121" s="368">
        <v>89</v>
      </c>
    </row>
    <row r="122" spans="1:12">
      <c r="A122" s="1019"/>
      <c r="B122" s="1338" t="s">
        <v>868</v>
      </c>
      <c r="C122" s="523" t="s">
        <v>869</v>
      </c>
      <c r="D122" s="1510" t="s">
        <v>23</v>
      </c>
      <c r="E122" s="1781">
        <v>40</v>
      </c>
      <c r="F122" s="1781"/>
      <c r="G122" s="982" t="s">
        <v>870</v>
      </c>
      <c r="H122" s="1479">
        <v>29.91</v>
      </c>
      <c r="I122" s="1511"/>
      <c r="J122" s="1512" t="s">
        <v>871</v>
      </c>
      <c r="K122" s="983">
        <v>32</v>
      </c>
    </row>
    <row r="123" spans="1:12">
      <c r="A123" s="438"/>
      <c r="B123" s="969" t="s">
        <v>872</v>
      </c>
      <c r="C123" s="341" t="s">
        <v>873</v>
      </c>
      <c r="D123" s="624" t="s">
        <v>23</v>
      </c>
      <c r="E123" s="1771">
        <v>85</v>
      </c>
      <c r="F123" s="1771"/>
      <c r="G123" s="2737" t="s">
        <v>862</v>
      </c>
      <c r="H123" s="224">
        <v>73</v>
      </c>
      <c r="I123" s="778"/>
      <c r="J123" s="1457" t="s">
        <v>874</v>
      </c>
      <c r="K123" s="378">
        <v>78.5</v>
      </c>
    </row>
    <row r="124" spans="1:12">
      <c r="A124" s="254"/>
      <c r="B124" s="969" t="s">
        <v>875</v>
      </c>
      <c r="C124" s="341" t="s">
        <v>869</v>
      </c>
      <c r="D124" s="624" t="s">
        <v>23</v>
      </c>
      <c r="E124" s="1771">
        <v>40</v>
      </c>
      <c r="F124" s="1771"/>
      <c r="G124" s="223" t="s">
        <v>866</v>
      </c>
      <c r="H124" s="224">
        <v>29.91</v>
      </c>
      <c r="I124" s="778"/>
      <c r="J124" s="603" t="s">
        <v>871</v>
      </c>
      <c r="K124" s="378">
        <v>32</v>
      </c>
    </row>
    <row r="125" spans="1:12">
      <c r="A125" s="398"/>
      <c r="B125" s="969" t="s">
        <v>876</v>
      </c>
      <c r="C125" s="341" t="s">
        <v>877</v>
      </c>
      <c r="D125" s="624" t="s">
        <v>23</v>
      </c>
      <c r="E125" s="1771">
        <v>85</v>
      </c>
      <c r="F125" s="1771"/>
      <c r="G125" s="223" t="s">
        <v>866</v>
      </c>
      <c r="H125" s="224">
        <v>66.59</v>
      </c>
      <c r="I125" s="778"/>
      <c r="J125" s="1768" t="s">
        <v>878</v>
      </c>
      <c r="K125" s="378">
        <v>71.27</v>
      </c>
    </row>
    <row r="126" spans="1:12">
      <c r="A126" s="265"/>
      <c r="B126" s="969" t="s">
        <v>879</v>
      </c>
      <c r="C126" s="341" t="s">
        <v>869</v>
      </c>
      <c r="D126" s="624" t="s">
        <v>23</v>
      </c>
      <c r="E126" s="1771">
        <v>40</v>
      </c>
      <c r="F126" s="1771"/>
      <c r="G126" s="223" t="s">
        <v>870</v>
      </c>
      <c r="H126" s="224">
        <v>29.91</v>
      </c>
      <c r="I126" s="778"/>
      <c r="J126" s="603" t="s">
        <v>871</v>
      </c>
      <c r="K126" s="378">
        <v>32</v>
      </c>
    </row>
    <row r="127" spans="1:12" ht="35.25" thickBot="1">
      <c r="A127" s="254"/>
      <c r="B127" s="1769" t="s">
        <v>880</v>
      </c>
      <c r="C127" s="1721" t="s">
        <v>881</v>
      </c>
      <c r="D127" s="1722" t="s">
        <v>23</v>
      </c>
      <c r="E127" s="1771">
        <v>85</v>
      </c>
      <c r="F127" s="1771"/>
      <c r="G127" s="223" t="s">
        <v>882</v>
      </c>
      <c r="H127" s="224">
        <v>799.07</v>
      </c>
      <c r="I127" s="778"/>
      <c r="J127" s="1768" t="s">
        <v>878</v>
      </c>
      <c r="K127" s="378">
        <v>71.27</v>
      </c>
    </row>
    <row r="128" spans="1:12">
      <c r="A128" s="398"/>
      <c r="B128" s="383" t="s">
        <v>883</v>
      </c>
      <c r="C128" s="207" t="s">
        <v>884</v>
      </c>
      <c r="D128" s="342" t="s">
        <v>18</v>
      </c>
      <c r="E128" s="1771">
        <v>105</v>
      </c>
      <c r="F128" s="1771"/>
      <c r="G128" s="2737" t="s">
        <v>862</v>
      </c>
      <c r="H128" s="560">
        <v>87.85</v>
      </c>
      <c r="I128" s="559"/>
      <c r="J128" s="544" t="s">
        <v>885</v>
      </c>
      <c r="K128" s="365">
        <v>94</v>
      </c>
    </row>
    <row r="129" spans="1:12">
      <c r="A129" s="782"/>
      <c r="B129" s="43" t="s">
        <v>886</v>
      </c>
      <c r="C129" s="320" t="s">
        <v>887</v>
      </c>
      <c r="D129" s="342" t="s">
        <v>18</v>
      </c>
      <c r="E129" s="843">
        <v>110</v>
      </c>
      <c r="F129" s="853"/>
      <c r="G129" s="2737" t="s">
        <v>862</v>
      </c>
      <c r="H129" s="74">
        <v>93.3</v>
      </c>
      <c r="I129" s="560"/>
      <c r="J129" s="544" t="s">
        <v>888</v>
      </c>
      <c r="K129" s="365">
        <v>99.83</v>
      </c>
    </row>
    <row r="130" spans="1:12">
      <c r="A130" s="782"/>
      <c r="B130" s="43" t="s">
        <v>889</v>
      </c>
      <c r="C130" s="320" t="s">
        <v>887</v>
      </c>
      <c r="D130" s="342" t="s">
        <v>18</v>
      </c>
      <c r="E130" s="843">
        <v>85</v>
      </c>
      <c r="F130" s="853"/>
      <c r="G130" s="2737" t="s">
        <v>862</v>
      </c>
      <c r="H130" s="74">
        <v>72.59</v>
      </c>
      <c r="I130" s="560"/>
      <c r="J130" s="546" t="s">
        <v>890</v>
      </c>
      <c r="K130" s="365">
        <v>77.67</v>
      </c>
    </row>
    <row r="131" spans="1:12">
      <c r="A131" s="1469" t="s">
        <v>891</v>
      </c>
      <c r="B131" s="1470"/>
      <c r="C131" s="1444"/>
      <c r="D131" s="517" t="s">
        <v>892</v>
      </c>
      <c r="E131" s="843"/>
      <c r="F131" s="853"/>
      <c r="G131" s="206"/>
      <c r="H131" s="74"/>
      <c r="I131" s="560"/>
      <c r="J131" s="544"/>
      <c r="K131" s="365"/>
    </row>
    <row r="132" spans="1:12">
      <c r="A132" s="83"/>
      <c r="B132" s="362" t="s">
        <v>893</v>
      </c>
      <c r="C132" s="101" t="s">
        <v>236</v>
      </c>
      <c r="D132" s="342" t="s">
        <v>70</v>
      </c>
      <c r="E132" s="871">
        <v>65</v>
      </c>
      <c r="F132" s="767"/>
      <c r="G132" s="206" t="s">
        <v>894</v>
      </c>
      <c r="H132" s="74"/>
      <c r="I132" s="562"/>
      <c r="J132" s="547">
        <v>2714</v>
      </c>
      <c r="K132" s="550">
        <v>56.54</v>
      </c>
    </row>
    <row r="133" spans="1:12">
      <c r="A133" s="83"/>
      <c r="B133" s="362" t="s">
        <v>895</v>
      </c>
      <c r="C133" s="101" t="s">
        <v>236</v>
      </c>
      <c r="D133" s="342" t="s">
        <v>70</v>
      </c>
      <c r="E133" s="871">
        <v>65</v>
      </c>
      <c r="F133" s="767"/>
      <c r="G133" s="206" t="s">
        <v>894</v>
      </c>
      <c r="H133" s="74"/>
      <c r="I133" s="562"/>
      <c r="J133" s="547">
        <v>2714</v>
      </c>
      <c r="K133" s="550">
        <v>56.54</v>
      </c>
    </row>
    <row r="134" spans="1:12">
      <c r="A134" s="83"/>
      <c r="B134" s="1462" t="s">
        <v>896</v>
      </c>
      <c r="C134" s="661" t="s">
        <v>897</v>
      </c>
      <c r="D134" s="1463" t="s">
        <v>70</v>
      </c>
      <c r="E134" s="1464">
        <v>95</v>
      </c>
      <c r="F134" s="1465"/>
      <c r="G134" s="799" t="s">
        <v>898</v>
      </c>
      <c r="H134" s="1424"/>
      <c r="I134" s="1466">
        <v>-0.02</v>
      </c>
      <c r="J134" s="1467">
        <v>2467</v>
      </c>
      <c r="K134" s="1468">
        <v>73</v>
      </c>
    </row>
    <row r="135" spans="1:12">
      <c r="A135" s="775"/>
      <c r="B135" s="781" t="s">
        <v>307</v>
      </c>
      <c r="C135" s="101"/>
      <c r="D135" s="322"/>
      <c r="E135" s="838"/>
      <c r="F135" s="767"/>
      <c r="G135" s="206"/>
      <c r="H135" s="74"/>
      <c r="I135" s="560"/>
      <c r="J135" s="547"/>
      <c r="K135" s="394"/>
    </row>
    <row r="136" spans="1:12">
      <c r="A136" s="43"/>
      <c r="B136" s="43" t="s">
        <v>308</v>
      </c>
      <c r="C136" s="320"/>
      <c r="D136" s="322" t="s">
        <v>309</v>
      </c>
      <c r="E136" s="838">
        <v>38</v>
      </c>
      <c r="F136" s="767">
        <v>340</v>
      </c>
      <c r="G136" s="206" t="s">
        <v>310</v>
      </c>
      <c r="H136" s="74"/>
      <c r="I136" s="563" t="s">
        <v>311</v>
      </c>
      <c r="J136" s="544">
        <v>315.2</v>
      </c>
      <c r="K136" s="394">
        <v>31.52</v>
      </c>
    </row>
    <row r="137" spans="1:12">
      <c r="A137" s="43"/>
      <c r="B137" s="43" t="s">
        <v>312</v>
      </c>
      <c r="C137" s="101" t="s">
        <v>313</v>
      </c>
      <c r="D137" s="322" t="s">
        <v>314</v>
      </c>
      <c r="E137" s="838"/>
      <c r="F137" s="767"/>
      <c r="G137" s="206" t="s">
        <v>315</v>
      </c>
      <c r="H137" s="74">
        <v>200</v>
      </c>
      <c r="I137" s="563" t="s">
        <v>311</v>
      </c>
      <c r="J137" s="548">
        <v>147.75</v>
      </c>
      <c r="K137" s="365">
        <v>2.95</v>
      </c>
    </row>
    <row r="138" spans="1:12">
      <c r="A138" s="43"/>
      <c r="B138" s="43"/>
      <c r="C138" s="101" t="s">
        <v>316</v>
      </c>
      <c r="D138" s="342" t="s">
        <v>317</v>
      </c>
      <c r="E138" s="871">
        <v>15</v>
      </c>
      <c r="F138" s="767">
        <v>250</v>
      </c>
      <c r="G138" s="206" t="s">
        <v>318</v>
      </c>
      <c r="H138" s="74">
        <v>240</v>
      </c>
      <c r="I138" s="563" t="s">
        <v>319</v>
      </c>
      <c r="J138" s="544">
        <v>238.4</v>
      </c>
      <c r="K138" s="365">
        <v>11.92</v>
      </c>
    </row>
    <row r="139" spans="1:12">
      <c r="A139" s="362"/>
      <c r="B139" s="43"/>
      <c r="C139" s="101" t="s">
        <v>320</v>
      </c>
      <c r="D139" s="342" t="s">
        <v>309</v>
      </c>
      <c r="E139" s="871">
        <v>27</v>
      </c>
      <c r="F139" s="767">
        <v>250</v>
      </c>
      <c r="G139" s="206" t="s">
        <v>318</v>
      </c>
      <c r="H139" s="74">
        <v>230</v>
      </c>
      <c r="I139" s="563" t="s">
        <v>321</v>
      </c>
      <c r="J139" s="544">
        <v>232</v>
      </c>
      <c r="K139" s="365">
        <v>23.2</v>
      </c>
    </row>
    <row r="140" spans="1:12">
      <c r="A140" s="362"/>
      <c r="B140" s="362" t="s">
        <v>322</v>
      </c>
      <c r="C140" s="101"/>
      <c r="D140" s="342" t="s">
        <v>309</v>
      </c>
      <c r="E140" s="871">
        <v>50</v>
      </c>
      <c r="F140" s="767">
        <v>450</v>
      </c>
      <c r="G140" s="206" t="s">
        <v>323</v>
      </c>
      <c r="H140" s="74">
        <v>420</v>
      </c>
      <c r="I140" s="563" t="s">
        <v>311</v>
      </c>
      <c r="J140" s="544">
        <v>413.7</v>
      </c>
      <c r="K140" s="365">
        <v>41.37</v>
      </c>
    </row>
    <row r="141" spans="1:12">
      <c r="A141" s="362"/>
      <c r="B141" s="362" t="s">
        <v>324</v>
      </c>
      <c r="C141" s="101"/>
      <c r="D141" s="342" t="s">
        <v>309</v>
      </c>
      <c r="E141" s="871">
        <v>70</v>
      </c>
      <c r="F141" s="767"/>
      <c r="G141" s="206" t="s">
        <v>325</v>
      </c>
      <c r="H141" s="74">
        <v>600</v>
      </c>
      <c r="I141" s="563" t="s">
        <v>311</v>
      </c>
      <c r="J141" s="544">
        <v>591</v>
      </c>
      <c r="K141" s="365">
        <v>59.1</v>
      </c>
    </row>
    <row r="142" spans="1:12">
      <c r="A142" s="83"/>
      <c r="B142" s="362" t="s">
        <v>326</v>
      </c>
      <c r="C142" s="101"/>
      <c r="D142" s="342" t="s">
        <v>309</v>
      </c>
      <c r="E142" s="871">
        <v>65</v>
      </c>
      <c r="F142" s="767">
        <v>570</v>
      </c>
      <c r="G142" s="206" t="s">
        <v>327</v>
      </c>
      <c r="H142" s="74">
        <v>520</v>
      </c>
      <c r="I142" s="563" t="s">
        <v>311</v>
      </c>
      <c r="J142" s="544">
        <v>512.20000000000005</v>
      </c>
      <c r="K142" s="365">
        <v>51.22</v>
      </c>
      <c r="L142" s="75"/>
    </row>
    <row r="143" spans="1:12">
      <c r="A143" s="83"/>
      <c r="B143" s="406"/>
      <c r="C143" s="101"/>
      <c r="D143" s="342"/>
      <c r="E143" s="767"/>
      <c r="F143" s="767"/>
      <c r="G143" s="206"/>
      <c r="H143" s="74"/>
      <c r="I143" s="560"/>
      <c r="J143" s="547"/>
      <c r="K143" s="365"/>
      <c r="L143" s="75"/>
    </row>
    <row r="144" spans="1:12">
      <c r="A144" s="83"/>
      <c r="B144" s="43"/>
      <c r="C144" s="101"/>
      <c r="D144" s="322"/>
      <c r="E144" s="838"/>
      <c r="F144" s="767"/>
      <c r="G144" s="206"/>
      <c r="H144" s="74"/>
      <c r="I144" s="562"/>
      <c r="J144" s="547"/>
      <c r="K144" s="550"/>
    </row>
    <row r="145" spans="1:12" ht="32.25" customHeight="1">
      <c r="A145" s="44"/>
      <c r="B145" s="45"/>
      <c r="C145" s="46"/>
      <c r="D145" s="124"/>
      <c r="F145" s="104"/>
      <c r="H145" s="45"/>
      <c r="I145" s="556"/>
      <c r="K145" s="537">
        <v>5</v>
      </c>
    </row>
    <row r="146" spans="1:12">
      <c r="A146" s="45" t="s">
        <v>0</v>
      </c>
      <c r="B146" s="45"/>
      <c r="C146" s="68"/>
      <c r="D146" s="612"/>
      <c r="F146" s="104"/>
      <c r="H146" s="45"/>
      <c r="I146" s="556"/>
      <c r="L146" s="45"/>
    </row>
    <row r="147" spans="1:12" s="45" customFormat="1">
      <c r="A147" s="3480" t="s">
        <v>1</v>
      </c>
      <c r="B147" s="3480"/>
      <c r="C147" s="46"/>
      <c r="D147" s="124"/>
      <c r="E147" s="335"/>
      <c r="F147" s="104"/>
      <c r="G147" s="210"/>
      <c r="I147" s="556"/>
      <c r="J147" s="540"/>
      <c r="K147" s="366"/>
    </row>
    <row r="148" spans="1:12" ht="18.75" customHeight="1" thickBot="1">
      <c r="F148" s="104"/>
    </row>
    <row r="149" spans="1:12">
      <c r="A149" s="3481" t="s">
        <v>2</v>
      </c>
      <c r="B149" s="3482"/>
      <c r="C149" s="48" t="s">
        <v>3</v>
      </c>
      <c r="D149" s="436" t="s">
        <v>4</v>
      </c>
      <c r="E149" s="849" t="s">
        <v>5</v>
      </c>
      <c r="F149" s="849" t="s">
        <v>5</v>
      </c>
      <c r="G149" s="211" t="s">
        <v>6</v>
      </c>
      <c r="H149" s="48" t="s">
        <v>7</v>
      </c>
      <c r="I149" s="557" t="s">
        <v>8</v>
      </c>
      <c r="J149" s="541" t="s">
        <v>9</v>
      </c>
      <c r="K149" s="346" t="s">
        <v>9</v>
      </c>
      <c r="L149" s="46"/>
    </row>
    <row r="150" spans="1:12" ht="35.25" thickBot="1">
      <c r="A150" s="51"/>
      <c r="B150" s="72"/>
      <c r="C150" s="50"/>
      <c r="D150" s="437" t="s">
        <v>10</v>
      </c>
      <c r="E150" s="850" t="s">
        <v>11</v>
      </c>
      <c r="F150" s="850" t="s">
        <v>12</v>
      </c>
      <c r="G150" s="212"/>
      <c r="H150" s="50" t="s">
        <v>13</v>
      </c>
      <c r="I150" s="558"/>
      <c r="J150" s="542" t="s">
        <v>14</v>
      </c>
      <c r="K150" s="347" t="s">
        <v>15</v>
      </c>
      <c r="L150" s="46"/>
    </row>
    <row r="151" spans="1:12">
      <c r="A151" s="964"/>
      <c r="B151" s="965"/>
      <c r="C151" s="320"/>
      <c r="D151" s="322"/>
      <c r="E151" s="843"/>
      <c r="F151" s="767"/>
      <c r="G151" s="206"/>
      <c r="H151" s="74"/>
      <c r="I151" s="560"/>
      <c r="J151" s="544"/>
      <c r="K151" s="365"/>
    </row>
    <row r="152" spans="1:12">
      <c r="A152" s="748"/>
      <c r="B152" s="406" t="s">
        <v>899</v>
      </c>
      <c r="C152" s="786"/>
      <c r="D152" s="322"/>
      <c r="E152" s="843">
        <v>30</v>
      </c>
      <c r="F152" s="853"/>
      <c r="G152" s="206" t="s">
        <v>900</v>
      </c>
      <c r="H152" s="150"/>
      <c r="I152" s="115"/>
      <c r="J152" s="694"/>
      <c r="K152" s="365">
        <v>15</v>
      </c>
    </row>
    <row r="153" spans="1:12">
      <c r="A153" s="83"/>
      <c r="B153" s="43" t="s">
        <v>901</v>
      </c>
      <c r="C153" s="390"/>
      <c r="D153" s="342"/>
      <c r="E153" s="843">
        <v>30</v>
      </c>
      <c r="F153" s="853"/>
      <c r="G153" s="206" t="s">
        <v>900</v>
      </c>
      <c r="H153" s="74"/>
      <c r="I153" s="560"/>
      <c r="J153" s="547"/>
      <c r="K153" s="365">
        <v>15</v>
      </c>
    </row>
    <row r="154" spans="1:12">
      <c r="A154" s="83"/>
      <c r="B154" s="43" t="s">
        <v>902</v>
      </c>
      <c r="C154" s="787"/>
      <c r="D154" s="342"/>
      <c r="E154" s="872">
        <v>30</v>
      </c>
      <c r="F154" s="853"/>
      <c r="G154" s="206" t="s">
        <v>900</v>
      </c>
      <c r="H154" s="74"/>
      <c r="I154" s="560"/>
      <c r="J154" s="547"/>
      <c r="K154" s="365">
        <v>15</v>
      </c>
    </row>
    <row r="155" spans="1:12">
      <c r="A155" s="83"/>
      <c r="B155" s="43" t="s">
        <v>903</v>
      </c>
      <c r="C155" s="390"/>
      <c r="D155" s="342"/>
      <c r="E155" s="872">
        <v>30</v>
      </c>
      <c r="F155" s="853"/>
      <c r="G155" s="206" t="s">
        <v>900</v>
      </c>
      <c r="H155" s="74"/>
      <c r="I155" s="785"/>
      <c r="J155" s="547"/>
      <c r="K155" s="365">
        <v>15</v>
      </c>
    </row>
    <row r="156" spans="1:12">
      <c r="A156" s="83"/>
      <c r="B156" s="43" t="s">
        <v>337</v>
      </c>
      <c r="C156" s="390"/>
      <c r="D156" s="514"/>
      <c r="E156" s="843">
        <v>30</v>
      </c>
      <c r="F156" s="853"/>
      <c r="G156" s="206" t="s">
        <v>900</v>
      </c>
      <c r="H156" s="150"/>
      <c r="I156" s="115"/>
      <c r="J156" s="547"/>
      <c r="K156" s="365">
        <v>15</v>
      </c>
    </row>
    <row r="157" spans="1:12">
      <c r="A157" s="398"/>
      <c r="B157" s="43" t="s">
        <v>250</v>
      </c>
      <c r="C157" s="101"/>
      <c r="D157" s="342"/>
      <c r="E157" s="872">
        <v>30</v>
      </c>
      <c r="F157" s="853"/>
      <c r="G157" s="206" t="s">
        <v>900</v>
      </c>
      <c r="H157" s="224"/>
      <c r="I157" s="778"/>
      <c r="J157" s="603"/>
      <c r="K157" s="378">
        <v>25</v>
      </c>
    </row>
    <row r="158" spans="1:12">
      <c r="A158" s="83"/>
      <c r="B158" s="880" t="s">
        <v>904</v>
      </c>
      <c r="C158" s="320"/>
      <c r="D158" s="624"/>
      <c r="E158" s="420">
        <v>40</v>
      </c>
      <c r="F158" s="853"/>
      <c r="G158" s="206" t="s">
        <v>900</v>
      </c>
      <c r="H158" s="224"/>
      <c r="I158" s="778"/>
      <c r="J158" s="603"/>
      <c r="K158" s="378">
        <v>25</v>
      </c>
    </row>
    <row r="159" spans="1:12">
      <c r="A159" s="753"/>
      <c r="B159" s="406" t="s">
        <v>905</v>
      </c>
      <c r="C159" s="320"/>
      <c r="D159" s="624"/>
      <c r="E159" s="852">
        <v>40</v>
      </c>
      <c r="F159" s="852"/>
      <c r="G159" s="206" t="s">
        <v>900</v>
      </c>
      <c r="H159" s="224"/>
      <c r="I159" s="778"/>
      <c r="J159" s="603"/>
      <c r="K159" s="378">
        <v>25</v>
      </c>
    </row>
    <row r="160" spans="1:12">
      <c r="A160" s="398"/>
      <c r="B160" s="406" t="s">
        <v>906</v>
      </c>
      <c r="C160" s="320"/>
      <c r="D160" s="624"/>
      <c r="E160" s="852">
        <v>40</v>
      </c>
      <c r="F160" s="852"/>
      <c r="G160" s="206" t="s">
        <v>900</v>
      </c>
      <c r="H160" s="224"/>
      <c r="I160" s="778"/>
      <c r="J160" s="603"/>
      <c r="K160" s="378">
        <v>25</v>
      </c>
    </row>
    <row r="161" spans="1:11">
      <c r="A161" s="224"/>
      <c r="B161" s="224" t="s">
        <v>907</v>
      </c>
      <c r="C161" s="320"/>
      <c r="D161" s="624"/>
      <c r="E161" s="852">
        <v>40</v>
      </c>
      <c r="F161" s="852"/>
      <c r="G161" s="206" t="s">
        <v>900</v>
      </c>
      <c r="H161" s="224"/>
      <c r="I161" s="778"/>
      <c r="J161" s="603"/>
      <c r="K161" s="378">
        <v>25</v>
      </c>
    </row>
    <row r="162" spans="1:11">
      <c r="A162" s="753"/>
      <c r="B162" s="753" t="s">
        <v>908</v>
      </c>
      <c r="C162" s="101"/>
      <c r="D162" s="342"/>
      <c r="E162" s="839">
        <v>60</v>
      </c>
      <c r="F162" s="767"/>
      <c r="G162" s="206" t="s">
        <v>900</v>
      </c>
      <c r="H162" s="74"/>
      <c r="I162" s="560"/>
      <c r="J162" s="544"/>
      <c r="K162" s="365">
        <v>35</v>
      </c>
    </row>
    <row r="163" spans="1:11">
      <c r="A163" s="83"/>
      <c r="B163" s="362"/>
      <c r="C163" s="101"/>
      <c r="D163" s="342"/>
      <c r="E163" s="839"/>
      <c r="F163" s="767"/>
      <c r="G163" s="206"/>
      <c r="H163" s="101"/>
      <c r="I163" s="1011"/>
      <c r="J163" s="544"/>
      <c r="K163" s="365"/>
    </row>
    <row r="164" spans="1:11">
      <c r="A164" s="3496" t="s">
        <v>909</v>
      </c>
      <c r="B164" s="3497"/>
      <c r="C164" s="101"/>
      <c r="D164" s="342"/>
      <c r="E164" s="871"/>
      <c r="F164" s="767"/>
      <c r="G164" s="206"/>
      <c r="H164" s="74"/>
      <c r="I164" s="560"/>
      <c r="J164" s="544"/>
      <c r="K164" s="365"/>
    </row>
    <row r="165" spans="1:11">
      <c r="A165" s="83"/>
      <c r="B165" s="362" t="s">
        <v>910</v>
      </c>
      <c r="C165" s="101" t="s">
        <v>284</v>
      </c>
      <c r="D165" s="342"/>
      <c r="E165" s="839">
        <v>120</v>
      </c>
      <c r="F165" s="767"/>
      <c r="G165" s="206" t="s">
        <v>911</v>
      </c>
      <c r="H165" s="101">
        <v>90</v>
      </c>
      <c r="I165" s="1011" t="s">
        <v>912</v>
      </c>
      <c r="J165" s="544"/>
      <c r="K165" s="365">
        <v>86.27</v>
      </c>
    </row>
    <row r="166" spans="1:11">
      <c r="A166" s="83"/>
      <c r="B166" s="362" t="s">
        <v>910</v>
      </c>
      <c r="C166" s="101" t="s">
        <v>913</v>
      </c>
      <c r="D166" s="342"/>
      <c r="E166" s="767">
        <v>120</v>
      </c>
      <c r="F166" s="767"/>
      <c r="G166" s="206" t="s">
        <v>911</v>
      </c>
      <c r="H166" s="101">
        <v>90</v>
      </c>
      <c r="I166" s="1011" t="s">
        <v>914</v>
      </c>
      <c r="J166" s="544"/>
      <c r="K166" s="365">
        <v>86.27</v>
      </c>
    </row>
    <row r="167" spans="1:11">
      <c r="A167" s="83"/>
      <c r="B167" s="43" t="s">
        <v>915</v>
      </c>
      <c r="C167" s="101"/>
      <c r="D167" s="342"/>
      <c r="E167" s="767">
        <v>120</v>
      </c>
      <c r="F167" s="767"/>
      <c r="G167" s="206" t="s">
        <v>911</v>
      </c>
      <c r="H167" s="101">
        <v>90</v>
      </c>
      <c r="I167" s="1011" t="s">
        <v>914</v>
      </c>
      <c r="J167" s="544"/>
      <c r="K167" s="365">
        <v>86.27</v>
      </c>
    </row>
    <row r="168" spans="1:11">
      <c r="A168" s="83"/>
      <c r="B168" s="406" t="s">
        <v>916</v>
      </c>
      <c r="C168" s="101" t="s">
        <v>913</v>
      </c>
      <c r="D168" s="342" t="s">
        <v>917</v>
      </c>
      <c r="E168" s="837">
        <v>120</v>
      </c>
      <c r="F168" s="767"/>
      <c r="G168" s="206" t="s">
        <v>911</v>
      </c>
      <c r="H168" s="101">
        <v>90</v>
      </c>
      <c r="I168" s="1793" t="s">
        <v>918</v>
      </c>
      <c r="J168" s="544"/>
      <c r="K168" s="365">
        <v>86.54</v>
      </c>
    </row>
    <row r="169" spans="1:11">
      <c r="A169" s="398"/>
      <c r="B169" s="43" t="s">
        <v>919</v>
      </c>
      <c r="C169" s="101" t="s">
        <v>913</v>
      </c>
      <c r="D169" s="342" t="s">
        <v>917</v>
      </c>
      <c r="E169" s="844">
        <v>120</v>
      </c>
      <c r="F169" s="853"/>
      <c r="G169" s="206" t="s">
        <v>911</v>
      </c>
      <c r="H169" s="101">
        <v>90</v>
      </c>
      <c r="I169" s="1793" t="s">
        <v>918</v>
      </c>
      <c r="J169" s="544"/>
      <c r="K169" s="365">
        <v>86.54</v>
      </c>
    </row>
    <row r="170" spans="1:11" ht="37.5">
      <c r="A170" s="83"/>
      <c r="B170" s="962" t="s">
        <v>920</v>
      </c>
      <c r="C170" s="320"/>
      <c r="D170" s="624"/>
      <c r="E170" s="839">
        <v>120</v>
      </c>
      <c r="F170" s="767"/>
      <c r="G170" s="206" t="s">
        <v>911</v>
      </c>
      <c r="H170" s="101">
        <v>90</v>
      </c>
      <c r="I170" s="1793" t="s">
        <v>918</v>
      </c>
      <c r="J170" s="544"/>
      <c r="K170" s="365">
        <v>86.54</v>
      </c>
    </row>
    <row r="171" spans="1:11">
      <c r="A171" s="83"/>
      <c r="B171" s="406" t="s">
        <v>921</v>
      </c>
      <c r="C171" s="320"/>
      <c r="D171" s="624"/>
      <c r="E171" s="1365">
        <v>120</v>
      </c>
      <c r="F171" s="852"/>
      <c r="G171" s="206" t="s">
        <v>911</v>
      </c>
      <c r="H171" s="101">
        <v>90</v>
      </c>
      <c r="I171" s="1793" t="s">
        <v>918</v>
      </c>
      <c r="J171" s="544"/>
      <c r="K171" s="365">
        <v>86.54</v>
      </c>
    </row>
    <row r="172" spans="1:11" ht="35.25" thickBot="1">
      <c r="A172" s="83"/>
      <c r="B172" s="1028" t="s">
        <v>922</v>
      </c>
      <c r="C172" s="1105"/>
      <c r="D172" s="1722"/>
      <c r="E172" s="1787">
        <v>60</v>
      </c>
      <c r="F172" s="1788"/>
      <c r="G172" s="206" t="s">
        <v>911</v>
      </c>
      <c r="H172" s="1113">
        <v>90</v>
      </c>
      <c r="I172" s="1794" t="s">
        <v>918</v>
      </c>
      <c r="J172" s="1789"/>
      <c r="K172" s="395">
        <v>86.54</v>
      </c>
    </row>
    <row r="173" spans="1:11">
      <c r="A173" s="83"/>
      <c r="B173" s="81" t="s">
        <v>923</v>
      </c>
      <c r="C173" s="103"/>
      <c r="D173" s="613" t="s">
        <v>924</v>
      </c>
      <c r="E173" s="1376">
        <v>60</v>
      </c>
      <c r="F173" s="851"/>
      <c r="G173" s="206" t="s">
        <v>911</v>
      </c>
      <c r="H173" s="1106">
        <v>41</v>
      </c>
      <c r="I173" s="1785"/>
      <c r="J173" s="1786"/>
      <c r="K173" s="983">
        <v>41</v>
      </c>
    </row>
    <row r="174" spans="1:11">
      <c r="A174" s="83"/>
      <c r="B174" s="43" t="s">
        <v>925</v>
      </c>
      <c r="C174" s="101"/>
      <c r="D174" s="342"/>
      <c r="E174" s="1365">
        <v>60</v>
      </c>
      <c r="F174" s="767"/>
      <c r="G174" s="206" t="s">
        <v>911</v>
      </c>
      <c r="H174" s="320">
        <v>41</v>
      </c>
      <c r="I174" s="1473"/>
      <c r="J174" s="609"/>
      <c r="K174" s="378">
        <v>41</v>
      </c>
    </row>
    <row r="175" spans="1:11">
      <c r="A175" s="83"/>
      <c r="B175" s="1396" t="s">
        <v>926</v>
      </c>
      <c r="C175" s="57"/>
      <c r="D175" s="613"/>
      <c r="E175" s="332">
        <v>60</v>
      </c>
      <c r="F175" s="767"/>
      <c r="G175" s="206" t="s">
        <v>911</v>
      </c>
      <c r="H175" s="320">
        <v>41</v>
      </c>
      <c r="I175" s="1473"/>
      <c r="J175" s="609"/>
      <c r="K175" s="378">
        <v>41</v>
      </c>
    </row>
    <row r="176" spans="1:11">
      <c r="A176" s="83"/>
      <c r="B176" s="1032" t="s">
        <v>927</v>
      </c>
      <c r="C176" s="57"/>
      <c r="D176" s="613"/>
      <c r="E176" s="872">
        <v>60</v>
      </c>
      <c r="F176" s="853"/>
      <c r="G176" s="206" t="s">
        <v>911</v>
      </c>
      <c r="H176" s="320">
        <v>41</v>
      </c>
      <c r="I176" s="1473"/>
      <c r="J176" s="609"/>
      <c r="K176" s="378">
        <v>41</v>
      </c>
    </row>
    <row r="177" spans="1:12">
      <c r="A177" s="315"/>
      <c r="B177" s="233" t="s">
        <v>928</v>
      </c>
      <c r="C177" s="103"/>
      <c r="D177" s="342" t="s">
        <v>924</v>
      </c>
      <c r="E177" s="844">
        <v>60</v>
      </c>
      <c r="F177" s="853"/>
      <c r="G177" s="206" t="s">
        <v>911</v>
      </c>
      <c r="H177" s="320">
        <v>41</v>
      </c>
      <c r="I177" s="1473"/>
      <c r="J177" s="609"/>
      <c r="K177" s="378">
        <v>41</v>
      </c>
    </row>
    <row r="178" spans="1:12">
      <c r="A178" s="315"/>
      <c r="B178" s="1396" t="s">
        <v>902</v>
      </c>
      <c r="C178" s="57"/>
      <c r="D178" s="342" t="s">
        <v>924</v>
      </c>
      <c r="E178" s="872">
        <v>60</v>
      </c>
      <c r="F178" s="853"/>
      <c r="G178" s="206" t="s">
        <v>911</v>
      </c>
      <c r="H178" s="320">
        <v>41</v>
      </c>
      <c r="I178" s="1473"/>
      <c r="J178" s="609"/>
      <c r="K178" s="378">
        <v>41</v>
      </c>
    </row>
    <row r="179" spans="1:12" ht="35.25" thickBot="1">
      <c r="A179" s="70"/>
      <c r="B179" s="1399" t="s">
        <v>929</v>
      </c>
      <c r="C179" s="1386" t="s">
        <v>930</v>
      </c>
      <c r="D179" s="1783"/>
      <c r="E179" s="1790">
        <v>80</v>
      </c>
      <c r="F179" s="1388"/>
      <c r="G179" s="206" t="s">
        <v>911</v>
      </c>
      <c r="H179" s="1105">
        <v>60</v>
      </c>
      <c r="I179" s="1791"/>
      <c r="J179" s="1792"/>
      <c r="K179" s="1725">
        <v>60</v>
      </c>
    </row>
    <row r="180" spans="1:12">
      <c r="A180" s="772"/>
      <c r="B180" s="1396" t="s">
        <v>931</v>
      </c>
      <c r="C180" s="117" t="s">
        <v>932</v>
      </c>
      <c r="D180" s="613"/>
      <c r="E180" s="872">
        <v>50</v>
      </c>
      <c r="F180" s="853"/>
      <c r="G180" s="982" t="s">
        <v>933</v>
      </c>
      <c r="H180" s="1106">
        <v>35</v>
      </c>
      <c r="I180" s="1785"/>
      <c r="J180" s="1786"/>
      <c r="K180" s="983">
        <v>35</v>
      </c>
    </row>
    <row r="181" spans="1:12" ht="26.25" customHeight="1">
      <c r="A181" s="44"/>
      <c r="B181" s="45"/>
      <c r="C181" s="46"/>
      <c r="D181" s="124"/>
      <c r="F181" s="104"/>
      <c r="H181" s="45"/>
      <c r="I181" s="556"/>
      <c r="K181" s="492">
        <v>6</v>
      </c>
    </row>
    <row r="182" spans="1:12">
      <c r="A182" s="45" t="s">
        <v>0</v>
      </c>
      <c r="B182" s="45"/>
      <c r="C182" s="68"/>
      <c r="D182" s="612"/>
      <c r="F182" s="104"/>
      <c r="H182" s="45"/>
      <c r="I182" s="556"/>
      <c r="L182" s="45"/>
    </row>
    <row r="183" spans="1:12" s="45" customFormat="1">
      <c r="A183" s="3480" t="s">
        <v>1</v>
      </c>
      <c r="B183" s="3480"/>
      <c r="C183" s="46"/>
      <c r="D183" s="124"/>
      <c r="E183" s="335"/>
      <c r="F183" s="104"/>
      <c r="G183" s="210"/>
      <c r="I183" s="556"/>
      <c r="J183" s="540"/>
      <c r="K183" s="366"/>
    </row>
    <row r="184" spans="1:12" ht="12.75" customHeight="1" thickBot="1">
      <c r="F184" s="104"/>
    </row>
    <row r="185" spans="1:12">
      <c r="A185" s="3481" t="s">
        <v>2</v>
      </c>
      <c r="B185" s="3482"/>
      <c r="C185" s="48" t="s">
        <v>3</v>
      </c>
      <c r="D185" s="436" t="s">
        <v>4</v>
      </c>
      <c r="E185" s="868" t="s">
        <v>5</v>
      </c>
      <c r="F185" s="849" t="s">
        <v>5</v>
      </c>
      <c r="G185" s="211" t="s">
        <v>6</v>
      </c>
      <c r="H185" s="48" t="s">
        <v>7</v>
      </c>
      <c r="I185" s="557" t="s">
        <v>8</v>
      </c>
      <c r="J185" s="541" t="s">
        <v>9</v>
      </c>
      <c r="K185" s="346" t="s">
        <v>9</v>
      </c>
      <c r="L185" s="46"/>
    </row>
    <row r="186" spans="1:12" ht="35.25" thickBot="1">
      <c r="A186" s="51"/>
      <c r="B186" s="72"/>
      <c r="C186" s="50"/>
      <c r="D186" s="437" t="s">
        <v>10</v>
      </c>
      <c r="E186" s="869" t="s">
        <v>12</v>
      </c>
      <c r="F186" s="850" t="s">
        <v>11</v>
      </c>
      <c r="G186" s="212"/>
      <c r="H186" s="50" t="s">
        <v>13</v>
      </c>
      <c r="I186" s="558"/>
      <c r="J186" s="542" t="s">
        <v>14</v>
      </c>
      <c r="K186" s="347" t="s">
        <v>15</v>
      </c>
      <c r="L186" s="46"/>
    </row>
    <row r="187" spans="1:12">
      <c r="A187" s="2803"/>
      <c r="B187" s="2728"/>
      <c r="C187" s="101"/>
      <c r="D187" s="342"/>
      <c r="E187" s="767"/>
      <c r="F187" s="767"/>
      <c r="G187" s="206"/>
      <c r="H187" s="74"/>
      <c r="I187" s="560"/>
      <c r="J187" s="544"/>
      <c r="K187" s="365"/>
    </row>
    <row r="188" spans="1:12">
      <c r="A188" s="315"/>
      <c r="B188" s="43"/>
      <c r="C188" s="101"/>
      <c r="D188" s="342"/>
      <c r="E188" s="767"/>
      <c r="F188" s="767"/>
      <c r="G188" s="206"/>
      <c r="H188" s="74"/>
      <c r="I188" s="559"/>
      <c r="J188" s="544"/>
      <c r="K188" s="365"/>
    </row>
    <row r="189" spans="1:12">
      <c r="A189" s="315"/>
      <c r="B189" s="43"/>
      <c r="C189" s="101"/>
      <c r="D189" s="342"/>
      <c r="E189" s="767"/>
      <c r="F189" s="767"/>
      <c r="G189" s="206"/>
      <c r="H189" s="74"/>
      <c r="I189" s="785"/>
      <c r="J189" s="544"/>
      <c r="K189" s="365"/>
    </row>
    <row r="190" spans="1:12">
      <c r="A190" s="398"/>
      <c r="B190" s="43"/>
      <c r="C190" s="101"/>
      <c r="D190" s="342"/>
      <c r="E190" s="871"/>
      <c r="F190" s="1098"/>
      <c r="G190" s="206"/>
      <c r="H190" s="74"/>
      <c r="I190" s="560"/>
      <c r="J190" s="544"/>
      <c r="K190" s="365"/>
    </row>
    <row r="191" spans="1:12">
      <c r="A191" s="438"/>
      <c r="B191" s="406"/>
      <c r="C191" s="320"/>
      <c r="D191" s="624"/>
      <c r="E191" s="852"/>
      <c r="F191" s="852"/>
      <c r="G191" s="223"/>
      <c r="H191" s="224"/>
      <c r="I191" s="1499"/>
      <c r="J191" s="603"/>
      <c r="K191" s="378"/>
    </row>
    <row r="192" spans="1:12">
      <c r="A192" s="438"/>
      <c r="B192" s="406"/>
      <c r="C192" s="320"/>
      <c r="D192" s="624"/>
      <c r="E192" s="852"/>
      <c r="F192" s="852"/>
      <c r="G192" s="223"/>
      <c r="H192" s="224"/>
      <c r="I192" s="1499"/>
      <c r="J192" s="603"/>
      <c r="K192" s="378"/>
    </row>
    <row r="193" spans="1:11">
      <c r="A193" s="2774"/>
      <c r="B193" s="2705"/>
      <c r="C193" s="2794"/>
      <c r="D193" s="981"/>
      <c r="E193" s="852"/>
      <c r="F193" s="852"/>
      <c r="G193" s="223"/>
      <c r="H193" s="253"/>
      <c r="I193" s="1499"/>
      <c r="J193" s="603"/>
      <c r="K193" s="378"/>
    </row>
    <row r="194" spans="1:11">
      <c r="A194" s="2803"/>
      <c r="B194" s="2705"/>
      <c r="C194" s="2794"/>
      <c r="D194" s="342"/>
      <c r="E194" s="767"/>
      <c r="F194" s="767"/>
      <c r="G194" s="206"/>
      <c r="H194" s="74"/>
      <c r="I194" s="560"/>
      <c r="J194" s="544"/>
      <c r="K194" s="365"/>
    </row>
    <row r="195" spans="1:11">
      <c r="A195" s="3449"/>
      <c r="B195" s="3450"/>
      <c r="C195" s="2794"/>
      <c r="D195" s="342"/>
      <c r="E195" s="1770"/>
      <c r="F195" s="1771"/>
      <c r="G195" s="206"/>
      <c r="H195" s="74"/>
      <c r="I195" s="560"/>
      <c r="J195" s="544"/>
      <c r="K195" s="365"/>
    </row>
    <row r="196" spans="1:11">
      <c r="A196" s="83"/>
      <c r="B196" s="43"/>
      <c r="C196" s="101"/>
      <c r="D196" s="994"/>
      <c r="E196" s="1770"/>
      <c r="F196" s="1772"/>
      <c r="G196" s="206"/>
      <c r="H196" s="74"/>
      <c r="I196" s="560"/>
      <c r="J196" s="546"/>
      <c r="K196" s="734"/>
    </row>
    <row r="197" spans="1:11">
      <c r="A197" s="398"/>
      <c r="B197" s="406"/>
      <c r="C197" s="101"/>
      <c r="D197" s="994"/>
      <c r="E197" s="1771"/>
      <c r="F197" s="1771"/>
      <c r="G197" s="223"/>
      <c r="H197" s="224"/>
      <c r="I197" s="778"/>
      <c r="J197" s="603"/>
      <c r="K197" s="378"/>
    </row>
    <row r="198" spans="1:11">
      <c r="A198" s="1469"/>
      <c r="B198" s="1470"/>
      <c r="C198" s="1500"/>
      <c r="D198" s="624"/>
      <c r="E198" s="1770"/>
      <c r="F198" s="1771"/>
      <c r="G198" s="223"/>
      <c r="H198" s="224"/>
      <c r="I198" s="778"/>
      <c r="J198" s="603"/>
      <c r="K198" s="378"/>
    </row>
    <row r="199" spans="1:11">
      <c r="A199" s="398"/>
      <c r="B199" s="362"/>
      <c r="C199" s="207"/>
      <c r="D199" s="342"/>
      <c r="E199" s="1771"/>
      <c r="F199" s="1771"/>
      <c r="G199" s="206"/>
      <c r="H199" s="74"/>
      <c r="I199" s="560"/>
      <c r="J199" s="548"/>
      <c r="K199" s="365"/>
    </row>
    <row r="200" spans="1:11">
      <c r="A200" s="438"/>
      <c r="B200" s="362"/>
      <c r="C200" s="207"/>
      <c r="D200" s="342"/>
      <c r="E200" s="1771"/>
      <c r="F200" s="1771"/>
      <c r="G200" s="206"/>
      <c r="H200" s="74"/>
      <c r="I200" s="560"/>
      <c r="J200" s="548"/>
      <c r="K200" s="365"/>
    </row>
    <row r="201" spans="1:11">
      <c r="A201" s="398"/>
      <c r="B201" s="362"/>
      <c r="C201" s="207"/>
      <c r="D201" s="342"/>
      <c r="E201" s="1771"/>
      <c r="F201" s="1771"/>
      <c r="G201" s="206"/>
      <c r="H201" s="74"/>
      <c r="I201" s="560"/>
      <c r="J201" s="548"/>
      <c r="K201" s="365"/>
    </row>
    <row r="202" spans="1:11">
      <c r="A202" s="438"/>
      <c r="B202" s="383"/>
      <c r="C202" s="207"/>
      <c r="D202" s="342"/>
      <c r="E202" s="1771"/>
      <c r="F202" s="1771"/>
      <c r="G202" s="206"/>
      <c r="H202" s="74"/>
      <c r="I202" s="560"/>
      <c r="J202" s="548"/>
      <c r="K202" s="792"/>
    </row>
    <row r="203" spans="1:11">
      <c r="A203" s="438"/>
      <c r="B203" s="362"/>
      <c r="C203" s="207"/>
      <c r="D203" s="342"/>
      <c r="E203" s="1771"/>
      <c r="F203" s="1771"/>
      <c r="G203" s="206"/>
      <c r="H203" s="74"/>
      <c r="I203" s="560"/>
      <c r="J203" s="548"/>
      <c r="K203" s="792"/>
    </row>
    <row r="204" spans="1:11" ht="35.25" thickBot="1">
      <c r="A204" s="2042"/>
      <c r="B204" s="2043"/>
      <c r="C204" s="345"/>
      <c r="D204" s="415"/>
      <c r="E204" s="2044"/>
      <c r="F204" s="2044"/>
      <c r="G204" s="1115"/>
      <c r="H204" s="2045"/>
      <c r="I204" s="2046"/>
      <c r="J204" s="2047"/>
      <c r="K204" s="368"/>
    </row>
    <row r="205" spans="1:11">
      <c r="A205" s="1019"/>
      <c r="B205" s="1338"/>
      <c r="C205" s="523"/>
      <c r="D205" s="1510"/>
      <c r="E205" s="1781"/>
      <c r="F205" s="1781"/>
      <c r="G205" s="982"/>
      <c r="H205" s="1479"/>
      <c r="I205" s="1511"/>
      <c r="J205" s="1512"/>
      <c r="K205" s="983"/>
    </row>
    <row r="206" spans="1:11">
      <c r="A206" s="438"/>
      <c r="B206" s="969"/>
      <c r="C206" s="341"/>
      <c r="D206" s="624"/>
      <c r="E206" s="1771"/>
      <c r="F206" s="1771"/>
      <c r="G206" s="223"/>
      <c r="H206" s="224"/>
      <c r="I206" s="778"/>
      <c r="J206" s="1457"/>
      <c r="K206" s="378"/>
    </row>
    <row r="207" spans="1:11">
      <c r="A207" s="254"/>
      <c r="B207" s="969"/>
      <c r="C207" s="341"/>
      <c r="D207" s="624"/>
      <c r="E207" s="1771"/>
      <c r="F207" s="1771"/>
      <c r="G207" s="223"/>
      <c r="H207" s="224"/>
      <c r="I207" s="778"/>
      <c r="J207" s="603"/>
      <c r="K207" s="378"/>
    </row>
    <row r="208" spans="1:11">
      <c r="A208" s="398"/>
      <c r="B208" s="969"/>
      <c r="C208" s="341"/>
      <c r="D208" s="624"/>
      <c r="E208" s="1771"/>
      <c r="F208" s="1771"/>
      <c r="G208" s="223"/>
      <c r="H208" s="224"/>
      <c r="I208" s="778"/>
      <c r="J208" s="1768"/>
      <c r="K208" s="378"/>
    </row>
    <row r="209" spans="1:12">
      <c r="A209" s="265"/>
      <c r="B209" s="969"/>
      <c r="C209" s="341"/>
      <c r="D209" s="624"/>
      <c r="E209" s="1771"/>
      <c r="F209" s="1771"/>
      <c r="G209" s="223"/>
      <c r="H209" s="224"/>
      <c r="I209" s="778"/>
      <c r="J209" s="603"/>
      <c r="K209" s="378"/>
    </row>
    <row r="210" spans="1:12" ht="35.25" thickBot="1">
      <c r="A210" s="254"/>
      <c r="B210" s="1769"/>
      <c r="C210" s="1721"/>
      <c r="D210" s="1722"/>
      <c r="E210" s="1771"/>
      <c r="F210" s="1771"/>
      <c r="G210" s="223"/>
      <c r="H210" s="224"/>
      <c r="I210" s="778"/>
      <c r="J210" s="1768"/>
      <c r="K210" s="378"/>
    </row>
    <row r="211" spans="1:12">
      <c r="A211" s="398"/>
      <c r="B211" s="383"/>
      <c r="C211" s="207"/>
      <c r="D211" s="342"/>
      <c r="E211" s="1771"/>
      <c r="F211" s="1771"/>
      <c r="G211" s="206"/>
      <c r="H211" s="560"/>
      <c r="I211" s="559"/>
      <c r="J211" s="2360"/>
      <c r="K211" s="365"/>
    </row>
    <row r="212" spans="1:12">
      <c r="A212" s="782"/>
      <c r="B212" s="43"/>
      <c r="C212" s="320"/>
      <c r="D212" s="342"/>
      <c r="E212" s="843"/>
      <c r="F212" s="853"/>
      <c r="G212" s="206"/>
      <c r="H212" s="74"/>
      <c r="I212" s="560"/>
      <c r="J212" s="544"/>
      <c r="K212" s="365"/>
    </row>
    <row r="213" spans="1:12">
      <c r="A213" s="1469"/>
      <c r="B213" s="1470"/>
      <c r="C213" s="1444"/>
      <c r="D213" s="517"/>
      <c r="E213" s="843"/>
      <c r="F213" s="853"/>
      <c r="G213" s="206"/>
      <c r="H213" s="74"/>
      <c r="I213" s="560"/>
      <c r="J213" s="544"/>
      <c r="K213" s="365"/>
    </row>
    <row r="214" spans="1:12">
      <c r="A214" s="83"/>
      <c r="B214" s="362"/>
      <c r="C214" s="101"/>
      <c r="D214" s="342"/>
      <c r="E214" s="871"/>
      <c r="F214" s="767"/>
      <c r="G214" s="206"/>
      <c r="H214" s="74"/>
      <c r="I214" s="562"/>
      <c r="J214" s="547"/>
      <c r="K214" s="550"/>
    </row>
    <row r="215" spans="1:12">
      <c r="A215" s="83"/>
      <c r="B215" s="362"/>
      <c r="C215" s="101"/>
      <c r="D215" s="342"/>
      <c r="E215" s="871"/>
      <c r="F215" s="767"/>
      <c r="G215" s="206"/>
      <c r="H215" s="74"/>
      <c r="I215" s="562"/>
      <c r="J215" s="547"/>
      <c r="K215" s="550"/>
    </row>
    <row r="216" spans="1:12">
      <c r="A216" s="83"/>
      <c r="B216" s="1462"/>
      <c r="C216" s="661"/>
      <c r="D216" s="1463"/>
      <c r="E216" s="1464"/>
      <c r="F216" s="1465"/>
      <c r="G216" s="799"/>
      <c r="H216" s="1424"/>
      <c r="I216" s="1466"/>
      <c r="J216" s="1467"/>
      <c r="K216" s="1468"/>
    </row>
    <row r="217" spans="1:12" ht="33" customHeight="1">
      <c r="A217" s="44"/>
      <c r="B217" s="45"/>
      <c r="C217" s="46"/>
      <c r="D217" s="124"/>
      <c r="F217" s="104"/>
      <c r="H217" s="45"/>
      <c r="I217" s="556"/>
    </row>
    <row r="218" spans="1:12">
      <c r="A218" s="45" t="s">
        <v>0</v>
      </c>
      <c r="B218" s="45"/>
      <c r="C218" s="68"/>
      <c r="D218" s="612"/>
      <c r="F218" s="104"/>
      <c r="H218" s="45"/>
      <c r="I218" s="556"/>
      <c r="K218" s="537">
        <v>7</v>
      </c>
      <c r="L218" s="45"/>
    </row>
    <row r="219" spans="1:12" s="45" customFormat="1">
      <c r="A219" s="3480" t="s">
        <v>1</v>
      </c>
      <c r="B219" s="3480"/>
      <c r="C219" s="46"/>
      <c r="D219" s="124"/>
      <c r="E219" s="335"/>
      <c r="F219" s="104"/>
      <c r="G219" s="210"/>
      <c r="I219" s="556"/>
      <c r="J219" s="540"/>
      <c r="K219" s="366"/>
    </row>
    <row r="220" spans="1:12" ht="22.5" customHeight="1" thickBot="1">
      <c r="F220" s="104"/>
      <c r="K220" s="732"/>
    </row>
    <row r="221" spans="1:12">
      <c r="A221" s="3445"/>
      <c r="B221" s="3446" t="s">
        <v>2</v>
      </c>
      <c r="C221" s="48" t="s">
        <v>3</v>
      </c>
      <c r="D221" s="436" t="s">
        <v>4</v>
      </c>
      <c r="E221" s="868" t="s">
        <v>5</v>
      </c>
      <c r="F221" s="849" t="s">
        <v>5</v>
      </c>
      <c r="G221" s="211" t="s">
        <v>6</v>
      </c>
      <c r="H221" s="48" t="s">
        <v>7</v>
      </c>
      <c r="I221" s="557" t="s">
        <v>8</v>
      </c>
      <c r="J221" s="573" t="s">
        <v>9</v>
      </c>
      <c r="K221" s="346" t="s">
        <v>9</v>
      </c>
      <c r="L221" s="46"/>
    </row>
    <row r="222" spans="1:12" ht="35.25" thickBot="1">
      <c r="A222" s="51"/>
      <c r="B222" s="72"/>
      <c r="C222" s="50"/>
      <c r="D222" s="437" t="s">
        <v>10</v>
      </c>
      <c r="E222" s="869" t="s">
        <v>11</v>
      </c>
      <c r="F222" s="850" t="s">
        <v>12</v>
      </c>
      <c r="G222" s="212"/>
      <c r="H222" s="50" t="s">
        <v>13</v>
      </c>
      <c r="I222" s="558"/>
      <c r="J222" s="574" t="s">
        <v>14</v>
      </c>
      <c r="K222" s="347" t="s">
        <v>15</v>
      </c>
      <c r="L222" s="46"/>
    </row>
    <row r="223" spans="1:12">
      <c r="A223" s="3483"/>
      <c r="B223" s="3484"/>
      <c r="C223" s="63"/>
      <c r="D223" s="342"/>
      <c r="E223" s="838"/>
      <c r="F223" s="767"/>
      <c r="G223" s="206"/>
      <c r="H223" s="74"/>
      <c r="I223" s="560"/>
      <c r="J223" s="547"/>
      <c r="K223" s="365"/>
    </row>
    <row r="224" spans="1:12">
      <c r="A224" s="3362"/>
      <c r="B224" s="2705"/>
      <c r="C224" s="101"/>
      <c r="D224" s="342"/>
      <c r="E224" s="871"/>
      <c r="F224" s="1497"/>
      <c r="G224" s="206"/>
      <c r="H224" s="150"/>
      <c r="I224" s="785"/>
      <c r="J224" s="544"/>
      <c r="K224" s="2491"/>
    </row>
    <row r="225" spans="1:11">
      <c r="A225" s="3449"/>
      <c r="B225" s="3450"/>
      <c r="C225" s="126"/>
      <c r="D225" s="536"/>
      <c r="E225" s="843"/>
      <c r="F225" s="853"/>
      <c r="G225" s="130"/>
      <c r="H225" s="322"/>
      <c r="I225" s="560"/>
      <c r="J225" s="544"/>
      <c r="K225" s="2491"/>
    </row>
    <row r="226" spans="1:11">
      <c r="A226" s="398"/>
      <c r="B226" s="43"/>
      <c r="C226" s="101"/>
      <c r="D226" s="322"/>
      <c r="E226" s="843"/>
      <c r="F226" s="853"/>
      <c r="G226" s="979"/>
      <c r="H226" s="74"/>
      <c r="I226" s="1682"/>
      <c r="J226" s="544"/>
      <c r="K226" s="2491"/>
    </row>
    <row r="227" spans="1:11">
      <c r="A227" s="398"/>
      <c r="B227" s="43"/>
      <c r="C227" s="101"/>
      <c r="D227" s="322"/>
      <c r="E227" s="843"/>
      <c r="F227" s="853"/>
      <c r="G227" s="979"/>
      <c r="H227" s="74"/>
      <c r="I227" s="1682"/>
      <c r="J227" s="544"/>
      <c r="K227" s="2491"/>
    </row>
    <row r="228" spans="1:11">
      <c r="A228" s="83"/>
      <c r="B228" s="43"/>
      <c r="C228" s="101"/>
      <c r="D228" s="322"/>
      <c r="E228" s="843"/>
      <c r="F228" s="853"/>
      <c r="G228" s="979"/>
      <c r="H228" s="74"/>
      <c r="I228" s="1682"/>
      <c r="J228" s="544"/>
      <c r="K228" s="2491"/>
    </row>
    <row r="229" spans="1:11">
      <c r="A229" s="398"/>
      <c r="B229" s="43"/>
      <c r="C229" s="101"/>
      <c r="D229" s="322"/>
      <c r="E229" s="843"/>
      <c r="F229" s="853"/>
      <c r="G229" s="979"/>
      <c r="H229" s="74"/>
      <c r="I229" s="1682"/>
      <c r="J229" s="544"/>
      <c r="K229" s="2491"/>
    </row>
    <row r="230" spans="1:11">
      <c r="A230" s="398"/>
      <c r="B230" s="791"/>
      <c r="C230" s="101"/>
      <c r="D230" s="322"/>
      <c r="E230" s="843"/>
      <c r="F230" s="853"/>
      <c r="G230" s="979"/>
      <c r="H230" s="74"/>
      <c r="I230" s="1682"/>
      <c r="J230" s="544"/>
      <c r="K230" s="2491"/>
    </row>
    <row r="231" spans="1:11">
      <c r="A231" s="398"/>
      <c r="B231" s="43"/>
      <c r="C231" s="101"/>
      <c r="D231" s="322"/>
      <c r="E231" s="843"/>
      <c r="F231" s="853"/>
      <c r="G231" s="979"/>
      <c r="H231" s="74"/>
      <c r="I231" s="2489"/>
      <c r="J231" s="644"/>
      <c r="K231" s="2016"/>
    </row>
    <row r="232" spans="1:11">
      <c r="A232" s="398"/>
      <c r="B232" s="43"/>
      <c r="C232" s="101"/>
      <c r="D232" s="322"/>
      <c r="E232" s="838"/>
      <c r="F232" s="853"/>
      <c r="G232" s="206"/>
      <c r="H232" s="74"/>
      <c r="I232" s="560"/>
      <c r="J232" s="544"/>
      <c r="K232" s="365"/>
    </row>
    <row r="233" spans="1:11">
      <c r="A233" s="83"/>
      <c r="B233" s="362"/>
      <c r="C233" s="101"/>
      <c r="D233" s="342"/>
      <c r="E233" s="871"/>
      <c r="F233" s="767"/>
      <c r="G233" s="206"/>
      <c r="H233" s="74"/>
      <c r="I233" s="560"/>
      <c r="J233" s="544"/>
      <c r="K233" s="365"/>
    </row>
    <row r="234" spans="1:11">
      <c r="A234" s="83"/>
      <c r="B234" s="383"/>
      <c r="C234" s="101"/>
      <c r="D234" s="342"/>
      <c r="E234" s="871"/>
      <c r="F234" s="853"/>
      <c r="G234" s="206"/>
      <c r="H234" s="74"/>
      <c r="I234" s="560"/>
      <c r="J234" s="544"/>
      <c r="K234" s="365"/>
    </row>
    <row r="235" spans="1:11">
      <c r="A235" s="83"/>
      <c r="B235" s="43"/>
      <c r="C235" s="101"/>
      <c r="D235" s="342"/>
      <c r="E235" s="871"/>
      <c r="F235" s="853"/>
      <c r="G235" s="2731"/>
      <c r="H235" s="2729"/>
      <c r="I235" s="560"/>
      <c r="J235" s="544"/>
      <c r="K235" s="365"/>
    </row>
    <row r="236" spans="1:11">
      <c r="A236" s="83"/>
      <c r="B236" s="43"/>
      <c r="C236" s="101"/>
      <c r="D236" s="342"/>
      <c r="E236" s="871"/>
      <c r="F236" s="853"/>
      <c r="G236" s="2731"/>
      <c r="H236" s="2729"/>
      <c r="I236" s="560"/>
      <c r="J236" s="544"/>
      <c r="K236" s="365"/>
    </row>
    <row r="237" spans="1:11">
      <c r="A237" s="83"/>
      <c r="B237" s="43"/>
      <c r="C237" s="101"/>
      <c r="D237" s="342"/>
      <c r="E237" s="871"/>
      <c r="F237" s="853"/>
      <c r="G237" s="2731"/>
      <c r="H237" s="2729"/>
      <c r="I237" s="560"/>
      <c r="J237" s="544"/>
      <c r="K237" s="365"/>
    </row>
    <row r="238" spans="1:11">
      <c r="A238" s="782"/>
      <c r="B238" s="43"/>
      <c r="C238" s="101"/>
      <c r="D238" s="342"/>
      <c r="E238" s="871"/>
      <c r="F238" s="853"/>
      <c r="G238" s="2731"/>
      <c r="H238" s="2729"/>
      <c r="I238" s="560"/>
      <c r="J238" s="544"/>
      <c r="K238" s="365"/>
    </row>
    <row r="239" spans="1:11">
      <c r="A239" s="398"/>
      <c r="B239" s="2459"/>
      <c r="C239" s="320"/>
      <c r="D239" s="624"/>
      <c r="E239" s="975"/>
      <c r="F239" s="851"/>
      <c r="G239" s="2731"/>
      <c r="H239" s="2729"/>
      <c r="I239" s="778"/>
      <c r="J239" s="603"/>
      <c r="K239" s="378"/>
    </row>
    <row r="240" spans="1:11">
      <c r="A240" s="398"/>
      <c r="B240" s="783"/>
      <c r="C240" s="222"/>
      <c r="D240" s="624"/>
      <c r="E240" s="975"/>
      <c r="F240" s="851"/>
      <c r="G240" s="2731"/>
      <c r="H240" s="2729"/>
      <c r="I240" s="778"/>
      <c r="J240" s="603"/>
      <c r="K240" s="378"/>
    </row>
    <row r="241" spans="1:11">
      <c r="A241" s="398"/>
      <c r="B241" s="788"/>
      <c r="C241" s="222"/>
      <c r="D241" s="624"/>
      <c r="E241" s="975"/>
      <c r="F241" s="851"/>
      <c r="G241" s="2731"/>
      <c r="H241" s="2729"/>
      <c r="I241" s="778"/>
      <c r="J241" s="603"/>
      <c r="K241" s="378"/>
    </row>
    <row r="242" spans="1:11">
      <c r="A242" s="1469"/>
      <c r="B242" s="1470"/>
      <c r="C242" s="222"/>
      <c r="D242" s="342"/>
      <c r="E242" s="843"/>
      <c r="F242" s="853"/>
      <c r="G242" s="2731"/>
      <c r="H242" s="2729"/>
      <c r="I242" s="560"/>
      <c r="J242" s="544"/>
      <c r="K242" s="365"/>
    </row>
    <row r="243" spans="1:11">
      <c r="A243" s="2036"/>
      <c r="B243" s="43"/>
      <c r="C243" s="101"/>
      <c r="D243" s="342"/>
      <c r="E243" s="837"/>
      <c r="F243" s="2699"/>
      <c r="G243" s="2726"/>
      <c r="H243" s="2729"/>
      <c r="I243" s="385"/>
      <c r="J243" s="547"/>
      <c r="K243" s="365"/>
    </row>
    <row r="244" spans="1:11">
      <c r="A244" s="83"/>
      <c r="B244" s="43"/>
      <c r="C244" s="101"/>
      <c r="D244" s="342"/>
      <c r="E244" s="839"/>
      <c r="F244" s="845"/>
      <c r="G244" s="2731"/>
      <c r="H244" s="2729"/>
      <c r="I244" s="385"/>
      <c r="J244" s="547"/>
      <c r="K244" s="365"/>
    </row>
    <row r="245" spans="1:11">
      <c r="A245" s="83"/>
      <c r="B245" s="43"/>
      <c r="C245" s="101"/>
      <c r="D245" s="322"/>
      <c r="E245" s="728"/>
      <c r="F245" s="840"/>
      <c r="G245" s="2731"/>
      <c r="H245" s="2729"/>
      <c r="I245" s="385"/>
      <c r="J245" s="547"/>
      <c r="K245" s="365"/>
    </row>
    <row r="246" spans="1:11">
      <c r="A246" s="83"/>
      <c r="B246" s="43"/>
      <c r="C246" s="101"/>
      <c r="D246" s="322"/>
      <c r="E246" s="728"/>
      <c r="F246" s="840"/>
      <c r="G246" s="2731"/>
      <c r="H246" s="2729"/>
      <c r="I246" s="385"/>
      <c r="J246" s="547"/>
      <c r="K246" s="365"/>
    </row>
    <row r="247" spans="1:11">
      <c r="A247" s="83"/>
      <c r="B247" s="43"/>
      <c r="C247" s="101"/>
      <c r="D247" s="322"/>
      <c r="E247" s="728"/>
      <c r="F247" s="840"/>
      <c r="G247" s="2731"/>
      <c r="H247" s="2729"/>
      <c r="I247" s="385"/>
      <c r="J247" s="547"/>
      <c r="K247" s="365"/>
    </row>
    <row r="248" spans="1:11">
      <c r="A248" s="83"/>
      <c r="B248" s="43"/>
      <c r="C248" s="101"/>
      <c r="D248" s="322"/>
      <c r="E248" s="728"/>
      <c r="F248" s="840"/>
      <c r="G248" s="2731"/>
      <c r="H248" s="2729"/>
      <c r="I248" s="385"/>
      <c r="J248" s="547"/>
      <c r="K248" s="365"/>
    </row>
    <row r="249" spans="1:11">
      <c r="A249" s="83"/>
      <c r="B249" s="43"/>
      <c r="C249" s="101"/>
      <c r="D249" s="322"/>
      <c r="E249" s="728"/>
      <c r="F249" s="767"/>
      <c r="G249" s="2731"/>
      <c r="H249" s="2729"/>
      <c r="I249" s="385"/>
      <c r="J249" s="547"/>
      <c r="K249" s="365"/>
    </row>
    <row r="250" spans="1:11">
      <c r="A250" s="995"/>
      <c r="B250" s="781"/>
      <c r="C250" s="101"/>
      <c r="D250" s="322"/>
      <c r="E250" s="838"/>
      <c r="F250" s="767"/>
      <c r="G250" s="2731"/>
      <c r="H250" s="2729"/>
      <c r="I250" s="560"/>
      <c r="J250" s="547"/>
      <c r="K250" s="365"/>
    </row>
    <row r="251" spans="1:11">
      <c r="A251" s="87"/>
      <c r="B251" s="43"/>
      <c r="C251" s="101"/>
      <c r="D251" s="342"/>
      <c r="E251" s="871"/>
      <c r="F251" s="861"/>
      <c r="G251" s="206"/>
      <c r="H251" s="74"/>
      <c r="I251" s="385"/>
      <c r="J251" s="1031"/>
      <c r="K251" s="1030"/>
    </row>
    <row r="252" spans="1:11">
      <c r="A252" s="254"/>
      <c r="B252" s="1161"/>
      <c r="C252" s="63"/>
      <c r="D252" s="342"/>
      <c r="E252" s="838"/>
      <c r="F252" s="767"/>
      <c r="G252" s="206"/>
      <c r="H252" s="74"/>
      <c r="I252" s="1011"/>
      <c r="J252" s="1031"/>
      <c r="K252" s="1029"/>
    </row>
    <row r="253" spans="1:11">
      <c r="F253" s="104"/>
      <c r="K253" s="537">
        <v>8</v>
      </c>
    </row>
    <row r="254" spans="1:11">
      <c r="A254" s="45" t="s">
        <v>0</v>
      </c>
      <c r="B254" s="45"/>
      <c r="C254" s="68"/>
      <c r="D254" s="612"/>
      <c r="F254" s="104"/>
      <c r="H254" s="45"/>
      <c r="I254" s="556"/>
    </row>
    <row r="255" spans="1:11">
      <c r="A255" s="3480" t="s">
        <v>1</v>
      </c>
      <c r="B255" s="3480"/>
      <c r="C255" s="46"/>
      <c r="D255" s="124"/>
      <c r="F255" s="104"/>
      <c r="H255" s="45"/>
      <c r="I255" s="556"/>
    </row>
    <row r="256" spans="1:11" ht="35.25" thickBot="1">
      <c r="F256" s="104"/>
    </row>
    <row r="257" spans="1:11">
      <c r="A257" s="3445"/>
      <c r="B257" s="3446" t="s">
        <v>2</v>
      </c>
      <c r="C257" s="48" t="s">
        <v>3</v>
      </c>
      <c r="D257" s="436" t="s">
        <v>4</v>
      </c>
      <c r="E257" s="849" t="s">
        <v>5</v>
      </c>
      <c r="F257" s="849" t="s">
        <v>5</v>
      </c>
      <c r="G257" s="219" t="s">
        <v>6</v>
      </c>
      <c r="H257" s="48" t="s">
        <v>7</v>
      </c>
      <c r="I257" s="557" t="s">
        <v>8</v>
      </c>
      <c r="J257" s="541" t="s">
        <v>9</v>
      </c>
      <c r="K257" s="346" t="s">
        <v>9</v>
      </c>
    </row>
    <row r="258" spans="1:11" ht="35.25" thickBot="1">
      <c r="A258" s="51"/>
      <c r="B258" s="72"/>
      <c r="C258" s="50"/>
      <c r="D258" s="437" t="s">
        <v>10</v>
      </c>
      <c r="E258" s="850" t="s">
        <v>11</v>
      </c>
      <c r="F258" s="850" t="s">
        <v>12</v>
      </c>
      <c r="G258" s="212"/>
      <c r="H258" s="50" t="s">
        <v>13</v>
      </c>
      <c r="I258" s="558"/>
      <c r="J258" s="542" t="s">
        <v>14</v>
      </c>
      <c r="K258" s="347" t="s">
        <v>15</v>
      </c>
    </row>
    <row r="259" spans="1:11">
      <c r="A259" s="3491"/>
      <c r="B259" s="3492"/>
      <c r="C259" s="101"/>
      <c r="D259" s="322"/>
      <c r="E259" s="838"/>
      <c r="F259" s="767"/>
      <c r="G259" s="206"/>
      <c r="H259" s="74"/>
      <c r="I259" s="560"/>
      <c r="J259" s="544"/>
      <c r="K259" s="365"/>
    </row>
    <row r="260" spans="1:11">
      <c r="A260" s="83"/>
      <c r="B260" s="362"/>
      <c r="C260" s="101"/>
      <c r="D260" s="322"/>
      <c r="E260" s="838"/>
      <c r="F260" s="767"/>
      <c r="G260" s="979"/>
      <c r="H260" s="74"/>
      <c r="I260" s="562"/>
      <c r="J260" s="644"/>
      <c r="K260" s="365"/>
    </row>
    <row r="261" spans="1:11" ht="37.5">
      <c r="A261" s="766"/>
      <c r="B261" s="2022"/>
      <c r="C261" s="1765"/>
      <c r="D261" s="831"/>
      <c r="E261" s="838"/>
      <c r="F261" s="767"/>
      <c r="G261" s="2460"/>
      <c r="H261" s="778"/>
      <c r="I261" s="562"/>
      <c r="J261" s="2252"/>
      <c r="K261" s="780"/>
    </row>
    <row r="262" spans="1:11">
      <c r="A262" s="782"/>
      <c r="B262" s="788"/>
      <c r="C262" s="101"/>
      <c r="D262" s="831"/>
      <c r="E262" s="838"/>
      <c r="F262" s="767"/>
      <c r="G262" s="979"/>
      <c r="H262" s="74"/>
      <c r="I262" s="562"/>
      <c r="J262" s="644"/>
      <c r="K262" s="365"/>
    </row>
    <row r="263" spans="1:11">
      <c r="A263" s="83"/>
      <c r="B263" s="43"/>
      <c r="C263" s="101"/>
      <c r="D263" s="322"/>
      <c r="E263" s="838"/>
      <c r="F263" s="767"/>
      <c r="G263" s="206"/>
      <c r="H263" s="74"/>
      <c r="I263" s="562"/>
      <c r="J263" s="546"/>
      <c r="K263" s="365"/>
    </row>
    <row r="264" spans="1:11">
      <c r="A264" s="766"/>
      <c r="B264" s="320"/>
      <c r="C264" s="413"/>
      <c r="D264" s="776"/>
      <c r="E264" s="624"/>
      <c r="F264" s="223"/>
      <c r="G264" s="224"/>
      <c r="H264" s="778"/>
      <c r="I264" s="609"/>
      <c r="J264" s="779"/>
      <c r="K264" s="780"/>
    </row>
    <row r="265" spans="1:11">
      <c r="A265" s="775"/>
      <c r="B265" s="781"/>
      <c r="C265" s="101"/>
      <c r="D265" s="322"/>
      <c r="E265" s="838"/>
      <c r="F265" s="767"/>
      <c r="G265" s="206"/>
      <c r="H265" s="74"/>
      <c r="I265" s="560"/>
      <c r="J265" s="547"/>
      <c r="K265" s="394"/>
    </row>
    <row r="266" spans="1:11">
      <c r="A266" s="43"/>
      <c r="B266" s="43"/>
      <c r="C266" s="320"/>
      <c r="D266" s="322"/>
      <c r="E266" s="838"/>
      <c r="F266" s="767"/>
      <c r="G266" s="206"/>
      <c r="H266" s="74"/>
      <c r="I266" s="563"/>
      <c r="J266" s="544"/>
      <c r="K266" s="394"/>
    </row>
    <row r="267" spans="1:11">
      <c r="A267" s="43"/>
      <c r="B267" s="43"/>
      <c r="C267" s="101"/>
      <c r="D267" s="322"/>
      <c r="E267" s="838"/>
      <c r="F267" s="767"/>
      <c r="G267" s="206"/>
      <c r="H267" s="74"/>
      <c r="I267" s="563"/>
      <c r="J267" s="548"/>
      <c r="K267" s="365"/>
    </row>
    <row r="268" spans="1:11">
      <c r="A268" s="43"/>
      <c r="B268" s="43"/>
      <c r="C268" s="101"/>
      <c r="D268" s="342"/>
      <c r="E268" s="871"/>
      <c r="F268" s="767"/>
      <c r="G268" s="206"/>
      <c r="H268" s="74"/>
      <c r="I268" s="563"/>
      <c r="J268" s="544"/>
      <c r="K268" s="365"/>
    </row>
    <row r="269" spans="1:11">
      <c r="A269" s="362"/>
      <c r="B269" s="43"/>
      <c r="C269" s="101"/>
      <c r="D269" s="342"/>
      <c r="E269" s="871"/>
      <c r="F269" s="767"/>
      <c r="G269" s="206"/>
      <c r="H269" s="74"/>
      <c r="I269" s="563"/>
      <c r="J269" s="544"/>
      <c r="K269" s="365"/>
    </row>
    <row r="270" spans="1:11">
      <c r="A270" s="362"/>
      <c r="B270" s="362"/>
      <c r="C270" s="101"/>
      <c r="D270" s="342"/>
      <c r="E270" s="871"/>
      <c r="F270" s="767"/>
      <c r="G270" s="206"/>
      <c r="H270" s="74"/>
      <c r="I270" s="563"/>
      <c r="J270" s="544"/>
      <c r="K270" s="365"/>
    </row>
    <row r="271" spans="1:11">
      <c r="A271" s="362"/>
      <c r="B271" s="362"/>
      <c r="C271" s="101"/>
      <c r="D271" s="342"/>
      <c r="E271" s="871"/>
      <c r="F271" s="767"/>
      <c r="G271" s="206"/>
      <c r="H271" s="74"/>
      <c r="I271" s="563"/>
      <c r="J271" s="544"/>
      <c r="K271" s="365"/>
    </row>
    <row r="272" spans="1:11">
      <c r="A272" s="83"/>
      <c r="B272" s="362"/>
      <c r="C272" s="101"/>
      <c r="D272" s="342"/>
      <c r="E272" s="871"/>
      <c r="F272" s="767"/>
      <c r="G272" s="206"/>
      <c r="H272" s="74"/>
      <c r="I272" s="563"/>
      <c r="J272" s="544"/>
      <c r="K272" s="365"/>
    </row>
    <row r="273" spans="1:11">
      <c r="A273" s="3483"/>
      <c r="B273" s="3484"/>
      <c r="C273" s="101"/>
      <c r="D273" s="322"/>
      <c r="E273" s="838"/>
      <c r="F273" s="767"/>
      <c r="G273" s="206"/>
      <c r="H273" s="74"/>
      <c r="I273" s="560"/>
      <c r="J273" s="544"/>
      <c r="K273" s="365"/>
    </row>
    <row r="274" spans="1:11">
      <c r="A274" s="389"/>
      <c r="B274" s="382"/>
      <c r="C274" s="101"/>
      <c r="D274" s="342"/>
      <c r="E274" s="871"/>
      <c r="F274" s="767"/>
      <c r="G274" s="206"/>
      <c r="H274" s="74"/>
      <c r="I274" s="560"/>
      <c r="J274" s="547"/>
      <c r="K274" s="616"/>
    </row>
    <row r="275" spans="1:11">
      <c r="A275" s="87"/>
      <c r="B275" s="43"/>
      <c r="C275" s="101"/>
      <c r="D275" s="342"/>
      <c r="E275" s="871"/>
      <c r="F275" s="767"/>
      <c r="G275" s="206"/>
      <c r="H275" s="74"/>
      <c r="I275" s="560"/>
      <c r="J275" s="547"/>
      <c r="K275" s="550"/>
    </row>
    <row r="276" spans="1:11">
      <c r="A276" s="438"/>
      <c r="B276" s="766"/>
      <c r="C276" s="101"/>
      <c r="D276" s="342"/>
      <c r="E276" s="871"/>
      <c r="F276" s="767"/>
      <c r="G276" s="206"/>
      <c r="H276" s="74"/>
      <c r="I276" s="560"/>
      <c r="J276" s="547"/>
      <c r="K276" s="616"/>
    </row>
    <row r="277" spans="1:11">
      <c r="A277" s="3451"/>
      <c r="B277" s="3452"/>
      <c r="C277" s="101"/>
      <c r="D277" s="322"/>
      <c r="E277" s="838"/>
      <c r="F277" s="767"/>
      <c r="G277" s="206"/>
      <c r="H277" s="74"/>
      <c r="I277" s="560"/>
      <c r="J277" s="544"/>
      <c r="K277" s="365"/>
    </row>
    <row r="278" spans="1:11">
      <c r="A278" s="83"/>
      <c r="B278" s="383"/>
      <c r="C278" s="390"/>
      <c r="D278" s="322"/>
      <c r="E278" s="838"/>
      <c r="F278" s="767"/>
      <c r="G278" s="206"/>
      <c r="H278" s="74"/>
      <c r="I278" s="562"/>
      <c r="J278" s="544"/>
      <c r="K278" s="365"/>
    </row>
    <row r="279" spans="1:11">
      <c r="A279" s="766"/>
      <c r="B279" s="1384"/>
      <c r="C279" s="390"/>
      <c r="D279" s="322"/>
      <c r="E279" s="838"/>
      <c r="F279" s="767"/>
      <c r="G279" s="206"/>
      <c r="H279" s="74"/>
      <c r="I279" s="562"/>
      <c r="J279" s="544"/>
      <c r="K279" s="365"/>
    </row>
    <row r="280" spans="1:11">
      <c r="A280" s="265"/>
      <c r="B280" s="43"/>
      <c r="C280" s="101"/>
      <c r="D280" s="322"/>
      <c r="E280" s="838"/>
      <c r="F280" s="767"/>
      <c r="G280" s="206"/>
      <c r="H280" s="74"/>
      <c r="I280" s="562"/>
      <c r="J280" s="546"/>
      <c r="K280" s="365"/>
    </row>
    <row r="281" spans="1:11">
      <c r="A281" s="254"/>
      <c r="B281" s="43"/>
      <c r="C281" s="320"/>
      <c r="D281" s="342"/>
      <c r="E281" s="871"/>
      <c r="F281" s="767"/>
      <c r="G281" s="206"/>
      <c r="H281" s="74"/>
      <c r="I281" s="560"/>
      <c r="J281" s="548"/>
      <c r="K281" s="365"/>
    </row>
    <row r="282" spans="1:11">
      <c r="A282" s="265"/>
      <c r="B282" s="43"/>
      <c r="C282" s="101"/>
      <c r="D282" s="322"/>
      <c r="E282" s="838"/>
      <c r="F282" s="767"/>
      <c r="G282" s="206"/>
      <c r="H282" s="74"/>
      <c r="I282" s="562"/>
      <c r="J282" s="546"/>
      <c r="K282" s="365"/>
    </row>
    <row r="283" spans="1:11">
      <c r="A283" s="254"/>
      <c r="B283" s="43"/>
      <c r="C283" s="320"/>
      <c r="D283" s="342"/>
      <c r="E283" s="871"/>
      <c r="F283" s="767"/>
      <c r="G283" s="206"/>
      <c r="H283" s="74"/>
      <c r="I283" s="560"/>
      <c r="J283" s="548"/>
      <c r="K283" s="365"/>
    </row>
    <row r="284" spans="1:11">
      <c r="A284" s="3491"/>
      <c r="B284" s="3492"/>
      <c r="C284" s="101"/>
      <c r="D284" s="322"/>
      <c r="E284" s="838"/>
      <c r="F284" s="767"/>
      <c r="G284" s="206"/>
      <c r="H284" s="74"/>
      <c r="I284" s="560"/>
      <c r="J284" s="544"/>
      <c r="K284" s="365"/>
    </row>
    <row r="285" spans="1:11">
      <c r="A285" s="83"/>
      <c r="B285" s="43"/>
      <c r="C285" s="101"/>
      <c r="D285" s="322"/>
      <c r="E285" s="838"/>
      <c r="F285" s="767"/>
      <c r="G285" s="206"/>
      <c r="H285" s="74"/>
      <c r="I285" s="562"/>
      <c r="J285" s="544"/>
      <c r="K285" s="365"/>
    </row>
    <row r="286" spans="1:11" ht="37.5">
      <c r="A286" s="766"/>
      <c r="B286" s="880"/>
      <c r="C286" s="1765"/>
      <c r="D286" s="831"/>
      <c r="E286" s="624"/>
      <c r="F286" s="223"/>
      <c r="G286" s="1767"/>
      <c r="H286" s="778"/>
      <c r="I286" s="609"/>
      <c r="J286" s="1766"/>
      <c r="K286" s="780"/>
    </row>
    <row r="287" spans="1:11">
      <c r="A287" s="775"/>
      <c r="B287" s="406"/>
      <c r="C287" s="101"/>
      <c r="D287" s="322"/>
      <c r="E287" s="838"/>
      <c r="F287" s="767"/>
      <c r="G287" s="206"/>
      <c r="H287" s="74"/>
      <c r="I287" s="560"/>
      <c r="J287" s="547"/>
      <c r="K287" s="363"/>
    </row>
    <row r="288" spans="1:11">
      <c r="A288" s="83"/>
      <c r="B288" s="362"/>
      <c r="C288" s="101"/>
      <c r="D288" s="342"/>
      <c r="E288" s="838"/>
      <c r="F288" s="876"/>
      <c r="G288" s="206"/>
      <c r="H288" s="74"/>
      <c r="I288" s="562"/>
      <c r="J288" s="547"/>
      <c r="K288" s="550"/>
    </row>
    <row r="289" spans="1:11">
      <c r="B289" s="75"/>
      <c r="C289" s="104"/>
      <c r="D289" s="167"/>
      <c r="E289" s="167"/>
      <c r="F289" s="167"/>
      <c r="G289" s="167"/>
      <c r="H289" s="75"/>
      <c r="I289" s="561"/>
      <c r="J289" s="545"/>
    </row>
    <row r="290" spans="1:11">
      <c r="A290" s="45" t="s">
        <v>0</v>
      </c>
      <c r="B290" s="45"/>
      <c r="C290" s="68"/>
      <c r="D290" s="612"/>
      <c r="F290" s="104"/>
      <c r="H290" s="45"/>
      <c r="I290" s="556"/>
      <c r="K290" s="492">
        <v>9</v>
      </c>
    </row>
    <row r="291" spans="1:11">
      <c r="A291" s="3480" t="s">
        <v>1</v>
      </c>
      <c r="B291" s="3480"/>
      <c r="C291" s="46"/>
      <c r="D291" s="124"/>
      <c r="F291" s="104"/>
      <c r="H291" s="45"/>
      <c r="I291" s="556"/>
      <c r="J291" s="611"/>
    </row>
    <row r="292" spans="1:11" ht="35.25" thickBot="1">
      <c r="F292" s="104"/>
    </row>
    <row r="293" spans="1:11">
      <c r="A293" s="3445"/>
      <c r="B293" s="3446" t="s">
        <v>2</v>
      </c>
      <c r="C293" s="48" t="s">
        <v>3</v>
      </c>
      <c r="D293" s="436" t="s">
        <v>4</v>
      </c>
      <c r="E293" s="868" t="s">
        <v>5</v>
      </c>
      <c r="F293" s="849" t="s">
        <v>5</v>
      </c>
      <c r="G293" s="219" t="s">
        <v>6</v>
      </c>
      <c r="H293" s="48" t="s">
        <v>7</v>
      </c>
      <c r="I293" s="557" t="s">
        <v>8</v>
      </c>
      <c r="J293" s="541" t="s">
        <v>9</v>
      </c>
      <c r="K293" s="346" t="s">
        <v>9</v>
      </c>
    </row>
    <row r="294" spans="1:11" ht="35.25" thickBot="1">
      <c r="A294" s="51"/>
      <c r="B294" s="72"/>
      <c r="C294" s="50"/>
      <c r="D294" s="437" t="s">
        <v>10</v>
      </c>
      <c r="E294" s="869" t="s">
        <v>11</v>
      </c>
      <c r="F294" s="850" t="s">
        <v>12</v>
      </c>
      <c r="G294" s="301"/>
      <c r="H294" s="50" t="s">
        <v>13</v>
      </c>
      <c r="I294" s="558"/>
      <c r="J294" s="542" t="s">
        <v>14</v>
      </c>
      <c r="K294" s="347" t="s">
        <v>15</v>
      </c>
    </row>
    <row r="295" spans="1:11">
      <c r="A295" s="2774"/>
      <c r="B295" s="2705"/>
      <c r="C295" s="2794"/>
      <c r="D295" s="3367"/>
      <c r="E295" s="871"/>
      <c r="F295" s="767"/>
      <c r="G295" s="206"/>
      <c r="H295" s="74"/>
      <c r="I295" s="560"/>
      <c r="J295" s="547"/>
      <c r="K295" s="365"/>
    </row>
    <row r="296" spans="1:11">
      <c r="A296" s="3372"/>
      <c r="B296" s="2729"/>
      <c r="C296" s="2794"/>
      <c r="D296" s="3367"/>
      <c r="E296" s="871"/>
      <c r="F296" s="767"/>
      <c r="G296" s="2731"/>
      <c r="H296" s="74"/>
      <c r="I296" s="560"/>
      <c r="J296" s="547"/>
      <c r="K296" s="365"/>
    </row>
    <row r="297" spans="1:11">
      <c r="A297" s="3372"/>
      <c r="B297" s="2729"/>
      <c r="C297" s="2794"/>
      <c r="D297" s="3367"/>
      <c r="E297" s="871"/>
      <c r="F297" s="767"/>
      <c r="G297" s="2731"/>
      <c r="H297" s="74"/>
      <c r="I297" s="560"/>
      <c r="J297" s="731"/>
      <c r="K297" s="365"/>
    </row>
    <row r="298" spans="1:11" ht="38.25">
      <c r="A298" s="2796"/>
      <c r="B298" s="3373"/>
      <c r="C298" s="2804"/>
      <c r="D298" s="3367"/>
      <c r="E298" s="142"/>
      <c r="F298" s="381"/>
      <c r="G298" s="2731"/>
      <c r="H298" s="74"/>
      <c r="I298" s="560"/>
      <c r="J298" s="603"/>
      <c r="K298" s="378"/>
    </row>
    <row r="299" spans="1:11">
      <c r="A299" s="1382"/>
      <c r="B299" s="224"/>
      <c r="C299" s="877"/>
      <c r="D299" s="1619"/>
      <c r="E299" s="871"/>
      <c r="F299" s="767"/>
      <c r="G299" s="2731"/>
      <c r="H299" s="74"/>
      <c r="I299" s="560"/>
      <c r="J299" s="603"/>
      <c r="K299" s="378"/>
    </row>
    <row r="300" spans="1:11">
      <c r="A300" s="1382"/>
      <c r="B300" s="778"/>
      <c r="C300" s="877"/>
      <c r="D300" s="1619"/>
      <c r="E300" s="871"/>
      <c r="F300" s="767"/>
      <c r="G300" s="2731"/>
      <c r="H300" s="74"/>
      <c r="I300" s="560"/>
      <c r="J300" s="603"/>
      <c r="K300" s="378"/>
    </row>
    <row r="301" spans="1:11">
      <c r="A301" s="74"/>
      <c r="B301" s="224"/>
      <c r="C301" s="877"/>
      <c r="D301" s="1619"/>
      <c r="E301" s="871"/>
      <c r="F301" s="767"/>
      <c r="G301" s="2731"/>
      <c r="H301" s="74"/>
      <c r="I301" s="560"/>
      <c r="J301" s="547"/>
      <c r="K301" s="365"/>
    </row>
    <row r="302" spans="1:11">
      <c r="A302" s="74"/>
      <c r="B302" s="778"/>
      <c r="C302" s="877"/>
      <c r="D302" s="1619"/>
      <c r="E302" s="871"/>
      <c r="F302" s="767"/>
      <c r="G302" s="2731"/>
      <c r="H302" s="74"/>
      <c r="I302" s="562"/>
      <c r="J302" s="1031"/>
      <c r="K302" s="550"/>
    </row>
    <row r="303" spans="1:11">
      <c r="A303" s="74"/>
      <c r="B303" s="224"/>
      <c r="C303" s="877"/>
      <c r="D303" s="1619"/>
      <c r="E303" s="84"/>
      <c r="F303" s="856"/>
      <c r="G303" s="2731"/>
      <c r="H303" s="74"/>
      <c r="I303" s="562"/>
      <c r="J303" s="1031"/>
      <c r="K303" s="550"/>
    </row>
    <row r="304" spans="1:11">
      <c r="A304" s="63"/>
      <c r="B304" s="224"/>
      <c r="C304" s="320"/>
      <c r="D304" s="624"/>
      <c r="E304" s="871"/>
      <c r="F304" s="767"/>
      <c r="G304" s="3374"/>
      <c r="H304" s="74"/>
      <c r="I304" s="560"/>
      <c r="J304" s="546"/>
      <c r="K304" s="2601"/>
    </row>
    <row r="305" spans="1:12">
      <c r="A305" s="63"/>
      <c r="B305" s="224"/>
      <c r="C305" s="320"/>
      <c r="D305" s="624"/>
      <c r="E305" s="871"/>
      <c r="F305" s="767"/>
      <c r="G305" s="3374"/>
      <c r="H305" s="74"/>
      <c r="I305" s="560"/>
      <c r="J305" s="546"/>
      <c r="K305" s="2601"/>
    </row>
    <row r="306" spans="1:12">
      <c r="A306" s="63"/>
      <c r="B306" s="224"/>
      <c r="C306" s="101"/>
      <c r="D306" s="624"/>
      <c r="E306" s="84"/>
      <c r="F306" s="856"/>
      <c r="G306" s="3375"/>
      <c r="H306" s="101"/>
      <c r="I306" s="562"/>
      <c r="J306" s="2602"/>
      <c r="K306" s="176"/>
      <c r="L306" s="365"/>
    </row>
    <row r="307" spans="1:12">
      <c r="A307" s="753"/>
      <c r="B307" s="224"/>
      <c r="C307" s="101"/>
      <c r="D307" s="624"/>
      <c r="E307" s="84"/>
      <c r="F307" s="856"/>
      <c r="G307" s="3375"/>
      <c r="H307" s="101"/>
      <c r="I307" s="1071"/>
      <c r="J307" s="2602"/>
      <c r="K307" s="176"/>
      <c r="L307" s="365">
        <v>111.78</v>
      </c>
    </row>
    <row r="308" spans="1:12">
      <c r="A308" s="74"/>
      <c r="B308" s="224"/>
      <c r="C308" s="101"/>
      <c r="D308" s="624"/>
      <c r="E308" s="2020"/>
      <c r="F308" s="859"/>
      <c r="G308" s="3374"/>
      <c r="H308" s="74"/>
      <c r="I308" s="560"/>
      <c r="J308" s="547"/>
      <c r="K308" s="792"/>
    </row>
    <row r="309" spans="1:12">
      <c r="A309" s="74"/>
      <c r="B309" s="406"/>
      <c r="C309" s="101"/>
      <c r="D309" s="207"/>
      <c r="E309" s="2020"/>
      <c r="F309" s="859"/>
      <c r="G309" s="3374"/>
      <c r="H309" s="74"/>
      <c r="I309" s="560"/>
      <c r="J309" s="547"/>
      <c r="K309" s="792"/>
    </row>
    <row r="310" spans="1:12">
      <c r="A310" s="74"/>
      <c r="B310" s="224"/>
      <c r="C310" s="101"/>
      <c r="D310" s="624"/>
      <c r="E310" s="84"/>
      <c r="F310" s="856"/>
      <c r="G310" s="3375"/>
      <c r="H310" s="101"/>
      <c r="I310" s="562"/>
      <c r="J310" s="2602"/>
      <c r="K310" s="176"/>
    </row>
    <row r="311" spans="1:12">
      <c r="A311" s="2859"/>
      <c r="B311" s="2859"/>
      <c r="C311" s="3368"/>
      <c r="D311" s="3369"/>
      <c r="E311" s="142"/>
      <c r="F311" s="381"/>
      <c r="G311" s="3376"/>
      <c r="H311" s="971"/>
      <c r="I311" s="506"/>
      <c r="J311" s="1620"/>
      <c r="K311" s="2384"/>
    </row>
    <row r="312" spans="1:12" ht="38.25">
      <c r="A312" s="2859"/>
      <c r="B312" s="3459"/>
      <c r="C312" s="2804"/>
      <c r="D312" s="2774"/>
      <c r="E312" s="2028"/>
      <c r="F312" s="960"/>
      <c r="G312" s="3371"/>
      <c r="H312" s="398"/>
      <c r="I312" s="2029"/>
      <c r="J312" s="74"/>
      <c r="K312" s="526"/>
    </row>
    <row r="313" spans="1:12">
      <c r="A313" s="2859"/>
      <c r="B313" s="2802"/>
      <c r="C313" s="2794"/>
      <c r="D313" s="3356"/>
      <c r="E313" s="3662"/>
      <c r="F313" s="3663"/>
      <c r="G313" s="3677"/>
      <c r="H313" s="3665"/>
      <c r="I313" s="3666"/>
      <c r="J313" s="3665"/>
      <c r="K313" s="3667"/>
    </row>
    <row r="314" spans="1:12">
      <c r="A314" s="2728"/>
      <c r="B314" s="3363"/>
      <c r="C314" s="3364"/>
      <c r="D314" s="3455"/>
      <c r="E314" s="875"/>
      <c r="F314" s="852"/>
      <c r="G314" s="2731"/>
      <c r="H314" s="224"/>
      <c r="I314" s="784"/>
      <c r="J314" s="603"/>
      <c r="K314" s="378"/>
    </row>
    <row r="315" spans="1:12">
      <c r="A315" s="3450"/>
      <c r="B315" s="3450"/>
      <c r="C315" s="2781"/>
      <c r="D315" s="3357"/>
      <c r="E315" s="142"/>
      <c r="F315" s="381"/>
      <c r="G315" s="2726"/>
      <c r="H315" s="101"/>
      <c r="I315" s="339"/>
      <c r="J315" s="586"/>
      <c r="K315" s="526"/>
    </row>
    <row r="316" spans="1:12">
      <c r="A316" s="3366"/>
      <c r="B316" s="3366"/>
      <c r="C316" s="2781"/>
      <c r="D316" s="3370"/>
      <c r="E316" s="1409"/>
      <c r="F316" s="856"/>
      <c r="G316" s="2726"/>
      <c r="H316" s="101"/>
      <c r="I316" s="1495"/>
      <c r="J316" s="3670"/>
      <c r="K316" s="3671"/>
    </row>
    <row r="317" spans="1:12">
      <c r="A317" s="2705"/>
      <c r="B317" s="2705"/>
      <c r="C317" s="2794"/>
      <c r="D317" s="3356"/>
      <c r="E317" s="3662"/>
      <c r="F317" s="3663"/>
      <c r="G317" s="3371"/>
      <c r="H317" s="398"/>
      <c r="I317" s="3668"/>
      <c r="J317" s="3665"/>
      <c r="K317" s="3669"/>
    </row>
    <row r="318" spans="1:12">
      <c r="A318" s="2705"/>
      <c r="B318" s="2705"/>
      <c r="C318" s="2794"/>
      <c r="D318" s="3356"/>
      <c r="E318" s="3662"/>
      <c r="F318" s="3663"/>
      <c r="G318" s="3371"/>
      <c r="H318" s="398"/>
      <c r="I318" s="3668"/>
      <c r="J318" s="3665"/>
      <c r="K318" s="3669"/>
    </row>
    <row r="319" spans="1:12" ht="38.25">
      <c r="A319" s="3459"/>
      <c r="B319" s="3459"/>
      <c r="C319" s="2804"/>
      <c r="D319" s="2774"/>
      <c r="E319" s="2028"/>
      <c r="F319" s="960"/>
      <c r="G319" s="3371"/>
      <c r="H319" s="398"/>
      <c r="I319" s="2029"/>
      <c r="J319" s="74"/>
      <c r="K319" s="526"/>
    </row>
    <row r="320" spans="1:12" ht="38.25">
      <c r="A320" s="3459"/>
      <c r="B320" s="3459"/>
      <c r="C320" s="2804"/>
      <c r="D320" s="2774"/>
      <c r="E320" s="2028"/>
      <c r="F320" s="960"/>
      <c r="G320" s="3371"/>
      <c r="H320" s="398"/>
      <c r="I320" s="2029"/>
      <c r="J320" s="74"/>
      <c r="K320" s="526"/>
    </row>
    <row r="321" spans="1:11">
      <c r="A321" s="2802"/>
      <c r="B321" s="2802"/>
      <c r="C321" s="2794"/>
      <c r="D321" s="3356"/>
      <c r="E321" s="3662"/>
      <c r="F321" s="3663"/>
      <c r="G321" s="3677"/>
      <c r="H321" s="3665"/>
      <c r="I321" s="3666"/>
      <c r="J321" s="3665"/>
      <c r="K321" s="3667"/>
    </row>
    <row r="322" spans="1:11">
      <c r="A322" s="2803"/>
      <c r="B322" s="2705"/>
      <c r="C322" s="2794"/>
      <c r="D322" s="3367"/>
      <c r="E322" s="871"/>
      <c r="F322" s="767"/>
      <c r="G322" s="2731"/>
      <c r="H322" s="74"/>
      <c r="I322" s="560"/>
      <c r="J322" s="544"/>
      <c r="K322" s="365"/>
    </row>
    <row r="323" spans="1:11">
      <c r="A323" s="83"/>
      <c r="B323" s="43"/>
      <c r="C323" s="101"/>
      <c r="D323" s="342"/>
      <c r="E323" s="871"/>
      <c r="F323" s="767"/>
      <c r="G323" s="206"/>
      <c r="H323" s="74"/>
      <c r="I323" s="560"/>
      <c r="J323" s="547"/>
      <c r="K323" s="550"/>
    </row>
    <row r="324" spans="1:11">
      <c r="A324" s="70"/>
      <c r="B324" s="56"/>
      <c r="C324" s="57"/>
      <c r="D324" s="613"/>
      <c r="E324" s="872"/>
      <c r="F324" s="853"/>
      <c r="G324" s="214"/>
      <c r="H324" s="103"/>
      <c r="I324" s="733"/>
      <c r="J324" s="543"/>
      <c r="K324" s="734"/>
    </row>
    <row r="325" spans="1:11">
      <c r="A325" s="44"/>
      <c r="B325" s="45"/>
      <c r="C325" s="46"/>
      <c r="D325" s="124"/>
      <c r="F325" s="104"/>
      <c r="H325" s="45"/>
      <c r="I325" s="556"/>
      <c r="K325" s="537">
        <v>10</v>
      </c>
    </row>
    <row r="326" spans="1:11">
      <c r="A326" s="45" t="s">
        <v>0</v>
      </c>
      <c r="B326" s="45"/>
      <c r="C326" s="68"/>
      <c r="D326" s="612"/>
      <c r="F326" s="104"/>
      <c r="H326" s="45"/>
      <c r="I326" s="556"/>
    </row>
    <row r="327" spans="1:11">
      <c r="A327" s="3480" t="s">
        <v>1</v>
      </c>
      <c r="B327" s="3480"/>
      <c r="C327" s="46"/>
      <c r="D327" s="124"/>
      <c r="F327" s="104"/>
      <c r="H327" s="45"/>
      <c r="I327" s="556"/>
    </row>
    <row r="328" spans="1:11" ht="35.25" thickBot="1">
      <c r="F328" s="104"/>
    </row>
    <row r="329" spans="1:11">
      <c r="A329" s="3481" t="s">
        <v>2</v>
      </c>
      <c r="B329" s="3482"/>
      <c r="C329" s="48" t="s">
        <v>3</v>
      </c>
      <c r="D329" s="436" t="s">
        <v>4</v>
      </c>
      <c r="E329" s="868" t="s">
        <v>5</v>
      </c>
      <c r="F329" s="849" t="s">
        <v>5</v>
      </c>
      <c r="G329" s="219" t="s">
        <v>6</v>
      </c>
      <c r="H329" s="48" t="s">
        <v>7</v>
      </c>
      <c r="I329" s="557" t="s">
        <v>8</v>
      </c>
      <c r="J329" s="541" t="s">
        <v>9</v>
      </c>
      <c r="K329" s="346" t="s">
        <v>9</v>
      </c>
    </row>
    <row r="330" spans="1:11" ht="35.25" thickBot="1">
      <c r="A330" s="51"/>
      <c r="B330" s="72"/>
      <c r="C330" s="50"/>
      <c r="D330" s="437" t="s">
        <v>10</v>
      </c>
      <c r="E330" s="869" t="s">
        <v>12</v>
      </c>
      <c r="F330" s="850" t="s">
        <v>11</v>
      </c>
      <c r="G330" s="301"/>
      <c r="H330" s="50" t="s">
        <v>13</v>
      </c>
      <c r="I330" s="558"/>
      <c r="J330" s="542" t="s">
        <v>14</v>
      </c>
      <c r="K330" s="347" t="s">
        <v>15</v>
      </c>
    </row>
    <row r="331" spans="1:11">
      <c r="A331" s="782"/>
      <c r="B331" s="1814"/>
      <c r="C331" s="877"/>
      <c r="D331" s="1619"/>
      <c r="E331" s="142"/>
      <c r="F331" s="381"/>
      <c r="G331" s="1616"/>
      <c r="H331" s="971"/>
      <c r="I331" s="506"/>
      <c r="J331" s="1620"/>
      <c r="K331" s="1618"/>
    </row>
    <row r="332" spans="1:11">
      <c r="A332" s="663"/>
      <c r="B332" s="1006"/>
      <c r="C332" s="877"/>
      <c r="D332" s="1619"/>
      <c r="E332" s="142"/>
      <c r="F332" s="381"/>
      <c r="G332" s="2412"/>
      <c r="H332" s="971"/>
      <c r="I332" s="506"/>
      <c r="J332" s="1620"/>
      <c r="K332" s="2384"/>
    </row>
    <row r="333" spans="1:11">
      <c r="A333" s="766"/>
      <c r="B333" s="1006"/>
      <c r="C333" s="877"/>
      <c r="D333" s="1619"/>
      <c r="E333" s="142"/>
      <c r="F333" s="381"/>
      <c r="G333" s="2412"/>
      <c r="H333" s="971"/>
      <c r="I333" s="506"/>
      <c r="J333" s="1620"/>
      <c r="K333" s="2384"/>
    </row>
    <row r="334" spans="1:11">
      <c r="A334" s="406"/>
      <c r="B334" s="406"/>
      <c r="C334" s="320"/>
      <c r="D334" s="624"/>
      <c r="E334" s="420"/>
      <c r="F334" s="852"/>
      <c r="G334" s="979"/>
      <c r="H334" s="224"/>
      <c r="I334" s="778"/>
      <c r="J334" s="609"/>
      <c r="K334" s="780"/>
    </row>
    <row r="335" spans="1:11">
      <c r="A335" s="406"/>
      <c r="B335" s="406"/>
      <c r="C335" s="320"/>
      <c r="D335" s="413"/>
      <c r="E335" s="875"/>
      <c r="F335" s="852"/>
      <c r="G335" s="223"/>
      <c r="H335" s="224"/>
      <c r="I335" s="1456"/>
      <c r="J335" s="603"/>
      <c r="K335" s="779"/>
    </row>
    <row r="336" spans="1:11">
      <c r="A336" s="406"/>
      <c r="B336" s="406"/>
      <c r="C336" s="320"/>
      <c r="D336" s="413"/>
      <c r="E336" s="875"/>
      <c r="F336" s="852"/>
      <c r="G336" s="223"/>
      <c r="H336" s="224"/>
      <c r="I336" s="1456"/>
      <c r="J336" s="1457"/>
      <c r="K336" s="378"/>
    </row>
    <row r="337" spans="1:11">
      <c r="A337" s="995"/>
      <c r="B337" s="775"/>
      <c r="C337" s="101"/>
      <c r="D337" s="342"/>
      <c r="E337" s="871"/>
      <c r="F337" s="767"/>
      <c r="G337" s="206"/>
      <c r="H337" s="74"/>
      <c r="I337" s="560"/>
      <c r="J337" s="603"/>
      <c r="K337" s="378"/>
    </row>
    <row r="338" spans="1:11">
      <c r="A338" s="254"/>
      <c r="B338" s="43"/>
      <c r="C338" s="101"/>
      <c r="D338" s="342"/>
      <c r="E338" s="871"/>
      <c r="F338" s="767"/>
      <c r="G338" s="206"/>
      <c r="H338" s="74"/>
      <c r="I338" s="560"/>
      <c r="J338" s="603"/>
      <c r="K338" s="378"/>
    </row>
    <row r="339" spans="1:11">
      <c r="A339" s="1336"/>
      <c r="B339" s="1336"/>
      <c r="C339" s="320"/>
      <c r="D339" s="624"/>
      <c r="E339" s="420"/>
      <c r="F339" s="852"/>
      <c r="G339" s="223"/>
      <c r="H339" s="224"/>
      <c r="I339" s="1456"/>
      <c r="J339" s="603"/>
      <c r="K339" s="378"/>
    </row>
    <row r="340" spans="1:11">
      <c r="A340" s="1336"/>
      <c r="B340" s="1336"/>
      <c r="C340" s="320"/>
      <c r="D340" s="624"/>
      <c r="E340" s="420"/>
      <c r="F340" s="852"/>
      <c r="G340" s="223"/>
      <c r="H340" s="224"/>
      <c r="I340" s="1456"/>
      <c r="J340" s="603"/>
      <c r="K340" s="378"/>
    </row>
    <row r="341" spans="1:11">
      <c r="A341" s="398"/>
      <c r="B341" s="1336"/>
      <c r="C341" s="320"/>
      <c r="D341" s="624"/>
      <c r="E341" s="420"/>
      <c r="F341" s="852"/>
      <c r="G341" s="223"/>
      <c r="H341" s="224"/>
      <c r="I341" s="1456"/>
      <c r="J341" s="603"/>
      <c r="K341" s="378"/>
    </row>
    <row r="342" spans="1:11">
      <c r="A342" s="782"/>
      <c r="B342" s="783"/>
      <c r="C342" s="320"/>
      <c r="D342" s="624"/>
      <c r="E342" s="420"/>
      <c r="F342" s="852"/>
      <c r="G342" s="223"/>
      <c r="H342" s="224"/>
      <c r="I342" s="778"/>
      <c r="J342" s="603"/>
      <c r="K342" s="378"/>
    </row>
    <row r="343" spans="1:11">
      <c r="A343" s="398"/>
      <c r="B343" s="406"/>
      <c r="C343" s="320"/>
      <c r="D343" s="624"/>
      <c r="E343" s="420"/>
      <c r="F343" s="852"/>
      <c r="G343" s="223"/>
      <c r="H343" s="224"/>
      <c r="I343" s="778"/>
      <c r="J343" s="603"/>
      <c r="K343" s="378"/>
    </row>
    <row r="344" spans="1:11">
      <c r="A344" s="438"/>
      <c r="B344" s="766"/>
      <c r="C344" s="320"/>
      <c r="D344" s="624"/>
      <c r="E344" s="420"/>
      <c r="F344" s="852"/>
      <c r="G344" s="223"/>
      <c r="H344" s="224"/>
      <c r="I344" s="778"/>
      <c r="J344" s="609"/>
      <c r="K344" s="1458"/>
    </row>
    <row r="345" spans="1:11">
      <c r="A345" s="1022"/>
      <c r="B345" s="406"/>
      <c r="C345" s="320"/>
      <c r="D345" s="624"/>
      <c r="E345" s="420"/>
      <c r="F345" s="852"/>
      <c r="G345" s="223"/>
      <c r="H345" s="224"/>
      <c r="I345" s="778"/>
      <c r="J345" s="609"/>
      <c r="K345" s="780"/>
    </row>
    <row r="346" spans="1:11">
      <c r="A346" s="398"/>
      <c r="B346" s="406"/>
      <c r="C346" s="320"/>
      <c r="D346" s="624"/>
      <c r="E346" s="420"/>
      <c r="F346" s="852"/>
      <c r="G346" s="223"/>
      <c r="H346" s="224"/>
      <c r="I346" s="778"/>
      <c r="J346" s="603"/>
      <c r="K346" s="378"/>
    </row>
    <row r="347" spans="1:11">
      <c r="A347" s="398"/>
      <c r="B347" s="1336"/>
      <c r="C347" s="320"/>
      <c r="D347" s="624"/>
      <c r="E347" s="1459"/>
      <c r="F347" s="852"/>
      <c r="G347" s="223"/>
      <c r="H347" s="224"/>
      <c r="I347" s="778"/>
      <c r="J347" s="603"/>
      <c r="K347" s="378"/>
    </row>
    <row r="348" spans="1:11">
      <c r="A348" s="3483"/>
      <c r="B348" s="3484"/>
      <c r="C348" s="320"/>
      <c r="D348" s="413"/>
      <c r="E348" s="875"/>
      <c r="F348" s="852"/>
      <c r="G348" s="223"/>
      <c r="H348" s="224"/>
      <c r="I348" s="778"/>
      <c r="J348" s="603"/>
      <c r="K348" s="378"/>
    </row>
    <row r="349" spans="1:11">
      <c r="A349" s="398"/>
      <c r="B349" s="969"/>
      <c r="C349" s="786"/>
      <c r="D349" s="413"/>
      <c r="E349" s="875"/>
      <c r="F349" s="852"/>
      <c r="G349" s="223"/>
      <c r="H349" s="224"/>
      <c r="I349" s="784"/>
      <c r="J349" s="603"/>
      <c r="K349" s="378"/>
    </row>
    <row r="350" spans="1:11">
      <c r="A350" s="766"/>
      <c r="B350" s="1384"/>
      <c r="C350" s="786"/>
      <c r="D350" s="413"/>
      <c r="E350" s="875"/>
      <c r="F350" s="852"/>
      <c r="G350" s="223"/>
      <c r="H350" s="224"/>
      <c r="I350" s="784"/>
      <c r="J350" s="603"/>
      <c r="K350" s="378"/>
    </row>
    <row r="351" spans="1:11">
      <c r="A351" s="398"/>
      <c r="B351" s="1336"/>
      <c r="C351" s="320"/>
      <c r="D351" s="413"/>
      <c r="E351" s="875"/>
      <c r="F351" s="852"/>
      <c r="G351" s="223"/>
      <c r="H351" s="224"/>
      <c r="I351" s="784"/>
      <c r="J351" s="609"/>
      <c r="K351" s="780"/>
    </row>
    <row r="352" spans="1:11">
      <c r="A352" s="83"/>
      <c r="B352" s="43"/>
      <c r="C352" s="101"/>
      <c r="D352" s="322"/>
      <c r="E352" s="838"/>
      <c r="F352" s="767"/>
      <c r="G352" s="206"/>
      <c r="H352" s="74"/>
      <c r="I352" s="562"/>
      <c r="J352" s="547"/>
      <c r="K352" s="550"/>
    </row>
    <row r="353" spans="1:11">
      <c r="A353" s="83"/>
      <c r="B353" s="43"/>
      <c r="C353" s="101"/>
      <c r="D353" s="322"/>
      <c r="E353" s="838"/>
      <c r="F353" s="767"/>
      <c r="G353" s="206"/>
      <c r="H353" s="74"/>
      <c r="I353" s="562"/>
      <c r="J353" s="547"/>
      <c r="K353" s="550"/>
    </row>
    <row r="354" spans="1:11">
      <c r="A354" s="3483"/>
      <c r="B354" s="3484"/>
      <c r="C354" s="101"/>
      <c r="D354" s="342"/>
      <c r="E354" s="871"/>
      <c r="F354" s="767"/>
      <c r="G354" s="206"/>
      <c r="H354" s="74"/>
      <c r="I354" s="560"/>
      <c r="J354" s="544"/>
      <c r="K354" s="365"/>
    </row>
    <row r="355" spans="1:11">
      <c r="A355" s="83"/>
      <c r="B355" s="43"/>
      <c r="C355" s="101"/>
      <c r="D355" s="342"/>
      <c r="E355" s="871"/>
      <c r="F355" s="767"/>
      <c r="G355" s="206"/>
      <c r="H355" s="74"/>
      <c r="I355" s="560"/>
      <c r="J355" s="544"/>
      <c r="K355" s="365"/>
    </row>
    <row r="356" spans="1:11">
      <c r="A356" s="83"/>
      <c r="B356" s="43"/>
      <c r="C356" s="101"/>
      <c r="D356" s="342"/>
      <c r="E356" s="871"/>
      <c r="F356" s="767"/>
      <c r="G356" s="206"/>
      <c r="H356" s="74"/>
      <c r="I356" s="560"/>
      <c r="J356" s="544"/>
      <c r="K356" s="365"/>
    </row>
    <row r="357" spans="1:11">
      <c r="A357" s="3483"/>
      <c r="B357" s="3484"/>
      <c r="C357" s="101"/>
      <c r="D357" s="342"/>
      <c r="E357" s="871"/>
      <c r="F357" s="767"/>
      <c r="G357" s="206"/>
      <c r="H357" s="74"/>
      <c r="I357" s="560"/>
      <c r="J357" s="544"/>
      <c r="K357" s="365"/>
    </row>
    <row r="358" spans="1:11">
      <c r="A358" s="83"/>
      <c r="B358" s="43"/>
      <c r="C358" s="101"/>
      <c r="D358" s="342"/>
      <c r="E358" s="871"/>
      <c r="F358" s="767"/>
      <c r="G358" s="206"/>
      <c r="H358" s="74"/>
      <c r="I358" s="560"/>
      <c r="J358" s="544"/>
      <c r="K358" s="365"/>
    </row>
    <row r="359" spans="1:11">
      <c r="A359" s="83"/>
      <c r="B359" s="43"/>
      <c r="C359" s="101"/>
      <c r="D359" s="342"/>
      <c r="E359" s="871"/>
      <c r="F359" s="767"/>
      <c r="G359" s="206"/>
      <c r="H359" s="74"/>
      <c r="I359" s="560"/>
      <c r="J359" s="547"/>
      <c r="K359" s="550"/>
    </row>
    <row r="360" spans="1:11">
      <c r="A360" s="70"/>
      <c r="B360" s="56"/>
      <c r="C360" s="57"/>
      <c r="D360" s="613"/>
      <c r="E360" s="872"/>
      <c r="F360" s="853"/>
      <c r="G360" s="214"/>
      <c r="H360" s="103"/>
      <c r="I360" s="733"/>
      <c r="J360" s="543"/>
      <c r="K360" s="734"/>
    </row>
    <row r="361" spans="1:11">
      <c r="A361" s="44"/>
      <c r="B361" s="45"/>
      <c r="C361" s="46"/>
      <c r="D361" s="124"/>
      <c r="F361" s="104"/>
      <c r="H361" s="45"/>
      <c r="I361" s="556"/>
      <c r="K361" s="537">
        <v>11</v>
      </c>
    </row>
    <row r="362" spans="1:11">
      <c r="A362" s="45" t="s">
        <v>0</v>
      </c>
      <c r="B362" s="45"/>
      <c r="C362" s="68"/>
      <c r="D362" s="612"/>
      <c r="F362" s="104"/>
      <c r="H362" s="45"/>
      <c r="I362" s="556"/>
    </row>
    <row r="363" spans="1:11">
      <c r="A363" s="3480" t="s">
        <v>1</v>
      </c>
      <c r="B363" s="3480"/>
      <c r="C363" s="46"/>
      <c r="D363" s="124"/>
      <c r="F363" s="104"/>
      <c r="H363" s="45"/>
      <c r="I363" s="556"/>
    </row>
    <row r="364" spans="1:11" ht="35.25" thickBot="1">
      <c r="F364" s="104"/>
    </row>
    <row r="365" spans="1:11">
      <c r="A365" s="3481" t="s">
        <v>2</v>
      </c>
      <c r="B365" s="3482"/>
      <c r="C365" s="48" t="s">
        <v>3</v>
      </c>
      <c r="D365" s="436" t="s">
        <v>4</v>
      </c>
      <c r="E365" s="868" t="s">
        <v>5</v>
      </c>
      <c r="F365" s="849" t="s">
        <v>5</v>
      </c>
      <c r="G365" s="211" t="s">
        <v>6</v>
      </c>
      <c r="H365" s="48" t="s">
        <v>7</v>
      </c>
      <c r="I365" s="557" t="s">
        <v>8</v>
      </c>
      <c r="J365" s="541" t="s">
        <v>9</v>
      </c>
      <c r="K365" s="346" t="s">
        <v>9</v>
      </c>
    </row>
    <row r="366" spans="1:11" ht="35.25" thickBot="1">
      <c r="A366" s="51"/>
      <c r="B366" s="72"/>
      <c r="C366" s="50"/>
      <c r="D366" s="437" t="s">
        <v>10</v>
      </c>
      <c r="E366" s="869" t="s">
        <v>12</v>
      </c>
      <c r="F366" s="850" t="s">
        <v>11</v>
      </c>
      <c r="G366" s="212"/>
      <c r="H366" s="50" t="s">
        <v>13</v>
      </c>
      <c r="I366" s="558"/>
      <c r="J366" s="542" t="s">
        <v>14</v>
      </c>
      <c r="K366" s="347" t="s">
        <v>15</v>
      </c>
    </row>
    <row r="367" spans="1:11">
      <c r="A367" s="3489"/>
      <c r="B367" s="3490"/>
      <c r="C367" s="126"/>
      <c r="D367" s="536"/>
      <c r="E367" s="843"/>
      <c r="F367" s="853"/>
      <c r="G367" s="206"/>
      <c r="H367" s="74"/>
      <c r="I367" s="560"/>
      <c r="J367" s="544"/>
      <c r="K367" s="365"/>
    </row>
    <row r="368" spans="1:11">
      <c r="A368" s="398"/>
      <c r="B368" s="43"/>
      <c r="C368" s="101"/>
      <c r="D368" s="322"/>
      <c r="E368" s="843"/>
      <c r="F368" s="853"/>
      <c r="G368" s="206"/>
      <c r="H368" s="74"/>
      <c r="I368" s="355"/>
      <c r="J368" s="544"/>
      <c r="K368" s="365"/>
    </row>
    <row r="369" spans="1:11">
      <c r="A369" s="398"/>
      <c r="B369" s="43"/>
      <c r="C369" s="101"/>
      <c r="D369" s="322"/>
      <c r="E369" s="843"/>
      <c r="F369" s="853"/>
      <c r="G369" s="206"/>
      <c r="H369" s="74"/>
      <c r="I369" s="355"/>
      <c r="J369" s="544"/>
      <c r="K369" s="365"/>
    </row>
    <row r="370" spans="1:11">
      <c r="A370" s="83"/>
      <c r="B370" s="43"/>
      <c r="C370" s="101"/>
      <c r="D370" s="322"/>
      <c r="E370" s="843"/>
      <c r="F370" s="767"/>
      <c r="G370" s="206"/>
      <c r="H370" s="74"/>
      <c r="I370" s="355"/>
      <c r="J370" s="544"/>
      <c r="K370" s="365"/>
    </row>
    <row r="371" spans="1:11">
      <c r="A371" s="398"/>
      <c r="B371" s="43"/>
      <c r="C371" s="101"/>
      <c r="D371" s="322"/>
      <c r="E371" s="843"/>
      <c r="F371" s="853"/>
      <c r="G371" s="206"/>
      <c r="H371" s="74"/>
      <c r="I371" s="355"/>
      <c r="J371" s="544"/>
      <c r="K371" s="365"/>
    </row>
    <row r="372" spans="1:11">
      <c r="A372" s="398"/>
      <c r="B372" s="43"/>
      <c r="C372" s="101"/>
      <c r="D372" s="322"/>
      <c r="E372" s="843"/>
      <c r="F372" s="853"/>
      <c r="G372" s="206"/>
      <c r="H372" s="74"/>
      <c r="I372" s="560"/>
      <c r="J372" s="544"/>
      <c r="K372" s="365"/>
    </row>
    <row r="373" spans="1:11">
      <c r="A373" s="398"/>
      <c r="B373" s="43"/>
      <c r="C373" s="101"/>
      <c r="D373" s="322"/>
      <c r="E373" s="838"/>
      <c r="F373" s="853"/>
      <c r="G373" s="206"/>
      <c r="H373" s="74"/>
      <c r="I373" s="560"/>
      <c r="J373" s="544"/>
      <c r="K373" s="365"/>
    </row>
    <row r="374" spans="1:11">
      <c r="A374" s="83"/>
      <c r="B374" s="43"/>
      <c r="C374" s="101"/>
      <c r="D374" s="342"/>
      <c r="E374" s="871"/>
      <c r="F374" s="767"/>
      <c r="G374" s="206"/>
      <c r="H374" s="74"/>
      <c r="I374" s="560"/>
      <c r="J374" s="544"/>
      <c r="K374" s="365"/>
    </row>
    <row r="375" spans="1:11">
      <c r="A375" s="83"/>
      <c r="B375" s="43"/>
      <c r="C375" s="101"/>
      <c r="D375" s="342"/>
      <c r="E375" s="871"/>
      <c r="F375" s="853"/>
      <c r="G375" s="206"/>
      <c r="H375" s="74"/>
      <c r="I375" s="560"/>
      <c r="J375" s="544"/>
      <c r="K375" s="365"/>
    </row>
    <row r="376" spans="1:11">
      <c r="A376" s="83"/>
      <c r="B376" s="43"/>
      <c r="C376" s="101"/>
      <c r="D376" s="342"/>
      <c r="E376" s="871"/>
      <c r="F376" s="853"/>
      <c r="G376" s="206"/>
      <c r="H376" s="74"/>
      <c r="I376" s="560"/>
      <c r="J376" s="544"/>
      <c r="K376" s="365"/>
    </row>
    <row r="377" spans="1:11">
      <c r="A377" s="398"/>
      <c r="B377" s="43"/>
      <c r="C377" s="101"/>
      <c r="D377" s="322"/>
      <c r="E377" s="843"/>
      <c r="F377" s="853"/>
      <c r="G377" s="206"/>
      <c r="H377" s="74"/>
      <c r="I377" s="560"/>
      <c r="J377" s="547"/>
      <c r="K377" s="365"/>
    </row>
    <row r="378" spans="1:11">
      <c r="A378" s="398"/>
      <c r="B378" s="43"/>
      <c r="C378" s="101"/>
      <c r="D378" s="322"/>
      <c r="E378" s="843"/>
      <c r="F378" s="853"/>
      <c r="G378" s="206"/>
      <c r="H378" s="74"/>
      <c r="I378" s="560"/>
      <c r="J378" s="547"/>
      <c r="K378" s="365"/>
    </row>
    <row r="379" spans="1:11">
      <c r="A379" s="83"/>
      <c r="B379" s="43"/>
      <c r="C379" s="101"/>
      <c r="D379" s="342"/>
      <c r="E379" s="871"/>
      <c r="F379" s="853"/>
      <c r="G379" s="206"/>
      <c r="H379" s="74"/>
      <c r="I379" s="560"/>
      <c r="J379" s="544"/>
      <c r="K379" s="394"/>
    </row>
    <row r="380" spans="1:11">
      <c r="A380" s="83"/>
      <c r="B380" s="43"/>
      <c r="C380" s="101"/>
      <c r="D380" s="342"/>
      <c r="E380" s="843"/>
      <c r="F380" s="853"/>
      <c r="G380" s="206"/>
      <c r="H380" s="74"/>
      <c r="I380" s="560"/>
      <c r="J380" s="544"/>
      <c r="K380" s="365"/>
    </row>
    <row r="381" spans="1:11">
      <c r="A381" s="493"/>
      <c r="B381" s="448"/>
      <c r="C381" s="222"/>
      <c r="D381" s="342"/>
      <c r="E381" s="843"/>
      <c r="F381" s="853"/>
      <c r="G381" s="206"/>
      <c r="H381" s="74"/>
      <c r="I381" s="560"/>
      <c r="J381" s="544"/>
      <c r="K381" s="365"/>
    </row>
    <row r="382" spans="1:11">
      <c r="A382" s="83"/>
      <c r="B382" s="43"/>
      <c r="C382" s="101"/>
      <c r="D382" s="342"/>
      <c r="E382" s="843"/>
      <c r="F382" s="853"/>
      <c r="G382" s="206"/>
      <c r="H382" s="74"/>
      <c r="I382" s="385"/>
      <c r="J382" s="547"/>
      <c r="K382" s="365"/>
    </row>
    <row r="383" spans="1:11">
      <c r="A383" s="83"/>
      <c r="B383" s="43"/>
      <c r="C383" s="101"/>
      <c r="D383" s="342"/>
      <c r="E383" s="871"/>
      <c r="F383" s="767"/>
      <c r="G383" s="206"/>
      <c r="H383" s="74"/>
      <c r="I383" s="385"/>
      <c r="J383" s="547"/>
      <c r="K383" s="365"/>
    </row>
    <row r="384" spans="1:11">
      <c r="A384" s="83"/>
      <c r="B384" s="43"/>
      <c r="C384" s="101"/>
      <c r="D384" s="322"/>
      <c r="E384" s="838"/>
      <c r="F384" s="767"/>
      <c r="G384" s="206"/>
      <c r="H384" s="74"/>
      <c r="I384" s="560"/>
      <c r="J384" s="547"/>
      <c r="K384" s="365"/>
    </row>
    <row r="385" spans="1:11">
      <c r="A385" s="83"/>
      <c r="B385" s="43"/>
      <c r="C385" s="101"/>
      <c r="D385" s="322"/>
      <c r="E385" s="838"/>
      <c r="F385" s="767"/>
      <c r="G385" s="206"/>
      <c r="H385" s="74"/>
      <c r="I385" s="560"/>
      <c r="J385" s="547"/>
      <c r="K385" s="365"/>
    </row>
    <row r="386" spans="1:11">
      <c r="A386" s="83"/>
      <c r="B386" s="43"/>
      <c r="C386" s="101"/>
      <c r="D386" s="322"/>
      <c r="E386" s="838"/>
      <c r="F386" s="767"/>
      <c r="G386" s="206"/>
      <c r="H386" s="74"/>
      <c r="I386" s="560"/>
      <c r="J386" s="547"/>
      <c r="K386" s="365"/>
    </row>
    <row r="387" spans="1:11">
      <c r="A387" s="83"/>
      <c r="B387" s="43"/>
      <c r="C387" s="101"/>
      <c r="D387" s="322"/>
      <c r="E387" s="838"/>
      <c r="F387" s="767"/>
      <c r="G387" s="206"/>
      <c r="H387" s="74"/>
      <c r="I387" s="560"/>
      <c r="J387" s="547"/>
      <c r="K387" s="365"/>
    </row>
    <row r="388" spans="1:11">
      <c r="A388" s="83"/>
      <c r="B388" s="43"/>
      <c r="C388" s="101"/>
      <c r="D388" s="322"/>
      <c r="E388" s="838"/>
      <c r="F388" s="767"/>
      <c r="G388" s="206"/>
      <c r="H388" s="74"/>
      <c r="I388" s="560"/>
      <c r="J388" s="547"/>
      <c r="K388" s="365"/>
    </row>
    <row r="389" spans="1:11">
      <c r="A389" s="83"/>
      <c r="B389" s="43"/>
      <c r="C389" s="101"/>
      <c r="D389" s="322"/>
      <c r="E389" s="838"/>
      <c r="F389" s="767"/>
      <c r="G389" s="206"/>
      <c r="H389" s="74"/>
      <c r="I389" s="560"/>
      <c r="J389" s="547"/>
      <c r="K389" s="365"/>
    </row>
    <row r="390" spans="1:11">
      <c r="A390" s="83"/>
      <c r="B390" s="43"/>
      <c r="C390" s="101"/>
      <c r="D390" s="322"/>
      <c r="E390" s="838"/>
      <c r="F390" s="767"/>
      <c r="G390" s="206"/>
      <c r="H390" s="74"/>
      <c r="I390" s="560"/>
      <c r="J390" s="547"/>
      <c r="K390" s="365"/>
    </row>
    <row r="391" spans="1:11">
      <c r="A391" s="83"/>
      <c r="B391" s="43"/>
      <c r="C391" s="101"/>
      <c r="D391" s="322"/>
      <c r="E391" s="838"/>
      <c r="F391" s="767"/>
      <c r="G391" s="206"/>
      <c r="H391" s="74"/>
      <c r="I391" s="560"/>
      <c r="J391" s="547"/>
      <c r="K391" s="365"/>
    </row>
    <row r="392" spans="1:11">
      <c r="A392" s="3489"/>
      <c r="B392" s="3490"/>
      <c r="C392" s="63"/>
      <c r="D392" s="342"/>
      <c r="E392" s="838"/>
      <c r="F392" s="767"/>
      <c r="G392" s="206"/>
      <c r="H392" s="74"/>
      <c r="I392" s="560"/>
      <c r="J392" s="547"/>
      <c r="K392" s="365"/>
    </row>
    <row r="393" spans="1:11">
      <c r="A393" s="87"/>
      <c r="B393" s="43"/>
      <c r="C393" s="101"/>
      <c r="D393" s="342"/>
      <c r="E393" s="871"/>
      <c r="F393" s="767"/>
      <c r="G393" s="206"/>
      <c r="H393" s="150"/>
      <c r="I393" s="560"/>
      <c r="J393" s="544"/>
      <c r="K393" s="365"/>
    </row>
    <row r="394" spans="1:11">
      <c r="A394" s="83"/>
      <c r="B394" s="43"/>
      <c r="C394" s="101"/>
      <c r="D394" s="342"/>
      <c r="E394" s="871"/>
      <c r="F394" s="767"/>
      <c r="G394" s="206"/>
      <c r="H394" s="74"/>
      <c r="I394" s="560"/>
      <c r="J394" s="544"/>
      <c r="K394" s="365"/>
    </row>
    <row r="395" spans="1:11">
      <c r="A395" s="83"/>
      <c r="B395" s="43"/>
      <c r="C395" s="101"/>
      <c r="D395" s="342"/>
      <c r="E395" s="871"/>
      <c r="F395" s="767"/>
      <c r="G395" s="206"/>
      <c r="H395" s="74"/>
      <c r="I395" s="560"/>
      <c r="J395" s="544"/>
      <c r="K395" s="365"/>
    </row>
    <row r="396" spans="1:11">
      <c r="A396" s="44"/>
      <c r="B396" s="45"/>
      <c r="C396" s="46"/>
      <c r="D396" s="124"/>
      <c r="F396" s="104"/>
      <c r="H396" s="45"/>
      <c r="I396" s="556"/>
    </row>
    <row r="397" spans="1:11">
      <c r="A397" s="44"/>
      <c r="B397" s="45"/>
      <c r="C397" s="46"/>
      <c r="D397" s="124"/>
      <c r="F397" s="104"/>
      <c r="H397" s="45"/>
      <c r="I397" s="556"/>
      <c r="K397" s="537">
        <v>12</v>
      </c>
    </row>
    <row r="398" spans="1:11">
      <c r="A398" s="45" t="s">
        <v>0</v>
      </c>
      <c r="B398" s="45"/>
      <c r="C398" s="68"/>
      <c r="D398" s="612"/>
      <c r="F398" s="104"/>
      <c r="H398" s="45"/>
      <c r="I398" s="556"/>
    </row>
    <row r="399" spans="1:11">
      <c r="A399" s="3480" t="s">
        <v>1</v>
      </c>
      <c r="B399" s="3480"/>
      <c r="C399" s="46"/>
      <c r="D399" s="124"/>
      <c r="F399" s="104"/>
      <c r="H399" s="45"/>
      <c r="I399" s="556"/>
    </row>
    <row r="400" spans="1:11" ht="35.25" thickBot="1">
      <c r="F400" s="104"/>
    </row>
    <row r="401" spans="1:11">
      <c r="A401" s="3481" t="s">
        <v>2</v>
      </c>
      <c r="B401" s="3482"/>
      <c r="C401" s="48" t="s">
        <v>3</v>
      </c>
      <c r="D401" s="436" t="s">
        <v>4</v>
      </c>
      <c r="E401" s="868" t="s">
        <v>5</v>
      </c>
      <c r="F401" s="849" t="s">
        <v>5</v>
      </c>
      <c r="G401" s="211" t="s">
        <v>6</v>
      </c>
      <c r="H401" s="48" t="s">
        <v>7</v>
      </c>
      <c r="I401" s="557" t="s">
        <v>8</v>
      </c>
      <c r="J401" s="541" t="s">
        <v>9</v>
      </c>
      <c r="K401" s="346" t="s">
        <v>9</v>
      </c>
    </row>
    <row r="402" spans="1:11" ht="35.25" thickBot="1">
      <c r="A402" s="51"/>
      <c r="B402" s="72"/>
      <c r="C402" s="50"/>
      <c r="D402" s="437" t="s">
        <v>10</v>
      </c>
      <c r="E402" s="869" t="s">
        <v>12</v>
      </c>
      <c r="F402" s="850" t="s">
        <v>11</v>
      </c>
      <c r="G402" s="212"/>
      <c r="H402" s="50" t="s">
        <v>13</v>
      </c>
      <c r="I402" s="558"/>
      <c r="J402" s="542" t="s">
        <v>14</v>
      </c>
      <c r="K402" s="347" t="s">
        <v>15</v>
      </c>
    </row>
    <row r="403" spans="1:11">
      <c r="A403" s="3483"/>
      <c r="B403" s="3484"/>
      <c r="C403" s="320"/>
      <c r="D403" s="413"/>
      <c r="E403" s="875"/>
      <c r="F403" s="852"/>
      <c r="G403" s="223"/>
      <c r="H403" s="224"/>
      <c r="I403" s="778"/>
      <c r="J403" s="603"/>
      <c r="K403" s="378"/>
    </row>
    <row r="404" spans="1:11">
      <c r="A404" s="398"/>
      <c r="B404" s="406"/>
      <c r="C404" s="320"/>
      <c r="D404" s="413"/>
      <c r="E404" s="875"/>
      <c r="F404" s="852"/>
      <c r="G404" s="223"/>
      <c r="H404" s="224"/>
      <c r="I404" s="784"/>
      <c r="J404" s="603"/>
      <c r="K404" s="378"/>
    </row>
    <row r="405" spans="1:11">
      <c r="A405" s="83"/>
      <c r="B405" s="43"/>
      <c r="C405" s="101"/>
      <c r="D405" s="322"/>
      <c r="E405" s="843"/>
      <c r="F405" s="853"/>
      <c r="G405" s="206"/>
      <c r="H405" s="74"/>
      <c r="I405" s="562"/>
      <c r="J405" s="544"/>
      <c r="K405" s="365"/>
    </row>
    <row r="406" spans="1:11">
      <c r="A406" s="83"/>
      <c r="B406" s="43"/>
      <c r="C406" s="101"/>
      <c r="D406" s="322"/>
      <c r="E406" s="843"/>
      <c r="F406" s="853"/>
      <c r="G406" s="206"/>
      <c r="H406" s="74"/>
      <c r="I406" s="562"/>
      <c r="J406" s="544"/>
      <c r="K406" s="365"/>
    </row>
    <row r="407" spans="1:11">
      <c r="A407" s="398"/>
      <c r="B407" s="43"/>
      <c r="C407" s="101"/>
      <c r="D407" s="322"/>
      <c r="E407" s="843"/>
      <c r="F407" s="853"/>
      <c r="G407" s="206"/>
      <c r="H407" s="74"/>
      <c r="I407" s="560"/>
      <c r="J407" s="544"/>
      <c r="K407" s="394"/>
    </row>
    <row r="408" spans="1:11">
      <c r="A408" s="3483"/>
      <c r="B408" s="3484"/>
      <c r="C408" s="126"/>
      <c r="D408" s="536"/>
      <c r="E408" s="843"/>
      <c r="F408" s="853"/>
      <c r="G408" s="206"/>
      <c r="H408" s="74"/>
      <c r="I408" s="560"/>
      <c r="J408" s="544"/>
      <c r="K408" s="365"/>
    </row>
    <row r="409" spans="1:11">
      <c r="A409" s="398"/>
      <c r="B409" s="43"/>
      <c r="C409" s="101"/>
      <c r="D409" s="322"/>
      <c r="E409" s="843"/>
      <c r="F409" s="853"/>
      <c r="G409" s="206"/>
      <c r="H409" s="74"/>
      <c r="I409" s="355"/>
      <c r="J409" s="544"/>
      <c r="K409" s="365"/>
    </row>
    <row r="410" spans="1:11">
      <c r="A410" s="398"/>
      <c r="B410" s="43"/>
      <c r="C410" s="101"/>
      <c r="D410" s="322"/>
      <c r="E410" s="843"/>
      <c r="F410" s="853"/>
      <c r="G410" s="206"/>
      <c r="H410" s="74"/>
      <c r="I410" s="355"/>
      <c r="J410" s="544"/>
      <c r="K410" s="365"/>
    </row>
    <row r="411" spans="1:11">
      <c r="A411" s="83"/>
      <c r="B411" s="43"/>
      <c r="C411" s="101"/>
      <c r="D411" s="322"/>
      <c r="E411" s="843"/>
      <c r="F411" s="767"/>
      <c r="G411" s="206"/>
      <c r="H411" s="74"/>
      <c r="I411" s="355"/>
      <c r="J411" s="544"/>
      <c r="K411" s="365"/>
    </row>
    <row r="412" spans="1:11">
      <c r="A412" s="398"/>
      <c r="B412" s="43"/>
      <c r="C412" s="101"/>
      <c r="D412" s="322"/>
      <c r="E412" s="843"/>
      <c r="F412" s="853"/>
      <c r="G412" s="206"/>
      <c r="H412" s="74"/>
      <c r="I412" s="355"/>
      <c r="J412" s="544"/>
      <c r="K412" s="365"/>
    </row>
    <row r="413" spans="1:11">
      <c r="A413" s="398"/>
      <c r="B413" s="43"/>
      <c r="C413" s="101"/>
      <c r="D413" s="322"/>
      <c r="E413" s="843"/>
      <c r="F413" s="853"/>
      <c r="G413" s="206"/>
      <c r="H413" s="74"/>
      <c r="I413" s="560"/>
      <c r="J413" s="544"/>
      <c r="K413" s="365"/>
    </row>
    <row r="414" spans="1:11">
      <c r="A414" s="398"/>
      <c r="B414" s="43"/>
      <c r="C414" s="101"/>
      <c r="D414" s="322"/>
      <c r="E414" s="838"/>
      <c r="F414" s="853"/>
      <c r="G414" s="206"/>
      <c r="H414" s="74"/>
      <c r="I414" s="560"/>
      <c r="J414" s="544"/>
      <c r="K414" s="365"/>
    </row>
    <row r="415" spans="1:11">
      <c r="A415" s="83"/>
      <c r="B415" s="43"/>
      <c r="C415" s="101"/>
      <c r="D415" s="342"/>
      <c r="E415" s="871"/>
      <c r="F415" s="767"/>
      <c r="G415" s="206"/>
      <c r="H415" s="74"/>
      <c r="I415" s="560"/>
      <c r="J415" s="544"/>
      <c r="K415" s="365"/>
    </row>
    <row r="416" spans="1:11">
      <c r="A416" s="83"/>
      <c r="B416" s="43"/>
      <c r="C416" s="101"/>
      <c r="D416" s="342"/>
      <c r="E416" s="871"/>
      <c r="F416" s="853"/>
      <c r="G416" s="206"/>
      <c r="H416" s="74"/>
      <c r="I416" s="560"/>
      <c r="J416" s="544"/>
      <c r="K416" s="365"/>
    </row>
    <row r="417" spans="1:11">
      <c r="A417" s="83"/>
      <c r="B417" s="43"/>
      <c r="C417" s="101"/>
      <c r="D417" s="342"/>
      <c r="E417" s="871"/>
      <c r="F417" s="853"/>
      <c r="G417" s="206"/>
      <c r="H417" s="74"/>
      <c r="I417" s="560"/>
      <c r="J417" s="544"/>
      <c r="K417" s="365"/>
    </row>
    <row r="418" spans="1:11">
      <c r="A418" s="83"/>
      <c r="B418" s="43"/>
      <c r="C418" s="101"/>
      <c r="D418" s="342"/>
      <c r="E418" s="843"/>
      <c r="F418" s="853"/>
      <c r="G418" s="206"/>
      <c r="H418" s="74"/>
      <c r="I418" s="560"/>
      <c r="J418" s="544"/>
      <c r="K418" s="365"/>
    </row>
    <row r="419" spans="1:11">
      <c r="A419" s="782"/>
      <c r="B419" s="783"/>
      <c r="C419" s="222"/>
      <c r="D419" s="517"/>
      <c r="E419" s="843"/>
      <c r="F419" s="853"/>
      <c r="G419" s="206"/>
      <c r="H419" s="74"/>
      <c r="I419" s="560"/>
      <c r="J419" s="544"/>
      <c r="K419" s="365"/>
    </row>
    <row r="420" spans="1:11">
      <c r="A420" s="83"/>
      <c r="B420" s="362"/>
      <c r="C420" s="101"/>
      <c r="D420" s="342"/>
      <c r="E420" s="843"/>
      <c r="F420" s="853"/>
      <c r="G420" s="206"/>
      <c r="H420" s="74"/>
      <c r="I420" s="562"/>
      <c r="J420" s="547"/>
      <c r="K420" s="550"/>
    </row>
    <row r="421" spans="1:11">
      <c r="A421" s="83"/>
      <c r="B421" s="362"/>
      <c r="C421" s="101"/>
      <c r="D421" s="342"/>
      <c r="E421" s="871"/>
      <c r="F421" s="767"/>
      <c r="G421" s="206"/>
      <c r="H421" s="74"/>
      <c r="I421" s="562"/>
      <c r="J421" s="547"/>
      <c r="K421" s="550"/>
    </row>
    <row r="422" spans="1:11">
      <c r="A422" s="83"/>
      <c r="B422" s="362"/>
      <c r="C422" s="101"/>
      <c r="D422" s="322"/>
      <c r="E422" s="838"/>
      <c r="F422" s="767"/>
      <c r="G422" s="206"/>
      <c r="H422" s="74"/>
      <c r="I422" s="562"/>
      <c r="J422" s="547"/>
      <c r="K422" s="550"/>
    </row>
    <row r="423" spans="1:11">
      <c r="A423" s="83"/>
      <c r="B423" s="43"/>
      <c r="C423" s="101"/>
      <c r="D423" s="322"/>
      <c r="E423" s="838"/>
      <c r="F423" s="767"/>
      <c r="G423" s="206"/>
      <c r="H423" s="74"/>
      <c r="I423" s="562"/>
      <c r="J423" s="547"/>
      <c r="K423" s="550"/>
    </row>
    <row r="424" spans="1:11">
      <c r="A424" s="83"/>
      <c r="B424" s="43"/>
      <c r="C424" s="101"/>
      <c r="D424" s="322"/>
      <c r="E424" s="838"/>
      <c r="F424" s="767"/>
      <c r="G424" s="206"/>
      <c r="H424" s="74"/>
      <c r="I424" s="562"/>
      <c r="J424" s="547"/>
      <c r="K424" s="550"/>
    </row>
    <row r="425" spans="1:11">
      <c r="A425" s="83"/>
      <c r="B425" s="43"/>
      <c r="C425" s="101"/>
      <c r="D425" s="322"/>
      <c r="E425" s="871"/>
      <c r="F425" s="767"/>
      <c r="G425" s="206"/>
      <c r="H425" s="74"/>
      <c r="I425" s="562"/>
      <c r="J425" s="547"/>
      <c r="K425" s="550"/>
    </row>
    <row r="426" spans="1:11">
      <c r="A426" s="83"/>
      <c r="B426" s="43"/>
      <c r="C426" s="101"/>
      <c r="D426" s="322"/>
      <c r="E426" s="871"/>
      <c r="F426" s="767"/>
      <c r="G426" s="206"/>
      <c r="H426" s="74"/>
      <c r="I426" s="562"/>
      <c r="J426" s="547"/>
      <c r="K426" s="550"/>
    </row>
    <row r="427" spans="1:11">
      <c r="A427" s="83"/>
      <c r="B427" s="43"/>
      <c r="C427" s="101"/>
      <c r="D427" s="342"/>
      <c r="E427" s="871"/>
      <c r="F427" s="767"/>
      <c r="G427" s="206"/>
      <c r="H427" s="74"/>
      <c r="I427" s="560"/>
      <c r="J427" s="547"/>
      <c r="K427" s="616"/>
    </row>
    <row r="428" spans="1:11">
      <c r="A428" s="389"/>
      <c r="B428" s="382"/>
      <c r="C428" s="101"/>
      <c r="D428" s="342"/>
      <c r="E428" s="871"/>
      <c r="F428" s="767"/>
      <c r="G428" s="206"/>
      <c r="H428" s="74"/>
      <c r="I428" s="560"/>
      <c r="J428" s="547"/>
      <c r="K428" s="616"/>
    </row>
    <row r="429" spans="1:11">
      <c r="A429" s="87"/>
      <c r="B429" s="43"/>
      <c r="C429" s="101"/>
      <c r="D429" s="342"/>
      <c r="E429" s="871"/>
      <c r="F429" s="767"/>
      <c r="G429" s="206"/>
      <c r="H429" s="74"/>
      <c r="I429" s="560"/>
      <c r="J429" s="547"/>
      <c r="K429" s="616"/>
    </row>
    <row r="430" spans="1:11">
      <c r="A430" s="87"/>
      <c r="B430" s="43"/>
      <c r="C430" s="101"/>
      <c r="D430" s="342"/>
      <c r="E430" s="871"/>
      <c r="F430" s="767"/>
      <c r="G430" s="206"/>
      <c r="H430" s="74"/>
      <c r="I430" s="560"/>
      <c r="J430" s="547"/>
      <c r="K430" s="616"/>
    </row>
    <row r="431" spans="1:11">
      <c r="A431" s="87"/>
      <c r="B431" s="43"/>
      <c r="C431" s="101"/>
      <c r="D431" s="342"/>
      <c r="E431" s="871"/>
      <c r="F431" s="767"/>
      <c r="G431" s="206"/>
      <c r="H431" s="74"/>
      <c r="I431" s="560"/>
      <c r="J431" s="547"/>
      <c r="K431" s="616"/>
    </row>
    <row r="432" spans="1:11">
      <c r="A432" s="87"/>
      <c r="B432" s="43"/>
      <c r="C432" s="101"/>
      <c r="D432" s="342"/>
      <c r="E432" s="871"/>
      <c r="F432" s="767"/>
      <c r="G432" s="206"/>
      <c r="H432" s="74"/>
      <c r="I432" s="560"/>
      <c r="J432" s="547"/>
      <c r="K432" s="616"/>
    </row>
    <row r="433" spans="1:11">
      <c r="A433" s="44"/>
      <c r="B433" s="45"/>
      <c r="C433" s="46"/>
      <c r="D433" s="124"/>
      <c r="F433" s="104"/>
      <c r="H433" s="45"/>
      <c r="I433" s="556"/>
      <c r="K433" s="492">
        <v>13</v>
      </c>
    </row>
    <row r="434" spans="1:11">
      <c r="A434" s="45" t="s">
        <v>0</v>
      </c>
      <c r="B434" s="45"/>
      <c r="C434" s="68"/>
      <c r="D434" s="612"/>
      <c r="F434" s="104"/>
      <c r="H434" s="45"/>
      <c r="I434" s="556"/>
    </row>
    <row r="435" spans="1:11">
      <c r="A435" s="3480" t="s">
        <v>1</v>
      </c>
      <c r="B435" s="3480"/>
      <c r="C435" s="46"/>
      <c r="D435" s="124"/>
      <c r="F435" s="104"/>
      <c r="H435" s="45"/>
      <c r="I435" s="556"/>
    </row>
    <row r="436" spans="1:11" ht="35.25" thickBot="1">
      <c r="F436" s="104"/>
    </row>
    <row r="437" spans="1:11">
      <c r="A437" s="3481" t="s">
        <v>2</v>
      </c>
      <c r="B437" s="3482"/>
      <c r="C437" s="48" t="s">
        <v>3</v>
      </c>
      <c r="D437" s="436" t="s">
        <v>4</v>
      </c>
      <c r="E437" s="868" t="s">
        <v>5</v>
      </c>
      <c r="F437" s="849" t="s">
        <v>5</v>
      </c>
      <c r="G437" s="211" t="s">
        <v>6</v>
      </c>
      <c r="H437" s="48" t="s">
        <v>7</v>
      </c>
      <c r="I437" s="557" t="s">
        <v>8</v>
      </c>
      <c r="J437" s="541" t="s">
        <v>9</v>
      </c>
      <c r="K437" s="346" t="s">
        <v>9</v>
      </c>
    </row>
    <row r="438" spans="1:11" ht="35.25" thickBot="1">
      <c r="A438" s="51"/>
      <c r="B438" s="72"/>
      <c r="C438" s="50"/>
      <c r="D438" s="437" t="s">
        <v>10</v>
      </c>
      <c r="E438" s="869" t="s">
        <v>12</v>
      </c>
      <c r="F438" s="850" t="s">
        <v>11</v>
      </c>
      <c r="G438" s="212"/>
      <c r="H438" s="50" t="s">
        <v>13</v>
      </c>
      <c r="I438" s="558"/>
      <c r="J438" s="542" t="s">
        <v>14</v>
      </c>
      <c r="K438" s="347" t="s">
        <v>15</v>
      </c>
    </row>
    <row r="439" spans="1:11">
      <c r="A439" s="3485"/>
      <c r="B439" s="3486"/>
      <c r="C439" s="63"/>
      <c r="D439" s="322"/>
      <c r="E439" s="843"/>
      <c r="F439" s="767"/>
      <c r="G439" s="206"/>
      <c r="H439" s="74"/>
      <c r="I439" s="560"/>
      <c r="J439" s="544"/>
      <c r="K439" s="365"/>
    </row>
    <row r="440" spans="1:11">
      <c r="A440" s="398"/>
      <c r="B440" s="43"/>
      <c r="C440" s="101"/>
      <c r="D440" s="322"/>
      <c r="E440" s="843"/>
      <c r="F440" s="853"/>
      <c r="G440" s="206"/>
      <c r="H440" s="74"/>
      <c r="I440" s="560"/>
      <c r="J440" s="547"/>
      <c r="K440" s="550"/>
    </row>
    <row r="441" spans="1:11">
      <c r="A441" s="398"/>
      <c r="B441" s="43"/>
      <c r="C441" s="101"/>
      <c r="D441" s="322"/>
      <c r="E441" s="843"/>
      <c r="F441" s="853"/>
      <c r="G441" s="206"/>
      <c r="H441" s="74"/>
      <c r="I441" s="560"/>
      <c r="J441" s="547"/>
      <c r="K441" s="550"/>
    </row>
    <row r="442" spans="1:11">
      <c r="A442" s="398"/>
      <c r="B442" s="43"/>
      <c r="C442" s="101"/>
      <c r="D442" s="322"/>
      <c r="E442" s="843"/>
      <c r="F442" s="853"/>
      <c r="G442" s="206"/>
      <c r="H442" s="74"/>
      <c r="I442" s="560"/>
      <c r="J442" s="547"/>
      <c r="K442" s="550"/>
    </row>
    <row r="443" spans="1:11">
      <c r="A443" s="398"/>
      <c r="B443" s="43"/>
      <c r="C443" s="101"/>
      <c r="D443" s="322"/>
      <c r="E443" s="843"/>
      <c r="F443" s="853"/>
      <c r="G443" s="206"/>
      <c r="H443" s="74"/>
      <c r="I443" s="560"/>
      <c r="J443" s="547"/>
      <c r="K443" s="550"/>
    </row>
    <row r="444" spans="1:11">
      <c r="A444" s="398"/>
      <c r="B444" s="43"/>
      <c r="C444" s="101"/>
      <c r="D444" s="322"/>
      <c r="E444" s="843"/>
      <c r="F444" s="853"/>
      <c r="G444" s="206"/>
      <c r="H444" s="74"/>
      <c r="I444" s="560"/>
      <c r="J444" s="547"/>
      <c r="K444" s="550"/>
    </row>
    <row r="445" spans="1:11">
      <c r="A445" s="3487"/>
      <c r="B445" s="3488"/>
      <c r="C445" s="101"/>
      <c r="D445" s="322"/>
      <c r="E445" s="843"/>
      <c r="F445" s="853"/>
      <c r="G445" s="206"/>
      <c r="H445" s="74"/>
      <c r="I445" s="560"/>
      <c r="J445" s="544"/>
      <c r="K445" s="550"/>
    </row>
    <row r="446" spans="1:11">
      <c r="A446" s="663"/>
      <c r="B446" s="43"/>
      <c r="C446" s="101"/>
      <c r="D446" s="322"/>
      <c r="E446" s="843"/>
      <c r="F446" s="853"/>
      <c r="G446" s="206"/>
      <c r="H446" s="74"/>
      <c r="I446" s="560"/>
      <c r="J446" s="547"/>
      <c r="K446" s="550"/>
    </row>
    <row r="447" spans="1:11">
      <c r="A447" s="398"/>
      <c r="B447" s="43"/>
      <c r="C447" s="101"/>
      <c r="D447" s="322"/>
      <c r="E447" s="843"/>
      <c r="F447" s="853"/>
      <c r="G447" s="206"/>
      <c r="H447" s="74"/>
      <c r="I447" s="560"/>
      <c r="J447" s="547"/>
      <c r="K447" s="550"/>
    </row>
    <row r="448" spans="1:11">
      <c r="A448" s="398"/>
      <c r="B448" s="43"/>
      <c r="C448" s="101"/>
      <c r="D448" s="322"/>
      <c r="E448" s="843"/>
      <c r="F448" s="853"/>
      <c r="G448" s="206"/>
      <c r="H448" s="74"/>
      <c r="I448" s="560"/>
      <c r="J448" s="547"/>
      <c r="K448" s="550"/>
    </row>
    <row r="449" spans="1:11">
      <c r="A449" s="398"/>
      <c r="B449" s="43"/>
      <c r="C449" s="101"/>
      <c r="D449" s="322"/>
      <c r="E449" s="843"/>
      <c r="F449" s="853"/>
      <c r="G449" s="206"/>
      <c r="H449" s="74"/>
      <c r="I449" s="560"/>
      <c r="J449" s="547"/>
      <c r="K449" s="550"/>
    </row>
    <row r="450" spans="1:11">
      <c r="A450" s="83"/>
      <c r="B450" s="43"/>
      <c r="C450" s="101"/>
      <c r="D450" s="322"/>
      <c r="E450" s="843"/>
      <c r="F450" s="767"/>
      <c r="G450" s="206"/>
      <c r="H450" s="74"/>
      <c r="I450" s="560"/>
      <c r="J450" s="547"/>
      <c r="K450" s="550"/>
    </row>
    <row r="451" spans="1:11">
      <c r="A451" s="83"/>
      <c r="B451" s="43"/>
      <c r="C451" s="101"/>
      <c r="D451" s="322"/>
      <c r="E451" s="843"/>
      <c r="F451" s="853"/>
      <c r="G451" s="206"/>
      <c r="H451" s="74"/>
      <c r="I451" s="560"/>
      <c r="J451" s="547"/>
      <c r="K451" s="550"/>
    </row>
    <row r="452" spans="1:11">
      <c r="A452" s="83"/>
      <c r="B452" s="43"/>
      <c r="C452" s="101"/>
      <c r="D452" s="322"/>
      <c r="E452" s="843"/>
      <c r="F452" s="853"/>
      <c r="G452" s="206"/>
      <c r="H452" s="74"/>
      <c r="I452" s="560"/>
      <c r="J452" s="547"/>
      <c r="K452" s="550"/>
    </row>
    <row r="453" spans="1:11">
      <c r="A453" s="83"/>
      <c r="B453" s="43"/>
      <c r="C453" s="101"/>
      <c r="D453" s="322"/>
      <c r="E453" s="843"/>
      <c r="F453" s="853"/>
      <c r="G453" s="206"/>
      <c r="H453" s="74"/>
      <c r="I453" s="560"/>
      <c r="J453" s="547"/>
      <c r="K453" s="550"/>
    </row>
    <row r="454" spans="1:11">
      <c r="A454" s="83"/>
      <c r="B454" s="43"/>
      <c r="C454" s="101"/>
      <c r="D454" s="342"/>
      <c r="E454" s="843"/>
      <c r="F454" s="853"/>
      <c r="G454" s="206"/>
      <c r="H454" s="74"/>
      <c r="I454" s="560"/>
      <c r="J454" s="547"/>
      <c r="K454" s="550"/>
    </row>
    <row r="455" spans="1:11">
      <c r="A455" s="83"/>
      <c r="B455" s="43"/>
      <c r="C455" s="101"/>
      <c r="D455" s="322"/>
      <c r="E455" s="843"/>
      <c r="F455" s="853"/>
      <c r="G455" s="206"/>
      <c r="H455" s="74"/>
      <c r="I455" s="560"/>
      <c r="J455" s="547"/>
      <c r="K455" s="550"/>
    </row>
    <row r="456" spans="1:11">
      <c r="A456" s="83"/>
      <c r="B456" s="43"/>
      <c r="C456" s="101"/>
      <c r="D456" s="322"/>
      <c r="E456" s="843"/>
      <c r="F456" s="853"/>
      <c r="G456" s="206"/>
      <c r="H456" s="74"/>
      <c r="I456" s="560"/>
      <c r="J456" s="547"/>
      <c r="K456" s="550"/>
    </row>
    <row r="457" spans="1:11">
      <c r="A457" s="83"/>
      <c r="B457" s="43"/>
      <c r="C457" s="101"/>
      <c r="D457" s="342"/>
      <c r="E457" s="843"/>
      <c r="F457" s="853"/>
      <c r="G457" s="206"/>
      <c r="H457" s="74"/>
      <c r="I457" s="385"/>
      <c r="J457" s="547"/>
      <c r="K457" s="550"/>
    </row>
    <row r="458" spans="1:11">
      <c r="A458" s="83"/>
      <c r="B458" s="43"/>
      <c r="C458" s="101"/>
      <c r="D458" s="342"/>
      <c r="E458" s="843"/>
      <c r="F458" s="767"/>
      <c r="G458" s="206"/>
      <c r="H458" s="74"/>
      <c r="I458" s="560"/>
      <c r="J458" s="547"/>
      <c r="K458" s="550"/>
    </row>
    <row r="459" spans="1:11">
      <c r="A459" s="83"/>
      <c r="B459" s="43"/>
      <c r="C459" s="101"/>
      <c r="D459" s="322"/>
      <c r="E459" s="843"/>
      <c r="F459" s="767"/>
      <c r="G459" s="206"/>
      <c r="H459" s="74"/>
      <c r="I459" s="560"/>
      <c r="J459" s="547"/>
      <c r="K459" s="550"/>
    </row>
    <row r="460" spans="1:11">
      <c r="A460" s="83"/>
      <c r="B460" s="43"/>
      <c r="C460" s="101"/>
      <c r="D460" s="342"/>
      <c r="E460" s="843"/>
      <c r="F460" s="767"/>
      <c r="G460" s="206"/>
      <c r="H460" s="74"/>
      <c r="I460" s="560"/>
      <c r="J460" s="547"/>
      <c r="K460" s="550"/>
    </row>
    <row r="461" spans="1:11">
      <c r="A461" s="83"/>
      <c r="B461" s="382"/>
      <c r="C461" s="101"/>
      <c r="D461" s="322"/>
      <c r="E461" s="838"/>
      <c r="F461" s="767"/>
      <c r="G461" s="206"/>
      <c r="H461" s="74"/>
      <c r="I461" s="560"/>
      <c r="J461" s="547"/>
      <c r="K461" s="394"/>
    </row>
    <row r="462" spans="1:11">
      <c r="A462" s="83"/>
      <c r="B462" s="43"/>
      <c r="C462" s="320"/>
      <c r="D462" s="322"/>
      <c r="E462" s="838"/>
      <c r="F462" s="767"/>
      <c r="G462" s="206"/>
      <c r="H462" s="74"/>
      <c r="I462" s="563"/>
      <c r="J462" s="544"/>
      <c r="K462" s="394"/>
    </row>
    <row r="463" spans="1:11">
      <c r="A463" s="83"/>
      <c r="B463" s="43"/>
      <c r="C463" s="101"/>
      <c r="D463" s="322"/>
      <c r="E463" s="838"/>
      <c r="F463" s="767"/>
      <c r="G463" s="206"/>
      <c r="H463" s="74"/>
      <c r="I463" s="563"/>
      <c r="J463" s="548"/>
      <c r="K463" s="365"/>
    </row>
    <row r="464" spans="1:11">
      <c r="A464" s="83"/>
      <c r="B464" s="43"/>
      <c r="C464" s="101"/>
      <c r="D464" s="342"/>
      <c r="E464" s="871"/>
      <c r="F464" s="767"/>
      <c r="G464" s="206"/>
      <c r="H464" s="74"/>
      <c r="I464" s="563"/>
      <c r="J464" s="544"/>
      <c r="K464" s="365"/>
    </row>
    <row r="465" spans="1:11">
      <c r="A465" s="83"/>
      <c r="B465" s="43"/>
      <c r="C465" s="101"/>
      <c r="D465" s="342"/>
      <c r="E465" s="871"/>
      <c r="F465" s="767"/>
      <c r="G465" s="206"/>
      <c r="H465" s="74"/>
      <c r="I465" s="563"/>
      <c r="J465" s="544"/>
      <c r="K465" s="365"/>
    </row>
    <row r="466" spans="1:11">
      <c r="A466" s="83"/>
      <c r="B466" s="362"/>
      <c r="C466" s="101"/>
      <c r="D466" s="342"/>
      <c r="E466" s="871"/>
      <c r="F466" s="767"/>
      <c r="G466" s="206"/>
      <c r="H466" s="74"/>
      <c r="I466" s="563"/>
      <c r="J466" s="544"/>
      <c r="K466" s="365"/>
    </row>
    <row r="467" spans="1:11">
      <c r="A467" s="87"/>
      <c r="B467" s="362"/>
      <c r="C467" s="101"/>
      <c r="D467" s="342"/>
      <c r="E467" s="871"/>
      <c r="F467" s="767"/>
      <c r="G467" s="206"/>
      <c r="H467" s="74"/>
      <c r="I467" s="563"/>
      <c r="J467" s="544"/>
      <c r="K467" s="365"/>
    </row>
    <row r="468" spans="1:11">
      <c r="A468" s="87"/>
      <c r="B468" s="362"/>
      <c r="C468" s="101"/>
      <c r="D468" s="342"/>
      <c r="E468" s="871"/>
      <c r="F468" s="767"/>
      <c r="G468" s="206"/>
      <c r="H468" s="74"/>
      <c r="I468" s="563"/>
      <c r="J468" s="544"/>
      <c r="K468" s="365"/>
    </row>
    <row r="469" spans="1:11">
      <c r="A469" s="44"/>
      <c r="B469" s="45"/>
      <c r="C469" s="46"/>
      <c r="D469" s="124"/>
      <c r="F469" s="104"/>
      <c r="H469" s="45"/>
      <c r="I469" s="556"/>
      <c r="K469" s="537">
        <v>14</v>
      </c>
    </row>
    <row r="470" spans="1:11">
      <c r="A470" s="45" t="s">
        <v>0</v>
      </c>
      <c r="B470" s="45"/>
      <c r="C470" s="68"/>
      <c r="D470" s="612"/>
      <c r="F470" s="104"/>
      <c r="H470" s="45"/>
      <c r="I470" s="556"/>
    </row>
    <row r="471" spans="1:11">
      <c r="A471" s="3480" t="s">
        <v>1</v>
      </c>
      <c r="B471" s="3480"/>
      <c r="C471" s="46"/>
      <c r="D471" s="124"/>
      <c r="F471" s="104"/>
      <c r="H471" s="45"/>
      <c r="I471" s="556"/>
    </row>
    <row r="472" spans="1:11" ht="35.25" thickBot="1">
      <c r="F472" s="104"/>
      <c r="K472" s="732"/>
    </row>
    <row r="473" spans="1:11">
      <c r="A473" s="3445"/>
      <c r="B473" s="3446" t="s">
        <v>2</v>
      </c>
      <c r="C473" s="48" t="s">
        <v>3</v>
      </c>
      <c r="D473" s="436" t="s">
        <v>4</v>
      </c>
      <c r="E473" s="868" t="s">
        <v>5</v>
      </c>
      <c r="F473" s="849" t="s">
        <v>5</v>
      </c>
      <c r="G473" s="211" t="s">
        <v>6</v>
      </c>
      <c r="H473" s="48" t="s">
        <v>7</v>
      </c>
      <c r="I473" s="557" t="s">
        <v>8</v>
      </c>
      <c r="J473" s="573" t="s">
        <v>9</v>
      </c>
      <c r="K473" s="346" t="s">
        <v>9</v>
      </c>
    </row>
    <row r="474" spans="1:11" ht="35.25" thickBot="1">
      <c r="A474" s="51"/>
      <c r="B474" s="72"/>
      <c r="C474" s="50"/>
      <c r="D474" s="437" t="s">
        <v>10</v>
      </c>
      <c r="E474" s="869" t="s">
        <v>12</v>
      </c>
      <c r="F474" s="850" t="s">
        <v>11</v>
      </c>
      <c r="G474" s="212"/>
      <c r="H474" s="50" t="s">
        <v>13</v>
      </c>
      <c r="I474" s="558"/>
      <c r="J474" s="574" t="s">
        <v>14</v>
      </c>
      <c r="K474" s="347" t="s">
        <v>15</v>
      </c>
    </row>
    <row r="475" spans="1:11">
      <c r="A475" s="388"/>
      <c r="B475" s="382"/>
      <c r="C475" s="101"/>
      <c r="D475" s="322"/>
      <c r="E475" s="843"/>
      <c r="F475" s="767"/>
      <c r="G475" s="206"/>
      <c r="H475" s="74"/>
      <c r="I475" s="560"/>
      <c r="J475" s="544"/>
      <c r="K475" s="365"/>
    </row>
    <row r="476" spans="1:11">
      <c r="A476" s="83"/>
      <c r="B476" s="362"/>
      <c r="C476" s="101"/>
      <c r="D476" s="342"/>
      <c r="E476" s="872"/>
      <c r="F476" s="853"/>
      <c r="G476" s="206"/>
      <c r="H476" s="74"/>
      <c r="I476" s="560"/>
      <c r="J476" s="547"/>
      <c r="K476" s="550"/>
    </row>
    <row r="477" spans="1:11">
      <c r="A477" s="83"/>
      <c r="B477" s="362"/>
      <c r="C477" s="101"/>
      <c r="D477" s="342"/>
      <c r="E477" s="871"/>
      <c r="F477" s="767"/>
      <c r="G477" s="206"/>
      <c r="H477" s="74"/>
      <c r="I477" s="560"/>
      <c r="J477" s="547"/>
      <c r="K477" s="550"/>
    </row>
    <row r="478" spans="1:11">
      <c r="A478" s="83"/>
      <c r="B478" s="362"/>
      <c r="C478" s="101"/>
      <c r="D478" s="342"/>
      <c r="E478" s="871"/>
      <c r="F478" s="767"/>
      <c r="G478" s="206"/>
      <c r="H478" s="74"/>
      <c r="I478" s="560"/>
      <c r="J478" s="547"/>
      <c r="K478" s="550"/>
    </row>
    <row r="479" spans="1:11">
      <c r="A479" s="83"/>
      <c r="B479" s="43"/>
      <c r="C479" s="101"/>
      <c r="D479" s="342"/>
      <c r="E479" s="871"/>
      <c r="F479" s="767"/>
      <c r="G479" s="206"/>
      <c r="H479" s="74"/>
      <c r="I479" s="560"/>
      <c r="J479" s="547"/>
      <c r="K479" s="365"/>
    </row>
    <row r="480" spans="1:11">
      <c r="A480" s="83"/>
      <c r="B480" s="43"/>
      <c r="C480" s="101"/>
      <c r="D480" s="342"/>
      <c r="E480" s="871"/>
      <c r="F480" s="767"/>
      <c r="G480" s="206"/>
      <c r="H480" s="74"/>
      <c r="I480" s="560"/>
      <c r="J480" s="547"/>
      <c r="K480" s="365"/>
    </row>
    <row r="481" spans="1:11">
      <c r="A481" s="83"/>
      <c r="B481" s="43"/>
      <c r="C481" s="101"/>
      <c r="D481" s="342"/>
      <c r="E481" s="871"/>
      <c r="F481" s="767"/>
      <c r="G481" s="206"/>
      <c r="H481" s="74"/>
      <c r="I481" s="560"/>
      <c r="J481" s="731"/>
      <c r="K481" s="365"/>
    </row>
    <row r="482" spans="1:11">
      <c r="A482" s="83"/>
      <c r="B482" s="43"/>
      <c r="C482" s="101"/>
      <c r="D482" s="342"/>
      <c r="E482" s="871"/>
      <c r="F482" s="767"/>
      <c r="G482" s="206"/>
      <c r="H482" s="74"/>
      <c r="I482" s="560"/>
      <c r="J482" s="731"/>
      <c r="K482" s="365"/>
    </row>
    <row r="483" spans="1:11">
      <c r="A483" s="83"/>
      <c r="B483" s="43"/>
      <c r="C483" s="101"/>
      <c r="D483" s="342"/>
      <c r="E483" s="871"/>
      <c r="F483" s="767"/>
      <c r="G483" s="206"/>
      <c r="H483" s="74"/>
      <c r="I483" s="560"/>
      <c r="J483" s="731"/>
      <c r="K483" s="365"/>
    </row>
    <row r="484" spans="1:11">
      <c r="A484" s="83"/>
      <c r="B484" s="43"/>
      <c r="C484" s="101"/>
      <c r="D484" s="342"/>
      <c r="E484" s="871"/>
      <c r="F484" s="767"/>
      <c r="G484" s="206"/>
      <c r="H484" s="74"/>
      <c r="I484" s="560"/>
      <c r="J484" s="731"/>
      <c r="K484" s="365"/>
    </row>
    <row r="485" spans="1:11">
      <c r="A485" s="83"/>
      <c r="B485" s="43"/>
      <c r="C485" s="101"/>
      <c r="D485" s="342"/>
      <c r="E485" s="871"/>
      <c r="F485" s="767"/>
      <c r="G485" s="206"/>
      <c r="H485" s="74"/>
      <c r="I485" s="560"/>
      <c r="J485" s="731"/>
      <c r="K485" s="365"/>
    </row>
    <row r="486" spans="1:11">
      <c r="A486" s="389"/>
      <c r="B486" s="382"/>
      <c r="C486" s="105"/>
      <c r="D486" s="342"/>
      <c r="E486" s="871"/>
      <c r="F486" s="767"/>
      <c r="G486" s="206"/>
      <c r="H486" s="74"/>
      <c r="I486" s="560"/>
      <c r="J486" s="544"/>
      <c r="K486" s="365"/>
    </row>
    <row r="487" spans="1:11">
      <c r="A487" s="83"/>
      <c r="B487" s="43"/>
      <c r="C487" s="101"/>
      <c r="D487" s="342"/>
      <c r="E487" s="871"/>
      <c r="F487" s="767"/>
      <c r="G487" s="206"/>
      <c r="H487" s="74"/>
      <c r="I487" s="560"/>
      <c r="J487" s="544"/>
      <c r="K487" s="550"/>
    </row>
    <row r="488" spans="1:11">
      <c r="A488" s="83"/>
      <c r="B488" s="43"/>
      <c r="C488" s="101"/>
      <c r="D488" s="342"/>
      <c r="E488" s="871"/>
      <c r="F488" s="767"/>
      <c r="G488" s="206"/>
      <c r="H488" s="74"/>
      <c r="I488" s="560"/>
      <c r="J488" s="547"/>
      <c r="K488" s="550"/>
    </row>
    <row r="489" spans="1:11">
      <c r="A489" s="83"/>
      <c r="B489" s="43"/>
      <c r="C489" s="101"/>
      <c r="D489" s="342"/>
      <c r="E489" s="871"/>
      <c r="F489" s="767"/>
      <c r="G489" s="206"/>
      <c r="H489" s="74"/>
      <c r="I489" s="560"/>
      <c r="J489" s="544"/>
      <c r="K489" s="365"/>
    </row>
    <row r="490" spans="1:11">
      <c r="A490" s="83"/>
      <c r="B490" s="43"/>
      <c r="C490" s="101"/>
      <c r="D490" s="342"/>
      <c r="E490" s="871"/>
      <c r="F490" s="767"/>
      <c r="G490" s="206"/>
      <c r="H490" s="74"/>
      <c r="I490" s="560"/>
      <c r="J490" s="544"/>
      <c r="K490" s="365"/>
    </row>
    <row r="491" spans="1:11">
      <c r="A491" s="315"/>
      <c r="B491" s="43"/>
      <c r="C491" s="101"/>
      <c r="D491" s="517"/>
      <c r="E491" s="873"/>
      <c r="F491" s="767"/>
      <c r="G491" s="206"/>
      <c r="H491" s="58"/>
      <c r="I491" s="559"/>
      <c r="J491" s="544"/>
      <c r="K491" s="365"/>
    </row>
    <row r="492" spans="1:11">
      <c r="A492" s="83"/>
      <c r="B492" s="43"/>
      <c r="C492" s="101"/>
      <c r="D492" s="342"/>
      <c r="E492" s="871"/>
      <c r="F492" s="767"/>
      <c r="G492" s="206"/>
      <c r="H492" s="74"/>
      <c r="I492" s="560"/>
      <c r="J492" s="544"/>
      <c r="K492" s="365"/>
    </row>
    <row r="493" spans="1:11">
      <c r="A493" s="83"/>
      <c r="B493" s="43"/>
      <c r="C493" s="101"/>
      <c r="D493" s="342"/>
      <c r="E493" s="871"/>
      <c r="F493" s="767"/>
      <c r="G493" s="206"/>
      <c r="H493" s="74"/>
      <c r="I493" s="560"/>
      <c r="J493" s="544"/>
      <c r="K493" s="365"/>
    </row>
    <row r="494" spans="1:11">
      <c r="A494" s="493"/>
      <c r="B494" s="448"/>
      <c r="C494" s="661"/>
      <c r="D494" s="342"/>
      <c r="E494" s="871"/>
      <c r="F494" s="767"/>
      <c r="G494" s="206"/>
      <c r="H494" s="74"/>
      <c r="I494" s="560"/>
      <c r="J494" s="544"/>
      <c r="K494" s="365"/>
    </row>
    <row r="495" spans="1:11">
      <c r="A495" s="83"/>
      <c r="B495" s="43"/>
      <c r="C495" s="101"/>
      <c r="D495" s="342"/>
      <c r="E495" s="871"/>
      <c r="F495" s="767"/>
      <c r="G495" s="206"/>
      <c r="H495" s="74"/>
      <c r="I495" s="560"/>
      <c r="J495" s="544"/>
      <c r="K495" s="365"/>
    </row>
    <row r="496" spans="1:11">
      <c r="A496" s="83"/>
      <c r="B496" s="43"/>
      <c r="C496" s="101"/>
      <c r="D496" s="342"/>
      <c r="E496" s="871"/>
      <c r="F496" s="767"/>
      <c r="G496" s="206"/>
      <c r="H496" s="74"/>
      <c r="I496" s="560"/>
      <c r="J496" s="544"/>
      <c r="K496" s="365"/>
    </row>
    <row r="497" spans="1:11">
      <c r="A497" s="83"/>
      <c r="B497" s="43"/>
      <c r="C497" s="101"/>
      <c r="D497" s="342"/>
      <c r="E497" s="871"/>
      <c r="F497" s="767"/>
      <c r="G497" s="206"/>
      <c r="H497" s="74"/>
      <c r="I497" s="560"/>
      <c r="J497" s="544"/>
      <c r="K497" s="365"/>
    </row>
    <row r="498" spans="1:11">
      <c r="A498" s="83"/>
      <c r="B498" s="43"/>
      <c r="C498" s="101"/>
      <c r="D498" s="342"/>
      <c r="E498" s="871"/>
      <c r="F498" s="767"/>
      <c r="G498" s="206"/>
      <c r="H498" s="74"/>
      <c r="I498" s="560"/>
      <c r="J498" s="544"/>
      <c r="K498" s="365"/>
    </row>
    <row r="499" spans="1:11">
      <c r="A499" s="83"/>
      <c r="B499" s="362"/>
      <c r="C499" s="101"/>
      <c r="D499" s="342"/>
      <c r="E499" s="873"/>
      <c r="F499" s="767"/>
      <c r="G499" s="206"/>
      <c r="H499" s="74"/>
      <c r="I499" s="560"/>
      <c r="J499" s="544"/>
      <c r="K499" s="365"/>
    </row>
    <row r="500" spans="1:11">
      <c r="A500" s="83"/>
      <c r="B500" s="362"/>
      <c r="C500" s="101"/>
      <c r="D500" s="342"/>
      <c r="E500" s="873"/>
      <c r="F500" s="767"/>
      <c r="G500" s="206"/>
      <c r="H500" s="74"/>
      <c r="I500" s="560"/>
      <c r="J500" s="544"/>
      <c r="K500" s="365"/>
    </row>
    <row r="501" spans="1:11">
      <c r="A501" s="315"/>
      <c r="B501" s="43"/>
      <c r="C501" s="101"/>
      <c r="D501" s="342"/>
      <c r="E501" s="873"/>
      <c r="F501" s="767"/>
      <c r="G501" s="206"/>
      <c r="H501" s="58"/>
      <c r="I501" s="560"/>
      <c r="J501" s="544"/>
      <c r="K501" s="365"/>
    </row>
    <row r="502" spans="1:11">
      <c r="A502" s="315"/>
      <c r="B502" s="43"/>
      <c r="C502" s="101"/>
      <c r="D502" s="342"/>
      <c r="E502" s="873"/>
      <c r="F502" s="767"/>
      <c r="G502" s="206"/>
      <c r="H502" s="58"/>
      <c r="I502" s="559"/>
      <c r="J502" s="544"/>
      <c r="K502" s="365"/>
    </row>
    <row r="503" spans="1:11">
      <c r="A503" s="315"/>
      <c r="B503" s="43"/>
      <c r="C503" s="101"/>
      <c r="D503" s="342"/>
      <c r="E503" s="873"/>
      <c r="F503" s="767"/>
      <c r="G503" s="206"/>
      <c r="H503" s="58"/>
      <c r="I503" s="560"/>
      <c r="J503" s="544"/>
      <c r="K503" s="365"/>
    </row>
    <row r="504" spans="1:11">
      <c r="A504" s="315"/>
      <c r="B504" s="43"/>
      <c r="C504" s="101"/>
      <c r="D504" s="342"/>
      <c r="E504" s="873"/>
      <c r="F504" s="767"/>
      <c r="G504" s="206"/>
      <c r="H504" s="58"/>
      <c r="I504" s="559"/>
      <c r="J504" s="544"/>
      <c r="K504" s="365"/>
    </row>
  </sheetData>
  <mergeCells count="37">
    <mergeCell ref="A439:B439"/>
    <mergeCell ref="A445:B445"/>
    <mergeCell ref="A471:B471"/>
    <mergeCell ref="A367:B367"/>
    <mergeCell ref="A357:B357"/>
    <mergeCell ref="A403:B403"/>
    <mergeCell ref="A408:B408"/>
    <mergeCell ref="A437:B437"/>
    <mergeCell ref="A365:B365"/>
    <mergeCell ref="A401:B401"/>
    <mergeCell ref="A435:B435"/>
    <mergeCell ref="A75:B75"/>
    <mergeCell ref="A164:B164"/>
    <mergeCell ref="A273:B273"/>
    <mergeCell ref="A223:B223"/>
    <mergeCell ref="A219:B219"/>
    <mergeCell ref="A329:B329"/>
    <mergeCell ref="A348:B348"/>
    <mergeCell ref="A327:B327"/>
    <mergeCell ref="A399:B399"/>
    <mergeCell ref="A363:B363"/>
    <mergeCell ref="A255:B255"/>
    <mergeCell ref="A3:B3"/>
    <mergeCell ref="A77:B77"/>
    <mergeCell ref="A113:B113"/>
    <mergeCell ref="A39:B39"/>
    <mergeCell ref="A149:B149"/>
    <mergeCell ref="A7:B7"/>
    <mergeCell ref="A111:B111"/>
    <mergeCell ref="A354:B354"/>
    <mergeCell ref="A291:B291"/>
    <mergeCell ref="A392:B392"/>
    <mergeCell ref="A284:B284"/>
    <mergeCell ref="A185:B185"/>
    <mergeCell ref="A183:B183"/>
    <mergeCell ref="A259:B259"/>
    <mergeCell ref="A147:B147"/>
  </mergeCells>
  <phoneticPr fontId="6" type="noConversion"/>
  <hyperlinks>
    <hyperlink ref="I21" r:id="rId1" xr:uid="{E7C688C8-82CF-4C3E-A9B4-CF52BE7637CF}"/>
  </hyperlinks>
  <pageMargins left="0.39370078740157483" right="0.15748031496062992" top="0.15748031496062992" bottom="0.11811023622047245" header="0.15748031496062992" footer="0.11811023622047245"/>
  <pageSetup paperSize="9" scale="68" orientation="portrait" r:id="rId2"/>
  <headerFooter alignWithMargins="0"/>
  <rowBreaks count="4" manualBreakCount="4">
    <brk id="72" max="16383" man="1"/>
    <brk id="144" max="11" man="1"/>
    <brk id="180" max="16383" man="1"/>
    <brk id="216" max="16383" man="1"/>
  </rowBreaks>
  <colBreaks count="1" manualBreakCount="1">
    <brk id="12" max="62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508C-E4FF-47A7-80A6-2311311C8ECF}">
  <dimension ref="A1:P504"/>
  <sheetViews>
    <sheetView view="pageBreakPreview" topLeftCell="A190" zoomScaleNormal="100" zoomScaleSheetLayoutView="100" workbookViewId="0">
      <selection activeCell="G193" sqref="G193"/>
    </sheetView>
  </sheetViews>
  <sheetFormatPr defaultRowHeight="34.5"/>
  <cols>
    <col min="1" max="1" width="7.5703125" style="75" customWidth="1"/>
    <col min="2" max="2" width="28.140625" style="76" customWidth="1"/>
    <col min="3" max="3" width="10.85546875" style="102" customWidth="1"/>
    <col min="4" max="4" width="13.140625" style="335" customWidth="1"/>
    <col min="5" max="5" width="9.28515625" style="335" customWidth="1"/>
    <col min="6" max="6" width="12" style="863" customWidth="1"/>
    <col min="7" max="7" width="13.28515625" style="210" customWidth="1"/>
    <col min="8" max="8" width="13.85546875" style="76" customWidth="1"/>
    <col min="9" max="9" width="22" style="555" customWidth="1"/>
    <col min="10" max="10" width="13.140625" style="540" customWidth="1"/>
    <col min="11" max="11" width="11.7109375" style="366" customWidth="1"/>
    <col min="12" max="12" width="24.28515625" style="76" customWidth="1"/>
    <col min="13" max="16384" width="9.140625" style="76"/>
  </cols>
  <sheetData>
    <row r="1" spans="1:11" ht="29.25" customHeight="1">
      <c r="F1" s="104"/>
      <c r="K1" s="537">
        <v>1</v>
      </c>
    </row>
    <row r="2" spans="1:11" s="45" customFormat="1">
      <c r="A2" s="45" t="s">
        <v>0</v>
      </c>
      <c r="C2" s="68"/>
      <c r="D2" s="612"/>
      <c r="E2" s="335"/>
      <c r="F2" s="104"/>
      <c r="G2" s="210"/>
      <c r="I2" s="556"/>
      <c r="J2" s="540"/>
      <c r="K2" s="366"/>
    </row>
    <row r="3" spans="1:11" s="45" customFormat="1">
      <c r="A3" s="3480" t="s">
        <v>1</v>
      </c>
      <c r="B3" s="3480"/>
      <c r="C3" s="46"/>
      <c r="D3" s="124"/>
      <c r="E3" s="335"/>
      <c r="F3" s="104"/>
      <c r="G3" s="210"/>
      <c r="I3" s="556"/>
      <c r="J3" s="540"/>
      <c r="K3" s="366"/>
    </row>
    <row r="4" spans="1:11" ht="18" customHeight="1" thickBot="1">
      <c r="F4" s="104"/>
    </row>
    <row r="5" spans="1:11" s="46" customFormat="1">
      <c r="A5" s="3445"/>
      <c r="B5" s="3446" t="s">
        <v>2</v>
      </c>
      <c r="C5" s="48" t="s">
        <v>3</v>
      </c>
      <c r="D5" s="436" t="s">
        <v>4</v>
      </c>
      <c r="E5" s="868" t="s">
        <v>5</v>
      </c>
      <c r="F5" s="849" t="s">
        <v>5</v>
      </c>
      <c r="G5" s="219" t="s">
        <v>6</v>
      </c>
      <c r="H5" s="48" t="s">
        <v>7</v>
      </c>
      <c r="I5" s="557" t="s">
        <v>8</v>
      </c>
      <c r="J5" s="541" t="s">
        <v>9</v>
      </c>
      <c r="K5" s="346" t="s">
        <v>9</v>
      </c>
    </row>
    <row r="6" spans="1:11" s="46" customFormat="1" ht="35.25" thickBot="1">
      <c r="A6" s="51"/>
      <c r="B6" s="72"/>
      <c r="C6" s="50"/>
      <c r="D6" s="437" t="s">
        <v>10</v>
      </c>
      <c r="E6" s="869" t="s">
        <v>11</v>
      </c>
      <c r="F6" s="850" t="s">
        <v>12</v>
      </c>
      <c r="G6" s="212"/>
      <c r="H6" s="50" t="s">
        <v>13</v>
      </c>
      <c r="I6" s="558"/>
      <c r="J6" s="542" t="s">
        <v>14</v>
      </c>
      <c r="K6" s="347" t="s">
        <v>15</v>
      </c>
    </row>
    <row r="7" spans="1:11" s="46" customFormat="1">
      <c r="A7" s="3447" t="s">
        <v>225</v>
      </c>
      <c r="B7" s="3448"/>
      <c r="C7" s="126"/>
      <c r="D7" s="536"/>
      <c r="E7" s="843"/>
      <c r="F7" s="853"/>
      <c r="G7" s="130" t="s">
        <v>226</v>
      </c>
      <c r="H7" s="322"/>
      <c r="I7" s="560"/>
      <c r="J7" s="544"/>
      <c r="K7" s="2016"/>
    </row>
    <row r="8" spans="1:11">
      <c r="A8" s="398"/>
      <c r="B8" s="43" t="s">
        <v>227</v>
      </c>
      <c r="C8" s="101" t="s">
        <v>228</v>
      </c>
      <c r="D8" s="322" t="s">
        <v>18</v>
      </c>
      <c r="E8" s="843" t="s">
        <v>934</v>
      </c>
      <c r="F8" s="853">
        <v>810</v>
      </c>
      <c r="G8" s="2701" t="s">
        <v>783</v>
      </c>
      <c r="H8" s="74">
        <v>810</v>
      </c>
      <c r="I8" s="2488" t="s">
        <v>935</v>
      </c>
      <c r="J8" s="544">
        <v>788.85</v>
      </c>
      <c r="K8" s="2016">
        <v>32.869999999999997</v>
      </c>
    </row>
    <row r="9" spans="1:11">
      <c r="A9" s="398"/>
      <c r="B9" s="43" t="s">
        <v>231</v>
      </c>
      <c r="C9" s="101" t="s">
        <v>221</v>
      </c>
      <c r="D9" s="322" t="s">
        <v>23</v>
      </c>
      <c r="E9" s="843" t="s">
        <v>936</v>
      </c>
      <c r="F9" s="853">
        <v>810</v>
      </c>
      <c r="G9" s="2701" t="s">
        <v>862</v>
      </c>
      <c r="H9" s="74">
        <v>810</v>
      </c>
      <c r="I9" s="2488" t="s">
        <v>935</v>
      </c>
      <c r="J9" s="544">
        <v>788.85</v>
      </c>
      <c r="K9" s="2016">
        <v>65.739999999999995</v>
      </c>
    </row>
    <row r="10" spans="1:11">
      <c r="A10" s="83"/>
      <c r="B10" s="43" t="s">
        <v>232</v>
      </c>
      <c r="C10" s="101" t="s">
        <v>221</v>
      </c>
      <c r="D10" s="322" t="s">
        <v>23</v>
      </c>
      <c r="E10" s="843" t="s">
        <v>937</v>
      </c>
      <c r="F10" s="853">
        <v>1047</v>
      </c>
      <c r="G10" s="2731" t="s">
        <v>938</v>
      </c>
      <c r="H10" s="74">
        <v>1006</v>
      </c>
      <c r="I10" s="1682" t="s">
        <v>939</v>
      </c>
      <c r="J10" s="544">
        <v>1016</v>
      </c>
      <c r="K10" s="2016">
        <v>84.67</v>
      </c>
    </row>
    <row r="11" spans="1:11">
      <c r="A11" s="398"/>
      <c r="B11" s="43" t="s">
        <v>940</v>
      </c>
      <c r="C11" s="101" t="s">
        <v>236</v>
      </c>
      <c r="D11" s="322" t="s">
        <v>23</v>
      </c>
      <c r="E11" s="843" t="s">
        <v>936</v>
      </c>
      <c r="F11" s="853">
        <v>810</v>
      </c>
      <c r="G11" s="2701" t="s">
        <v>783</v>
      </c>
      <c r="H11" s="74">
        <v>810</v>
      </c>
      <c r="I11" s="2488" t="s">
        <v>935</v>
      </c>
      <c r="J11" s="544">
        <v>788.85</v>
      </c>
      <c r="K11" s="2016">
        <v>65.739999999999995</v>
      </c>
    </row>
    <row r="12" spans="1:11">
      <c r="A12" s="398"/>
      <c r="B12" s="791" t="s">
        <v>237</v>
      </c>
      <c r="C12" s="101" t="s">
        <v>236</v>
      </c>
      <c r="D12" s="322" t="s">
        <v>23</v>
      </c>
      <c r="E12" s="843" t="s">
        <v>941</v>
      </c>
      <c r="F12" s="853">
        <v>896</v>
      </c>
      <c r="G12" s="2731" t="s">
        <v>938</v>
      </c>
      <c r="H12" s="74">
        <v>860</v>
      </c>
      <c r="I12" s="1682" t="s">
        <v>942</v>
      </c>
      <c r="J12" s="544">
        <v>880</v>
      </c>
      <c r="K12" s="2016">
        <v>73.34</v>
      </c>
    </row>
    <row r="13" spans="1:11">
      <c r="A13" s="398"/>
      <c r="B13" s="43" t="s">
        <v>239</v>
      </c>
      <c r="C13" s="101" t="s">
        <v>221</v>
      </c>
      <c r="D13" s="3457" t="s">
        <v>18</v>
      </c>
      <c r="E13" s="843">
        <v>32</v>
      </c>
      <c r="F13" s="853">
        <v>730</v>
      </c>
      <c r="G13" s="2731" t="s">
        <v>943</v>
      </c>
      <c r="H13" s="74">
        <v>700</v>
      </c>
      <c r="I13" s="2490" t="s">
        <v>944</v>
      </c>
      <c r="J13" s="644">
        <v>710</v>
      </c>
      <c r="K13" s="2016">
        <v>29.58</v>
      </c>
    </row>
    <row r="14" spans="1:11">
      <c r="A14" s="398"/>
      <c r="B14" s="43" t="s">
        <v>239</v>
      </c>
      <c r="C14" s="101" t="s">
        <v>26</v>
      </c>
      <c r="D14" s="322" t="s">
        <v>23</v>
      </c>
      <c r="E14" s="838"/>
      <c r="F14" s="853"/>
      <c r="G14" s="206" t="s">
        <v>241</v>
      </c>
      <c r="H14" s="74"/>
      <c r="I14" s="560"/>
      <c r="J14" s="544"/>
      <c r="K14" s="365"/>
    </row>
    <row r="15" spans="1:11">
      <c r="A15" s="398"/>
      <c r="B15" s="791" t="s">
        <v>945</v>
      </c>
      <c r="C15" s="101" t="s">
        <v>617</v>
      </c>
      <c r="D15" s="342" t="s">
        <v>18</v>
      </c>
      <c r="E15" s="871" t="s">
        <v>946</v>
      </c>
      <c r="F15" s="853" t="s">
        <v>947</v>
      </c>
      <c r="G15" s="206" t="s">
        <v>948</v>
      </c>
      <c r="H15" s="74">
        <v>4090</v>
      </c>
      <c r="I15" s="560" t="s">
        <v>942</v>
      </c>
      <c r="J15" s="544">
        <v>4110</v>
      </c>
      <c r="K15" s="365"/>
    </row>
    <row r="16" spans="1:11">
      <c r="A16" s="398"/>
      <c r="B16" s="383" t="s">
        <v>246</v>
      </c>
      <c r="C16" s="101" t="s">
        <v>247</v>
      </c>
      <c r="D16" s="342" t="s">
        <v>484</v>
      </c>
      <c r="E16" s="871">
        <v>150</v>
      </c>
      <c r="F16" s="853">
        <v>1680</v>
      </c>
      <c r="G16" s="206" t="s">
        <v>949</v>
      </c>
      <c r="H16" s="74">
        <v>1620</v>
      </c>
      <c r="I16" s="560" t="s">
        <v>475</v>
      </c>
      <c r="J16" s="544">
        <v>1630</v>
      </c>
      <c r="K16" s="365">
        <v>135.83000000000001</v>
      </c>
    </row>
    <row r="17" spans="1:16">
      <c r="A17" s="398"/>
      <c r="B17" s="791" t="s">
        <v>950</v>
      </c>
      <c r="C17" s="101" t="s">
        <v>951</v>
      </c>
      <c r="D17" s="342" t="s">
        <v>484</v>
      </c>
      <c r="E17" s="838">
        <v>165</v>
      </c>
      <c r="F17" s="853" t="s">
        <v>952</v>
      </c>
      <c r="G17" s="206" t="s">
        <v>938</v>
      </c>
      <c r="H17" s="74">
        <v>1836</v>
      </c>
      <c r="I17" s="560" t="s">
        <v>953</v>
      </c>
      <c r="J17" s="544">
        <v>1851</v>
      </c>
      <c r="K17" s="394" t="s">
        <v>954</v>
      </c>
    </row>
    <row r="18" spans="1:16">
      <c r="A18" s="83"/>
      <c r="B18" s="383" t="s">
        <v>955</v>
      </c>
      <c r="C18" s="390" t="s">
        <v>956</v>
      </c>
      <c r="D18" s="342" t="s">
        <v>957</v>
      </c>
      <c r="E18" s="871" t="s">
        <v>958</v>
      </c>
      <c r="F18" s="767" t="s">
        <v>753</v>
      </c>
      <c r="G18" s="206" t="s">
        <v>938</v>
      </c>
      <c r="H18" s="74">
        <v>1305</v>
      </c>
      <c r="I18" s="560" t="s">
        <v>942</v>
      </c>
      <c r="J18" s="544" t="s">
        <v>959</v>
      </c>
      <c r="K18" s="365">
        <v>33.119999999999997</v>
      </c>
    </row>
    <row r="19" spans="1:16">
      <c r="A19" s="83"/>
      <c r="B19" s="383" t="s">
        <v>960</v>
      </c>
      <c r="C19" s="390" t="s">
        <v>956</v>
      </c>
      <c r="D19" s="342" t="s">
        <v>957</v>
      </c>
      <c r="E19" s="871" t="s">
        <v>958</v>
      </c>
      <c r="F19" s="767" t="s">
        <v>753</v>
      </c>
      <c r="G19" s="206" t="s">
        <v>938</v>
      </c>
      <c r="H19" s="74">
        <v>1305</v>
      </c>
      <c r="I19" s="560" t="s">
        <v>942</v>
      </c>
      <c r="J19" s="544" t="s">
        <v>959</v>
      </c>
      <c r="K19" s="365">
        <v>33.119999999999997</v>
      </c>
    </row>
    <row r="20" spans="1:16">
      <c r="A20" s="83"/>
      <c r="B20" s="383" t="s">
        <v>961</v>
      </c>
      <c r="C20" s="390" t="s">
        <v>956</v>
      </c>
      <c r="D20" s="342" t="s">
        <v>957</v>
      </c>
      <c r="E20" s="871" t="s">
        <v>962</v>
      </c>
      <c r="F20" s="853" t="s">
        <v>963</v>
      </c>
      <c r="G20" s="979" t="s">
        <v>938</v>
      </c>
      <c r="H20" s="74">
        <v>4250</v>
      </c>
      <c r="I20" s="560" t="s">
        <v>942</v>
      </c>
      <c r="J20" s="544" t="s">
        <v>964</v>
      </c>
      <c r="K20" s="365">
        <v>106.75</v>
      </c>
    </row>
    <row r="21" spans="1:16">
      <c r="A21" s="83"/>
      <c r="B21" s="43" t="s">
        <v>250</v>
      </c>
      <c r="C21" s="101" t="s">
        <v>247</v>
      </c>
      <c r="D21" s="342" t="s">
        <v>23</v>
      </c>
      <c r="E21" s="871">
        <v>150</v>
      </c>
      <c r="F21" s="853"/>
      <c r="G21" s="206" t="s">
        <v>251</v>
      </c>
      <c r="H21" s="74"/>
      <c r="I21" s="560"/>
      <c r="J21" s="544">
        <v>1545</v>
      </c>
      <c r="K21" s="365">
        <v>128.75</v>
      </c>
    </row>
    <row r="22" spans="1:16">
      <c r="A22" s="83"/>
      <c r="B22" s="43" t="s">
        <v>252</v>
      </c>
      <c r="C22" s="101">
        <v>15</v>
      </c>
      <c r="D22" s="342" t="s">
        <v>253</v>
      </c>
      <c r="E22" s="871">
        <v>280</v>
      </c>
      <c r="F22" s="853"/>
      <c r="G22" s="206" t="s">
        <v>254</v>
      </c>
      <c r="H22" s="74"/>
      <c r="I22" s="560"/>
      <c r="J22" s="544">
        <v>1500</v>
      </c>
      <c r="K22" s="365">
        <v>250</v>
      </c>
    </row>
    <row r="23" spans="1:16">
      <c r="A23" s="782"/>
      <c r="B23" s="43" t="s">
        <v>255</v>
      </c>
      <c r="C23" s="101" t="s">
        <v>256</v>
      </c>
      <c r="D23" s="342" t="s">
        <v>253</v>
      </c>
      <c r="E23" s="871">
        <v>320</v>
      </c>
      <c r="F23" s="853"/>
      <c r="G23" s="979" t="s">
        <v>254</v>
      </c>
      <c r="H23" s="74"/>
      <c r="I23" s="560"/>
      <c r="J23" s="544">
        <v>1800</v>
      </c>
      <c r="K23" s="365">
        <v>300</v>
      </c>
    </row>
    <row r="24" spans="1:16">
      <c r="A24" s="398"/>
      <c r="B24" s="2459" t="s">
        <v>257</v>
      </c>
      <c r="C24" s="320" t="s">
        <v>258</v>
      </c>
      <c r="D24" s="624" t="s">
        <v>259</v>
      </c>
      <c r="E24" s="975">
        <v>35</v>
      </c>
      <c r="F24" s="851" t="s">
        <v>260</v>
      </c>
      <c r="G24" s="979" t="s">
        <v>949</v>
      </c>
      <c r="H24" s="224">
        <v>1440</v>
      </c>
      <c r="I24" s="778" t="s">
        <v>965</v>
      </c>
      <c r="J24" s="603">
        <v>1450</v>
      </c>
      <c r="K24" s="378">
        <v>30.21</v>
      </c>
    </row>
    <row r="25" spans="1:16">
      <c r="A25" s="398"/>
      <c r="B25" s="2334" t="s">
        <v>261</v>
      </c>
      <c r="C25" s="222" t="s">
        <v>262</v>
      </c>
      <c r="D25" s="624" t="s">
        <v>23</v>
      </c>
      <c r="E25" s="975">
        <v>92</v>
      </c>
      <c r="F25" s="851">
        <v>1070</v>
      </c>
      <c r="G25" s="223" t="s">
        <v>966</v>
      </c>
      <c r="H25" s="224">
        <v>1020</v>
      </c>
      <c r="I25" s="778" t="s">
        <v>724</v>
      </c>
      <c r="J25" s="603">
        <v>1040</v>
      </c>
      <c r="K25" s="378">
        <v>86.67</v>
      </c>
    </row>
    <row r="26" spans="1:16">
      <c r="A26" s="398"/>
      <c r="B26" s="788" t="s">
        <v>263</v>
      </c>
      <c r="C26" s="222"/>
      <c r="D26" s="624" t="s">
        <v>264</v>
      </c>
      <c r="E26" s="975"/>
      <c r="F26" s="851"/>
      <c r="G26" s="223" t="s">
        <v>265</v>
      </c>
      <c r="H26" s="224">
        <v>1500</v>
      </c>
      <c r="I26" s="778" t="s">
        <v>266</v>
      </c>
      <c r="J26" s="603" t="s">
        <v>267</v>
      </c>
      <c r="K26" s="378">
        <v>21.25</v>
      </c>
    </row>
    <row r="27" spans="1:16">
      <c r="A27" s="1469" t="s">
        <v>268</v>
      </c>
      <c r="B27" s="1470"/>
      <c r="C27" s="222"/>
      <c r="D27" s="342"/>
      <c r="E27" s="2703"/>
      <c r="F27" s="853"/>
      <c r="G27" s="206"/>
      <c r="H27" s="74"/>
      <c r="I27" s="560"/>
      <c r="J27" s="544"/>
      <c r="K27" s="365"/>
    </row>
    <row r="28" spans="1:16">
      <c r="A28" s="2036" t="s">
        <v>269</v>
      </c>
      <c r="B28" s="43" t="s">
        <v>270</v>
      </c>
      <c r="C28" s="101"/>
      <c r="D28" s="342" t="s">
        <v>18</v>
      </c>
      <c r="E28" s="837">
        <v>29</v>
      </c>
      <c r="F28" s="2699" t="s">
        <v>967</v>
      </c>
      <c r="G28" s="2726" t="s">
        <v>968</v>
      </c>
      <c r="H28" s="74">
        <v>600</v>
      </c>
      <c r="I28" s="385" t="s">
        <v>272</v>
      </c>
      <c r="J28" s="547">
        <v>600</v>
      </c>
      <c r="K28" s="365">
        <v>25</v>
      </c>
      <c r="L28" s="575"/>
      <c r="M28" s="188"/>
      <c r="N28" s="188"/>
      <c r="O28" s="189"/>
      <c r="P28" s="170"/>
    </row>
    <row r="29" spans="1:16">
      <c r="A29" s="83"/>
      <c r="B29" s="43" t="s">
        <v>273</v>
      </c>
      <c r="C29" s="101"/>
      <c r="D29" s="342" t="s">
        <v>18</v>
      </c>
      <c r="E29" s="839">
        <v>34</v>
      </c>
      <c r="F29" s="845" t="s">
        <v>969</v>
      </c>
      <c r="G29" s="2731" t="s">
        <v>949</v>
      </c>
      <c r="H29" s="74">
        <v>720</v>
      </c>
      <c r="I29" s="385"/>
      <c r="J29" s="547">
        <v>720</v>
      </c>
      <c r="K29" s="365">
        <v>30</v>
      </c>
      <c r="L29" s="575"/>
      <c r="M29" s="188"/>
      <c r="N29" s="188"/>
      <c r="O29" s="189"/>
      <c r="P29" s="170"/>
    </row>
    <row r="30" spans="1:16">
      <c r="A30" s="83"/>
      <c r="B30" s="43" t="s">
        <v>274</v>
      </c>
      <c r="C30" s="101" t="s">
        <v>26</v>
      </c>
      <c r="D30" s="322" t="s">
        <v>40</v>
      </c>
      <c r="E30" s="728">
        <v>96</v>
      </c>
      <c r="F30" s="840" t="s">
        <v>970</v>
      </c>
      <c r="G30" s="2731" t="s">
        <v>949</v>
      </c>
      <c r="H30" s="74">
        <v>525</v>
      </c>
      <c r="I30" s="385"/>
      <c r="J30" s="547">
        <v>525</v>
      </c>
      <c r="K30" s="365">
        <v>87.5</v>
      </c>
      <c r="L30" s="575"/>
      <c r="M30" s="188"/>
      <c r="N30" s="188"/>
      <c r="O30" s="189"/>
      <c r="P30" s="170"/>
    </row>
    <row r="31" spans="1:16">
      <c r="A31" s="83"/>
      <c r="B31" s="43" t="s">
        <v>275</v>
      </c>
      <c r="C31" s="101" t="s">
        <v>276</v>
      </c>
      <c r="D31" s="322" t="s">
        <v>23</v>
      </c>
      <c r="E31" s="728">
        <v>150</v>
      </c>
      <c r="F31" s="840"/>
      <c r="G31" s="2731" t="s">
        <v>277</v>
      </c>
      <c r="H31" s="74"/>
      <c r="I31" s="385"/>
      <c r="J31" s="547" t="s">
        <v>278</v>
      </c>
      <c r="K31" s="365">
        <v>130</v>
      </c>
      <c r="L31" s="575"/>
      <c r="M31" s="188"/>
      <c r="N31" s="188"/>
      <c r="O31" s="189"/>
      <c r="P31" s="170"/>
    </row>
    <row r="32" spans="1:16">
      <c r="A32" s="83"/>
      <c r="B32" s="43" t="s">
        <v>971</v>
      </c>
      <c r="C32" s="101" t="s">
        <v>107</v>
      </c>
      <c r="D32" s="322" t="s">
        <v>18</v>
      </c>
      <c r="E32" s="728">
        <v>44</v>
      </c>
      <c r="F32" s="3678" t="s">
        <v>972</v>
      </c>
      <c r="G32" s="2731" t="s">
        <v>949</v>
      </c>
      <c r="H32" s="2700">
        <v>960</v>
      </c>
      <c r="I32" s="385"/>
      <c r="J32" s="547">
        <v>960</v>
      </c>
      <c r="K32" s="365">
        <v>40</v>
      </c>
    </row>
    <row r="33" spans="1:12">
      <c r="A33" s="83"/>
      <c r="B33" s="43" t="s">
        <v>971</v>
      </c>
      <c r="C33" s="101" t="s">
        <v>280</v>
      </c>
      <c r="D33" s="322" t="s">
        <v>23</v>
      </c>
      <c r="E33" s="728">
        <v>66</v>
      </c>
      <c r="F33" s="840" t="s">
        <v>969</v>
      </c>
      <c r="G33" s="2731" t="s">
        <v>271</v>
      </c>
      <c r="H33" s="74">
        <v>720</v>
      </c>
      <c r="I33" s="385"/>
      <c r="J33" s="547">
        <v>720</v>
      </c>
      <c r="K33" s="365">
        <v>60</v>
      </c>
    </row>
    <row r="34" spans="1:12">
      <c r="A34" s="83"/>
      <c r="B34" s="43" t="s">
        <v>281</v>
      </c>
      <c r="C34" s="101" t="s">
        <v>256</v>
      </c>
      <c r="D34" s="322" t="s">
        <v>23</v>
      </c>
      <c r="E34" s="728">
        <v>60</v>
      </c>
      <c r="F34" s="861" t="s">
        <v>973</v>
      </c>
      <c r="G34" s="2731" t="s">
        <v>968</v>
      </c>
      <c r="H34" s="74">
        <v>660</v>
      </c>
      <c r="I34" s="385"/>
      <c r="J34" s="547">
        <v>660</v>
      </c>
      <c r="K34" s="365">
        <v>55</v>
      </c>
    </row>
    <row r="35" spans="1:12">
      <c r="A35" s="995" t="s">
        <v>282</v>
      </c>
      <c r="B35" s="781"/>
      <c r="C35" s="101" t="s">
        <v>974</v>
      </c>
      <c r="D35" s="322"/>
      <c r="E35" s="838"/>
      <c r="F35" s="767"/>
      <c r="G35" s="206"/>
      <c r="H35" s="74"/>
      <c r="I35" s="560"/>
      <c r="J35" s="547"/>
      <c r="K35" s="365"/>
    </row>
    <row r="36" spans="1:12">
      <c r="A36" s="87"/>
      <c r="B36" s="43" t="s">
        <v>283</v>
      </c>
      <c r="C36" s="101" t="s">
        <v>284</v>
      </c>
      <c r="D36" s="342" t="s">
        <v>285</v>
      </c>
      <c r="E36" s="871">
        <v>24</v>
      </c>
      <c r="F36" s="2702" t="s">
        <v>975</v>
      </c>
      <c r="G36" s="979" t="s">
        <v>976</v>
      </c>
      <c r="H36" s="74">
        <v>864</v>
      </c>
      <c r="I36" s="2025" t="s">
        <v>977</v>
      </c>
      <c r="J36" s="1031" t="s">
        <v>978</v>
      </c>
      <c r="K36" s="1030" t="s">
        <v>979</v>
      </c>
    </row>
    <row r="37" spans="1:12">
      <c r="B37" s="75"/>
      <c r="C37" s="104"/>
      <c r="D37" s="167"/>
      <c r="E37" s="167"/>
      <c r="F37" s="167"/>
      <c r="G37" s="167"/>
      <c r="H37" s="75"/>
      <c r="I37" s="561"/>
      <c r="J37" s="545"/>
    </row>
    <row r="38" spans="1:12">
      <c r="A38" s="45" t="s">
        <v>0</v>
      </c>
      <c r="B38" s="45"/>
      <c r="C38" s="68"/>
      <c r="D38" s="612"/>
      <c r="F38" s="104"/>
      <c r="H38" s="45"/>
      <c r="I38" s="556"/>
      <c r="K38" s="492">
        <v>2</v>
      </c>
      <c r="L38" s="45"/>
    </row>
    <row r="39" spans="1:12" s="45" customFormat="1">
      <c r="A39" s="3480" t="s">
        <v>1</v>
      </c>
      <c r="B39" s="3480"/>
      <c r="C39" s="46"/>
      <c r="D39" s="124"/>
      <c r="E39" s="335"/>
      <c r="F39" s="104"/>
      <c r="G39" s="210"/>
      <c r="I39" s="556"/>
      <c r="J39" s="611"/>
      <c r="K39" s="366"/>
    </row>
    <row r="40" spans="1:12" ht="15.75" customHeight="1" thickBot="1">
      <c r="F40" s="104"/>
    </row>
    <row r="41" spans="1:12">
      <c r="A41" s="3445"/>
      <c r="B41" s="3446" t="s">
        <v>2</v>
      </c>
      <c r="C41" s="48" t="s">
        <v>3</v>
      </c>
      <c r="D41" s="436" t="s">
        <v>4</v>
      </c>
      <c r="E41" s="868" t="s">
        <v>5</v>
      </c>
      <c r="F41" s="849" t="s">
        <v>5</v>
      </c>
      <c r="G41" s="219" t="s">
        <v>6</v>
      </c>
      <c r="H41" s="48" t="s">
        <v>7</v>
      </c>
      <c r="I41" s="557" t="s">
        <v>8</v>
      </c>
      <c r="J41" s="541" t="s">
        <v>9</v>
      </c>
      <c r="K41" s="346" t="s">
        <v>9</v>
      </c>
      <c r="L41" s="46"/>
    </row>
    <row r="42" spans="1:12" ht="35.25" thickBot="1">
      <c r="A42" s="51"/>
      <c r="B42" s="72"/>
      <c r="C42" s="50"/>
      <c r="D42" s="437" t="s">
        <v>10</v>
      </c>
      <c r="E42" s="869" t="s">
        <v>11</v>
      </c>
      <c r="F42" s="850" t="s">
        <v>12</v>
      </c>
      <c r="G42" s="301"/>
      <c r="H42" s="50" t="s">
        <v>13</v>
      </c>
      <c r="I42" s="558"/>
      <c r="J42" s="542" t="s">
        <v>14</v>
      </c>
      <c r="K42" s="347" t="s">
        <v>15</v>
      </c>
      <c r="L42" s="46"/>
    </row>
    <row r="43" spans="1:12">
      <c r="A43" s="3491" t="s">
        <v>295</v>
      </c>
      <c r="B43" s="3492"/>
      <c r="C43" s="101"/>
      <c r="D43" s="322"/>
      <c r="E43" s="838"/>
      <c r="F43" s="767"/>
      <c r="G43" s="206"/>
      <c r="H43" s="74"/>
      <c r="I43" s="560"/>
      <c r="J43" s="544"/>
      <c r="K43" s="365"/>
    </row>
    <row r="44" spans="1:12">
      <c r="A44" s="83"/>
      <c r="B44" s="362" t="s">
        <v>296</v>
      </c>
      <c r="C44" s="101" t="s">
        <v>297</v>
      </c>
      <c r="D44" s="322" t="s">
        <v>298</v>
      </c>
      <c r="E44" s="838">
        <v>34</v>
      </c>
      <c r="F44" s="767" t="s">
        <v>299</v>
      </c>
      <c r="G44" s="979" t="s">
        <v>300</v>
      </c>
      <c r="H44" s="74">
        <v>715</v>
      </c>
      <c r="I44" s="562" t="s">
        <v>301</v>
      </c>
      <c r="J44" s="644">
        <v>745</v>
      </c>
      <c r="K44" s="365">
        <v>31.04</v>
      </c>
    </row>
    <row r="45" spans="1:12" ht="37.5">
      <c r="A45" s="766"/>
      <c r="B45" s="2022" t="s">
        <v>302</v>
      </c>
      <c r="C45" s="1765" t="s">
        <v>256</v>
      </c>
      <c r="D45" s="831" t="s">
        <v>303</v>
      </c>
      <c r="E45" s="838">
        <v>40</v>
      </c>
      <c r="F45" s="767" t="s">
        <v>304</v>
      </c>
      <c r="G45" s="2460">
        <v>24495</v>
      </c>
      <c r="H45" s="778">
        <v>820</v>
      </c>
      <c r="I45" s="562" t="s">
        <v>301</v>
      </c>
      <c r="J45" s="2252">
        <v>830</v>
      </c>
      <c r="K45" s="780">
        <v>37.200000000000003</v>
      </c>
    </row>
    <row r="46" spans="1:12">
      <c r="A46" s="782"/>
      <c r="B46" s="788" t="s">
        <v>305</v>
      </c>
      <c r="C46" s="101" t="s">
        <v>256</v>
      </c>
      <c r="D46" s="831" t="s">
        <v>303</v>
      </c>
      <c r="E46" s="838">
        <v>62</v>
      </c>
      <c r="F46" s="767" t="s">
        <v>306</v>
      </c>
      <c r="G46" s="979" t="s">
        <v>300</v>
      </c>
      <c r="H46" s="74">
        <v>1350</v>
      </c>
      <c r="I46" s="562" t="s">
        <v>301</v>
      </c>
      <c r="J46" s="644">
        <v>1380</v>
      </c>
      <c r="K46" s="365">
        <v>55.2</v>
      </c>
    </row>
    <row r="47" spans="1:12">
      <c r="A47" s="3491" t="s">
        <v>218</v>
      </c>
      <c r="B47" s="3492"/>
      <c r="C47" s="63" t="s">
        <v>219</v>
      </c>
      <c r="D47" s="342"/>
      <c r="E47" s="838"/>
      <c r="F47" s="767"/>
      <c r="G47" s="206"/>
      <c r="H47" s="74"/>
      <c r="I47" s="560"/>
      <c r="J47" s="547"/>
      <c r="K47" s="365"/>
    </row>
    <row r="48" spans="1:12">
      <c r="A48" s="87"/>
      <c r="B48" s="43" t="s">
        <v>220</v>
      </c>
      <c r="C48" s="101" t="s">
        <v>221</v>
      </c>
      <c r="D48" s="342" t="s">
        <v>23</v>
      </c>
      <c r="E48" s="871">
        <v>65</v>
      </c>
      <c r="F48" s="1497" t="s">
        <v>222</v>
      </c>
      <c r="G48" s="206" t="s">
        <v>223</v>
      </c>
      <c r="H48" s="150">
        <v>660</v>
      </c>
      <c r="I48" s="785" t="s">
        <v>224</v>
      </c>
      <c r="J48" s="544">
        <v>660</v>
      </c>
      <c r="K48" s="2016">
        <v>55</v>
      </c>
    </row>
    <row r="49" spans="1:12">
      <c r="A49" s="775"/>
      <c r="B49" s="781" t="s">
        <v>307</v>
      </c>
      <c r="C49" s="101"/>
      <c r="D49" s="322"/>
      <c r="E49" s="838"/>
      <c r="F49" s="767"/>
      <c r="G49" s="206"/>
      <c r="H49" s="74"/>
      <c r="I49" s="560"/>
      <c r="J49" s="547"/>
      <c r="K49" s="394"/>
    </row>
    <row r="50" spans="1:12">
      <c r="A50" s="43"/>
      <c r="B50" s="43" t="s">
        <v>308</v>
      </c>
      <c r="C50" s="320"/>
      <c r="D50" s="322" t="s">
        <v>309</v>
      </c>
      <c r="E50" s="838">
        <v>38</v>
      </c>
      <c r="F50" s="767">
        <v>340</v>
      </c>
      <c r="G50" s="206"/>
      <c r="H50" s="74"/>
      <c r="I50" s="563" t="s">
        <v>311</v>
      </c>
      <c r="J50" s="544"/>
      <c r="K50" s="363"/>
    </row>
    <row r="51" spans="1:12">
      <c r="A51" s="43"/>
      <c r="B51" s="43" t="s">
        <v>312</v>
      </c>
      <c r="C51" s="101" t="s">
        <v>980</v>
      </c>
      <c r="D51" s="342" t="s">
        <v>317</v>
      </c>
      <c r="E51" s="871">
        <v>15</v>
      </c>
      <c r="F51" s="767">
        <v>250</v>
      </c>
      <c r="G51" s="2737" t="s">
        <v>981</v>
      </c>
      <c r="H51" s="74">
        <v>240</v>
      </c>
      <c r="I51" s="563" t="s">
        <v>319</v>
      </c>
      <c r="J51" s="544">
        <v>238.4</v>
      </c>
      <c r="K51" s="365">
        <v>11.92</v>
      </c>
    </row>
    <row r="52" spans="1:12">
      <c r="A52" s="43"/>
      <c r="B52" s="43"/>
      <c r="C52" s="101" t="s">
        <v>320</v>
      </c>
      <c r="D52" s="342" t="s">
        <v>309</v>
      </c>
      <c r="E52" s="871">
        <v>26</v>
      </c>
      <c r="F52" s="767" t="s">
        <v>982</v>
      </c>
      <c r="G52" s="2737" t="s">
        <v>981</v>
      </c>
      <c r="H52" s="74">
        <v>230</v>
      </c>
      <c r="I52" s="563" t="s">
        <v>311</v>
      </c>
      <c r="J52" s="544">
        <v>240</v>
      </c>
      <c r="K52" s="363">
        <v>26</v>
      </c>
    </row>
    <row r="53" spans="1:12">
      <c r="A53" s="362"/>
      <c r="B53" s="383" t="s">
        <v>322</v>
      </c>
      <c r="C53" s="101"/>
      <c r="D53" s="342" t="s">
        <v>309</v>
      </c>
      <c r="E53" s="871">
        <v>48</v>
      </c>
      <c r="F53" s="767">
        <v>450</v>
      </c>
      <c r="G53" s="2737" t="s">
        <v>981</v>
      </c>
      <c r="H53" s="74">
        <v>420</v>
      </c>
      <c r="I53" s="563" t="s">
        <v>311</v>
      </c>
      <c r="J53" s="544">
        <v>413.7</v>
      </c>
      <c r="K53" s="365">
        <v>41.37</v>
      </c>
    </row>
    <row r="54" spans="1:12">
      <c r="A54" s="362"/>
      <c r="B54" s="362" t="s">
        <v>324</v>
      </c>
      <c r="C54" s="101"/>
      <c r="D54" s="342" t="s">
        <v>309</v>
      </c>
      <c r="E54" s="871">
        <v>70</v>
      </c>
      <c r="F54" s="767"/>
      <c r="G54" s="206" t="s">
        <v>325</v>
      </c>
      <c r="H54" s="74">
        <v>600</v>
      </c>
      <c r="I54" s="563" t="s">
        <v>311</v>
      </c>
      <c r="J54" s="544">
        <v>591</v>
      </c>
      <c r="K54" s="365">
        <v>59.1</v>
      </c>
    </row>
    <row r="55" spans="1:12">
      <c r="A55" s="362"/>
      <c r="B55" s="362" t="s">
        <v>326</v>
      </c>
      <c r="C55" s="101"/>
      <c r="D55" s="342" t="s">
        <v>309</v>
      </c>
      <c r="E55" s="871">
        <v>58</v>
      </c>
      <c r="F55" s="767">
        <v>550</v>
      </c>
      <c r="G55" s="979" t="s">
        <v>983</v>
      </c>
      <c r="H55" s="74">
        <v>520</v>
      </c>
      <c r="I55" s="563" t="s">
        <v>311</v>
      </c>
      <c r="J55" s="544">
        <v>550</v>
      </c>
      <c r="K55" s="365">
        <v>55</v>
      </c>
    </row>
    <row r="56" spans="1:12">
      <c r="A56" s="83"/>
      <c r="B56" s="362"/>
      <c r="C56" s="101"/>
      <c r="D56" s="342"/>
      <c r="E56" s="871"/>
      <c r="F56" s="767"/>
      <c r="G56" s="979"/>
      <c r="H56" s="74"/>
      <c r="I56" s="563"/>
      <c r="J56" s="544"/>
      <c r="K56" s="365"/>
    </row>
    <row r="57" spans="1:12">
      <c r="A57" s="3483"/>
      <c r="B57" s="3484"/>
      <c r="C57" s="101"/>
      <c r="D57" s="322"/>
      <c r="E57" s="838"/>
      <c r="F57" s="767"/>
      <c r="G57" s="206"/>
      <c r="H57" s="74"/>
      <c r="I57" s="560"/>
      <c r="J57" s="544"/>
      <c r="K57" s="365"/>
    </row>
    <row r="58" spans="1:12">
      <c r="A58" s="3451" t="s">
        <v>332</v>
      </c>
      <c r="B58" s="3452"/>
      <c r="C58" s="101"/>
      <c r="D58" s="322"/>
      <c r="E58" s="838"/>
      <c r="F58" s="767"/>
      <c r="G58" s="206"/>
      <c r="H58" s="74"/>
      <c r="I58" s="560"/>
      <c r="J58" s="544"/>
      <c r="K58" s="365"/>
    </row>
    <row r="59" spans="1:12">
      <c r="A59" s="83"/>
      <c r="B59" s="383" t="s">
        <v>333</v>
      </c>
      <c r="C59" s="390" t="s">
        <v>334</v>
      </c>
      <c r="D59" s="322" t="s">
        <v>23</v>
      </c>
      <c r="E59" s="838">
        <v>35</v>
      </c>
      <c r="F59" s="767">
        <v>160</v>
      </c>
      <c r="G59" s="206" t="s">
        <v>335</v>
      </c>
      <c r="H59" s="74">
        <v>137</v>
      </c>
      <c r="I59" s="562" t="s">
        <v>336</v>
      </c>
      <c r="J59" s="544">
        <v>127</v>
      </c>
      <c r="K59" s="365">
        <v>21</v>
      </c>
      <c r="L59" s="75"/>
    </row>
    <row r="60" spans="1:12">
      <c r="A60" s="766"/>
      <c r="B60" s="1384" t="s">
        <v>337</v>
      </c>
      <c r="C60" s="390" t="s">
        <v>334</v>
      </c>
      <c r="D60" s="322" t="s">
        <v>23</v>
      </c>
      <c r="E60" s="838">
        <v>35</v>
      </c>
      <c r="F60" s="767">
        <v>160</v>
      </c>
      <c r="G60" s="206" t="s">
        <v>335</v>
      </c>
      <c r="H60" s="74">
        <v>137</v>
      </c>
      <c r="I60" s="562" t="s">
        <v>336</v>
      </c>
      <c r="J60" s="544">
        <v>127</v>
      </c>
      <c r="K60" s="365">
        <v>21</v>
      </c>
      <c r="L60" s="366"/>
    </row>
    <row r="61" spans="1:12">
      <c r="A61" s="265"/>
      <c r="B61" s="43" t="s">
        <v>338</v>
      </c>
      <c r="C61" s="101" t="s">
        <v>339</v>
      </c>
      <c r="D61" s="322" t="s">
        <v>70</v>
      </c>
      <c r="E61" s="838">
        <v>55</v>
      </c>
      <c r="F61" s="767" t="s">
        <v>984</v>
      </c>
      <c r="G61" s="206" t="s">
        <v>983</v>
      </c>
      <c r="H61" s="74" t="s">
        <v>342</v>
      </c>
      <c r="I61" s="562" t="s">
        <v>343</v>
      </c>
      <c r="J61" s="546" t="s">
        <v>344</v>
      </c>
      <c r="K61" s="365">
        <v>37.96</v>
      </c>
      <c r="L61" s="771"/>
    </row>
    <row r="62" spans="1:12">
      <c r="A62" s="254"/>
      <c r="B62" s="43" t="s">
        <v>345</v>
      </c>
      <c r="C62" s="320" t="s">
        <v>346</v>
      </c>
      <c r="D62" s="342" t="s">
        <v>70</v>
      </c>
      <c r="E62" s="871">
        <v>79</v>
      </c>
      <c r="F62" s="767"/>
      <c r="G62" s="206" t="s">
        <v>983</v>
      </c>
      <c r="H62" s="74">
        <v>667</v>
      </c>
      <c r="I62" s="560" t="s">
        <v>348</v>
      </c>
      <c r="J62" s="548" t="s">
        <v>349</v>
      </c>
      <c r="K62" s="365">
        <v>57.69</v>
      </c>
      <c r="L62" s="75"/>
    </row>
    <row r="63" spans="1:12">
      <c r="A63" s="766"/>
      <c r="B63" s="1384"/>
      <c r="C63" s="390"/>
      <c r="D63" s="322"/>
      <c r="E63" s="838"/>
      <c r="F63" s="767"/>
      <c r="G63" s="206"/>
      <c r="H63" s="74"/>
      <c r="I63" s="562"/>
      <c r="J63" s="544"/>
      <c r="K63" s="365"/>
    </row>
    <row r="64" spans="1:12">
      <c r="A64" s="265"/>
      <c r="B64" s="43"/>
      <c r="C64" s="101"/>
      <c r="D64" s="322"/>
      <c r="E64" s="838"/>
      <c r="F64" s="767"/>
      <c r="G64" s="206"/>
      <c r="H64" s="74"/>
      <c r="I64" s="562"/>
      <c r="J64" s="546"/>
      <c r="K64" s="365"/>
    </row>
    <row r="65" spans="1:12">
      <c r="A65" s="254"/>
      <c r="B65" s="1470" t="s">
        <v>985</v>
      </c>
      <c r="C65" s="101"/>
      <c r="D65" s="322"/>
      <c r="E65" s="838"/>
      <c r="F65" s="767"/>
      <c r="G65" s="206"/>
      <c r="H65" s="74"/>
      <c r="I65" s="560"/>
      <c r="J65" s="544"/>
      <c r="K65" s="365"/>
    </row>
    <row r="66" spans="1:12">
      <c r="A66" s="265"/>
      <c r="B66" s="43" t="s">
        <v>986</v>
      </c>
      <c r="C66" s="101" t="s">
        <v>987</v>
      </c>
      <c r="D66" s="322" t="s">
        <v>709</v>
      </c>
      <c r="E66" s="838">
        <v>86</v>
      </c>
      <c r="F66" s="767"/>
      <c r="G66" s="2737" t="s">
        <v>988</v>
      </c>
      <c r="H66" s="74">
        <v>73.36</v>
      </c>
      <c r="I66" s="562"/>
      <c r="J66" s="2706" t="s">
        <v>989</v>
      </c>
      <c r="K66" s="2707" t="s">
        <v>990</v>
      </c>
    </row>
    <row r="67" spans="1:12">
      <c r="A67" s="254"/>
      <c r="B67" s="362" t="s">
        <v>991</v>
      </c>
      <c r="C67" s="101" t="s">
        <v>992</v>
      </c>
      <c r="D67" s="322" t="s">
        <v>709</v>
      </c>
      <c r="E67" s="838">
        <v>86</v>
      </c>
      <c r="F67" s="767"/>
      <c r="G67" s="2737" t="s">
        <v>988</v>
      </c>
      <c r="H67" s="74">
        <v>73.36</v>
      </c>
      <c r="I67" s="562"/>
      <c r="J67" s="2706" t="s">
        <v>989</v>
      </c>
      <c r="K67" s="2707" t="s">
        <v>990</v>
      </c>
    </row>
    <row r="68" spans="1:12" ht="37.5">
      <c r="A68" s="782"/>
      <c r="B68" s="880" t="s">
        <v>993</v>
      </c>
      <c r="C68" s="1765" t="s">
        <v>339</v>
      </c>
      <c r="D68" s="831" t="s">
        <v>709</v>
      </c>
      <c r="E68" s="1825" t="s">
        <v>994</v>
      </c>
      <c r="F68" s="223"/>
      <c r="G68" s="2738">
        <v>25167</v>
      </c>
      <c r="H68" s="778">
        <v>72.59</v>
      </c>
      <c r="I68" s="609"/>
      <c r="J68" s="2710" t="s">
        <v>995</v>
      </c>
      <c r="K68" s="2708" t="s">
        <v>996</v>
      </c>
    </row>
    <row r="69" spans="1:12" ht="37.5">
      <c r="A69" s="83"/>
      <c r="B69" s="2022" t="s">
        <v>997</v>
      </c>
      <c r="C69" s="1765" t="s">
        <v>998</v>
      </c>
      <c r="D69" s="831" t="s">
        <v>709</v>
      </c>
      <c r="E69" s="1825" t="s">
        <v>851</v>
      </c>
      <c r="F69" s="223"/>
      <c r="G69" s="2738">
        <v>25167</v>
      </c>
      <c r="H69" s="778">
        <v>87.85</v>
      </c>
      <c r="I69" s="609"/>
      <c r="J69" s="2709" t="s">
        <v>999</v>
      </c>
      <c r="K69" s="2708" t="s">
        <v>1000</v>
      </c>
    </row>
    <row r="70" spans="1:12" ht="37.5">
      <c r="A70" s="766"/>
      <c r="B70" s="2022" t="s">
        <v>1001</v>
      </c>
      <c r="C70" s="1765" t="s">
        <v>998</v>
      </c>
      <c r="D70" s="831" t="s">
        <v>709</v>
      </c>
      <c r="E70" s="1825" t="s">
        <v>1002</v>
      </c>
      <c r="F70" s="223"/>
      <c r="G70" s="1767"/>
      <c r="H70" s="778"/>
      <c r="I70" s="609"/>
      <c r="J70" s="2709" t="s">
        <v>1003</v>
      </c>
      <c r="K70" s="2708" t="s">
        <v>1004</v>
      </c>
    </row>
    <row r="71" spans="1:12" s="114" customFormat="1">
      <c r="A71" s="2705"/>
      <c r="B71" s="969" t="s">
        <v>1005</v>
      </c>
      <c r="C71" s="390" t="s">
        <v>247</v>
      </c>
      <c r="D71" s="831" t="s">
        <v>709</v>
      </c>
      <c r="E71" s="838" t="s">
        <v>1006</v>
      </c>
      <c r="F71" s="767"/>
      <c r="G71" s="2737" t="s">
        <v>988</v>
      </c>
      <c r="H71" s="115">
        <v>70.09</v>
      </c>
      <c r="I71" s="560"/>
      <c r="J71" s="2711" t="s">
        <v>1007</v>
      </c>
      <c r="K71" s="2707" t="s">
        <v>1008</v>
      </c>
    </row>
    <row r="72" spans="1:12" ht="29.25" customHeight="1">
      <c r="A72" s="58"/>
      <c r="B72" s="778" t="s">
        <v>1009</v>
      </c>
      <c r="C72" s="390" t="s">
        <v>247</v>
      </c>
      <c r="D72" s="320" t="s">
        <v>709</v>
      </c>
      <c r="E72" s="2614"/>
      <c r="F72" s="2615"/>
      <c r="G72" s="472"/>
      <c r="H72" s="224"/>
      <c r="I72" s="505"/>
      <c r="J72" s="547"/>
      <c r="K72" s="2617"/>
    </row>
    <row r="73" spans="1:12" ht="29.25" customHeight="1">
      <c r="A73" s="58"/>
      <c r="B73" s="58"/>
      <c r="C73" s="63"/>
      <c r="D73" s="515"/>
      <c r="E73" s="207"/>
      <c r="F73" s="101"/>
      <c r="G73" s="217"/>
      <c r="H73" s="58"/>
      <c r="I73" s="559"/>
      <c r="J73" s="544"/>
      <c r="K73" s="2619">
        <v>3</v>
      </c>
    </row>
    <row r="74" spans="1:12">
      <c r="A74" s="45" t="s">
        <v>0</v>
      </c>
      <c r="B74" s="45"/>
      <c r="C74" s="68"/>
      <c r="D74" s="612"/>
      <c r="F74" s="104"/>
      <c r="H74" s="45"/>
      <c r="I74" s="556"/>
      <c r="L74" s="45"/>
    </row>
    <row r="75" spans="1:12" s="45" customFormat="1">
      <c r="A75" s="3480" t="s">
        <v>1</v>
      </c>
      <c r="B75" s="3480"/>
      <c r="C75" s="46"/>
      <c r="D75" s="124"/>
      <c r="E75" s="335"/>
      <c r="F75" s="104"/>
      <c r="G75" s="210"/>
      <c r="I75" s="556"/>
      <c r="J75" s="540"/>
      <c r="K75" s="366"/>
    </row>
    <row r="76" spans="1:12" ht="27" customHeight="1" thickBot="1">
      <c r="F76" s="104"/>
    </row>
    <row r="77" spans="1:12">
      <c r="A77" s="3481" t="s">
        <v>2</v>
      </c>
      <c r="B77" s="3482"/>
      <c r="C77" s="48" t="s">
        <v>3</v>
      </c>
      <c r="D77" s="436" t="s">
        <v>4</v>
      </c>
      <c r="E77" s="868" t="s">
        <v>5</v>
      </c>
      <c r="F77" s="849" t="s">
        <v>5</v>
      </c>
      <c r="G77" s="219" t="s">
        <v>6</v>
      </c>
      <c r="H77" s="48" t="s">
        <v>7</v>
      </c>
      <c r="I77" s="557" t="s">
        <v>8</v>
      </c>
      <c r="J77" s="541" t="s">
        <v>9</v>
      </c>
      <c r="K77" s="346" t="s">
        <v>9</v>
      </c>
      <c r="L77" s="46"/>
    </row>
    <row r="78" spans="1:12" ht="35.25" thickBot="1">
      <c r="A78" s="51"/>
      <c r="B78" s="72"/>
      <c r="C78" s="50"/>
      <c r="D78" s="437" t="s">
        <v>10</v>
      </c>
      <c r="E78" s="869" t="s">
        <v>12</v>
      </c>
      <c r="F78" s="850" t="s">
        <v>11</v>
      </c>
      <c r="G78" s="301"/>
      <c r="H78" s="50" t="s">
        <v>13</v>
      </c>
      <c r="I78" s="558"/>
      <c r="J78" s="542" t="s">
        <v>14</v>
      </c>
      <c r="K78" s="347" t="s">
        <v>15</v>
      </c>
      <c r="L78" s="46"/>
    </row>
    <row r="79" spans="1:12">
      <c r="A79" s="438"/>
      <c r="B79" s="781" t="s">
        <v>792</v>
      </c>
      <c r="C79" s="101"/>
      <c r="D79" s="322"/>
      <c r="E79" s="728"/>
      <c r="F79" s="767"/>
      <c r="G79" s="310"/>
      <c r="H79" s="207"/>
      <c r="I79" s="431"/>
      <c r="J79" s="3046"/>
      <c r="K79" s="2303"/>
    </row>
    <row r="80" spans="1:12">
      <c r="A80" s="438"/>
      <c r="B80" s="362" t="s">
        <v>793</v>
      </c>
      <c r="C80" s="101" t="s">
        <v>794</v>
      </c>
      <c r="D80" s="342" t="s">
        <v>23</v>
      </c>
      <c r="E80" s="3679"/>
      <c r="F80" s="3680"/>
      <c r="G80" s="3578"/>
      <c r="H80" s="3604"/>
      <c r="I80" s="3579"/>
      <c r="J80" s="2357"/>
      <c r="K80" s="2357"/>
    </row>
    <row r="81" spans="1:15">
      <c r="A81" s="2600"/>
      <c r="B81" s="362" t="s">
        <v>797</v>
      </c>
      <c r="C81" s="101" t="s">
        <v>794</v>
      </c>
      <c r="D81" s="342" t="s">
        <v>23</v>
      </c>
      <c r="E81" s="3679"/>
      <c r="F81" s="3680"/>
      <c r="G81" s="3681"/>
      <c r="H81" s="3604"/>
      <c r="I81" s="3579"/>
      <c r="J81" s="2357"/>
      <c r="K81" s="2357"/>
    </row>
    <row r="82" spans="1:15">
      <c r="A82" s="2600"/>
      <c r="B82" s="362" t="s">
        <v>793</v>
      </c>
      <c r="C82" s="101" t="s">
        <v>798</v>
      </c>
      <c r="D82" s="342" t="s">
        <v>18</v>
      </c>
      <c r="E82" s="3679"/>
      <c r="F82" s="3680"/>
      <c r="G82" s="3578"/>
      <c r="H82" s="3604"/>
      <c r="I82" s="3579"/>
      <c r="J82" s="2357"/>
      <c r="K82" s="2357"/>
    </row>
    <row r="83" spans="1:15">
      <c r="A83" s="438"/>
      <c r="B83" s="43" t="s">
        <v>799</v>
      </c>
      <c r="C83" s="101" t="s">
        <v>236</v>
      </c>
      <c r="D83" s="342" t="s">
        <v>70</v>
      </c>
      <c r="E83" s="1409"/>
      <c r="F83" s="121"/>
      <c r="G83" s="206"/>
      <c r="H83" s="115"/>
      <c r="I83" s="185"/>
      <c r="J83" s="311"/>
      <c r="K83" s="1408"/>
    </row>
    <row r="84" spans="1:15">
      <c r="A84" s="438"/>
      <c r="B84" s="43" t="s">
        <v>801</v>
      </c>
      <c r="C84" s="101" t="s">
        <v>802</v>
      </c>
      <c r="D84" s="342" t="s">
        <v>23</v>
      </c>
      <c r="E84" s="3682"/>
      <c r="F84" s="3634"/>
      <c r="G84" s="3578"/>
      <c r="H84" s="3604"/>
      <c r="I84" s="3579"/>
      <c r="J84" s="2357"/>
      <c r="K84" s="2357"/>
    </row>
    <row r="85" spans="1:15">
      <c r="A85" s="438"/>
      <c r="B85" s="43" t="s">
        <v>801</v>
      </c>
      <c r="C85" s="101" t="s">
        <v>806</v>
      </c>
      <c r="D85" s="342" t="s">
        <v>23</v>
      </c>
      <c r="E85" s="728"/>
      <c r="F85" s="767"/>
      <c r="G85" s="310"/>
      <c r="H85" s="207"/>
      <c r="I85" s="431"/>
      <c r="J85" s="3046"/>
      <c r="K85" s="2303"/>
      <c r="O85" s="743"/>
    </row>
    <row r="86" spans="1:15">
      <c r="A86" s="315"/>
      <c r="B86" s="43" t="s">
        <v>808</v>
      </c>
      <c r="C86" s="101" t="s">
        <v>100</v>
      </c>
      <c r="D86" s="342" t="s">
        <v>23</v>
      </c>
      <c r="E86" s="728"/>
      <c r="F86" s="767"/>
      <c r="G86" s="312"/>
      <c r="H86" s="207"/>
      <c r="I86" s="431"/>
      <c r="J86" s="3670"/>
      <c r="K86" s="3670"/>
    </row>
    <row r="87" spans="1:15">
      <c r="A87" s="438"/>
      <c r="B87" s="43" t="s">
        <v>810</v>
      </c>
      <c r="C87" s="101" t="s">
        <v>811</v>
      </c>
      <c r="D87" s="342" t="s">
        <v>812</v>
      </c>
      <c r="E87" s="728"/>
      <c r="F87" s="767"/>
      <c r="G87" s="1889"/>
      <c r="H87" s="341"/>
      <c r="I87" s="431"/>
      <c r="J87" s="3046"/>
      <c r="K87" s="2787"/>
    </row>
    <row r="88" spans="1:15">
      <c r="A88" s="438"/>
      <c r="B88" s="43" t="s">
        <v>810</v>
      </c>
      <c r="C88" s="101" t="s">
        <v>419</v>
      </c>
      <c r="D88" s="342" t="s">
        <v>814</v>
      </c>
      <c r="E88" s="84"/>
      <c r="F88" s="856"/>
      <c r="G88" s="1889"/>
      <c r="H88" s="341"/>
      <c r="I88" s="505"/>
      <c r="J88" s="3046"/>
      <c r="K88" s="2787"/>
    </row>
    <row r="89" spans="1:15">
      <c r="A89" s="221"/>
      <c r="B89" s="43"/>
      <c r="C89" s="787"/>
      <c r="D89" s="322"/>
      <c r="E89" s="728"/>
      <c r="F89" s="767"/>
      <c r="G89" s="1889"/>
      <c r="H89" s="207"/>
      <c r="I89" s="431"/>
      <c r="J89" s="3670"/>
      <c r="K89" s="3683"/>
    </row>
    <row r="90" spans="1:15">
      <c r="A90" s="3684"/>
      <c r="B90" s="362"/>
      <c r="C90" s="390"/>
      <c r="D90" s="322"/>
      <c r="E90" s="84"/>
      <c r="F90" s="856"/>
      <c r="G90" s="1889"/>
      <c r="H90" s="341"/>
      <c r="I90" s="505"/>
      <c r="J90" s="3046"/>
      <c r="K90" s="3683"/>
    </row>
    <row r="91" spans="1:15">
      <c r="A91" s="330"/>
      <c r="B91" s="781" t="s">
        <v>1010</v>
      </c>
      <c r="C91" s="101"/>
      <c r="D91" s="342"/>
      <c r="E91" s="84"/>
      <c r="F91" s="856"/>
      <c r="G91" s="1880"/>
      <c r="H91" s="320"/>
      <c r="I91" s="431"/>
      <c r="J91" s="3046"/>
      <c r="K91" s="3385"/>
    </row>
    <row r="92" spans="1:15">
      <c r="A92" s="221"/>
      <c r="B92" s="362" t="s">
        <v>1011</v>
      </c>
      <c r="C92" s="101" t="s">
        <v>794</v>
      </c>
      <c r="D92" s="342" t="s">
        <v>23</v>
      </c>
      <c r="E92" s="84"/>
      <c r="F92" s="856"/>
      <c r="G92" s="312"/>
      <c r="H92" s="341"/>
      <c r="I92" s="505"/>
      <c r="J92" s="3046"/>
      <c r="K92" s="3385"/>
    </row>
    <row r="93" spans="1:15">
      <c r="A93" s="221"/>
      <c r="B93" s="362" t="s">
        <v>793</v>
      </c>
      <c r="C93" s="101" t="s">
        <v>794</v>
      </c>
      <c r="D93" s="342" t="s">
        <v>23</v>
      </c>
      <c r="E93" s="84"/>
      <c r="F93" s="856"/>
      <c r="G93" s="312"/>
      <c r="H93" s="341"/>
      <c r="I93" s="505"/>
      <c r="J93" s="3046"/>
      <c r="K93" s="3385"/>
    </row>
    <row r="94" spans="1:15">
      <c r="A94" s="221"/>
      <c r="B94" s="362" t="s">
        <v>797</v>
      </c>
      <c r="C94" s="101" t="s">
        <v>798</v>
      </c>
      <c r="D94" s="342" t="s">
        <v>18</v>
      </c>
      <c r="E94" s="728"/>
      <c r="F94" s="767"/>
      <c r="G94" s="310"/>
      <c r="H94" s="207"/>
      <c r="I94" s="431"/>
      <c r="J94" s="3046"/>
      <c r="K94" s="3385"/>
    </row>
    <row r="95" spans="1:15">
      <c r="A95" s="927"/>
      <c r="B95" s="362" t="s">
        <v>793</v>
      </c>
      <c r="C95" s="101" t="s">
        <v>798</v>
      </c>
      <c r="D95" s="342" t="s">
        <v>18</v>
      </c>
      <c r="E95" s="142"/>
      <c r="F95" s="381"/>
      <c r="G95" s="312"/>
      <c r="H95" s="341"/>
      <c r="I95" s="505"/>
      <c r="J95" s="3046"/>
      <c r="K95" s="2534"/>
    </row>
    <row r="96" spans="1:15">
      <c r="A96" s="970"/>
      <c r="B96" s="1946" t="s">
        <v>1012</v>
      </c>
      <c r="C96" s="101" t="s">
        <v>276</v>
      </c>
      <c r="D96" s="981"/>
      <c r="E96" s="831"/>
      <c r="F96" s="852"/>
      <c r="G96" s="312"/>
      <c r="H96" s="341"/>
      <c r="I96" s="505"/>
      <c r="J96" s="3046"/>
      <c r="K96" s="2304"/>
    </row>
    <row r="97" spans="1:12">
      <c r="A97" s="438"/>
      <c r="B97" s="1009"/>
      <c r="C97" s="207"/>
      <c r="D97" s="322"/>
      <c r="E97" s="728"/>
      <c r="F97" s="767"/>
      <c r="G97" s="310"/>
      <c r="H97" s="207"/>
      <c r="I97" s="431"/>
      <c r="J97" s="3670"/>
      <c r="K97" s="3675"/>
    </row>
    <row r="98" spans="1:12">
      <c r="A98" s="1469" t="s">
        <v>754</v>
      </c>
      <c r="B98" s="1470"/>
      <c r="C98" s="1500"/>
      <c r="D98" s="1581"/>
      <c r="E98" s="838"/>
      <c r="F98" s="767"/>
      <c r="G98" s="206"/>
      <c r="H98" s="74"/>
      <c r="I98" s="560"/>
      <c r="J98" s="544"/>
      <c r="K98" s="365"/>
    </row>
    <row r="99" spans="1:12">
      <c r="A99" s="83"/>
      <c r="B99" s="362" t="s">
        <v>755</v>
      </c>
      <c r="C99" s="101" t="s">
        <v>247</v>
      </c>
      <c r="D99" s="342" t="s">
        <v>23</v>
      </c>
      <c r="E99" s="767">
        <v>129</v>
      </c>
      <c r="F99" s="861" t="s">
        <v>756</v>
      </c>
      <c r="G99" s="206" t="s">
        <v>700</v>
      </c>
      <c r="H99" s="74">
        <v>1818.72</v>
      </c>
      <c r="I99" s="559" t="s">
        <v>757</v>
      </c>
      <c r="J99" s="544" t="s">
        <v>758</v>
      </c>
      <c r="K99" s="365">
        <v>113.13</v>
      </c>
    </row>
    <row r="100" spans="1:12">
      <c r="A100" s="406"/>
      <c r="B100" s="362" t="s">
        <v>755</v>
      </c>
      <c r="C100" s="101" t="s">
        <v>256</v>
      </c>
      <c r="D100" s="342" t="s">
        <v>23</v>
      </c>
      <c r="E100" s="767">
        <v>230</v>
      </c>
      <c r="F100" s="861" t="s">
        <v>759</v>
      </c>
      <c r="G100" s="206" t="s">
        <v>760</v>
      </c>
      <c r="H100" s="74">
        <v>3227.52</v>
      </c>
      <c r="I100" s="559"/>
      <c r="J100" s="2360" t="s">
        <v>761</v>
      </c>
      <c r="K100" s="365">
        <v>216.45</v>
      </c>
    </row>
    <row r="101" spans="1:12">
      <c r="A101" s="406"/>
      <c r="B101" s="43" t="s">
        <v>762</v>
      </c>
      <c r="C101" s="101" t="s">
        <v>763</v>
      </c>
      <c r="D101" s="322" t="s">
        <v>130</v>
      </c>
      <c r="E101" s="838">
        <v>120</v>
      </c>
      <c r="F101" s="767">
        <v>2750</v>
      </c>
      <c r="G101" s="206" t="s">
        <v>764</v>
      </c>
      <c r="H101" s="74">
        <v>2664</v>
      </c>
      <c r="I101" s="562" t="s">
        <v>765</v>
      </c>
      <c r="J101" s="544">
        <v>2682.55</v>
      </c>
      <c r="K101" s="365">
        <v>111.78</v>
      </c>
    </row>
    <row r="102" spans="1:12">
      <c r="A102" s="406"/>
      <c r="B102" s="43" t="s">
        <v>1013</v>
      </c>
      <c r="C102" s="101" t="s">
        <v>565</v>
      </c>
      <c r="D102" s="322" t="s">
        <v>23</v>
      </c>
      <c r="E102" s="838">
        <v>160</v>
      </c>
      <c r="F102" s="767"/>
      <c r="G102" s="206" t="s">
        <v>1014</v>
      </c>
      <c r="H102" s="74">
        <v>1881</v>
      </c>
      <c r="I102" s="562" t="s">
        <v>1015</v>
      </c>
      <c r="J102" s="544">
        <v>1767.69</v>
      </c>
      <c r="K102" s="365">
        <v>147.31</v>
      </c>
    </row>
    <row r="103" spans="1:12">
      <c r="A103" s="406"/>
      <c r="B103" s="43" t="s">
        <v>1016</v>
      </c>
      <c r="C103" s="101" t="s">
        <v>565</v>
      </c>
      <c r="D103" s="322" t="s">
        <v>23</v>
      </c>
      <c r="E103" s="852">
        <v>170</v>
      </c>
      <c r="F103" s="852"/>
      <c r="G103" s="223" t="s">
        <v>1014</v>
      </c>
      <c r="H103" s="253">
        <v>2076</v>
      </c>
      <c r="I103" s="562" t="s">
        <v>1015</v>
      </c>
      <c r="J103" s="603">
        <v>1962.86</v>
      </c>
      <c r="K103" s="378">
        <v>163.57</v>
      </c>
    </row>
    <row r="104" spans="1:12">
      <c r="A104" s="406"/>
      <c r="B104" s="880"/>
      <c r="D104" s="342"/>
      <c r="E104" s="767"/>
      <c r="F104" s="767"/>
      <c r="G104" s="206"/>
      <c r="H104" s="74"/>
      <c r="I104" s="560"/>
      <c r="J104" s="544"/>
      <c r="K104" s="365"/>
    </row>
    <row r="105" spans="1:12" ht="38.25">
      <c r="A105" s="2026"/>
      <c r="B105" s="2026" t="s">
        <v>837</v>
      </c>
      <c r="C105" s="2027"/>
      <c r="D105" s="995"/>
      <c r="E105" s="2028"/>
      <c r="F105" s="960"/>
      <c r="G105" s="248" t="s">
        <v>838</v>
      </c>
      <c r="H105" s="398" t="s">
        <v>839</v>
      </c>
      <c r="I105" s="2029"/>
      <c r="J105" s="74"/>
      <c r="K105" s="526"/>
    </row>
    <row r="106" spans="1:12">
      <c r="A106" s="1918"/>
      <c r="B106" s="1918" t="s">
        <v>840</v>
      </c>
      <c r="C106" s="101" t="s">
        <v>284</v>
      </c>
      <c r="D106" s="2030" t="s">
        <v>298</v>
      </c>
      <c r="E106" s="3662">
        <v>90</v>
      </c>
      <c r="F106" s="3663" t="s">
        <v>841</v>
      </c>
      <c r="G106" s="3664" t="s">
        <v>842</v>
      </c>
      <c r="H106" s="3665">
        <v>1926</v>
      </c>
      <c r="I106" s="3666" t="s">
        <v>540</v>
      </c>
      <c r="J106" s="3665" t="s">
        <v>843</v>
      </c>
      <c r="K106" s="3667">
        <v>81.709999999999994</v>
      </c>
    </row>
    <row r="107" spans="1:12">
      <c r="A107" s="70"/>
      <c r="B107" s="139"/>
      <c r="C107" s="207"/>
      <c r="D107" s="322"/>
      <c r="E107" s="838"/>
      <c r="F107" s="767"/>
      <c r="G107" s="1073"/>
      <c r="H107" s="207"/>
      <c r="I107" s="785"/>
      <c r="J107" s="544"/>
      <c r="K107" s="365"/>
    </row>
    <row r="108" spans="1:12">
      <c r="A108" s="70"/>
      <c r="B108" s="139"/>
      <c r="C108" s="207"/>
      <c r="D108" s="412"/>
      <c r="E108" s="874"/>
      <c r="F108" s="853"/>
      <c r="G108" s="1072"/>
      <c r="H108" s="117"/>
      <c r="I108" s="1647"/>
      <c r="J108" s="543"/>
      <c r="K108" s="369"/>
    </row>
    <row r="109" spans="1:12">
      <c r="A109" s="44"/>
      <c r="B109" s="45"/>
      <c r="C109" s="46"/>
      <c r="D109" s="124"/>
      <c r="F109" s="104"/>
      <c r="H109" s="45"/>
      <c r="I109" s="556"/>
      <c r="K109" s="537">
        <v>4</v>
      </c>
    </row>
    <row r="110" spans="1:12">
      <c r="A110" s="45" t="s">
        <v>0</v>
      </c>
      <c r="B110" s="45"/>
      <c r="C110" s="68"/>
      <c r="D110" s="612"/>
      <c r="F110" s="104"/>
      <c r="H110" s="45"/>
      <c r="I110" s="556"/>
      <c r="L110" s="45"/>
    </row>
    <row r="111" spans="1:12" s="45" customFormat="1">
      <c r="A111" s="3480" t="s">
        <v>1</v>
      </c>
      <c r="B111" s="3480"/>
      <c r="C111" s="46"/>
      <c r="D111" s="124"/>
      <c r="E111" s="335"/>
      <c r="F111" s="104"/>
      <c r="G111" s="210"/>
      <c r="I111" s="556"/>
      <c r="J111" s="540"/>
      <c r="K111" s="366"/>
    </row>
    <row r="112" spans="1:12" ht="24" customHeight="1" thickBot="1">
      <c r="F112" s="104"/>
    </row>
    <row r="113" spans="1:12">
      <c r="A113" s="3481" t="s">
        <v>2</v>
      </c>
      <c r="B113" s="3482"/>
      <c r="C113" s="48" t="s">
        <v>3</v>
      </c>
      <c r="D113" s="436" t="s">
        <v>4</v>
      </c>
      <c r="E113" s="868" t="s">
        <v>5</v>
      </c>
      <c r="F113" s="849" t="s">
        <v>5</v>
      </c>
      <c r="G113" s="211" t="s">
        <v>6</v>
      </c>
      <c r="H113" s="48" t="s">
        <v>7</v>
      </c>
      <c r="I113" s="557" t="s">
        <v>8</v>
      </c>
      <c r="J113" s="541" t="s">
        <v>9</v>
      </c>
      <c r="K113" s="346" t="s">
        <v>9</v>
      </c>
      <c r="L113" s="46"/>
    </row>
    <row r="114" spans="1:12" ht="35.25" thickBot="1">
      <c r="A114" s="51"/>
      <c r="B114" s="72"/>
      <c r="C114" s="50"/>
      <c r="D114" s="437" t="s">
        <v>10</v>
      </c>
      <c r="E114" s="869" t="s">
        <v>12</v>
      </c>
      <c r="F114" s="850" t="s">
        <v>11</v>
      </c>
      <c r="G114" s="212"/>
      <c r="H114" s="50" t="s">
        <v>13</v>
      </c>
      <c r="I114" s="558"/>
      <c r="J114" s="542" t="s">
        <v>14</v>
      </c>
      <c r="K114" s="347" t="s">
        <v>15</v>
      </c>
      <c r="L114" s="46"/>
    </row>
    <row r="115" spans="1:12">
      <c r="A115" s="1469" t="s">
        <v>754</v>
      </c>
      <c r="B115" s="1470"/>
      <c r="C115" s="1500"/>
      <c r="D115" s="1581"/>
      <c r="E115" s="838"/>
      <c r="F115" s="767"/>
      <c r="G115" s="206"/>
      <c r="H115" s="74"/>
      <c r="I115" s="560"/>
      <c r="J115" s="544"/>
      <c r="K115" s="365"/>
    </row>
    <row r="116" spans="1:12">
      <c r="A116" s="83"/>
      <c r="B116" s="362" t="s">
        <v>755</v>
      </c>
      <c r="C116" s="101" t="s">
        <v>247</v>
      </c>
      <c r="D116" s="342" t="s">
        <v>23</v>
      </c>
      <c r="E116" s="767">
        <v>129</v>
      </c>
      <c r="F116" s="861" t="s">
        <v>756</v>
      </c>
      <c r="G116" s="206" t="s">
        <v>700</v>
      </c>
      <c r="H116" s="74">
        <v>1818.72</v>
      </c>
      <c r="I116" s="559" t="s">
        <v>757</v>
      </c>
      <c r="J116" s="544" t="s">
        <v>758</v>
      </c>
      <c r="K116" s="365">
        <v>113.13</v>
      </c>
    </row>
    <row r="117" spans="1:12">
      <c r="A117" s="406"/>
      <c r="B117" s="362" t="s">
        <v>755</v>
      </c>
      <c r="C117" s="101" t="s">
        <v>256</v>
      </c>
      <c r="D117" s="342" t="s">
        <v>23</v>
      </c>
      <c r="E117" s="767">
        <v>230</v>
      </c>
      <c r="F117" s="861" t="s">
        <v>759</v>
      </c>
      <c r="G117" s="206" t="s">
        <v>760</v>
      </c>
      <c r="H117" s="74">
        <v>3227.52</v>
      </c>
      <c r="I117" s="559"/>
      <c r="J117" s="2360" t="s">
        <v>761</v>
      </c>
      <c r="K117" s="365">
        <v>216.45</v>
      </c>
    </row>
    <row r="118" spans="1:12">
      <c r="A118" s="406"/>
      <c r="B118" s="43" t="s">
        <v>762</v>
      </c>
      <c r="C118" s="101" t="s">
        <v>763</v>
      </c>
      <c r="D118" s="322" t="s">
        <v>130</v>
      </c>
      <c r="E118" s="838">
        <v>120</v>
      </c>
      <c r="F118" s="767">
        <v>2750</v>
      </c>
      <c r="G118" s="206" t="s">
        <v>764</v>
      </c>
      <c r="H118" s="74">
        <v>2664</v>
      </c>
      <c r="I118" s="562" t="s">
        <v>765</v>
      </c>
      <c r="J118" s="544">
        <v>2682.55</v>
      </c>
      <c r="K118" s="365">
        <v>111.78</v>
      </c>
    </row>
    <row r="119" spans="1:12">
      <c r="A119" s="406"/>
      <c r="B119" s="43" t="s">
        <v>1013</v>
      </c>
      <c r="C119" s="101" t="s">
        <v>565</v>
      </c>
      <c r="D119" s="322" t="s">
        <v>23</v>
      </c>
      <c r="E119" s="838">
        <v>160</v>
      </c>
      <c r="F119" s="767"/>
      <c r="G119" s="206" t="s">
        <v>1014</v>
      </c>
      <c r="H119" s="74">
        <v>1881</v>
      </c>
      <c r="I119" s="562" t="s">
        <v>1015</v>
      </c>
      <c r="J119" s="544">
        <v>1767.69</v>
      </c>
      <c r="K119" s="365">
        <v>147.31</v>
      </c>
    </row>
    <row r="120" spans="1:12">
      <c r="A120" s="406"/>
      <c r="B120" s="43" t="s">
        <v>1016</v>
      </c>
      <c r="C120" s="101" t="s">
        <v>565</v>
      </c>
      <c r="D120" s="322" t="s">
        <v>23</v>
      </c>
      <c r="E120" s="852">
        <v>170</v>
      </c>
      <c r="F120" s="852"/>
      <c r="G120" s="223" t="s">
        <v>1014</v>
      </c>
      <c r="H120" s="253">
        <v>2076</v>
      </c>
      <c r="I120" s="562" t="s">
        <v>1015</v>
      </c>
      <c r="J120" s="603">
        <v>1962.86</v>
      </c>
      <c r="K120" s="378">
        <v>163.57</v>
      </c>
    </row>
    <row r="121" spans="1:12">
      <c r="A121" s="406"/>
      <c r="B121" s="880"/>
      <c r="D121" s="342"/>
      <c r="E121" s="767"/>
      <c r="F121" s="767"/>
      <c r="G121" s="206"/>
      <c r="H121" s="74"/>
      <c r="I121" s="560"/>
      <c r="J121" s="544"/>
      <c r="K121" s="365"/>
    </row>
    <row r="122" spans="1:12" ht="38.25">
      <c r="A122" s="2026"/>
      <c r="B122" s="2026" t="s">
        <v>837</v>
      </c>
      <c r="C122" s="2027"/>
      <c r="D122" s="995"/>
      <c r="E122" s="2028"/>
      <c r="F122" s="960"/>
      <c r="G122" s="248" t="s">
        <v>838</v>
      </c>
      <c r="H122" s="398" t="s">
        <v>839</v>
      </c>
      <c r="I122" s="2029"/>
      <c r="J122" s="74"/>
      <c r="K122" s="526"/>
    </row>
    <row r="123" spans="1:12">
      <c r="A123" s="1918"/>
      <c r="B123" s="1918" t="s">
        <v>840</v>
      </c>
      <c r="C123" s="101" t="s">
        <v>284</v>
      </c>
      <c r="D123" s="2030" t="s">
        <v>298</v>
      </c>
      <c r="E123" s="3662">
        <v>90</v>
      </c>
      <c r="F123" s="3663" t="s">
        <v>841</v>
      </c>
      <c r="G123" s="3664" t="s">
        <v>842</v>
      </c>
      <c r="H123" s="3665">
        <v>1926</v>
      </c>
      <c r="I123" s="3666" t="s">
        <v>540</v>
      </c>
      <c r="J123" s="3665" t="s">
        <v>843</v>
      </c>
      <c r="K123" s="3667">
        <v>81.709999999999994</v>
      </c>
    </row>
    <row r="124" spans="1:12">
      <c r="A124" s="1384"/>
      <c r="B124" s="1384"/>
      <c r="C124" s="786"/>
      <c r="D124" s="413"/>
      <c r="E124" s="875"/>
      <c r="F124" s="852"/>
      <c r="G124" s="223"/>
      <c r="H124" s="224"/>
      <c r="I124" s="784"/>
      <c r="J124" s="603"/>
      <c r="K124" s="378"/>
    </row>
    <row r="125" spans="1:12">
      <c r="A125" s="3448"/>
      <c r="B125" s="3448" t="s">
        <v>844</v>
      </c>
      <c r="C125" s="207"/>
      <c r="D125" s="3457"/>
      <c r="E125" s="142"/>
      <c r="F125" s="381"/>
      <c r="G125" s="478"/>
      <c r="H125" s="101"/>
      <c r="I125" s="339"/>
      <c r="J125" s="586"/>
      <c r="K125" s="526"/>
    </row>
    <row r="126" spans="1:12">
      <c r="A126" s="81"/>
      <c r="B126" s="81" t="s">
        <v>845</v>
      </c>
      <c r="C126" s="207" t="s">
        <v>192</v>
      </c>
      <c r="D126" s="391" t="s">
        <v>23</v>
      </c>
      <c r="E126" s="1409" t="s">
        <v>846</v>
      </c>
      <c r="F126" s="856" t="s">
        <v>847</v>
      </c>
      <c r="G126" s="887" t="s">
        <v>848</v>
      </c>
      <c r="H126" s="101">
        <v>2520</v>
      </c>
      <c r="I126" s="1495" t="s">
        <v>578</v>
      </c>
      <c r="J126" s="3670" t="s">
        <v>849</v>
      </c>
      <c r="K126" s="3671">
        <v>212.92</v>
      </c>
    </row>
    <row r="127" spans="1:12">
      <c r="A127" s="43"/>
      <c r="B127" s="43" t="s">
        <v>850</v>
      </c>
      <c r="C127" s="101" t="s">
        <v>284</v>
      </c>
      <c r="D127" s="2030" t="s">
        <v>18</v>
      </c>
      <c r="E127" s="3662" t="s">
        <v>851</v>
      </c>
      <c r="F127" s="3663" t="s">
        <v>852</v>
      </c>
      <c r="G127" s="2407" t="s">
        <v>853</v>
      </c>
      <c r="H127" s="398">
        <v>2280</v>
      </c>
      <c r="I127" s="3668" t="s">
        <v>578</v>
      </c>
      <c r="J127" s="3665" t="s">
        <v>854</v>
      </c>
      <c r="K127" s="3669">
        <v>96.46</v>
      </c>
    </row>
    <row r="128" spans="1:12">
      <c r="A128" s="43"/>
      <c r="B128" s="43" t="s">
        <v>855</v>
      </c>
      <c r="C128" s="101" t="s">
        <v>284</v>
      </c>
      <c r="D128" s="2030" t="s">
        <v>18</v>
      </c>
      <c r="E128" s="3662" t="s">
        <v>851</v>
      </c>
      <c r="F128" s="3663" t="s">
        <v>852</v>
      </c>
      <c r="G128" s="2407" t="s">
        <v>853</v>
      </c>
      <c r="H128" s="398">
        <v>2280</v>
      </c>
      <c r="I128" s="3668" t="s">
        <v>578</v>
      </c>
      <c r="J128" s="3665" t="s">
        <v>854</v>
      </c>
      <c r="K128" s="3669">
        <v>96.46</v>
      </c>
    </row>
    <row r="129" spans="1:12">
      <c r="A129" s="398"/>
      <c r="B129" s="362"/>
      <c r="C129" s="101"/>
      <c r="D129" s="342"/>
      <c r="E129" s="871"/>
      <c r="F129" s="767"/>
      <c r="G129" s="206"/>
      <c r="H129" s="74"/>
      <c r="I129" s="560"/>
      <c r="J129" s="547"/>
      <c r="K129" s="550"/>
    </row>
    <row r="130" spans="1:12" ht="35.25" thickBot="1">
      <c r="A130" s="1782"/>
      <c r="B130" s="362" t="s">
        <v>1017</v>
      </c>
      <c r="C130" s="101"/>
      <c r="D130" s="342"/>
      <c r="E130" s="871"/>
      <c r="F130" s="767"/>
      <c r="G130" s="206"/>
      <c r="H130" s="74"/>
      <c r="I130" s="560"/>
      <c r="J130" s="547"/>
      <c r="K130" s="550"/>
    </row>
    <row r="131" spans="1:12">
      <c r="A131" s="1019"/>
      <c r="B131" s="43" t="s">
        <v>1018</v>
      </c>
      <c r="C131" s="101" t="s">
        <v>659</v>
      </c>
      <c r="D131" s="342" t="s">
        <v>23</v>
      </c>
      <c r="E131" s="871">
        <v>150</v>
      </c>
      <c r="F131" s="767"/>
      <c r="G131" s="206" t="s">
        <v>1019</v>
      </c>
      <c r="H131" s="74">
        <v>1550</v>
      </c>
      <c r="I131" s="560"/>
      <c r="J131" s="3676">
        <v>1645.16</v>
      </c>
      <c r="K131" s="3046">
        <v>137.09</v>
      </c>
    </row>
    <row r="132" spans="1:12">
      <c r="A132" s="995"/>
      <c r="B132" s="43" t="s">
        <v>1018</v>
      </c>
      <c r="C132" s="101" t="s">
        <v>1020</v>
      </c>
      <c r="D132" s="342" t="s">
        <v>23</v>
      </c>
      <c r="E132" s="871">
        <v>250</v>
      </c>
      <c r="F132" s="767"/>
      <c r="G132" s="206" t="s">
        <v>1019</v>
      </c>
      <c r="H132" s="74">
        <v>2650</v>
      </c>
      <c r="I132" s="560"/>
      <c r="J132" s="3676">
        <v>2788.17</v>
      </c>
      <c r="K132" s="3046">
        <v>232.34</v>
      </c>
    </row>
    <row r="133" spans="1:12">
      <c r="A133" s="254"/>
      <c r="B133" s="3361"/>
      <c r="C133" s="2781"/>
      <c r="D133" s="413"/>
      <c r="E133" s="831"/>
      <c r="F133" s="852"/>
      <c r="G133" s="312"/>
      <c r="H133" s="341"/>
      <c r="I133" s="505"/>
      <c r="J133" s="3046"/>
      <c r="K133" s="2304"/>
    </row>
    <row r="134" spans="1:12">
      <c r="A134" s="398"/>
      <c r="B134" s="1009"/>
      <c r="C134" s="207"/>
      <c r="D134" s="322"/>
      <c r="E134" s="728"/>
      <c r="F134" s="767"/>
      <c r="G134" s="310"/>
      <c r="H134" s="207"/>
      <c r="I134" s="431"/>
      <c r="J134" s="3670"/>
      <c r="K134" s="3675"/>
    </row>
    <row r="135" spans="1:12">
      <c r="A135" s="782"/>
      <c r="B135" s="2728"/>
      <c r="C135" s="3500"/>
      <c r="D135" s="3501"/>
      <c r="E135" s="142"/>
      <c r="F135" s="381"/>
      <c r="G135" s="478"/>
      <c r="H135" s="320"/>
      <c r="I135" s="3469"/>
      <c r="J135" s="3046"/>
      <c r="K135" s="3685"/>
    </row>
    <row r="136" spans="1:12">
      <c r="A136" s="663"/>
      <c r="B136" s="1336"/>
      <c r="C136" s="341"/>
      <c r="D136" s="322"/>
      <c r="E136" s="142"/>
      <c r="F136" s="381"/>
      <c r="G136" s="478"/>
      <c r="H136" s="320"/>
      <c r="I136" s="752"/>
      <c r="J136" s="3046"/>
      <c r="K136" s="3685"/>
    </row>
    <row r="137" spans="1:12">
      <c r="A137" s="766"/>
      <c r="B137" s="958"/>
      <c r="C137" s="880"/>
      <c r="D137" s="3457"/>
      <c r="E137" s="142"/>
      <c r="F137" s="381"/>
      <c r="G137" s="477"/>
      <c r="H137" s="74"/>
      <c r="I137" s="431"/>
      <c r="J137" s="3670"/>
      <c r="K137" s="3675"/>
    </row>
    <row r="138" spans="1:12">
      <c r="A138" s="406"/>
      <c r="B138" s="3361"/>
      <c r="C138" s="966"/>
      <c r="D138" s="196"/>
      <c r="E138" s="142"/>
      <c r="F138" s="381"/>
      <c r="G138" s="477"/>
      <c r="H138" s="74"/>
      <c r="I138" s="431"/>
      <c r="J138" s="3686"/>
      <c r="K138" s="3667"/>
    </row>
    <row r="139" spans="1:12">
      <c r="A139" s="406"/>
      <c r="B139" s="770"/>
      <c r="C139" s="966"/>
      <c r="D139" s="339"/>
      <c r="E139" s="142"/>
      <c r="F139" s="2421"/>
      <c r="G139" s="477"/>
      <c r="H139" s="74"/>
      <c r="I139" s="431"/>
      <c r="J139" s="3686"/>
      <c r="K139" s="3667"/>
    </row>
    <row r="140" spans="1:12">
      <c r="A140" s="406"/>
      <c r="B140" s="2459"/>
      <c r="C140" s="880"/>
      <c r="D140" s="321"/>
      <c r="E140" s="142"/>
      <c r="F140" s="381"/>
      <c r="G140" s="478"/>
      <c r="H140" s="224"/>
      <c r="I140" s="505"/>
      <c r="J140" s="3046"/>
      <c r="K140" s="3687"/>
    </row>
    <row r="141" spans="1:12">
      <c r="A141" s="438"/>
      <c r="B141" s="43"/>
      <c r="C141" s="207"/>
      <c r="D141" s="3457"/>
      <c r="E141" s="100"/>
      <c r="F141" s="381"/>
      <c r="G141" s="478"/>
      <c r="H141" s="74"/>
      <c r="I141" s="431"/>
      <c r="J141" s="586"/>
      <c r="K141" s="526"/>
    </row>
    <row r="142" spans="1:12">
      <c r="A142" s="254"/>
      <c r="B142" s="1000"/>
      <c r="C142" s="341"/>
      <c r="D142" s="413"/>
      <c r="E142" s="142"/>
      <c r="F142" s="381"/>
      <c r="G142" s="312"/>
      <c r="H142" s="341"/>
      <c r="I142" s="553"/>
      <c r="J142" s="3046"/>
      <c r="K142" s="3687"/>
      <c r="L142" s="75"/>
    </row>
    <row r="143" spans="1:12">
      <c r="A143" s="398"/>
      <c r="B143" s="1000"/>
      <c r="C143" s="341"/>
      <c r="D143" s="413"/>
      <c r="E143" s="142"/>
      <c r="F143" s="381"/>
      <c r="G143" s="312"/>
      <c r="H143" s="341"/>
      <c r="I143" s="553"/>
      <c r="J143" s="3046"/>
      <c r="K143" s="3687"/>
      <c r="L143" s="75"/>
    </row>
    <row r="144" spans="1:12">
      <c r="A144" s="83"/>
      <c r="B144" s="43"/>
      <c r="C144" s="101"/>
      <c r="D144" s="322"/>
      <c r="E144" s="838"/>
      <c r="F144" s="767"/>
      <c r="G144" s="206"/>
      <c r="H144" s="74"/>
      <c r="I144" s="562"/>
      <c r="J144" s="547"/>
      <c r="K144" s="550"/>
    </row>
    <row r="145" spans="1:12" ht="32.25" customHeight="1">
      <c r="A145" s="44"/>
      <c r="B145" s="45"/>
      <c r="C145" s="46"/>
      <c r="D145" s="124"/>
      <c r="F145" s="104"/>
      <c r="H145" s="45"/>
      <c r="I145" s="556"/>
      <c r="K145" s="537">
        <v>5</v>
      </c>
    </row>
    <row r="146" spans="1:12">
      <c r="A146" s="45" t="s">
        <v>0</v>
      </c>
      <c r="B146" s="45"/>
      <c r="C146" s="68"/>
      <c r="D146" s="612"/>
      <c r="F146" s="104"/>
      <c r="H146" s="45"/>
      <c r="I146" s="556"/>
      <c r="L146" s="45"/>
    </row>
    <row r="147" spans="1:12" s="45" customFormat="1">
      <c r="A147" s="3480" t="s">
        <v>1</v>
      </c>
      <c r="B147" s="3480"/>
      <c r="C147" s="46"/>
      <c r="D147" s="124"/>
      <c r="E147" s="335"/>
      <c r="F147" s="104"/>
      <c r="G147" s="210"/>
      <c r="I147" s="556"/>
      <c r="J147" s="540"/>
      <c r="K147" s="366"/>
    </row>
    <row r="148" spans="1:12" ht="18.75" customHeight="1" thickBot="1">
      <c r="F148" s="104"/>
    </row>
    <row r="149" spans="1:12">
      <c r="A149" s="3481" t="s">
        <v>2</v>
      </c>
      <c r="B149" s="3482"/>
      <c r="C149" s="48" t="s">
        <v>3</v>
      </c>
      <c r="D149" s="436" t="s">
        <v>4</v>
      </c>
      <c r="E149" s="849" t="s">
        <v>5</v>
      </c>
      <c r="F149" s="849" t="s">
        <v>5</v>
      </c>
      <c r="G149" s="211" t="s">
        <v>6</v>
      </c>
      <c r="H149" s="48" t="s">
        <v>7</v>
      </c>
      <c r="I149" s="557" t="s">
        <v>8</v>
      </c>
      <c r="J149" s="541" t="s">
        <v>9</v>
      </c>
      <c r="K149" s="346" t="s">
        <v>9</v>
      </c>
      <c r="L149" s="46"/>
    </row>
    <row r="150" spans="1:12" ht="35.25" thickBot="1">
      <c r="A150" s="51"/>
      <c r="B150" s="72"/>
      <c r="C150" s="50"/>
      <c r="D150" s="437" t="s">
        <v>10</v>
      </c>
      <c r="E150" s="850" t="s">
        <v>11</v>
      </c>
      <c r="F150" s="850" t="s">
        <v>12</v>
      </c>
      <c r="G150" s="212"/>
      <c r="H150" s="50" t="s">
        <v>13</v>
      </c>
      <c r="I150" s="558"/>
      <c r="J150" s="542" t="s">
        <v>14</v>
      </c>
      <c r="K150" s="347" t="s">
        <v>15</v>
      </c>
      <c r="L150" s="46"/>
    </row>
    <row r="151" spans="1:12" ht="38.25">
      <c r="A151" s="1269"/>
      <c r="B151" s="781"/>
      <c r="C151" s="3500"/>
      <c r="D151" s="3501"/>
      <c r="E151" s="142"/>
      <c r="F151" s="381"/>
      <c r="G151" s="478"/>
      <c r="H151" s="320"/>
      <c r="I151" s="3469"/>
      <c r="J151" s="3046"/>
      <c r="K151" s="3685"/>
    </row>
    <row r="152" spans="1:12">
      <c r="A152" s="662"/>
      <c r="B152" s="1336" t="s">
        <v>1021</v>
      </c>
      <c r="C152" s="341" t="s">
        <v>192</v>
      </c>
      <c r="D152" s="322" t="s">
        <v>309</v>
      </c>
      <c r="E152" s="142">
        <v>32</v>
      </c>
      <c r="F152" s="381">
        <v>300</v>
      </c>
      <c r="G152" s="478" t="s">
        <v>1022</v>
      </c>
      <c r="H152" s="320">
        <v>280</v>
      </c>
      <c r="I152" s="752" t="s">
        <v>1023</v>
      </c>
      <c r="J152" s="3046">
        <v>284.5</v>
      </c>
      <c r="K152" s="3685">
        <v>28.5</v>
      </c>
    </row>
    <row r="153" spans="1:12">
      <c r="A153" s="43"/>
      <c r="B153" s="958"/>
      <c r="C153" s="880"/>
      <c r="D153" s="3457"/>
      <c r="E153" s="142"/>
      <c r="F153" s="381"/>
      <c r="G153" s="477"/>
      <c r="H153" s="74"/>
      <c r="I153" s="431"/>
      <c r="J153" s="3670"/>
      <c r="K153" s="3675"/>
    </row>
    <row r="154" spans="1:12">
      <c r="A154" s="43"/>
      <c r="B154" s="996" t="s">
        <v>1024</v>
      </c>
      <c r="C154" s="320"/>
      <c r="D154" s="3457"/>
      <c r="E154" s="142"/>
      <c r="F154" s="381"/>
      <c r="G154" s="477"/>
      <c r="H154" s="74"/>
      <c r="I154" s="431"/>
      <c r="J154" s="3670"/>
      <c r="K154" s="3675"/>
    </row>
    <row r="155" spans="1:12">
      <c r="A155" s="662"/>
      <c r="B155" s="2459" t="s">
        <v>1025</v>
      </c>
      <c r="C155" s="880" t="s">
        <v>565</v>
      </c>
      <c r="D155" s="321" t="s">
        <v>309</v>
      </c>
      <c r="E155" s="142">
        <v>32</v>
      </c>
      <c r="F155" s="381">
        <v>300</v>
      </c>
      <c r="G155" s="478" t="s">
        <v>1026</v>
      </c>
      <c r="H155" s="224"/>
      <c r="I155" s="505"/>
      <c r="J155" s="3046">
        <v>275</v>
      </c>
      <c r="K155" s="3687">
        <v>27.5</v>
      </c>
    </row>
    <row r="156" spans="1:12">
      <c r="A156" s="662"/>
      <c r="B156" s="2459" t="s">
        <v>1027</v>
      </c>
      <c r="C156" s="880" t="s">
        <v>565</v>
      </c>
      <c r="D156" s="321" t="s">
        <v>309</v>
      </c>
      <c r="E156" s="142">
        <v>32</v>
      </c>
      <c r="F156" s="381">
        <v>300</v>
      </c>
      <c r="G156" s="478" t="s">
        <v>1026</v>
      </c>
      <c r="H156" s="224"/>
      <c r="I156" s="505"/>
      <c r="J156" s="3046">
        <v>275</v>
      </c>
      <c r="K156" s="3687">
        <v>27.5</v>
      </c>
    </row>
    <row r="157" spans="1:12">
      <c r="A157" s="43"/>
      <c r="B157" s="781" t="s">
        <v>1028</v>
      </c>
      <c r="C157" s="207"/>
      <c r="D157" s="3457"/>
      <c r="E157" s="100"/>
      <c r="F157" s="381"/>
      <c r="G157" s="478"/>
      <c r="H157" s="74"/>
      <c r="I157" s="431"/>
      <c r="J157" s="586"/>
      <c r="K157" s="526"/>
    </row>
    <row r="158" spans="1:12">
      <c r="A158" s="662"/>
      <c r="B158" s="1000" t="s">
        <v>1029</v>
      </c>
      <c r="C158" s="341" t="s">
        <v>192</v>
      </c>
      <c r="D158" s="413" t="s">
        <v>309</v>
      </c>
      <c r="E158" s="142" t="s">
        <v>1030</v>
      </c>
      <c r="F158" s="381" t="s">
        <v>1031</v>
      </c>
      <c r="G158" s="312" t="s">
        <v>1032</v>
      </c>
      <c r="H158" s="341">
        <v>275</v>
      </c>
      <c r="I158" s="553" t="s">
        <v>1033</v>
      </c>
      <c r="J158" s="3046">
        <v>282</v>
      </c>
      <c r="K158" s="3687">
        <v>28.2</v>
      </c>
    </row>
    <row r="159" spans="1:12">
      <c r="A159" s="81"/>
      <c r="B159" s="1000" t="s">
        <v>1029</v>
      </c>
      <c r="C159" s="341" t="s">
        <v>1034</v>
      </c>
      <c r="D159" s="413" t="s">
        <v>317</v>
      </c>
      <c r="E159" s="142" t="s">
        <v>1035</v>
      </c>
      <c r="F159" s="381" t="s">
        <v>1036</v>
      </c>
      <c r="G159" s="312" t="s">
        <v>1037</v>
      </c>
      <c r="H159" s="341">
        <v>285</v>
      </c>
      <c r="I159" s="553" t="s">
        <v>1033</v>
      </c>
      <c r="J159" s="3046">
        <v>292</v>
      </c>
      <c r="K159" s="3687">
        <v>29.2</v>
      </c>
    </row>
    <row r="160" spans="1:12">
      <c r="A160" s="43"/>
      <c r="B160" s="43"/>
      <c r="C160" s="1144"/>
      <c r="D160" s="1145"/>
      <c r="E160" s="84"/>
      <c r="F160" s="856"/>
      <c r="G160" s="2469"/>
      <c r="H160" s="505"/>
      <c r="I160" s="586"/>
      <c r="J160" s="365"/>
      <c r="K160" s="526"/>
    </row>
    <row r="161" spans="1:11">
      <c r="A161" s="43"/>
      <c r="B161" s="781" t="s">
        <v>1038</v>
      </c>
      <c r="C161" s="3500" t="s">
        <v>1039</v>
      </c>
      <c r="D161" s="3501"/>
      <c r="E161" s="142"/>
      <c r="F161" s="381"/>
      <c r="G161" s="478"/>
      <c r="H161" s="320"/>
      <c r="I161" s="3469"/>
      <c r="J161" s="3046"/>
      <c r="K161" s="3685"/>
    </row>
    <row r="162" spans="1:11">
      <c r="A162" s="406"/>
      <c r="B162" s="1336" t="s">
        <v>1021</v>
      </c>
      <c r="C162" s="341" t="s">
        <v>192</v>
      </c>
      <c r="D162" s="322" t="s">
        <v>309</v>
      </c>
      <c r="E162" s="142">
        <v>32</v>
      </c>
      <c r="F162" s="381">
        <v>300</v>
      </c>
      <c r="G162" s="478" t="s">
        <v>1022</v>
      </c>
      <c r="H162" s="320">
        <v>280</v>
      </c>
      <c r="I162" s="752" t="s">
        <v>1023</v>
      </c>
      <c r="J162" s="3046">
        <v>284.5</v>
      </c>
      <c r="K162" s="3685">
        <v>28.5</v>
      </c>
    </row>
    <row r="163" spans="1:11">
      <c r="A163" s="43"/>
      <c r="B163" s="43"/>
      <c r="C163" s="3457"/>
      <c r="D163" s="1007"/>
      <c r="E163" s="84"/>
      <c r="F163" s="856"/>
      <c r="G163" s="2469"/>
      <c r="H163" s="505"/>
      <c r="I163" s="586"/>
      <c r="J163" s="365"/>
      <c r="K163" s="526"/>
    </row>
    <row r="164" spans="1:11">
      <c r="A164" s="1150"/>
      <c r="B164" s="1150"/>
      <c r="C164" s="3457"/>
      <c r="D164" s="1007"/>
      <c r="E164" s="84"/>
      <c r="F164" s="856"/>
      <c r="G164" s="2469"/>
      <c r="H164" s="505"/>
      <c r="I164" s="586"/>
      <c r="J164" s="365"/>
      <c r="K164" s="526"/>
    </row>
    <row r="165" spans="1:11" ht="35.25" thickBot="1">
      <c r="A165" s="1922"/>
      <c r="B165" s="1922"/>
      <c r="C165" s="1913"/>
      <c r="D165" s="1933"/>
      <c r="E165" s="1934"/>
      <c r="F165" s="1935"/>
      <c r="G165" s="2470"/>
      <c r="H165" s="2471"/>
      <c r="I165" s="1937"/>
      <c r="J165" s="1938"/>
      <c r="K165" s="1939"/>
    </row>
    <row r="166" spans="1:11" ht="35.25" thickTop="1">
      <c r="A166" s="1150"/>
      <c r="B166" s="996" t="s">
        <v>1040</v>
      </c>
      <c r="C166" s="966"/>
      <c r="D166" s="196"/>
      <c r="E166" s="142"/>
      <c r="F166" s="381"/>
      <c r="G166" s="477"/>
      <c r="H166" s="74"/>
      <c r="I166" s="431"/>
      <c r="J166" s="3686"/>
      <c r="K166" s="3667"/>
    </row>
    <row r="167" spans="1:11">
      <c r="A167" s="788"/>
      <c r="B167" s="770" t="s">
        <v>1041</v>
      </c>
      <c r="C167" s="966" t="s">
        <v>284</v>
      </c>
      <c r="D167" s="339" t="s">
        <v>1042</v>
      </c>
      <c r="E167" s="142" t="s">
        <v>1043</v>
      </c>
      <c r="F167" s="2421" t="s">
        <v>1044</v>
      </c>
      <c r="G167" s="477" t="s">
        <v>1045</v>
      </c>
      <c r="H167" s="74">
        <v>1125</v>
      </c>
      <c r="I167" s="431" t="s">
        <v>1046</v>
      </c>
      <c r="J167" s="3686" t="s">
        <v>1047</v>
      </c>
      <c r="K167" s="3667" t="s">
        <v>1048</v>
      </c>
    </row>
    <row r="168" spans="1:11" ht="35.25" thickBot="1">
      <c r="A168" s="1922"/>
      <c r="B168" s="1922"/>
      <c r="C168" s="1913"/>
      <c r="D168" s="1007"/>
      <c r="E168" s="1934"/>
      <c r="F168" s="1935"/>
      <c r="G168" s="2472"/>
      <c r="H168" s="1479"/>
      <c r="I168" s="432"/>
      <c r="J168" s="702"/>
      <c r="K168" s="1148"/>
    </row>
    <row r="169" spans="1:11" ht="35.25" thickTop="1">
      <c r="A169" s="770"/>
      <c r="B169" s="770"/>
      <c r="C169" s="1144"/>
      <c r="D169" s="1145"/>
      <c r="E169" s="1931"/>
      <c r="F169" s="1932"/>
      <c r="G169" s="1684"/>
      <c r="H169" s="1479"/>
      <c r="I169" s="432"/>
      <c r="J169" s="370"/>
      <c r="K169" s="369"/>
    </row>
    <row r="170" spans="1:11">
      <c r="A170" s="81"/>
      <c r="B170" s="81"/>
      <c r="C170" s="3457"/>
      <c r="D170" s="1007"/>
      <c r="E170" s="84"/>
      <c r="F170" s="856"/>
      <c r="G170" s="477"/>
      <c r="H170" s="74"/>
      <c r="I170" s="431"/>
      <c r="J170" s="734"/>
      <c r="K170" s="365"/>
    </row>
    <row r="171" spans="1:11">
      <c r="A171" s="81"/>
      <c r="B171" s="81"/>
      <c r="C171" s="3457"/>
      <c r="D171" s="1007"/>
      <c r="E171" s="84"/>
      <c r="F171" s="856"/>
      <c r="G171" s="477"/>
      <c r="H171" s="74"/>
      <c r="I171" s="431"/>
      <c r="J171" s="734"/>
      <c r="K171" s="365"/>
    </row>
    <row r="172" spans="1:11" ht="35.25" thickBot="1">
      <c r="A172" s="1905"/>
      <c r="B172" s="1905"/>
      <c r="C172" s="1913"/>
      <c r="D172" s="1933"/>
      <c r="E172" s="1934"/>
      <c r="F172" s="1935"/>
      <c r="G172" s="1908"/>
      <c r="H172" s="1909"/>
      <c r="I172" s="1915"/>
      <c r="J172" s="3660"/>
      <c r="K172" s="1938"/>
    </row>
    <row r="173" spans="1:11" ht="35.25" thickTop="1">
      <c r="A173" s="43"/>
      <c r="B173" s="43"/>
      <c r="C173" s="1144"/>
      <c r="D173" s="1145"/>
      <c r="E173" s="1931"/>
      <c r="F173" s="1932"/>
      <c r="G173" s="1072"/>
      <c r="H173" s="82"/>
      <c r="I173" s="432"/>
      <c r="J173" s="370"/>
      <c r="K173" s="369"/>
    </row>
    <row r="174" spans="1:11">
      <c r="A174" s="43"/>
      <c r="B174" s="43"/>
      <c r="C174" s="1144"/>
      <c r="D174" s="1145"/>
      <c r="E174" s="1931"/>
      <c r="F174" s="1932"/>
      <c r="G174" s="1072"/>
      <c r="H174" s="82"/>
      <c r="I174" s="432"/>
      <c r="J174" s="370"/>
      <c r="K174" s="369"/>
    </row>
    <row r="175" spans="1:11">
      <c r="A175" s="81"/>
      <c r="B175" s="81"/>
      <c r="C175" s="3457"/>
      <c r="D175" s="1007"/>
      <c r="E175" s="84"/>
      <c r="F175" s="856"/>
      <c r="G175" s="477"/>
      <c r="H175" s="74"/>
      <c r="I175" s="432"/>
      <c r="J175" s="734"/>
      <c r="K175" s="365"/>
    </row>
    <row r="176" spans="1:11">
      <c r="A176" s="81"/>
      <c r="B176" s="81"/>
      <c r="C176" s="3457"/>
      <c r="D176" s="1007"/>
      <c r="E176" s="84"/>
      <c r="F176" s="856"/>
      <c r="G176" s="477"/>
      <c r="H176" s="74"/>
      <c r="I176" s="432"/>
      <c r="J176" s="734"/>
      <c r="K176" s="365"/>
    </row>
    <row r="177" spans="1:12">
      <c r="A177" s="770"/>
      <c r="B177" s="770"/>
      <c r="C177" s="1144"/>
      <c r="D177" s="1145"/>
      <c r="E177" s="1931"/>
      <c r="F177" s="1932"/>
      <c r="G177" s="1072"/>
      <c r="H177" s="82"/>
      <c r="I177" s="432"/>
      <c r="J177" s="82"/>
      <c r="K177" s="369"/>
    </row>
    <row r="178" spans="1:12">
      <c r="A178" s="770"/>
      <c r="B178" s="770"/>
      <c r="C178" s="1144"/>
      <c r="D178" s="1145"/>
      <c r="E178" s="1931"/>
      <c r="F178" s="1932"/>
      <c r="G178" s="1072"/>
      <c r="H178" s="82"/>
      <c r="I178" s="432"/>
      <c r="J178" s="82"/>
      <c r="K178" s="369"/>
    </row>
    <row r="179" spans="1:12">
      <c r="A179" s="770"/>
      <c r="B179" s="770"/>
      <c r="C179" s="1144"/>
      <c r="D179" s="1145"/>
      <c r="E179" s="1931"/>
      <c r="F179" s="1932"/>
      <c r="G179" s="1072"/>
      <c r="H179" s="82"/>
      <c r="I179" s="432"/>
      <c r="J179" s="82"/>
      <c r="K179" s="369"/>
    </row>
    <row r="180" spans="1:12">
      <c r="A180" s="770"/>
      <c r="B180" s="770"/>
      <c r="C180" s="1144"/>
      <c r="D180" s="1145"/>
      <c r="E180" s="1931"/>
      <c r="F180" s="1932"/>
      <c r="G180" s="1072"/>
      <c r="H180" s="82"/>
      <c r="I180" s="432"/>
      <c r="J180" s="82"/>
      <c r="K180" s="369"/>
    </row>
    <row r="181" spans="1:12" ht="26.25" customHeight="1">
      <c r="A181" s="44"/>
      <c r="B181" s="45"/>
      <c r="C181" s="46"/>
      <c r="D181" s="124"/>
      <c r="F181" s="104"/>
      <c r="H181" s="45"/>
      <c r="I181" s="556"/>
      <c r="K181" s="492">
        <v>6</v>
      </c>
    </row>
    <row r="182" spans="1:12">
      <c r="A182" s="45"/>
      <c r="B182" s="45"/>
      <c r="C182" s="68"/>
      <c r="D182" s="612"/>
      <c r="F182" s="104"/>
      <c r="H182" s="45"/>
      <c r="I182" s="556"/>
      <c r="L182" s="45"/>
    </row>
    <row r="183" spans="1:12" s="45" customFormat="1">
      <c r="A183" s="3480"/>
      <c r="B183" s="3480"/>
      <c r="C183" s="46"/>
      <c r="D183" s="124"/>
      <c r="E183" s="335"/>
      <c r="F183" s="104"/>
      <c r="G183" s="210"/>
      <c r="I183" s="556"/>
      <c r="J183" s="540"/>
      <c r="K183" s="366"/>
    </row>
    <row r="184" spans="1:12" ht="34.9" customHeight="1">
      <c r="F184" s="104"/>
    </row>
    <row r="185" spans="1:12">
      <c r="A185" s="45" t="s">
        <v>0</v>
      </c>
      <c r="B185" s="45"/>
      <c r="C185" s="68"/>
      <c r="D185" s="612"/>
      <c r="F185" s="104"/>
      <c r="H185" s="45"/>
      <c r="I185" s="556"/>
      <c r="L185" s="46"/>
    </row>
    <row r="186" spans="1:12">
      <c r="A186" s="3480" t="s">
        <v>1</v>
      </c>
      <c r="B186" s="3480"/>
      <c r="C186" s="46"/>
      <c r="D186" s="124"/>
      <c r="F186" s="104"/>
      <c r="H186" s="45"/>
      <c r="I186" s="556"/>
      <c r="L186" s="46"/>
    </row>
    <row r="187" spans="1:12" ht="35.25" thickBot="1">
      <c r="F187" s="104"/>
    </row>
    <row r="188" spans="1:12">
      <c r="A188" s="3481" t="s">
        <v>2</v>
      </c>
      <c r="B188" s="3482"/>
      <c r="C188" s="48" t="s">
        <v>3</v>
      </c>
      <c r="D188" s="436" t="s">
        <v>4</v>
      </c>
      <c r="E188" s="868" t="s">
        <v>5</v>
      </c>
      <c r="F188" s="849" t="s">
        <v>5</v>
      </c>
      <c r="G188" s="211" t="s">
        <v>6</v>
      </c>
      <c r="H188" s="48" t="s">
        <v>7</v>
      </c>
      <c r="I188" s="557" t="s">
        <v>8</v>
      </c>
      <c r="J188" s="541" t="s">
        <v>9</v>
      </c>
      <c r="K188" s="346" t="s">
        <v>9</v>
      </c>
    </row>
    <row r="189" spans="1:12" ht="35.25" thickBot="1">
      <c r="A189" s="51"/>
      <c r="B189" s="72"/>
      <c r="C189" s="50"/>
      <c r="D189" s="437" t="s">
        <v>10</v>
      </c>
      <c r="E189" s="869" t="s">
        <v>12</v>
      </c>
      <c r="F189" s="850" t="s">
        <v>11</v>
      </c>
      <c r="G189" s="212"/>
      <c r="H189" s="50" t="s">
        <v>13</v>
      </c>
      <c r="I189" s="558"/>
      <c r="J189" s="542" t="s">
        <v>14</v>
      </c>
      <c r="K189" s="347" t="s">
        <v>15</v>
      </c>
    </row>
    <row r="190" spans="1:12">
      <c r="A190" s="406"/>
      <c r="B190" s="996" t="s">
        <v>1049</v>
      </c>
      <c r="C190" s="986"/>
      <c r="D190" s="322"/>
      <c r="E190" s="728"/>
      <c r="F190" s="767"/>
      <c r="G190" s="310"/>
      <c r="H190" s="207"/>
      <c r="I190" s="431"/>
      <c r="J190" s="3046"/>
      <c r="K190" s="2303"/>
    </row>
    <row r="191" spans="1:12">
      <c r="A191" s="662"/>
      <c r="B191" s="81" t="s">
        <v>1050</v>
      </c>
      <c r="C191" s="207" t="s">
        <v>192</v>
      </c>
      <c r="D191" s="207" t="s">
        <v>1051</v>
      </c>
      <c r="E191" s="728" t="s">
        <v>1052</v>
      </c>
      <c r="F191" s="767" t="s">
        <v>1053</v>
      </c>
      <c r="G191" s="312"/>
      <c r="H191" s="207" t="s">
        <v>1054</v>
      </c>
      <c r="I191" s="431"/>
      <c r="J191" s="3670">
        <v>558.54</v>
      </c>
      <c r="K191" s="3670">
        <v>22.34</v>
      </c>
    </row>
    <row r="192" spans="1:12">
      <c r="A192" s="406"/>
      <c r="B192" s="750" t="s">
        <v>1055</v>
      </c>
      <c r="C192" s="207" t="s">
        <v>192</v>
      </c>
      <c r="D192" s="207" t="s">
        <v>1051</v>
      </c>
      <c r="E192" s="728" t="s">
        <v>1056</v>
      </c>
      <c r="F192" s="767" t="s">
        <v>1057</v>
      </c>
      <c r="G192" s="1889" t="s">
        <v>1058</v>
      </c>
      <c r="H192" s="341" t="s">
        <v>1059</v>
      </c>
      <c r="I192" s="431" t="s">
        <v>1060</v>
      </c>
      <c r="J192" s="3046" t="s">
        <v>1061</v>
      </c>
      <c r="K192" s="2787">
        <v>27.99</v>
      </c>
    </row>
    <row r="193" spans="1:11">
      <c r="A193" s="406"/>
      <c r="B193" s="81" t="s">
        <v>1062</v>
      </c>
      <c r="C193" s="207" t="s">
        <v>192</v>
      </c>
      <c r="D193" s="207" t="s">
        <v>1063</v>
      </c>
      <c r="E193" s="84" t="s">
        <v>1064</v>
      </c>
      <c r="F193" s="856" t="s">
        <v>1065</v>
      </c>
      <c r="G193" s="2727" t="s">
        <v>836</v>
      </c>
      <c r="H193" s="341" t="s">
        <v>1066</v>
      </c>
      <c r="I193" s="505"/>
      <c r="J193" s="3046" t="s">
        <v>1067</v>
      </c>
      <c r="K193" s="2787">
        <v>35.36</v>
      </c>
    </row>
    <row r="194" spans="1:11">
      <c r="A194" s="43"/>
      <c r="B194" s="362" t="s">
        <v>1068</v>
      </c>
      <c r="C194" s="207" t="s">
        <v>103</v>
      </c>
      <c r="D194" s="322" t="s">
        <v>1069</v>
      </c>
      <c r="E194" s="728" t="s">
        <v>1070</v>
      </c>
      <c r="F194" s="767" t="s">
        <v>1071</v>
      </c>
      <c r="G194" s="1889" t="s">
        <v>1058</v>
      </c>
      <c r="H194" s="207" t="s">
        <v>1072</v>
      </c>
      <c r="I194" s="431"/>
      <c r="J194" s="3670" t="s">
        <v>1073</v>
      </c>
      <c r="K194" s="3683" t="s">
        <v>1074</v>
      </c>
    </row>
    <row r="195" spans="1:11">
      <c r="A195" s="406"/>
      <c r="B195" s="362" t="s">
        <v>1075</v>
      </c>
      <c r="C195" s="207" t="s">
        <v>103</v>
      </c>
      <c r="D195" s="322" t="s">
        <v>1069</v>
      </c>
      <c r="E195" s="84" t="s">
        <v>1076</v>
      </c>
      <c r="F195" s="856" t="s">
        <v>1077</v>
      </c>
      <c r="G195" s="1889" t="s">
        <v>1058</v>
      </c>
      <c r="H195" s="341" t="s">
        <v>1078</v>
      </c>
      <c r="I195" s="505"/>
      <c r="J195" s="3046" t="s">
        <v>1079</v>
      </c>
      <c r="K195" s="3683" t="s">
        <v>1080</v>
      </c>
    </row>
    <row r="196" spans="1:11">
      <c r="A196" s="406"/>
      <c r="B196" s="362" t="s">
        <v>1081</v>
      </c>
      <c r="C196" s="207" t="s">
        <v>192</v>
      </c>
      <c r="D196" s="322" t="s">
        <v>1069</v>
      </c>
      <c r="E196" s="84" t="s">
        <v>1082</v>
      </c>
      <c r="F196" s="856" t="s">
        <v>1083</v>
      </c>
      <c r="G196" s="2765" t="s">
        <v>836</v>
      </c>
      <c r="H196" s="320" t="s">
        <v>1084</v>
      </c>
      <c r="I196" s="431" t="s">
        <v>1085</v>
      </c>
      <c r="J196" s="3046" t="s">
        <v>1086</v>
      </c>
      <c r="K196" s="3385" t="s">
        <v>1087</v>
      </c>
    </row>
    <row r="197" spans="1:11" ht="38.25">
      <c r="A197" s="2462"/>
      <c r="B197" s="750" t="s">
        <v>1088</v>
      </c>
      <c r="C197" s="207" t="s">
        <v>192</v>
      </c>
      <c r="D197" s="207" t="s">
        <v>1069</v>
      </c>
      <c r="E197" s="84"/>
      <c r="F197" s="856"/>
      <c r="G197" s="312"/>
      <c r="H197" s="341"/>
      <c r="I197" s="505"/>
      <c r="J197" s="3046" t="s">
        <v>1089</v>
      </c>
      <c r="K197" s="3385" t="s">
        <v>1090</v>
      </c>
    </row>
    <row r="198" spans="1:11">
      <c r="A198" s="1516"/>
      <c r="B198" s="750" t="s">
        <v>1091</v>
      </c>
      <c r="C198" s="207" t="s">
        <v>192</v>
      </c>
      <c r="D198" s="207" t="s">
        <v>1063</v>
      </c>
      <c r="E198" s="84" t="s">
        <v>1092</v>
      </c>
      <c r="F198" s="856" t="s">
        <v>1093</v>
      </c>
      <c r="G198" s="312"/>
      <c r="H198" s="341"/>
      <c r="I198" s="505"/>
      <c r="J198" s="3046" t="s">
        <v>1094</v>
      </c>
      <c r="K198" s="3385" t="s">
        <v>1095</v>
      </c>
    </row>
    <row r="199" spans="1:11">
      <c r="A199" s="1384"/>
      <c r="B199" s="1336" t="s">
        <v>1096</v>
      </c>
      <c r="C199" s="341" t="s">
        <v>192</v>
      </c>
      <c r="D199" s="207" t="s">
        <v>1069</v>
      </c>
      <c r="E199" s="728"/>
      <c r="F199" s="767"/>
      <c r="G199" s="310"/>
      <c r="H199" s="207"/>
      <c r="I199" s="431"/>
      <c r="J199" s="3046" t="s">
        <v>1097</v>
      </c>
      <c r="K199" s="3385" t="s">
        <v>1098</v>
      </c>
    </row>
    <row r="200" spans="1:11">
      <c r="A200" s="1161"/>
      <c r="B200" s="362" t="s">
        <v>1099</v>
      </c>
      <c r="C200" s="341"/>
      <c r="D200" s="413" t="s">
        <v>1100</v>
      </c>
      <c r="E200" s="142"/>
      <c r="F200" s="381"/>
      <c r="G200" s="312" t="s">
        <v>1058</v>
      </c>
      <c r="H200" s="341" t="s">
        <v>1101</v>
      </c>
      <c r="I200" s="505" t="s">
        <v>1102</v>
      </c>
      <c r="J200" s="3046" t="s">
        <v>1103</v>
      </c>
      <c r="K200" s="2534" t="s">
        <v>1104</v>
      </c>
    </row>
    <row r="201" spans="1:11">
      <c r="A201" s="770"/>
      <c r="B201" s="1000"/>
      <c r="C201" s="341"/>
      <c r="D201" s="413"/>
      <c r="E201" s="142"/>
      <c r="F201" s="381"/>
      <c r="G201" s="312"/>
      <c r="H201" s="341"/>
      <c r="I201" s="553"/>
      <c r="J201" s="3046"/>
      <c r="K201" s="3687"/>
    </row>
    <row r="202" spans="1:11">
      <c r="A202" s="406"/>
      <c r="B202" s="996" t="s">
        <v>1105</v>
      </c>
      <c r="C202" s="986"/>
      <c r="D202" s="322"/>
      <c r="E202" s="728"/>
      <c r="F202" s="767"/>
      <c r="G202" s="310"/>
      <c r="H202" s="207"/>
      <c r="I202" s="431"/>
      <c r="J202" s="3046"/>
      <c r="K202" s="2303"/>
    </row>
    <row r="203" spans="1:11">
      <c r="A203" s="406"/>
      <c r="B203" s="81" t="s">
        <v>1106</v>
      </c>
      <c r="C203" s="207" t="s">
        <v>192</v>
      </c>
      <c r="D203" s="207" t="s">
        <v>1051</v>
      </c>
      <c r="E203" s="3679">
        <v>24</v>
      </c>
      <c r="F203" s="3680" t="s">
        <v>1107</v>
      </c>
      <c r="G203" s="3578" t="s">
        <v>1108</v>
      </c>
      <c r="H203" s="3604">
        <v>510.7</v>
      </c>
      <c r="I203" s="3579"/>
      <c r="J203" s="2357">
        <v>546.45000000000005</v>
      </c>
      <c r="K203" s="2357">
        <v>21.85</v>
      </c>
    </row>
    <row r="204" spans="1:11">
      <c r="A204" s="398"/>
      <c r="B204" s="81" t="s">
        <v>1109</v>
      </c>
      <c r="C204" s="207" t="s">
        <v>192</v>
      </c>
      <c r="D204" s="207" t="s">
        <v>1051</v>
      </c>
      <c r="E204" s="3679">
        <v>25</v>
      </c>
      <c r="F204" s="3680" t="s">
        <v>1107</v>
      </c>
      <c r="G204" s="3681" t="s">
        <v>110</v>
      </c>
      <c r="H204" s="3604">
        <v>556.86</v>
      </c>
      <c r="I204" s="3579"/>
      <c r="J204" s="2357">
        <v>595.84</v>
      </c>
      <c r="K204" s="2357">
        <v>23.83</v>
      </c>
    </row>
    <row r="205" spans="1:11" ht="35.25" thickBot="1">
      <c r="A205" s="1782"/>
      <c r="B205" s="81" t="s">
        <v>1110</v>
      </c>
      <c r="C205" s="207" t="s">
        <v>192</v>
      </c>
      <c r="D205" s="207" t="s">
        <v>1111</v>
      </c>
      <c r="E205" s="3679">
        <v>24</v>
      </c>
      <c r="F205" s="3680" t="s">
        <v>1107</v>
      </c>
      <c r="G205" s="3578" t="s">
        <v>1112</v>
      </c>
      <c r="H205" s="3604">
        <v>510.7</v>
      </c>
      <c r="I205" s="3579"/>
      <c r="J205" s="2357">
        <v>550</v>
      </c>
      <c r="K205" s="2357">
        <v>22</v>
      </c>
    </row>
    <row r="206" spans="1:11">
      <c r="A206" s="1019"/>
      <c r="B206" s="81" t="s">
        <v>1113</v>
      </c>
      <c r="C206" s="63"/>
      <c r="D206" s="462" t="s">
        <v>957</v>
      </c>
      <c r="E206" s="1409">
        <v>19</v>
      </c>
      <c r="F206" s="121"/>
      <c r="G206" s="206" t="s">
        <v>1114</v>
      </c>
      <c r="H206" s="115">
        <v>607.48</v>
      </c>
      <c r="I206" s="185"/>
      <c r="J206" s="311">
        <v>650</v>
      </c>
      <c r="K206" s="1408">
        <v>16.25</v>
      </c>
    </row>
    <row r="207" spans="1:11">
      <c r="A207" s="438"/>
      <c r="B207" s="81" t="s">
        <v>1115</v>
      </c>
      <c r="C207" s="3574"/>
      <c r="D207" s="3610" t="s">
        <v>390</v>
      </c>
      <c r="E207" s="3682"/>
      <c r="F207" s="3634"/>
      <c r="G207" s="3578"/>
      <c r="H207" s="3604"/>
      <c r="I207" s="3579"/>
      <c r="J207" s="2357" t="s">
        <v>1116</v>
      </c>
      <c r="K207" s="2357" t="s">
        <v>1117</v>
      </c>
    </row>
    <row r="208" spans="1:11">
      <c r="A208" s="254"/>
      <c r="B208" s="996" t="s">
        <v>1118</v>
      </c>
      <c r="C208" s="986"/>
      <c r="D208" s="413"/>
      <c r="E208" s="831"/>
      <c r="F208" s="852"/>
      <c r="G208" s="312"/>
      <c r="H208" s="341"/>
      <c r="I208" s="505"/>
      <c r="J208" s="3046"/>
      <c r="K208" s="2304"/>
    </row>
    <row r="209" spans="1:12">
      <c r="A209" s="398"/>
      <c r="B209" s="1009" t="s">
        <v>1068</v>
      </c>
      <c r="C209" s="207" t="s">
        <v>1119</v>
      </c>
      <c r="D209" s="322" t="s">
        <v>1120</v>
      </c>
      <c r="E209" s="728"/>
      <c r="F209" s="767"/>
      <c r="G209" s="310" t="s">
        <v>1121</v>
      </c>
      <c r="H209" s="207" t="s">
        <v>1122</v>
      </c>
      <c r="I209" s="431"/>
      <c r="J209" s="3670" t="s">
        <v>1123</v>
      </c>
      <c r="K209" s="3675" t="s">
        <v>1124</v>
      </c>
    </row>
    <row r="210" spans="1:12">
      <c r="A210" s="782"/>
      <c r="B210" s="880"/>
      <c r="C210" s="207"/>
      <c r="D210" s="959"/>
      <c r="E210" s="298"/>
      <c r="F210" s="381"/>
      <c r="G210" s="478"/>
      <c r="H210" s="74"/>
      <c r="I210" s="431"/>
      <c r="J210" s="647"/>
      <c r="K210" s="780"/>
    </row>
    <row r="211" spans="1:12">
      <c r="A211" s="663"/>
      <c r="B211" s="1006"/>
      <c r="C211" s="877"/>
      <c r="D211" s="1619"/>
      <c r="E211" s="142"/>
      <c r="F211" s="381"/>
      <c r="G211" s="1616"/>
      <c r="H211" s="971"/>
      <c r="I211" s="506"/>
      <c r="J211" s="1620"/>
      <c r="K211" s="2384"/>
    </row>
    <row r="212" spans="1:12">
      <c r="A212" s="766"/>
      <c r="B212" s="766"/>
      <c r="C212" s="207"/>
      <c r="D212" s="322"/>
      <c r="E212" s="60"/>
      <c r="F212" s="381"/>
      <c r="G212" s="312"/>
      <c r="H212" s="150"/>
      <c r="I212" s="431"/>
      <c r="J212" s="586"/>
      <c r="K212" s="365"/>
    </row>
    <row r="213" spans="1:12">
      <c r="A213" s="406"/>
      <c r="B213" s="1000"/>
      <c r="C213" s="207"/>
      <c r="D213" s="3457"/>
      <c r="E213" s="142"/>
      <c r="F213" s="381"/>
      <c r="G213" s="478"/>
      <c r="H213" s="101"/>
      <c r="I213" s="600"/>
      <c r="J213" s="586"/>
      <c r="K213" s="527"/>
    </row>
    <row r="214" spans="1:12">
      <c r="A214" s="406"/>
      <c r="B214" s="770"/>
      <c r="C214" s="207"/>
      <c r="D214" s="3457"/>
      <c r="E214" s="142"/>
      <c r="F214" s="381"/>
      <c r="G214" s="478"/>
      <c r="H214" s="101"/>
      <c r="I214" s="339"/>
      <c r="J214" s="586"/>
      <c r="K214" s="526"/>
    </row>
    <row r="215" spans="1:12">
      <c r="A215" s="406"/>
      <c r="B215" s="770"/>
      <c r="C215" s="207"/>
      <c r="D215" s="3457"/>
      <c r="E215" s="100"/>
      <c r="F215" s="381"/>
      <c r="G215" s="478"/>
      <c r="H215" s="101"/>
      <c r="I215" s="600"/>
      <c r="J215" s="586"/>
      <c r="K215" s="526"/>
    </row>
    <row r="216" spans="1:12">
      <c r="A216" s="438"/>
      <c r="B216" s="406"/>
      <c r="C216" s="207"/>
      <c r="D216" s="3457"/>
      <c r="E216" s="100"/>
      <c r="F216" s="381"/>
      <c r="G216" s="478"/>
      <c r="H216" s="74"/>
      <c r="I216" s="431"/>
      <c r="J216" s="586"/>
      <c r="K216" s="526"/>
    </row>
    <row r="217" spans="1:12" ht="33" customHeight="1">
      <c r="A217" s="254"/>
      <c r="B217" s="43"/>
      <c r="C217" s="101"/>
      <c r="D217" s="342"/>
      <c r="E217" s="871"/>
      <c r="F217" s="767"/>
      <c r="G217" s="206"/>
      <c r="H217" s="74"/>
      <c r="I217" s="560"/>
      <c r="J217" s="603"/>
      <c r="K217" s="378"/>
    </row>
    <row r="218" spans="1:12">
      <c r="A218" s="398"/>
      <c r="B218" s="406"/>
      <c r="C218" s="101"/>
      <c r="D218" s="342"/>
      <c r="E218" s="767"/>
      <c r="F218" s="767"/>
      <c r="G218" s="206"/>
      <c r="H218" s="74"/>
      <c r="I218" s="560"/>
      <c r="J218" s="547"/>
      <c r="K218" s="365"/>
      <c r="L218" s="45"/>
    </row>
    <row r="219" spans="1:12" s="45" customFormat="1">
      <c r="A219" s="83"/>
      <c r="B219" s="43"/>
      <c r="C219" s="101"/>
      <c r="D219" s="322"/>
      <c r="E219" s="838"/>
      <c r="F219" s="767"/>
      <c r="G219" s="206"/>
      <c r="H219" s="74"/>
      <c r="I219" s="562"/>
      <c r="J219" s="547"/>
      <c r="K219" s="550"/>
    </row>
    <row r="220" spans="1:12" ht="22.5" customHeight="1" thickBot="1">
      <c r="F220" s="104"/>
      <c r="K220" s="732"/>
    </row>
    <row r="221" spans="1:12">
      <c r="A221" s="3445"/>
      <c r="B221" s="3446" t="s">
        <v>2</v>
      </c>
      <c r="C221" s="48" t="s">
        <v>3</v>
      </c>
      <c r="D221" s="436" t="s">
        <v>4</v>
      </c>
      <c r="E221" s="868" t="s">
        <v>5</v>
      </c>
      <c r="F221" s="849" t="s">
        <v>5</v>
      </c>
      <c r="G221" s="211" t="s">
        <v>6</v>
      </c>
      <c r="H221" s="48" t="s">
        <v>7</v>
      </c>
      <c r="I221" s="557" t="s">
        <v>8</v>
      </c>
      <c r="J221" s="573" t="s">
        <v>9</v>
      </c>
      <c r="K221" s="346" t="s">
        <v>9</v>
      </c>
      <c r="L221" s="46"/>
    </row>
    <row r="222" spans="1:12" ht="35.25" thickBot="1">
      <c r="A222" s="51"/>
      <c r="B222" s="72"/>
      <c r="C222" s="50"/>
      <c r="D222" s="437" t="s">
        <v>10</v>
      </c>
      <c r="E222" s="869" t="s">
        <v>11</v>
      </c>
      <c r="F222" s="850" t="s">
        <v>12</v>
      </c>
      <c r="G222" s="212"/>
      <c r="H222" s="50" t="s">
        <v>13</v>
      </c>
      <c r="I222" s="558"/>
      <c r="J222" s="574" t="s">
        <v>14</v>
      </c>
      <c r="K222" s="347" t="s">
        <v>15</v>
      </c>
      <c r="L222" s="46"/>
    </row>
    <row r="223" spans="1:12">
      <c r="A223" s="2774"/>
      <c r="B223" s="3361"/>
      <c r="C223" s="2781"/>
      <c r="D223" s="322"/>
      <c r="E223" s="728"/>
      <c r="F223" s="767"/>
      <c r="G223" s="310"/>
      <c r="H223" s="207"/>
      <c r="I223" s="431"/>
      <c r="J223" s="3046"/>
      <c r="K223" s="2303"/>
    </row>
    <row r="224" spans="1:12">
      <c r="A224" s="315"/>
      <c r="B224" s="81"/>
      <c r="C224" s="207"/>
      <c r="D224" s="207"/>
      <c r="E224" s="728"/>
      <c r="F224" s="767"/>
      <c r="G224" s="312"/>
      <c r="H224" s="207"/>
      <c r="I224" s="431"/>
      <c r="J224" s="3670"/>
      <c r="K224" s="3670"/>
    </row>
    <row r="225" spans="1:11">
      <c r="A225" s="438"/>
      <c r="B225" s="750"/>
      <c r="C225" s="207"/>
      <c r="D225" s="207"/>
      <c r="E225" s="728"/>
      <c r="F225" s="767"/>
      <c r="G225" s="2797"/>
      <c r="H225" s="341"/>
      <c r="I225" s="431"/>
      <c r="J225" s="3046"/>
      <c r="K225" s="2787"/>
    </row>
    <row r="226" spans="1:11">
      <c r="A226" s="438"/>
      <c r="B226" s="81"/>
      <c r="C226" s="207"/>
      <c r="D226" s="207"/>
      <c r="E226" s="84"/>
      <c r="F226" s="856"/>
      <c r="G226" s="2797"/>
      <c r="H226" s="341"/>
      <c r="I226" s="505"/>
      <c r="J226" s="3046"/>
      <c r="K226" s="2787"/>
    </row>
    <row r="227" spans="1:11">
      <c r="A227" s="221"/>
      <c r="B227" s="362"/>
      <c r="C227" s="207"/>
      <c r="D227" s="322"/>
      <c r="E227" s="728"/>
      <c r="F227" s="767"/>
      <c r="G227" s="2797"/>
      <c r="H227" s="207"/>
      <c r="I227" s="431"/>
      <c r="J227" s="3670"/>
      <c r="K227" s="3683"/>
    </row>
    <row r="228" spans="1:11">
      <c r="A228" s="3684"/>
      <c r="B228" s="362"/>
      <c r="C228" s="207"/>
      <c r="D228" s="322"/>
      <c r="E228" s="84"/>
      <c r="F228" s="856"/>
      <c r="G228" s="2797"/>
      <c r="H228" s="341"/>
      <c r="I228" s="505"/>
      <c r="J228" s="3046"/>
      <c r="K228" s="3683"/>
    </row>
    <row r="229" spans="1:11">
      <c r="A229" s="330"/>
      <c r="B229" s="362"/>
      <c r="C229" s="207"/>
      <c r="D229" s="322"/>
      <c r="E229" s="84"/>
      <c r="F229" s="856"/>
      <c r="G229" s="2726"/>
      <c r="H229" s="320"/>
      <c r="I229" s="431"/>
      <c r="J229" s="3046"/>
      <c r="K229" s="3385"/>
    </row>
    <row r="230" spans="1:11">
      <c r="A230" s="221"/>
      <c r="B230" s="750"/>
      <c r="C230" s="207"/>
      <c r="D230" s="207"/>
      <c r="E230" s="84"/>
      <c r="F230" s="856"/>
      <c r="G230" s="312"/>
      <c r="H230" s="341"/>
      <c r="I230" s="505"/>
      <c r="J230" s="3046"/>
      <c r="K230" s="3385"/>
    </row>
    <row r="231" spans="1:11">
      <c r="A231" s="221"/>
      <c r="B231" s="750"/>
      <c r="C231" s="207"/>
      <c r="D231" s="207"/>
      <c r="E231" s="84"/>
      <c r="F231" s="856"/>
      <c r="G231" s="312"/>
      <c r="H231" s="341"/>
      <c r="I231" s="505"/>
      <c r="J231" s="3046"/>
      <c r="K231" s="3385"/>
    </row>
    <row r="232" spans="1:11">
      <c r="A232" s="221"/>
      <c r="B232" s="1336"/>
      <c r="C232" s="341"/>
      <c r="D232" s="207"/>
      <c r="E232" s="728"/>
      <c r="F232" s="767"/>
      <c r="G232" s="310"/>
      <c r="H232" s="207"/>
      <c r="I232" s="431"/>
      <c r="J232" s="3046"/>
      <c r="K232" s="3385"/>
    </row>
    <row r="233" spans="1:11">
      <c r="A233" s="927"/>
      <c r="B233" s="362"/>
      <c r="C233" s="341"/>
      <c r="D233" s="413"/>
      <c r="E233" s="142"/>
      <c r="F233" s="381"/>
      <c r="G233" s="312"/>
      <c r="H233" s="341"/>
      <c r="I233" s="505"/>
      <c r="J233" s="3046"/>
      <c r="K233" s="2534"/>
    </row>
    <row r="234" spans="1:11">
      <c r="A234" s="770"/>
      <c r="B234" s="1000"/>
      <c r="C234" s="341"/>
      <c r="D234" s="413"/>
      <c r="E234" s="142"/>
      <c r="F234" s="381"/>
      <c r="G234" s="312"/>
      <c r="H234" s="341"/>
      <c r="I234" s="553"/>
      <c r="J234" s="3046"/>
      <c r="K234" s="3687"/>
    </row>
    <row r="235" spans="1:11">
      <c r="A235" s="406"/>
      <c r="B235" s="3361"/>
      <c r="C235" s="2781"/>
      <c r="D235" s="322"/>
      <c r="E235" s="728"/>
      <c r="F235" s="767"/>
      <c r="G235" s="310"/>
      <c r="H235" s="207"/>
      <c r="I235" s="431"/>
      <c r="J235" s="3046"/>
      <c r="K235" s="2303"/>
    </row>
    <row r="236" spans="1:11">
      <c r="A236" s="406"/>
      <c r="B236" s="81"/>
      <c r="C236" s="207"/>
      <c r="D236" s="207"/>
      <c r="E236" s="3679"/>
      <c r="F236" s="3680"/>
      <c r="G236" s="3578"/>
      <c r="H236" s="3604"/>
      <c r="I236" s="3579"/>
      <c r="J236" s="2357"/>
      <c r="K236" s="2357"/>
    </row>
    <row r="237" spans="1:11">
      <c r="A237" s="398"/>
      <c r="B237" s="81"/>
      <c r="C237" s="207"/>
      <c r="D237" s="207"/>
      <c r="E237" s="3679"/>
      <c r="F237" s="3680"/>
      <c r="G237" s="3681"/>
      <c r="H237" s="3604"/>
      <c r="I237" s="3579"/>
      <c r="J237" s="2357"/>
      <c r="K237" s="2357"/>
    </row>
    <row r="238" spans="1:11" ht="35.25" thickBot="1">
      <c r="A238" s="1782"/>
      <c r="B238" s="81"/>
      <c r="C238" s="207"/>
      <c r="D238" s="207"/>
      <c r="E238" s="3679"/>
      <c r="F238" s="3680"/>
      <c r="G238" s="3578"/>
      <c r="H238" s="3604"/>
      <c r="I238" s="3579"/>
      <c r="J238" s="2357"/>
      <c r="K238" s="2357"/>
    </row>
    <row r="239" spans="1:11">
      <c r="A239" s="1019"/>
      <c r="B239" s="81"/>
      <c r="C239" s="63"/>
      <c r="D239" s="462"/>
      <c r="E239" s="1409"/>
      <c r="F239" s="121"/>
      <c r="G239" s="206"/>
      <c r="H239" s="115"/>
      <c r="I239" s="185"/>
      <c r="J239" s="311"/>
      <c r="K239" s="1408"/>
    </row>
    <row r="240" spans="1:11">
      <c r="A240" s="438"/>
      <c r="B240" s="81"/>
      <c r="C240" s="3574"/>
      <c r="D240" s="3610"/>
      <c r="E240" s="3682"/>
      <c r="F240" s="3634"/>
      <c r="G240" s="3578"/>
      <c r="H240" s="3604"/>
      <c r="I240" s="3579"/>
      <c r="J240" s="2357"/>
      <c r="K240" s="2357"/>
    </row>
    <row r="241" spans="1:11">
      <c r="A241" s="254"/>
      <c r="B241" s="996"/>
      <c r="C241" s="986"/>
      <c r="D241" s="413"/>
      <c r="E241" s="831"/>
      <c r="F241" s="852"/>
      <c r="G241" s="312"/>
      <c r="H241" s="341"/>
      <c r="I241" s="505"/>
      <c r="J241" s="3046"/>
      <c r="K241" s="2304"/>
    </row>
    <row r="242" spans="1:11">
      <c r="A242" s="398"/>
      <c r="B242" s="1009"/>
      <c r="C242" s="207"/>
      <c r="D242" s="322"/>
      <c r="E242" s="728"/>
      <c r="F242" s="767"/>
      <c r="G242" s="310"/>
      <c r="H242" s="207"/>
      <c r="I242" s="431"/>
      <c r="J242" s="3670"/>
      <c r="K242" s="3675"/>
    </row>
    <row r="243" spans="1:11">
      <c r="A243" s="2036"/>
      <c r="B243" s="43"/>
      <c r="C243" s="101"/>
      <c r="D243" s="342"/>
      <c r="E243" s="837"/>
      <c r="F243" s="2699"/>
      <c r="G243" s="887"/>
      <c r="H243" s="74"/>
      <c r="I243" s="385"/>
      <c r="J243" s="547"/>
      <c r="K243" s="365"/>
    </row>
    <row r="244" spans="1:11">
      <c r="A244" s="83"/>
      <c r="B244" s="43"/>
      <c r="C244" s="101"/>
      <c r="D244" s="342"/>
      <c r="E244" s="839"/>
      <c r="F244" s="845"/>
      <c r="G244" s="979"/>
      <c r="H244" s="74"/>
      <c r="I244" s="385"/>
      <c r="J244" s="547"/>
      <c r="K244" s="365"/>
    </row>
    <row r="245" spans="1:11">
      <c r="A245" s="83"/>
      <c r="B245" s="43"/>
      <c r="C245" s="101"/>
      <c r="D245" s="322"/>
      <c r="E245" s="728"/>
      <c r="F245" s="840"/>
      <c r="G245" s="979"/>
      <c r="H245" s="74"/>
      <c r="I245" s="385"/>
      <c r="J245" s="547"/>
      <c r="K245" s="365"/>
    </row>
    <row r="246" spans="1:11">
      <c r="A246" s="83"/>
      <c r="B246" s="43"/>
      <c r="C246" s="101"/>
      <c r="D246" s="322"/>
      <c r="E246" s="728"/>
      <c r="F246" s="840"/>
      <c r="G246" s="206"/>
      <c r="H246" s="74"/>
      <c r="I246" s="385"/>
      <c r="J246" s="547"/>
      <c r="K246" s="365"/>
    </row>
    <row r="247" spans="1:11">
      <c r="A247" s="83"/>
      <c r="B247" s="43"/>
      <c r="C247" s="101"/>
      <c r="D247" s="322"/>
      <c r="E247" s="728"/>
      <c r="F247" s="840"/>
      <c r="G247" s="979"/>
      <c r="H247" s="74"/>
      <c r="I247" s="385"/>
      <c r="J247" s="547"/>
      <c r="K247" s="365"/>
    </row>
    <row r="248" spans="1:11">
      <c r="A248" s="83"/>
      <c r="B248" s="43"/>
      <c r="C248" s="101"/>
      <c r="D248" s="322"/>
      <c r="E248" s="728"/>
      <c r="F248" s="840"/>
      <c r="G248" s="979"/>
      <c r="H248" s="74"/>
      <c r="I248" s="385"/>
      <c r="J248" s="547"/>
      <c r="K248" s="365"/>
    </row>
    <row r="249" spans="1:11">
      <c r="A249" s="83"/>
      <c r="B249" s="43"/>
      <c r="C249" s="101"/>
      <c r="D249" s="322"/>
      <c r="E249" s="728"/>
      <c r="F249" s="767"/>
      <c r="G249" s="979"/>
      <c r="H249" s="74"/>
      <c r="I249" s="385"/>
      <c r="J249" s="547"/>
      <c r="K249" s="365"/>
    </row>
    <row r="250" spans="1:11">
      <c r="A250" s="995"/>
      <c r="B250" s="781"/>
      <c r="C250" s="101"/>
      <c r="D250" s="322"/>
      <c r="E250" s="838"/>
      <c r="F250" s="767"/>
      <c r="G250" s="206"/>
      <c r="H250" s="74"/>
      <c r="I250" s="560"/>
      <c r="J250" s="547"/>
      <c r="K250" s="365"/>
    </row>
    <row r="251" spans="1:11">
      <c r="A251" s="87"/>
      <c r="B251" s="43"/>
      <c r="C251" s="101"/>
      <c r="D251" s="342"/>
      <c r="E251" s="871"/>
      <c r="F251" s="861"/>
      <c r="G251" s="2737"/>
      <c r="H251" s="74"/>
      <c r="I251" s="730"/>
      <c r="J251" s="1031"/>
      <c r="K251" s="1030"/>
    </row>
    <row r="252" spans="1:11">
      <c r="A252" s="254"/>
      <c r="B252" s="1161"/>
      <c r="C252" s="63"/>
      <c r="D252" s="342"/>
      <c r="E252" s="838"/>
      <c r="F252" s="767"/>
      <c r="G252" s="206"/>
      <c r="H252" s="74"/>
      <c r="I252" s="1011"/>
      <c r="J252" s="1031"/>
      <c r="K252" s="1029"/>
    </row>
    <row r="253" spans="1:11">
      <c r="F253" s="104"/>
      <c r="K253" s="537">
        <v>8</v>
      </c>
    </row>
    <row r="254" spans="1:11">
      <c r="A254" s="45" t="s">
        <v>0</v>
      </c>
      <c r="B254" s="45"/>
      <c r="C254" s="68"/>
      <c r="D254" s="612"/>
      <c r="F254" s="104"/>
      <c r="H254" s="45"/>
      <c r="I254" s="556"/>
    </row>
    <row r="255" spans="1:11">
      <c r="A255" s="3480" t="s">
        <v>1</v>
      </c>
      <c r="B255" s="3480"/>
      <c r="C255" s="46"/>
      <c r="D255" s="124"/>
      <c r="F255" s="104"/>
      <c r="H255" s="45"/>
      <c r="I255" s="556"/>
    </row>
    <row r="256" spans="1:11" ht="35.25" thickBot="1">
      <c r="F256" s="104"/>
    </row>
    <row r="257" spans="1:11">
      <c r="A257" s="3445"/>
      <c r="B257" s="3446" t="s">
        <v>2</v>
      </c>
      <c r="C257" s="48" t="s">
        <v>3</v>
      </c>
      <c r="D257" s="436" t="s">
        <v>4</v>
      </c>
      <c r="E257" s="849" t="s">
        <v>5</v>
      </c>
      <c r="F257" s="849" t="s">
        <v>5</v>
      </c>
      <c r="G257" s="219" t="s">
        <v>6</v>
      </c>
      <c r="H257" s="48" t="s">
        <v>7</v>
      </c>
      <c r="I257" s="557" t="s">
        <v>8</v>
      </c>
      <c r="J257" s="541" t="s">
        <v>9</v>
      </c>
      <c r="K257" s="346" t="s">
        <v>9</v>
      </c>
    </row>
    <row r="258" spans="1:11" ht="35.25" thickBot="1">
      <c r="A258" s="51"/>
      <c r="B258" s="72"/>
      <c r="C258" s="50"/>
      <c r="D258" s="437" t="s">
        <v>10</v>
      </c>
      <c r="E258" s="850" t="s">
        <v>11</v>
      </c>
      <c r="F258" s="850" t="s">
        <v>12</v>
      </c>
      <c r="G258" s="212"/>
      <c r="H258" s="50" t="s">
        <v>13</v>
      </c>
      <c r="I258" s="558"/>
      <c r="J258" s="542" t="s">
        <v>14</v>
      </c>
      <c r="K258" s="347" t="s">
        <v>15</v>
      </c>
    </row>
    <row r="259" spans="1:11">
      <c r="A259" s="3498"/>
      <c r="B259" s="3499"/>
      <c r="C259" s="101"/>
      <c r="D259" s="322"/>
      <c r="E259" s="838"/>
      <c r="F259" s="767"/>
      <c r="G259" s="206"/>
      <c r="H259" s="74"/>
      <c r="I259" s="560"/>
      <c r="J259" s="544"/>
      <c r="K259" s="365"/>
    </row>
    <row r="260" spans="1:11">
      <c r="A260" s="83"/>
      <c r="B260" s="996" t="s">
        <v>1125</v>
      </c>
      <c r="C260" s="341"/>
      <c r="D260" s="322"/>
      <c r="E260" s="142"/>
      <c r="F260" s="381"/>
      <c r="G260" s="310"/>
      <c r="H260" s="207"/>
      <c r="I260" s="431"/>
      <c r="J260" s="604"/>
      <c r="K260" s="394"/>
    </row>
    <row r="261" spans="1:11">
      <c r="A261" s="766"/>
      <c r="B261" s="2642" t="s">
        <v>1126</v>
      </c>
      <c r="C261" s="207" t="s">
        <v>1127</v>
      </c>
      <c r="D261" s="322" t="s">
        <v>18</v>
      </c>
      <c r="E261" s="142">
        <v>200</v>
      </c>
      <c r="F261" s="381"/>
      <c r="G261" s="2727" t="s">
        <v>1128</v>
      </c>
      <c r="H261" s="207">
        <v>180</v>
      </c>
      <c r="I261" s="2323" t="s">
        <v>1129</v>
      </c>
      <c r="J261" s="586" t="s">
        <v>1130</v>
      </c>
      <c r="K261" s="365">
        <v>162.57</v>
      </c>
    </row>
    <row r="262" spans="1:11">
      <c r="A262" s="782"/>
      <c r="B262" s="81" t="s">
        <v>1131</v>
      </c>
      <c r="C262" s="207" t="s">
        <v>1132</v>
      </c>
      <c r="D262" s="322"/>
      <c r="E262" s="142"/>
      <c r="F262" s="381"/>
      <c r="G262" s="310" t="s">
        <v>277</v>
      </c>
      <c r="H262" s="207">
        <v>420</v>
      </c>
      <c r="I262" s="553" t="s">
        <v>1133</v>
      </c>
      <c r="J262" s="604"/>
      <c r="K262" s="394"/>
    </row>
    <row r="263" spans="1:11">
      <c r="A263" s="83"/>
      <c r="B263" s="81"/>
      <c r="C263" s="207"/>
      <c r="D263" s="322"/>
      <c r="E263" s="142"/>
      <c r="F263" s="381"/>
      <c r="G263" s="310"/>
      <c r="H263" s="207"/>
      <c r="I263" s="553" t="s">
        <v>1134</v>
      </c>
      <c r="J263" s="604"/>
      <c r="K263" s="394"/>
    </row>
    <row r="264" spans="1:11">
      <c r="A264" s="766"/>
      <c r="B264" s="81"/>
      <c r="C264" s="207"/>
      <c r="D264" s="196"/>
      <c r="E264" s="142"/>
      <c r="F264" s="381"/>
      <c r="G264" s="310"/>
      <c r="H264" s="207"/>
      <c r="I264" s="474" t="s">
        <v>1135</v>
      </c>
      <c r="J264" s="707"/>
      <c r="K264" s="394"/>
    </row>
    <row r="265" spans="1:11">
      <c r="A265" s="775"/>
      <c r="B265" s="1000"/>
      <c r="C265" s="341"/>
      <c r="D265" s="196"/>
      <c r="E265" s="142"/>
      <c r="F265" s="381"/>
      <c r="G265" s="312"/>
      <c r="H265" s="341"/>
      <c r="I265" s="794" t="s">
        <v>1136</v>
      </c>
      <c r="J265" s="604"/>
      <c r="K265" s="779"/>
    </row>
    <row r="266" spans="1:11">
      <c r="A266" s="43"/>
      <c r="B266" s="958"/>
      <c r="C266" s="341"/>
      <c r="D266" s="3458"/>
      <c r="E266" s="142"/>
      <c r="F266" s="381"/>
      <c r="G266" s="312"/>
      <c r="H266" s="341"/>
      <c r="I266" s="505" t="s">
        <v>1137</v>
      </c>
      <c r="J266" s="604"/>
      <c r="K266" s="779"/>
    </row>
    <row r="267" spans="1:11">
      <c r="A267" s="43"/>
      <c r="B267" s="1009"/>
      <c r="C267" s="207"/>
      <c r="D267" s="3458"/>
      <c r="E267" s="142"/>
      <c r="F267" s="381"/>
      <c r="G267" s="310"/>
      <c r="H267" s="207"/>
      <c r="I267" s="431" t="s">
        <v>1138</v>
      </c>
      <c r="J267" s="707"/>
      <c r="K267" s="394"/>
    </row>
    <row r="268" spans="1:11">
      <c r="A268" s="43"/>
      <c r="B268" s="770" t="s">
        <v>1139</v>
      </c>
      <c r="C268" s="341" t="s">
        <v>1140</v>
      </c>
      <c r="D268" s="531" t="s">
        <v>1141</v>
      </c>
      <c r="E268" s="142">
        <v>450</v>
      </c>
      <c r="F268" s="381"/>
      <c r="G268" s="478" t="s">
        <v>1142</v>
      </c>
      <c r="H268" s="224">
        <v>380</v>
      </c>
      <c r="I268" s="505"/>
      <c r="J268" s="591">
        <v>4494</v>
      </c>
      <c r="K268" s="527">
        <v>374.5</v>
      </c>
    </row>
    <row r="269" spans="1:11">
      <c r="A269" s="362"/>
      <c r="B269" s="1009" t="s">
        <v>1143</v>
      </c>
      <c r="C269" s="341" t="s">
        <v>1144</v>
      </c>
      <c r="D269" s="531" t="s">
        <v>1141</v>
      </c>
      <c r="E269" s="142">
        <v>490</v>
      </c>
      <c r="F269" s="381"/>
      <c r="G269" s="312" t="s">
        <v>1145</v>
      </c>
      <c r="H269" s="341">
        <v>410</v>
      </c>
      <c r="I269" s="604" t="s">
        <v>1146</v>
      </c>
      <c r="J269" s="604">
        <v>4970</v>
      </c>
      <c r="K269" s="779">
        <v>414.17</v>
      </c>
    </row>
    <row r="270" spans="1:11">
      <c r="A270" s="362"/>
      <c r="B270" s="406" t="s">
        <v>1147</v>
      </c>
      <c r="C270" s="341" t="s">
        <v>1148</v>
      </c>
      <c r="D270" s="531" t="s">
        <v>1141</v>
      </c>
      <c r="E270" s="142">
        <v>440</v>
      </c>
      <c r="F270" s="381"/>
      <c r="G270" s="478" t="s">
        <v>1145</v>
      </c>
      <c r="H270" s="320">
        <v>720</v>
      </c>
      <c r="I270" s="604" t="s">
        <v>1149</v>
      </c>
      <c r="J270" s="604">
        <v>4370</v>
      </c>
      <c r="K270" s="527">
        <v>364.17</v>
      </c>
    </row>
    <row r="271" spans="1:11">
      <c r="A271" s="362"/>
      <c r="B271" s="362" t="s">
        <v>324</v>
      </c>
      <c r="C271" s="101"/>
      <c r="D271" s="342" t="s">
        <v>309</v>
      </c>
      <c r="E271" s="871">
        <v>70</v>
      </c>
      <c r="F271" s="767"/>
      <c r="G271" s="206" t="s">
        <v>325</v>
      </c>
      <c r="H271" s="74">
        <v>600</v>
      </c>
      <c r="I271" s="563" t="s">
        <v>311</v>
      </c>
      <c r="J271" s="544">
        <v>591</v>
      </c>
      <c r="K271" s="365">
        <v>59.1</v>
      </c>
    </row>
    <row r="272" spans="1:11">
      <c r="A272" s="83"/>
      <c r="B272" s="362" t="s">
        <v>326</v>
      </c>
      <c r="C272" s="101"/>
      <c r="D272" s="342" t="s">
        <v>309</v>
      </c>
      <c r="E272" s="871">
        <v>65</v>
      </c>
      <c r="F272" s="767">
        <v>570</v>
      </c>
      <c r="G272" s="206" t="s">
        <v>327</v>
      </c>
      <c r="H272" s="74">
        <v>520</v>
      </c>
      <c r="I272" s="563" t="s">
        <v>311</v>
      </c>
      <c r="J272" s="544">
        <v>512.20000000000005</v>
      </c>
      <c r="K272" s="365">
        <v>51.22</v>
      </c>
    </row>
    <row r="273" spans="1:11">
      <c r="A273" s="3483"/>
      <c r="B273" s="3484"/>
      <c r="C273" s="101"/>
      <c r="D273" s="322"/>
      <c r="E273" s="838"/>
      <c r="F273" s="767"/>
      <c r="G273" s="206"/>
      <c r="H273" s="74"/>
      <c r="I273" s="560"/>
      <c r="J273" s="544"/>
      <c r="K273" s="365"/>
    </row>
    <row r="274" spans="1:11">
      <c r="A274" s="389"/>
      <c r="B274" s="382" t="s">
        <v>328</v>
      </c>
      <c r="C274" s="101"/>
      <c r="D274" s="342"/>
      <c r="E274" s="871"/>
      <c r="F274" s="767"/>
      <c r="G274" s="206"/>
      <c r="H274" s="74"/>
      <c r="I274" s="560"/>
      <c r="J274" s="547"/>
      <c r="K274" s="616"/>
    </row>
    <row r="275" spans="1:11">
      <c r="A275" s="87"/>
      <c r="B275" s="43" t="s">
        <v>329</v>
      </c>
      <c r="C275" s="101" t="s">
        <v>330</v>
      </c>
      <c r="D275" s="342"/>
      <c r="E275" s="871">
        <v>220</v>
      </c>
      <c r="F275" s="767"/>
      <c r="G275" s="206" t="s">
        <v>331</v>
      </c>
      <c r="H275" s="74"/>
      <c r="I275" s="560"/>
      <c r="J275" s="547"/>
      <c r="K275" s="550">
        <v>180</v>
      </c>
    </row>
    <row r="276" spans="1:11">
      <c r="A276" s="438"/>
      <c r="B276" s="766"/>
      <c r="C276" s="101"/>
      <c r="D276" s="342"/>
      <c r="E276" s="871"/>
      <c r="F276" s="767"/>
      <c r="G276" s="206"/>
      <c r="H276" s="74"/>
      <c r="I276" s="560"/>
      <c r="J276" s="547"/>
      <c r="K276" s="616"/>
    </row>
    <row r="277" spans="1:11">
      <c r="A277" s="3451" t="s">
        <v>332</v>
      </c>
      <c r="B277" s="3452"/>
      <c r="C277" s="101"/>
      <c r="D277" s="322"/>
      <c r="E277" s="838"/>
      <c r="F277" s="767"/>
      <c r="G277" s="206"/>
      <c r="H277" s="74"/>
      <c r="I277" s="560"/>
      <c r="J277" s="544"/>
      <c r="K277" s="365"/>
    </row>
    <row r="278" spans="1:11">
      <c r="A278" s="83"/>
      <c r="B278" s="383" t="s">
        <v>333</v>
      </c>
      <c r="C278" s="390" t="s">
        <v>334</v>
      </c>
      <c r="D278" s="322" t="s">
        <v>23</v>
      </c>
      <c r="E278" s="838">
        <v>35</v>
      </c>
      <c r="F278" s="767">
        <v>160</v>
      </c>
      <c r="G278" s="206" t="s">
        <v>335</v>
      </c>
      <c r="H278" s="74">
        <v>137</v>
      </c>
      <c r="I278" s="562" t="s">
        <v>336</v>
      </c>
      <c r="J278" s="544">
        <v>127</v>
      </c>
      <c r="K278" s="365">
        <v>21</v>
      </c>
    </row>
    <row r="279" spans="1:11">
      <c r="A279" s="766"/>
      <c r="B279" s="1384" t="s">
        <v>337</v>
      </c>
      <c r="C279" s="390" t="s">
        <v>334</v>
      </c>
      <c r="D279" s="322" t="s">
        <v>23</v>
      </c>
      <c r="E279" s="838">
        <v>35</v>
      </c>
      <c r="F279" s="767">
        <v>160</v>
      </c>
      <c r="G279" s="206" t="s">
        <v>335</v>
      </c>
      <c r="H279" s="74">
        <v>137</v>
      </c>
      <c r="I279" s="562" t="s">
        <v>336</v>
      </c>
      <c r="J279" s="544">
        <v>127</v>
      </c>
      <c r="K279" s="365">
        <v>21</v>
      </c>
    </row>
    <row r="280" spans="1:11">
      <c r="A280" s="265"/>
      <c r="B280" s="43" t="s">
        <v>338</v>
      </c>
      <c r="C280" s="101" t="s">
        <v>339</v>
      </c>
      <c r="D280" s="322" t="s">
        <v>70</v>
      </c>
      <c r="E280" s="838">
        <v>45</v>
      </c>
      <c r="F280" s="767" t="s">
        <v>340</v>
      </c>
      <c r="G280" s="206" t="s">
        <v>341</v>
      </c>
      <c r="H280" s="74" t="s">
        <v>342</v>
      </c>
      <c r="I280" s="562" t="s">
        <v>343</v>
      </c>
      <c r="J280" s="546" t="s">
        <v>344</v>
      </c>
      <c r="K280" s="365">
        <v>37.96</v>
      </c>
    </row>
    <row r="281" spans="1:11">
      <c r="A281" s="254"/>
      <c r="B281" s="43" t="s">
        <v>345</v>
      </c>
      <c r="C281" s="320" t="s">
        <v>346</v>
      </c>
      <c r="D281" s="342" t="s">
        <v>70</v>
      </c>
      <c r="E281" s="871">
        <v>65</v>
      </c>
      <c r="F281" s="767"/>
      <c r="G281" s="206" t="s">
        <v>347</v>
      </c>
      <c r="H281" s="74">
        <v>667</v>
      </c>
      <c r="I281" s="560" t="s">
        <v>348</v>
      </c>
      <c r="J281" s="548" t="s">
        <v>349</v>
      </c>
      <c r="K281" s="365">
        <v>57.69</v>
      </c>
    </row>
    <row r="282" spans="1:11">
      <c r="A282" s="265"/>
      <c r="B282" s="43"/>
      <c r="C282" s="101"/>
      <c r="D282" s="322"/>
      <c r="E282" s="838"/>
      <c r="F282" s="767"/>
      <c r="G282" s="206"/>
      <c r="H282" s="74"/>
      <c r="I282" s="562"/>
      <c r="J282" s="546"/>
      <c r="K282" s="365"/>
    </row>
    <row r="283" spans="1:11">
      <c r="A283" s="254"/>
      <c r="B283" s="43"/>
      <c r="C283" s="320"/>
      <c r="D283" s="342"/>
      <c r="E283" s="871"/>
      <c r="F283" s="767"/>
      <c r="G283" s="206"/>
      <c r="H283" s="74"/>
      <c r="I283" s="560"/>
      <c r="J283" s="548"/>
      <c r="K283" s="365"/>
    </row>
    <row r="284" spans="1:11">
      <c r="A284" s="3491"/>
      <c r="B284" s="3492"/>
      <c r="C284" s="101"/>
      <c r="D284" s="322"/>
      <c r="E284" s="838"/>
      <c r="F284" s="767"/>
      <c r="G284" s="206"/>
      <c r="H284" s="74"/>
      <c r="I284" s="560"/>
      <c r="J284" s="544"/>
      <c r="K284" s="365"/>
    </row>
    <row r="285" spans="1:11">
      <c r="A285" s="83"/>
      <c r="B285" s="43"/>
      <c r="C285" s="101"/>
      <c r="D285" s="322"/>
      <c r="E285" s="838"/>
      <c r="F285" s="767"/>
      <c r="G285" s="206"/>
      <c r="H285" s="74"/>
      <c r="I285" s="562"/>
      <c r="J285" s="544"/>
      <c r="K285" s="365"/>
    </row>
    <row r="286" spans="1:11" ht="37.5">
      <c r="A286" s="766"/>
      <c r="B286" s="880"/>
      <c r="C286" s="1765"/>
      <c r="D286" s="831"/>
      <c r="E286" s="624"/>
      <c r="F286" s="223"/>
      <c r="G286" s="1767"/>
      <c r="H286" s="778"/>
      <c r="I286" s="609"/>
      <c r="J286" s="1766"/>
      <c r="K286" s="780"/>
    </row>
    <row r="287" spans="1:11">
      <c r="A287" s="775"/>
      <c r="B287" s="406"/>
      <c r="C287" s="101"/>
      <c r="D287" s="322"/>
      <c r="E287" s="838"/>
      <c r="F287" s="767"/>
      <c r="G287" s="206"/>
      <c r="H287" s="74"/>
      <c r="I287" s="560"/>
      <c r="J287" s="547"/>
      <c r="K287" s="363"/>
    </row>
    <row r="288" spans="1:11">
      <c r="A288" s="83"/>
      <c r="B288" s="362"/>
      <c r="C288" s="101"/>
      <c r="D288" s="342"/>
      <c r="E288" s="838"/>
      <c r="F288" s="876"/>
      <c r="G288" s="206"/>
      <c r="H288" s="74"/>
      <c r="I288" s="562"/>
      <c r="J288" s="547"/>
      <c r="K288" s="550"/>
    </row>
    <row r="289" spans="1:11">
      <c r="B289" s="75"/>
      <c r="C289" s="104"/>
      <c r="D289" s="167"/>
      <c r="E289" s="167"/>
      <c r="F289" s="167"/>
      <c r="G289" s="167"/>
      <c r="H289" s="75"/>
      <c r="I289" s="561"/>
      <c r="J289" s="545"/>
    </row>
    <row r="290" spans="1:11">
      <c r="A290" s="45" t="s">
        <v>0</v>
      </c>
      <c r="B290" s="45"/>
      <c r="C290" s="68"/>
      <c r="D290" s="612"/>
      <c r="F290" s="104"/>
      <c r="H290" s="45"/>
      <c r="I290" s="556"/>
      <c r="K290" s="492">
        <v>9</v>
      </c>
    </row>
    <row r="291" spans="1:11">
      <c r="A291" s="3480" t="s">
        <v>1</v>
      </c>
      <c r="B291" s="3480"/>
      <c r="C291" s="46"/>
      <c r="D291" s="124"/>
      <c r="F291" s="104"/>
      <c r="H291" s="45"/>
      <c r="I291" s="556"/>
      <c r="J291" s="611"/>
    </row>
    <row r="292" spans="1:11" ht="35.25" thickBot="1">
      <c r="F292" s="104"/>
    </row>
    <row r="293" spans="1:11">
      <c r="A293" s="3445"/>
      <c r="B293" s="3446" t="s">
        <v>2</v>
      </c>
      <c r="C293" s="48" t="s">
        <v>3</v>
      </c>
      <c r="D293" s="436" t="s">
        <v>4</v>
      </c>
      <c r="E293" s="868" t="s">
        <v>5</v>
      </c>
      <c r="F293" s="849" t="s">
        <v>5</v>
      </c>
      <c r="G293" s="219" t="s">
        <v>6</v>
      </c>
      <c r="H293" s="48" t="s">
        <v>7</v>
      </c>
      <c r="I293" s="557" t="s">
        <v>8</v>
      </c>
      <c r="J293" s="541" t="s">
        <v>9</v>
      </c>
      <c r="K293" s="346" t="s">
        <v>9</v>
      </c>
    </row>
    <row r="294" spans="1:11" ht="35.25" thickBot="1">
      <c r="A294" s="152"/>
      <c r="B294" s="930"/>
      <c r="C294" s="50"/>
      <c r="D294" s="437" t="s">
        <v>10</v>
      </c>
      <c r="E294" s="869" t="s">
        <v>11</v>
      </c>
      <c r="F294" s="850" t="s">
        <v>12</v>
      </c>
      <c r="G294" s="301"/>
      <c r="H294" s="50" t="s">
        <v>13</v>
      </c>
      <c r="I294" s="558"/>
      <c r="J294" s="542" t="s">
        <v>14</v>
      </c>
      <c r="K294" s="347" t="s">
        <v>15</v>
      </c>
    </row>
    <row r="295" spans="1:11">
      <c r="A295" s="2784"/>
      <c r="B295" s="2784"/>
      <c r="C295" s="2794"/>
      <c r="D295" s="3455"/>
      <c r="E295" s="838"/>
      <c r="F295" s="767"/>
      <c r="G295" s="206"/>
      <c r="H295" s="74"/>
      <c r="I295" s="560"/>
      <c r="J295" s="544"/>
      <c r="K295" s="365"/>
    </row>
    <row r="296" spans="1:11">
      <c r="A296" s="2803"/>
      <c r="B296" s="2705"/>
      <c r="C296" s="2794"/>
      <c r="D296" s="3455"/>
      <c r="E296" s="838"/>
      <c r="F296" s="767"/>
      <c r="G296" s="206"/>
      <c r="H296" s="74"/>
      <c r="I296" s="562"/>
      <c r="J296" s="544"/>
      <c r="K296" s="365"/>
    </row>
    <row r="297" spans="1:11">
      <c r="A297" s="2728"/>
      <c r="B297" s="3363"/>
      <c r="C297" s="3364"/>
      <c r="D297" s="3455"/>
      <c r="E297" s="838"/>
      <c r="F297" s="767"/>
      <c r="G297" s="206"/>
      <c r="H297" s="74"/>
      <c r="I297" s="562"/>
      <c r="J297" s="544"/>
      <c r="K297" s="365"/>
    </row>
    <row r="298" spans="1:11">
      <c r="A298" s="3365"/>
      <c r="B298" s="2705"/>
      <c r="C298" s="2781"/>
      <c r="D298" s="3455"/>
      <c r="E298" s="838"/>
      <c r="F298" s="1497"/>
      <c r="G298" s="206"/>
      <c r="H298" s="74"/>
      <c r="I298" s="560"/>
      <c r="J298" s="546"/>
      <c r="K298" s="365"/>
    </row>
    <row r="299" spans="1:11" ht="38.25">
      <c r="A299" s="3459"/>
      <c r="B299" s="3459"/>
      <c r="C299" s="2804"/>
      <c r="D299" s="2774"/>
      <c r="E299" s="2028"/>
      <c r="F299" s="960"/>
      <c r="G299" s="248"/>
      <c r="H299" s="398"/>
      <c r="I299" s="2029"/>
      <c r="J299" s="74"/>
      <c r="K299" s="526"/>
    </row>
    <row r="300" spans="1:11">
      <c r="A300" s="1918"/>
      <c r="B300" s="1918"/>
      <c r="C300" s="101"/>
      <c r="D300" s="2030"/>
      <c r="E300" s="3662"/>
      <c r="F300" s="3663"/>
      <c r="G300" s="3664"/>
      <c r="H300" s="3665"/>
      <c r="I300" s="3666"/>
      <c r="J300" s="3665"/>
      <c r="K300" s="3667"/>
    </row>
    <row r="301" spans="1:11">
      <c r="A301" s="83"/>
      <c r="B301" s="43"/>
      <c r="C301" s="101"/>
      <c r="D301" s="322"/>
      <c r="E301" s="838"/>
      <c r="F301" s="767"/>
      <c r="G301" s="206"/>
      <c r="H301" s="74"/>
      <c r="I301" s="562"/>
      <c r="J301" s="544"/>
      <c r="K301" s="365"/>
    </row>
    <row r="302" spans="1:11" ht="37.5">
      <c r="A302" s="766"/>
      <c r="B302" s="880"/>
      <c r="C302" s="1765"/>
      <c r="D302" s="831"/>
      <c r="E302" s="624"/>
      <c r="F302" s="223"/>
      <c r="G302" s="1767"/>
      <c r="H302" s="778"/>
      <c r="I302" s="609"/>
      <c r="J302" s="1766"/>
      <c r="K302" s="780"/>
    </row>
    <row r="303" spans="1:11">
      <c r="A303" s="775"/>
      <c r="B303" s="406"/>
      <c r="C303" s="101"/>
      <c r="D303" s="322"/>
      <c r="E303" s="838"/>
      <c r="F303" s="767"/>
      <c r="G303" s="206"/>
      <c r="H303" s="74"/>
      <c r="I303" s="560"/>
      <c r="J303" s="547"/>
      <c r="K303" s="363"/>
    </row>
    <row r="304" spans="1:11">
      <c r="A304" s="1336"/>
      <c r="B304" s="1336"/>
      <c r="C304" s="320"/>
      <c r="D304" s="624"/>
      <c r="E304" s="420"/>
      <c r="F304" s="852"/>
      <c r="G304" s="223"/>
      <c r="H304" s="224"/>
      <c r="I304" s="1456"/>
      <c r="J304" s="603"/>
      <c r="K304" s="378"/>
    </row>
    <row r="305" spans="1:12" ht="38.25">
      <c r="A305" s="3448"/>
      <c r="B305" s="2026"/>
      <c r="C305" s="2027"/>
      <c r="D305" s="995"/>
      <c r="E305" s="2028"/>
      <c r="F305" s="960"/>
      <c r="G305" s="248"/>
      <c r="H305" s="398"/>
      <c r="I305" s="2029"/>
      <c r="J305" s="74"/>
      <c r="K305" s="526"/>
    </row>
    <row r="306" spans="1:12">
      <c r="A306" s="81"/>
      <c r="B306" s="1918"/>
      <c r="C306" s="101"/>
      <c r="D306" s="2030"/>
      <c r="E306" s="3662"/>
      <c r="F306" s="3663"/>
      <c r="G306" s="3664"/>
      <c r="H306" s="3665"/>
      <c r="I306" s="3666"/>
      <c r="J306" s="3665"/>
      <c r="K306" s="3667"/>
      <c r="L306" s="365"/>
    </row>
    <row r="307" spans="1:12">
      <c r="A307" s="43"/>
      <c r="B307" s="43"/>
      <c r="C307" s="101"/>
      <c r="D307" s="2030"/>
      <c r="E307" s="3662"/>
      <c r="F307" s="3663"/>
      <c r="G307" s="2407"/>
      <c r="H307" s="398"/>
      <c r="I307" s="3668"/>
      <c r="J307" s="3665"/>
      <c r="K307" s="3669"/>
      <c r="L307" s="365">
        <v>111.78</v>
      </c>
    </row>
    <row r="308" spans="1:12">
      <c r="A308" s="43"/>
      <c r="B308" s="43"/>
      <c r="C308" s="101"/>
      <c r="D308" s="2030"/>
      <c r="E308" s="3662"/>
      <c r="F308" s="3663"/>
      <c r="G308" s="2407"/>
      <c r="H308" s="398"/>
      <c r="I308" s="3668"/>
      <c r="J308" s="3665"/>
      <c r="K308" s="3669"/>
    </row>
    <row r="309" spans="1:12">
      <c r="A309" s="1022"/>
      <c r="B309" s="406"/>
      <c r="C309" s="320"/>
      <c r="D309" s="624"/>
      <c r="E309" s="420"/>
      <c r="F309" s="852"/>
      <c r="G309" s="979"/>
      <c r="H309" s="224"/>
      <c r="I309" s="778"/>
      <c r="J309" s="609"/>
      <c r="K309" s="780"/>
    </row>
    <row r="310" spans="1:12">
      <c r="A310" s="1814"/>
      <c r="B310" s="1814"/>
      <c r="C310" s="877"/>
      <c r="D310" s="1619"/>
      <c r="E310" s="142"/>
      <c r="F310" s="381"/>
      <c r="G310" s="1616"/>
      <c r="H310" s="971"/>
      <c r="I310" s="506"/>
      <c r="J310" s="1620"/>
      <c r="K310" s="1618"/>
    </row>
    <row r="311" spans="1:12">
      <c r="A311" s="1006"/>
      <c r="B311" s="1006"/>
      <c r="C311" s="877"/>
      <c r="D311" s="1619"/>
      <c r="E311" s="142"/>
      <c r="F311" s="381"/>
      <c r="G311" s="2412"/>
      <c r="H311" s="971"/>
      <c r="I311" s="506"/>
      <c r="J311" s="1620"/>
      <c r="K311" s="2384"/>
    </row>
    <row r="312" spans="1:12" ht="38.25">
      <c r="A312" s="1006"/>
      <c r="B312" s="2026"/>
      <c r="C312" s="2027"/>
      <c r="D312" s="995"/>
      <c r="E312" s="2028"/>
      <c r="F312" s="960"/>
      <c r="G312" s="248"/>
      <c r="H312" s="398"/>
      <c r="I312" s="2029"/>
      <c r="J312" s="74"/>
      <c r="K312" s="526"/>
    </row>
    <row r="313" spans="1:12">
      <c r="A313" s="89"/>
      <c r="B313" s="1918"/>
      <c r="C313" s="101"/>
      <c r="D313" s="2030"/>
      <c r="E313" s="3662"/>
      <c r="F313" s="3663"/>
      <c r="G313" s="3664"/>
      <c r="H313" s="3665"/>
      <c r="I313" s="3666"/>
      <c r="J313" s="3665"/>
      <c r="K313" s="3667"/>
    </row>
    <row r="314" spans="1:12">
      <c r="A314" s="766"/>
      <c r="B314" s="1384"/>
      <c r="C314" s="786"/>
      <c r="D314" s="413"/>
      <c r="E314" s="875"/>
      <c r="F314" s="852"/>
      <c r="G314" s="223"/>
      <c r="H314" s="224"/>
      <c r="I314" s="784"/>
      <c r="J314" s="603"/>
      <c r="K314" s="378"/>
    </row>
    <row r="315" spans="1:12">
      <c r="A315" s="3448"/>
      <c r="B315" s="3448"/>
      <c r="C315" s="207"/>
      <c r="D315" s="3457"/>
      <c r="E315" s="142"/>
      <c r="F315" s="381"/>
      <c r="G315" s="478"/>
      <c r="H315" s="101"/>
      <c r="I315" s="339"/>
      <c r="J315" s="586"/>
      <c r="K315" s="526"/>
    </row>
    <row r="316" spans="1:12">
      <c r="A316" s="81"/>
      <c r="B316" s="81"/>
      <c r="C316" s="207"/>
      <c r="D316" s="391"/>
      <c r="E316" s="1409"/>
      <c r="F316" s="856"/>
      <c r="G316" s="887"/>
      <c r="H316" s="101"/>
      <c r="I316" s="1495"/>
      <c r="J316" s="3670"/>
      <c r="K316" s="3671"/>
    </row>
    <row r="317" spans="1:12">
      <c r="A317" s="43"/>
      <c r="B317" s="43"/>
      <c r="C317" s="101"/>
      <c r="D317" s="2030"/>
      <c r="E317" s="3662"/>
      <c r="F317" s="3663"/>
      <c r="G317" s="2407"/>
      <c r="H317" s="398"/>
      <c r="I317" s="3668"/>
      <c r="J317" s="3665"/>
      <c r="K317" s="3669"/>
    </row>
    <row r="318" spans="1:12">
      <c r="A318" s="43"/>
      <c r="B318" s="43"/>
      <c r="C318" s="101"/>
      <c r="D318" s="2030"/>
      <c r="E318" s="3662"/>
      <c r="F318" s="3663"/>
      <c r="G318" s="2407"/>
      <c r="H318" s="398"/>
      <c r="I318" s="3668"/>
      <c r="J318" s="3665"/>
      <c r="K318" s="3669"/>
    </row>
    <row r="319" spans="1:12" ht="38.25">
      <c r="A319" s="2462"/>
      <c r="B319" s="2462"/>
      <c r="C319" s="1200"/>
      <c r="D319" s="438"/>
      <c r="E319" s="2028"/>
      <c r="F319" s="960"/>
      <c r="G319" s="248"/>
      <c r="H319" s="398"/>
      <c r="I319" s="2029"/>
      <c r="J319" s="74"/>
      <c r="K319" s="526"/>
    </row>
    <row r="320" spans="1:12" ht="38.25">
      <c r="A320" s="2026"/>
      <c r="B320" s="2026"/>
      <c r="C320" s="2027"/>
      <c r="D320" s="995"/>
      <c r="E320" s="2028"/>
      <c r="F320" s="960"/>
      <c r="G320" s="248"/>
      <c r="H320" s="398"/>
      <c r="I320" s="2029"/>
      <c r="J320" s="74"/>
      <c r="K320" s="526"/>
    </row>
    <row r="321" spans="1:11">
      <c r="A321" s="1918"/>
      <c r="B321" s="1918"/>
      <c r="C321" s="101"/>
      <c r="D321" s="2030"/>
      <c r="E321" s="3662"/>
      <c r="F321" s="3663"/>
      <c r="G321" s="3664"/>
      <c r="H321" s="3665"/>
      <c r="I321" s="3666"/>
      <c r="J321" s="3665"/>
      <c r="K321" s="3667"/>
    </row>
    <row r="322" spans="1:11">
      <c r="A322" s="83"/>
      <c r="B322" s="43"/>
      <c r="C322" s="101"/>
      <c r="D322" s="342"/>
      <c r="E322" s="871"/>
      <c r="F322" s="767"/>
      <c r="G322" s="206"/>
      <c r="H322" s="74"/>
      <c r="I322" s="560"/>
      <c r="J322" s="544"/>
      <c r="K322" s="365"/>
    </row>
    <row r="323" spans="1:11">
      <c r="A323" s="83"/>
      <c r="B323" s="43"/>
      <c r="C323" s="101"/>
      <c r="D323" s="342"/>
      <c r="E323" s="871"/>
      <c r="F323" s="767"/>
      <c r="G323" s="206"/>
      <c r="H323" s="74"/>
      <c r="I323" s="560"/>
      <c r="J323" s="547"/>
      <c r="K323" s="550"/>
    </row>
    <row r="324" spans="1:11">
      <c r="A324" s="70"/>
      <c r="B324" s="56"/>
      <c r="C324" s="57"/>
      <c r="D324" s="613"/>
      <c r="E324" s="872"/>
      <c r="F324" s="853"/>
      <c r="G324" s="214"/>
      <c r="H324" s="103"/>
      <c r="I324" s="733"/>
      <c r="J324" s="543"/>
      <c r="K324" s="734"/>
    </row>
    <row r="325" spans="1:11">
      <c r="A325" s="44"/>
      <c r="B325" s="45"/>
      <c r="C325" s="46"/>
      <c r="D325" s="124"/>
      <c r="F325" s="104"/>
      <c r="H325" s="45"/>
      <c r="I325" s="556"/>
      <c r="K325" s="537">
        <v>10</v>
      </c>
    </row>
    <row r="326" spans="1:11">
      <c r="A326" s="45" t="s">
        <v>0</v>
      </c>
      <c r="B326" s="45"/>
      <c r="C326" s="68"/>
      <c r="D326" s="612"/>
      <c r="F326" s="104"/>
      <c r="H326" s="45"/>
      <c r="I326" s="556"/>
    </row>
    <row r="327" spans="1:11">
      <c r="A327" s="3480" t="s">
        <v>1</v>
      </c>
      <c r="B327" s="3480"/>
      <c r="C327" s="46"/>
      <c r="D327" s="124"/>
      <c r="F327" s="104"/>
      <c r="H327" s="45"/>
      <c r="I327" s="556"/>
    </row>
    <row r="328" spans="1:11" ht="35.25" thickBot="1">
      <c r="F328" s="104"/>
    </row>
    <row r="329" spans="1:11">
      <c r="A329" s="3481" t="s">
        <v>2</v>
      </c>
      <c r="B329" s="3482"/>
      <c r="C329" s="48" t="s">
        <v>3</v>
      </c>
      <c r="D329" s="436" t="s">
        <v>4</v>
      </c>
      <c r="E329" s="868" t="s">
        <v>5</v>
      </c>
      <c r="F329" s="849" t="s">
        <v>5</v>
      </c>
      <c r="G329" s="219" t="s">
        <v>6</v>
      </c>
      <c r="H329" s="48" t="s">
        <v>7</v>
      </c>
      <c r="I329" s="557" t="s">
        <v>8</v>
      </c>
      <c r="J329" s="541" t="s">
        <v>9</v>
      </c>
      <c r="K329" s="346" t="s">
        <v>9</v>
      </c>
    </row>
    <row r="330" spans="1:11" ht="35.25" thickBot="1">
      <c r="A330" s="51"/>
      <c r="B330" s="72"/>
      <c r="C330" s="50"/>
      <c r="D330" s="437" t="s">
        <v>10</v>
      </c>
      <c r="E330" s="869" t="s">
        <v>12</v>
      </c>
      <c r="F330" s="850" t="s">
        <v>11</v>
      </c>
      <c r="G330" s="301"/>
      <c r="H330" s="50" t="s">
        <v>13</v>
      </c>
      <c r="I330" s="558"/>
      <c r="J330" s="542" t="s">
        <v>14</v>
      </c>
      <c r="K330" s="347" t="s">
        <v>15</v>
      </c>
    </row>
    <row r="331" spans="1:11">
      <c r="A331" s="782"/>
      <c r="B331" s="1814"/>
      <c r="C331" s="877"/>
      <c r="D331" s="1619"/>
      <c r="E331" s="142"/>
      <c r="F331" s="381"/>
      <c r="G331" s="1616"/>
      <c r="H331" s="971"/>
      <c r="I331" s="506"/>
      <c r="J331" s="1620"/>
      <c r="K331" s="1618"/>
    </row>
    <row r="332" spans="1:11">
      <c r="A332" s="663"/>
      <c r="B332" s="1006"/>
      <c r="C332" s="877"/>
      <c r="D332" s="1619"/>
      <c r="E332" s="142"/>
      <c r="F332" s="381"/>
      <c r="G332" s="2412"/>
      <c r="H332" s="971"/>
      <c r="I332" s="506"/>
      <c r="J332" s="1620"/>
      <c r="K332" s="2384"/>
    </row>
    <row r="333" spans="1:11">
      <c r="A333" s="766"/>
      <c r="B333" s="1006"/>
      <c r="C333" s="877"/>
      <c r="D333" s="1619"/>
      <c r="E333" s="142"/>
      <c r="F333" s="381"/>
      <c r="G333" s="2412"/>
      <c r="H333" s="971"/>
      <c r="I333" s="506"/>
      <c r="J333" s="1620"/>
      <c r="K333" s="2384"/>
    </row>
    <row r="334" spans="1:11">
      <c r="A334" s="406"/>
      <c r="B334" s="406"/>
      <c r="C334" s="320"/>
      <c r="D334" s="624"/>
      <c r="E334" s="420"/>
      <c r="F334" s="852"/>
      <c r="G334" s="979"/>
      <c r="H334" s="224"/>
      <c r="I334" s="778"/>
      <c r="J334" s="609"/>
      <c r="K334" s="780"/>
    </row>
    <row r="335" spans="1:11">
      <c r="A335" s="406"/>
      <c r="B335" s="406"/>
      <c r="C335" s="320"/>
      <c r="D335" s="413"/>
      <c r="E335" s="875"/>
      <c r="F335" s="852"/>
      <c r="G335" s="223"/>
      <c r="H335" s="224"/>
      <c r="I335" s="1456"/>
      <c r="J335" s="603"/>
      <c r="K335" s="779"/>
    </row>
    <row r="336" spans="1:11">
      <c r="A336" s="406"/>
      <c r="B336" s="406"/>
      <c r="C336" s="320"/>
      <c r="D336" s="413"/>
      <c r="E336" s="875"/>
      <c r="F336" s="852"/>
      <c r="G336" s="223"/>
      <c r="H336" s="224"/>
      <c r="I336" s="1456"/>
      <c r="J336" s="1457"/>
      <c r="K336" s="378"/>
    </row>
    <row r="337" spans="1:11">
      <c r="A337" s="995"/>
      <c r="B337" s="775"/>
      <c r="C337" s="101"/>
      <c r="D337" s="342"/>
      <c r="E337" s="871"/>
      <c r="F337" s="767"/>
      <c r="G337" s="206"/>
      <c r="H337" s="74"/>
      <c r="I337" s="560"/>
      <c r="J337" s="603"/>
      <c r="K337" s="378"/>
    </row>
    <row r="338" spans="1:11">
      <c r="A338" s="254"/>
      <c r="B338" s="43"/>
      <c r="C338" s="101"/>
      <c r="D338" s="342"/>
      <c r="E338" s="871"/>
      <c r="F338" s="767"/>
      <c r="G338" s="206"/>
      <c r="H338" s="74"/>
      <c r="I338" s="560"/>
      <c r="J338" s="603"/>
      <c r="K338" s="378"/>
    </row>
    <row r="339" spans="1:11">
      <c r="A339" s="1336"/>
      <c r="B339" s="1336"/>
      <c r="C339" s="320"/>
      <c r="D339" s="624"/>
      <c r="E339" s="420"/>
      <c r="F339" s="852"/>
      <c r="G339" s="223"/>
      <c r="H339" s="224"/>
      <c r="I339" s="1456"/>
      <c r="J339" s="603"/>
      <c r="K339" s="378"/>
    </row>
    <row r="340" spans="1:11">
      <c r="A340" s="1336"/>
      <c r="B340" s="1336"/>
      <c r="C340" s="320"/>
      <c r="D340" s="624"/>
      <c r="E340" s="420"/>
      <c r="F340" s="852"/>
      <c r="G340" s="223"/>
      <c r="H340" s="224"/>
      <c r="I340" s="1456"/>
      <c r="J340" s="603"/>
      <c r="K340" s="378"/>
    </row>
    <row r="341" spans="1:11">
      <c r="A341" s="398"/>
      <c r="B341" s="1336"/>
      <c r="C341" s="320"/>
      <c r="D341" s="624"/>
      <c r="E341" s="420"/>
      <c r="F341" s="852"/>
      <c r="G341" s="223"/>
      <c r="H341" s="224"/>
      <c r="I341" s="1456"/>
      <c r="J341" s="603"/>
      <c r="K341" s="378"/>
    </row>
    <row r="342" spans="1:11">
      <c r="A342" s="782"/>
      <c r="B342" s="783"/>
      <c r="C342" s="320"/>
      <c r="D342" s="624"/>
      <c r="E342" s="420"/>
      <c r="F342" s="852"/>
      <c r="G342" s="223"/>
      <c r="H342" s="224"/>
      <c r="I342" s="778"/>
      <c r="J342" s="603"/>
      <c r="K342" s="378"/>
    </row>
    <row r="343" spans="1:11">
      <c r="A343" s="398"/>
      <c r="B343" s="406"/>
      <c r="C343" s="320"/>
      <c r="D343" s="624"/>
      <c r="E343" s="420"/>
      <c r="F343" s="852"/>
      <c r="G343" s="223"/>
      <c r="H343" s="224"/>
      <c r="I343" s="778"/>
      <c r="J343" s="603"/>
      <c r="K343" s="378"/>
    </row>
    <row r="344" spans="1:11">
      <c r="A344" s="438"/>
      <c r="B344" s="766"/>
      <c r="C344" s="320"/>
      <c r="D344" s="624"/>
      <c r="E344" s="420"/>
      <c r="F344" s="852"/>
      <c r="G344" s="223"/>
      <c r="H344" s="224"/>
      <c r="I344" s="778"/>
      <c r="J344" s="609"/>
      <c r="K344" s="1458"/>
    </row>
    <row r="345" spans="1:11">
      <c r="A345" s="1022"/>
      <c r="B345" s="406"/>
      <c r="C345" s="320"/>
      <c r="D345" s="624"/>
      <c r="E345" s="420"/>
      <c r="F345" s="852"/>
      <c r="G345" s="223"/>
      <c r="H345" s="224"/>
      <c r="I345" s="778"/>
      <c r="J345" s="609"/>
      <c r="K345" s="780"/>
    </row>
    <row r="346" spans="1:11">
      <c r="A346" s="398"/>
      <c r="B346" s="406"/>
      <c r="C346" s="320"/>
      <c r="D346" s="624"/>
      <c r="E346" s="420"/>
      <c r="F346" s="852"/>
      <c r="G346" s="223"/>
      <c r="H346" s="224"/>
      <c r="I346" s="778"/>
      <c r="J346" s="603"/>
      <c r="K346" s="378"/>
    </row>
    <row r="347" spans="1:11">
      <c r="A347" s="398"/>
      <c r="B347" s="1336"/>
      <c r="C347" s="320"/>
      <c r="D347" s="624"/>
      <c r="E347" s="1459"/>
      <c r="F347" s="852"/>
      <c r="G347" s="223"/>
      <c r="H347" s="224"/>
      <c r="I347" s="778"/>
      <c r="J347" s="603"/>
      <c r="K347" s="378"/>
    </row>
    <row r="348" spans="1:11">
      <c r="A348" s="3483"/>
      <c r="B348" s="3484"/>
      <c r="C348" s="320"/>
      <c r="D348" s="413"/>
      <c r="E348" s="875"/>
      <c r="F348" s="852"/>
      <c r="G348" s="223"/>
      <c r="H348" s="224"/>
      <c r="I348" s="778"/>
      <c r="J348" s="603"/>
      <c r="K348" s="378"/>
    </row>
    <row r="349" spans="1:11">
      <c r="A349" s="398"/>
      <c r="B349" s="969"/>
      <c r="C349" s="786"/>
      <c r="D349" s="413"/>
      <c r="E349" s="875"/>
      <c r="F349" s="852"/>
      <c r="G349" s="223"/>
      <c r="H349" s="224"/>
      <c r="I349" s="784"/>
      <c r="J349" s="603"/>
      <c r="K349" s="378"/>
    </row>
    <row r="350" spans="1:11">
      <c r="A350" s="766"/>
      <c r="B350" s="1384"/>
      <c r="C350" s="786"/>
      <c r="D350" s="413"/>
      <c r="E350" s="875"/>
      <c r="F350" s="852"/>
      <c r="G350" s="223"/>
      <c r="H350" s="224"/>
      <c r="I350" s="784"/>
      <c r="J350" s="603"/>
      <c r="K350" s="378"/>
    </row>
    <row r="351" spans="1:11">
      <c r="A351" s="398"/>
      <c r="B351" s="1336"/>
      <c r="C351" s="320"/>
      <c r="D351" s="413"/>
      <c r="E351" s="875"/>
      <c r="F351" s="852"/>
      <c r="G351" s="223"/>
      <c r="H351" s="224"/>
      <c r="I351" s="784"/>
      <c r="J351" s="609"/>
      <c r="K351" s="780"/>
    </row>
    <row r="352" spans="1:11">
      <c r="A352" s="83"/>
      <c r="B352" s="43"/>
      <c r="C352" s="101"/>
      <c r="D352" s="322"/>
      <c r="E352" s="838"/>
      <c r="F352" s="767"/>
      <c r="G352" s="206"/>
      <c r="H352" s="74"/>
      <c r="I352" s="562"/>
      <c r="J352" s="547"/>
      <c r="K352" s="550"/>
    </row>
    <row r="353" spans="1:11">
      <c r="A353" s="83"/>
      <c r="B353" s="43"/>
      <c r="C353" s="101"/>
      <c r="D353" s="322"/>
      <c r="E353" s="838"/>
      <c r="F353" s="767"/>
      <c r="G353" s="206"/>
      <c r="H353" s="74"/>
      <c r="I353" s="562"/>
      <c r="J353" s="547"/>
      <c r="K353" s="550"/>
    </row>
    <row r="354" spans="1:11">
      <c r="A354" s="3483"/>
      <c r="B354" s="3484"/>
      <c r="C354" s="101"/>
      <c r="D354" s="342"/>
      <c r="E354" s="871"/>
      <c r="F354" s="767"/>
      <c r="G354" s="206"/>
      <c r="H354" s="74"/>
      <c r="I354" s="560"/>
      <c r="J354" s="544"/>
      <c r="K354" s="365"/>
    </row>
    <row r="355" spans="1:11">
      <c r="A355" s="83"/>
      <c r="B355" s="43"/>
      <c r="C355" s="101"/>
      <c r="D355" s="342"/>
      <c r="E355" s="871"/>
      <c r="F355" s="767"/>
      <c r="G355" s="206"/>
      <c r="H355" s="74"/>
      <c r="I355" s="560"/>
      <c r="J355" s="544"/>
      <c r="K355" s="365"/>
    </row>
    <row r="356" spans="1:11">
      <c r="A356" s="83"/>
      <c r="B356" s="43"/>
      <c r="C356" s="101"/>
      <c r="D356" s="342"/>
      <c r="E356" s="871"/>
      <c r="F356" s="767"/>
      <c r="G356" s="206"/>
      <c r="H356" s="74"/>
      <c r="I356" s="560"/>
      <c r="J356" s="544"/>
      <c r="K356" s="365"/>
    </row>
    <row r="357" spans="1:11">
      <c r="A357" s="3483"/>
      <c r="B357" s="3484"/>
      <c r="C357" s="101"/>
      <c r="D357" s="342"/>
      <c r="E357" s="871"/>
      <c r="F357" s="767"/>
      <c r="G357" s="206"/>
      <c r="H357" s="74"/>
      <c r="I357" s="560"/>
      <c r="J357" s="544"/>
      <c r="K357" s="365"/>
    </row>
    <row r="358" spans="1:11">
      <c r="A358" s="83"/>
      <c r="B358" s="43"/>
      <c r="C358" s="101"/>
      <c r="D358" s="342"/>
      <c r="E358" s="871"/>
      <c r="F358" s="767"/>
      <c r="G358" s="206"/>
      <c r="H358" s="74"/>
      <c r="I358" s="560"/>
      <c r="J358" s="544"/>
      <c r="K358" s="365"/>
    </row>
    <row r="359" spans="1:11">
      <c r="A359" s="83"/>
      <c r="B359" s="43"/>
      <c r="C359" s="101"/>
      <c r="D359" s="342"/>
      <c r="E359" s="871"/>
      <c r="F359" s="767"/>
      <c r="G359" s="206"/>
      <c r="H359" s="74"/>
      <c r="I359" s="560"/>
      <c r="J359" s="547"/>
      <c r="K359" s="550"/>
    </row>
    <row r="360" spans="1:11">
      <c r="A360" s="70"/>
      <c r="B360" s="56"/>
      <c r="C360" s="57"/>
      <c r="D360" s="613"/>
      <c r="E360" s="872"/>
      <c r="F360" s="853"/>
      <c r="G360" s="214"/>
      <c r="H360" s="103"/>
      <c r="I360" s="733"/>
      <c r="J360" s="543"/>
      <c r="K360" s="734"/>
    </row>
    <row r="361" spans="1:11">
      <c r="A361" s="44"/>
      <c r="B361" s="45"/>
      <c r="C361" s="46"/>
      <c r="D361" s="124"/>
      <c r="F361" s="104"/>
      <c r="H361" s="45"/>
      <c r="I361" s="556"/>
      <c r="K361" s="537">
        <v>11</v>
      </c>
    </row>
    <row r="362" spans="1:11">
      <c r="A362" s="45" t="s">
        <v>0</v>
      </c>
      <c r="B362" s="45"/>
      <c r="C362" s="68"/>
      <c r="D362" s="612"/>
      <c r="F362" s="104"/>
      <c r="H362" s="45"/>
      <c r="I362" s="556"/>
    </row>
    <row r="363" spans="1:11">
      <c r="A363" s="3480" t="s">
        <v>1</v>
      </c>
      <c r="B363" s="3480"/>
      <c r="C363" s="46"/>
      <c r="D363" s="124"/>
      <c r="F363" s="104"/>
      <c r="H363" s="45"/>
      <c r="I363" s="556"/>
    </row>
    <row r="364" spans="1:11" ht="35.25" thickBot="1">
      <c r="F364" s="104"/>
    </row>
    <row r="365" spans="1:11">
      <c r="A365" s="3481" t="s">
        <v>2</v>
      </c>
      <c r="B365" s="3482"/>
      <c r="C365" s="48" t="s">
        <v>3</v>
      </c>
      <c r="D365" s="436" t="s">
        <v>4</v>
      </c>
      <c r="E365" s="868" t="s">
        <v>5</v>
      </c>
      <c r="F365" s="849" t="s">
        <v>5</v>
      </c>
      <c r="G365" s="211" t="s">
        <v>6</v>
      </c>
      <c r="H365" s="48" t="s">
        <v>7</v>
      </c>
      <c r="I365" s="557" t="s">
        <v>8</v>
      </c>
      <c r="J365" s="541" t="s">
        <v>9</v>
      </c>
      <c r="K365" s="346" t="s">
        <v>9</v>
      </c>
    </row>
    <row r="366" spans="1:11" ht="35.25" thickBot="1">
      <c r="A366" s="51"/>
      <c r="B366" s="72"/>
      <c r="C366" s="50"/>
      <c r="D366" s="437" t="s">
        <v>10</v>
      </c>
      <c r="E366" s="869" t="s">
        <v>12</v>
      </c>
      <c r="F366" s="850" t="s">
        <v>11</v>
      </c>
      <c r="G366" s="212"/>
      <c r="H366" s="50" t="s">
        <v>13</v>
      </c>
      <c r="I366" s="558"/>
      <c r="J366" s="542" t="s">
        <v>14</v>
      </c>
      <c r="K366" s="347" t="s">
        <v>15</v>
      </c>
    </row>
    <row r="367" spans="1:11">
      <c r="A367" s="3489"/>
      <c r="B367" s="3490"/>
      <c r="C367" s="126"/>
      <c r="D367" s="536"/>
      <c r="E367" s="843"/>
      <c r="F367" s="853"/>
      <c r="G367" s="206"/>
      <c r="H367" s="74"/>
      <c r="I367" s="560"/>
      <c r="J367" s="544"/>
      <c r="K367" s="365"/>
    </row>
    <row r="368" spans="1:11">
      <c r="A368" s="398"/>
      <c r="B368" s="43"/>
      <c r="C368" s="101"/>
      <c r="D368" s="322"/>
      <c r="E368" s="843"/>
      <c r="F368" s="853"/>
      <c r="G368" s="206"/>
      <c r="H368" s="74"/>
      <c r="I368" s="355"/>
      <c r="J368" s="544"/>
      <c r="K368" s="365"/>
    </row>
    <row r="369" spans="1:11">
      <c r="A369" s="398"/>
      <c r="B369" s="43"/>
      <c r="C369" s="101"/>
      <c r="D369" s="322"/>
      <c r="E369" s="843"/>
      <c r="F369" s="853"/>
      <c r="G369" s="206"/>
      <c r="H369" s="74"/>
      <c r="I369" s="355"/>
      <c r="J369" s="544"/>
      <c r="K369" s="365"/>
    </row>
    <row r="370" spans="1:11">
      <c r="A370" s="83"/>
      <c r="B370" s="43"/>
      <c r="C370" s="101"/>
      <c r="D370" s="322"/>
      <c r="E370" s="843"/>
      <c r="F370" s="767"/>
      <c r="G370" s="206"/>
      <c r="H370" s="74"/>
      <c r="I370" s="355"/>
      <c r="J370" s="544"/>
      <c r="K370" s="365"/>
    </row>
    <row r="371" spans="1:11">
      <c r="A371" s="398"/>
      <c r="B371" s="43"/>
      <c r="C371" s="101"/>
      <c r="D371" s="322"/>
      <c r="E371" s="843"/>
      <c r="F371" s="853"/>
      <c r="G371" s="206"/>
      <c r="H371" s="74"/>
      <c r="I371" s="355"/>
      <c r="J371" s="544"/>
      <c r="K371" s="365"/>
    </row>
    <row r="372" spans="1:11">
      <c r="A372" s="398"/>
      <c r="B372" s="43"/>
      <c r="C372" s="101"/>
      <c r="D372" s="322"/>
      <c r="E372" s="843"/>
      <c r="F372" s="853"/>
      <c r="G372" s="206"/>
      <c r="H372" s="74"/>
      <c r="I372" s="560"/>
      <c r="J372" s="544"/>
      <c r="K372" s="365"/>
    </row>
    <row r="373" spans="1:11">
      <c r="A373" s="398"/>
      <c r="B373" s="43"/>
      <c r="C373" s="101"/>
      <c r="D373" s="322"/>
      <c r="E373" s="838"/>
      <c r="F373" s="853"/>
      <c r="G373" s="206"/>
      <c r="H373" s="74"/>
      <c r="I373" s="560"/>
      <c r="J373" s="544"/>
      <c r="K373" s="365"/>
    </row>
    <row r="374" spans="1:11">
      <c r="A374" s="83"/>
      <c r="B374" s="43"/>
      <c r="C374" s="101"/>
      <c r="D374" s="342"/>
      <c r="E374" s="871"/>
      <c r="F374" s="767"/>
      <c r="G374" s="206"/>
      <c r="H374" s="74"/>
      <c r="I374" s="560"/>
      <c r="J374" s="544"/>
      <c r="K374" s="365"/>
    </row>
    <row r="375" spans="1:11">
      <c r="A375" s="83"/>
      <c r="B375" s="43"/>
      <c r="C375" s="101"/>
      <c r="D375" s="342"/>
      <c r="E375" s="871"/>
      <c r="F375" s="853"/>
      <c r="G375" s="206"/>
      <c r="H375" s="74"/>
      <c r="I375" s="560"/>
      <c r="J375" s="544"/>
      <c r="K375" s="365"/>
    </row>
    <row r="376" spans="1:11">
      <c r="A376" s="83"/>
      <c r="B376" s="43"/>
      <c r="C376" s="101"/>
      <c r="D376" s="342"/>
      <c r="E376" s="871"/>
      <c r="F376" s="853"/>
      <c r="G376" s="206"/>
      <c r="H376" s="74"/>
      <c r="I376" s="560"/>
      <c r="J376" s="544"/>
      <c r="K376" s="365"/>
    </row>
    <row r="377" spans="1:11">
      <c r="A377" s="398"/>
      <c r="B377" s="43"/>
      <c r="C377" s="101"/>
      <c r="D377" s="322"/>
      <c r="E377" s="843"/>
      <c r="F377" s="853"/>
      <c r="G377" s="206"/>
      <c r="H377" s="74"/>
      <c r="I377" s="560"/>
      <c r="J377" s="547"/>
      <c r="K377" s="365"/>
    </row>
    <row r="378" spans="1:11">
      <c r="A378" s="398"/>
      <c r="B378" s="43"/>
      <c r="C378" s="101"/>
      <c r="D378" s="322"/>
      <c r="E378" s="843"/>
      <c r="F378" s="853"/>
      <c r="G378" s="206"/>
      <c r="H378" s="74"/>
      <c r="I378" s="560"/>
      <c r="J378" s="547"/>
      <c r="K378" s="365"/>
    </row>
    <row r="379" spans="1:11">
      <c r="A379" s="83"/>
      <c r="B379" s="43"/>
      <c r="C379" s="101"/>
      <c r="D379" s="342"/>
      <c r="E379" s="871"/>
      <c r="F379" s="853"/>
      <c r="G379" s="206"/>
      <c r="H379" s="74"/>
      <c r="I379" s="560"/>
      <c r="J379" s="544"/>
      <c r="K379" s="394"/>
    </row>
    <row r="380" spans="1:11">
      <c r="A380" s="83"/>
      <c r="B380" s="43"/>
      <c r="C380" s="101"/>
      <c r="D380" s="342"/>
      <c r="E380" s="843"/>
      <c r="F380" s="853"/>
      <c r="G380" s="206"/>
      <c r="H380" s="74"/>
      <c r="I380" s="560"/>
      <c r="J380" s="544"/>
      <c r="K380" s="365"/>
    </row>
    <row r="381" spans="1:11">
      <c r="A381" s="493"/>
      <c r="B381" s="448"/>
      <c r="C381" s="222"/>
      <c r="D381" s="342"/>
      <c r="E381" s="843"/>
      <c r="F381" s="853"/>
      <c r="G381" s="206"/>
      <c r="H381" s="74"/>
      <c r="I381" s="560"/>
      <c r="J381" s="544"/>
      <c r="K381" s="365"/>
    </row>
    <row r="382" spans="1:11">
      <c r="A382" s="83"/>
      <c r="B382" s="43"/>
      <c r="C382" s="101"/>
      <c r="D382" s="342"/>
      <c r="E382" s="843"/>
      <c r="F382" s="853"/>
      <c r="G382" s="206"/>
      <c r="H382" s="74"/>
      <c r="I382" s="385"/>
      <c r="J382" s="547"/>
      <c r="K382" s="365"/>
    </row>
    <row r="383" spans="1:11">
      <c r="A383" s="83"/>
      <c r="B383" s="43"/>
      <c r="C383" s="101"/>
      <c r="D383" s="342"/>
      <c r="E383" s="871"/>
      <c r="F383" s="767"/>
      <c r="G383" s="206"/>
      <c r="H383" s="74"/>
      <c r="I383" s="385"/>
      <c r="J383" s="547"/>
      <c r="K383" s="365"/>
    </row>
    <row r="384" spans="1:11">
      <c r="A384" s="83"/>
      <c r="B384" s="43"/>
      <c r="C384" s="101"/>
      <c r="D384" s="322"/>
      <c r="E384" s="838"/>
      <c r="F384" s="767"/>
      <c r="G384" s="206"/>
      <c r="H384" s="74"/>
      <c r="I384" s="560"/>
      <c r="J384" s="547"/>
      <c r="K384" s="365"/>
    </row>
    <row r="385" spans="1:11">
      <c r="A385" s="83"/>
      <c r="B385" s="43"/>
      <c r="C385" s="101"/>
      <c r="D385" s="322"/>
      <c r="E385" s="838"/>
      <c r="F385" s="767"/>
      <c r="G385" s="206"/>
      <c r="H385" s="74"/>
      <c r="I385" s="560"/>
      <c r="J385" s="547"/>
      <c r="K385" s="365"/>
    </row>
    <row r="386" spans="1:11">
      <c r="A386" s="83"/>
      <c r="B386" s="43"/>
      <c r="C386" s="101"/>
      <c r="D386" s="322"/>
      <c r="E386" s="838"/>
      <c r="F386" s="767"/>
      <c r="G386" s="206"/>
      <c r="H386" s="74"/>
      <c r="I386" s="560"/>
      <c r="J386" s="547"/>
      <c r="K386" s="365"/>
    </row>
    <row r="387" spans="1:11">
      <c r="A387" s="83"/>
      <c r="B387" s="43"/>
      <c r="C387" s="101"/>
      <c r="D387" s="322"/>
      <c r="E387" s="838"/>
      <c r="F387" s="767"/>
      <c r="G387" s="206"/>
      <c r="H387" s="74"/>
      <c r="I387" s="560"/>
      <c r="J387" s="547"/>
      <c r="K387" s="365"/>
    </row>
    <row r="388" spans="1:11">
      <c r="A388" s="83"/>
      <c r="B388" s="43"/>
      <c r="C388" s="101"/>
      <c r="D388" s="322"/>
      <c r="E388" s="838"/>
      <c r="F388" s="767"/>
      <c r="G388" s="206"/>
      <c r="H388" s="74"/>
      <c r="I388" s="560"/>
      <c r="J388" s="547"/>
      <c r="K388" s="365"/>
    </row>
    <row r="389" spans="1:11">
      <c r="A389" s="83"/>
      <c r="B389" s="43"/>
      <c r="C389" s="101"/>
      <c r="D389" s="322"/>
      <c r="E389" s="838"/>
      <c r="F389" s="767"/>
      <c r="G389" s="206"/>
      <c r="H389" s="74"/>
      <c r="I389" s="560"/>
      <c r="J389" s="547"/>
      <c r="K389" s="365"/>
    </row>
    <row r="390" spans="1:11">
      <c r="A390" s="83"/>
      <c r="B390" s="43"/>
      <c r="C390" s="101"/>
      <c r="D390" s="322"/>
      <c r="E390" s="838"/>
      <c r="F390" s="767"/>
      <c r="G390" s="206"/>
      <c r="H390" s="74"/>
      <c r="I390" s="560"/>
      <c r="J390" s="547"/>
      <c r="K390" s="365"/>
    </row>
    <row r="391" spans="1:11">
      <c r="A391" s="83"/>
      <c r="B391" s="43"/>
      <c r="C391" s="101"/>
      <c r="D391" s="322"/>
      <c r="E391" s="838"/>
      <c r="F391" s="767"/>
      <c r="G391" s="206"/>
      <c r="H391" s="74"/>
      <c r="I391" s="560"/>
      <c r="J391" s="547"/>
      <c r="K391" s="365"/>
    </row>
    <row r="392" spans="1:11">
      <c r="A392" s="3489"/>
      <c r="B392" s="3490"/>
      <c r="C392" s="63"/>
      <c r="D392" s="342"/>
      <c r="E392" s="838"/>
      <c r="F392" s="767"/>
      <c r="G392" s="206"/>
      <c r="H392" s="74"/>
      <c r="I392" s="560"/>
      <c r="J392" s="547"/>
      <c r="K392" s="365"/>
    </row>
    <row r="393" spans="1:11">
      <c r="A393" s="87"/>
      <c r="B393" s="43"/>
      <c r="C393" s="101"/>
      <c r="D393" s="342"/>
      <c r="E393" s="871"/>
      <c r="F393" s="767"/>
      <c r="G393" s="206"/>
      <c r="H393" s="150"/>
      <c r="I393" s="560"/>
      <c r="J393" s="544"/>
      <c r="K393" s="365"/>
    </row>
    <row r="394" spans="1:11">
      <c r="A394" s="83"/>
      <c r="B394" s="43"/>
      <c r="C394" s="101"/>
      <c r="D394" s="342"/>
      <c r="E394" s="871"/>
      <c r="F394" s="767"/>
      <c r="G394" s="206"/>
      <c r="H394" s="74"/>
      <c r="I394" s="560"/>
      <c r="J394" s="544"/>
      <c r="K394" s="365"/>
    </row>
    <row r="395" spans="1:11">
      <c r="A395" s="83"/>
      <c r="B395" s="43"/>
      <c r="C395" s="101"/>
      <c r="D395" s="342"/>
      <c r="E395" s="871"/>
      <c r="F395" s="767"/>
      <c r="G395" s="206"/>
      <c r="H395" s="74"/>
      <c r="I395" s="560"/>
      <c r="J395" s="544"/>
      <c r="K395" s="365"/>
    </row>
    <row r="396" spans="1:11">
      <c r="A396" s="44"/>
      <c r="B396" s="45"/>
      <c r="C396" s="46"/>
      <c r="D396" s="124"/>
      <c r="F396" s="104"/>
      <c r="H396" s="45"/>
      <c r="I396" s="556"/>
    </row>
    <row r="397" spans="1:11">
      <c r="A397" s="44"/>
      <c r="B397" s="45"/>
      <c r="C397" s="46"/>
      <c r="D397" s="124"/>
      <c r="F397" s="104"/>
      <c r="H397" s="45"/>
      <c r="I397" s="556"/>
      <c r="K397" s="537">
        <v>12</v>
      </c>
    </row>
    <row r="398" spans="1:11">
      <c r="A398" s="45" t="s">
        <v>0</v>
      </c>
      <c r="B398" s="45"/>
      <c r="C398" s="68"/>
      <c r="D398" s="612"/>
      <c r="F398" s="104"/>
      <c r="H398" s="45"/>
      <c r="I398" s="556"/>
    </row>
    <row r="399" spans="1:11">
      <c r="A399" s="3480" t="s">
        <v>1</v>
      </c>
      <c r="B399" s="3480"/>
      <c r="C399" s="46"/>
      <c r="D399" s="124"/>
      <c r="F399" s="104"/>
      <c r="H399" s="45"/>
      <c r="I399" s="556"/>
    </row>
    <row r="400" spans="1:11" ht="35.25" thickBot="1">
      <c r="F400" s="104"/>
    </row>
    <row r="401" spans="1:11">
      <c r="A401" s="3481" t="s">
        <v>2</v>
      </c>
      <c r="B401" s="3482"/>
      <c r="C401" s="48" t="s">
        <v>3</v>
      </c>
      <c r="D401" s="436" t="s">
        <v>4</v>
      </c>
      <c r="E401" s="868" t="s">
        <v>5</v>
      </c>
      <c r="F401" s="849" t="s">
        <v>5</v>
      </c>
      <c r="G401" s="211" t="s">
        <v>6</v>
      </c>
      <c r="H401" s="48" t="s">
        <v>7</v>
      </c>
      <c r="I401" s="557" t="s">
        <v>8</v>
      </c>
      <c r="J401" s="541" t="s">
        <v>9</v>
      </c>
      <c r="K401" s="346" t="s">
        <v>9</v>
      </c>
    </row>
    <row r="402" spans="1:11" ht="35.25" thickBot="1">
      <c r="A402" s="51"/>
      <c r="B402" s="72"/>
      <c r="C402" s="50"/>
      <c r="D402" s="437" t="s">
        <v>10</v>
      </c>
      <c r="E402" s="869" t="s">
        <v>12</v>
      </c>
      <c r="F402" s="850" t="s">
        <v>11</v>
      </c>
      <c r="G402" s="212"/>
      <c r="H402" s="50" t="s">
        <v>13</v>
      </c>
      <c r="I402" s="558"/>
      <c r="J402" s="542" t="s">
        <v>14</v>
      </c>
      <c r="K402" s="347" t="s">
        <v>15</v>
      </c>
    </row>
    <row r="403" spans="1:11">
      <c r="A403" s="3483"/>
      <c r="B403" s="3484"/>
      <c r="C403" s="320"/>
      <c r="D403" s="413"/>
      <c r="E403" s="875"/>
      <c r="F403" s="852"/>
      <c r="G403" s="223"/>
      <c r="H403" s="224"/>
      <c r="I403" s="778"/>
      <c r="J403" s="603"/>
      <c r="K403" s="378"/>
    </row>
    <row r="404" spans="1:11">
      <c r="A404" s="398"/>
      <c r="B404" s="406"/>
      <c r="C404" s="320"/>
      <c r="D404" s="413"/>
      <c r="E404" s="875"/>
      <c r="F404" s="852"/>
      <c r="G404" s="223"/>
      <c r="H404" s="224"/>
      <c r="I404" s="784"/>
      <c r="J404" s="603"/>
      <c r="K404" s="378"/>
    </row>
    <row r="405" spans="1:11">
      <c r="A405" s="83"/>
      <c r="B405" s="43"/>
      <c r="C405" s="101"/>
      <c r="D405" s="322"/>
      <c r="E405" s="843"/>
      <c r="F405" s="853"/>
      <c r="G405" s="206"/>
      <c r="H405" s="74"/>
      <c r="I405" s="562"/>
      <c r="J405" s="544"/>
      <c r="K405" s="365"/>
    </row>
    <row r="406" spans="1:11">
      <c r="A406" s="83"/>
      <c r="B406" s="43"/>
      <c r="C406" s="101"/>
      <c r="D406" s="322"/>
      <c r="E406" s="843"/>
      <c r="F406" s="853"/>
      <c r="G406" s="206"/>
      <c r="H406" s="74"/>
      <c r="I406" s="562"/>
      <c r="J406" s="544"/>
      <c r="K406" s="365"/>
    </row>
    <row r="407" spans="1:11">
      <c r="A407" s="398"/>
      <c r="B407" s="43"/>
      <c r="C407" s="101"/>
      <c r="D407" s="322"/>
      <c r="E407" s="843"/>
      <c r="F407" s="853"/>
      <c r="G407" s="206"/>
      <c r="H407" s="74"/>
      <c r="I407" s="560"/>
      <c r="J407" s="544"/>
      <c r="K407" s="394"/>
    </row>
    <row r="408" spans="1:11">
      <c r="A408" s="3483"/>
      <c r="B408" s="3484"/>
      <c r="C408" s="126"/>
      <c r="D408" s="536"/>
      <c r="E408" s="843"/>
      <c r="F408" s="853"/>
      <c r="G408" s="206"/>
      <c r="H408" s="74"/>
      <c r="I408" s="560"/>
      <c r="J408" s="544"/>
      <c r="K408" s="365"/>
    </row>
    <row r="409" spans="1:11">
      <c r="A409" s="398"/>
      <c r="B409" s="43"/>
      <c r="C409" s="101"/>
      <c r="D409" s="322"/>
      <c r="E409" s="843"/>
      <c r="F409" s="853"/>
      <c r="G409" s="206"/>
      <c r="H409" s="74"/>
      <c r="I409" s="355"/>
      <c r="J409" s="544"/>
      <c r="K409" s="365"/>
    </row>
    <row r="410" spans="1:11">
      <c r="A410" s="398"/>
      <c r="B410" s="43"/>
      <c r="C410" s="101"/>
      <c r="D410" s="322"/>
      <c r="E410" s="843"/>
      <c r="F410" s="853"/>
      <c r="G410" s="206"/>
      <c r="H410" s="74"/>
      <c r="I410" s="355"/>
      <c r="J410" s="544"/>
      <c r="K410" s="365"/>
    </row>
    <row r="411" spans="1:11">
      <c r="A411" s="83"/>
      <c r="B411" s="43"/>
      <c r="C411" s="101"/>
      <c r="D411" s="322"/>
      <c r="E411" s="843"/>
      <c r="F411" s="767"/>
      <c r="G411" s="206"/>
      <c r="H411" s="74"/>
      <c r="I411" s="355"/>
      <c r="J411" s="544"/>
      <c r="K411" s="365"/>
    </row>
    <row r="412" spans="1:11">
      <c r="A412" s="398"/>
      <c r="B412" s="43"/>
      <c r="C412" s="101"/>
      <c r="D412" s="322"/>
      <c r="E412" s="843"/>
      <c r="F412" s="853"/>
      <c r="G412" s="206"/>
      <c r="H412" s="74"/>
      <c r="I412" s="355"/>
      <c r="J412" s="544"/>
      <c r="K412" s="365"/>
    </row>
    <row r="413" spans="1:11">
      <c r="A413" s="398"/>
      <c r="B413" s="43"/>
      <c r="C413" s="101"/>
      <c r="D413" s="322"/>
      <c r="E413" s="843"/>
      <c r="F413" s="853"/>
      <c r="G413" s="206"/>
      <c r="H413" s="74"/>
      <c r="I413" s="560"/>
      <c r="J413" s="544"/>
      <c r="K413" s="365"/>
    </row>
    <row r="414" spans="1:11">
      <c r="A414" s="398"/>
      <c r="B414" s="43"/>
      <c r="C414" s="101"/>
      <c r="D414" s="322"/>
      <c r="E414" s="838"/>
      <c r="F414" s="853"/>
      <c r="G414" s="206"/>
      <c r="H414" s="74"/>
      <c r="I414" s="560"/>
      <c r="J414" s="544"/>
      <c r="K414" s="365"/>
    </row>
    <row r="415" spans="1:11">
      <c r="A415" s="83"/>
      <c r="B415" s="43"/>
      <c r="C415" s="101"/>
      <c r="D415" s="342"/>
      <c r="E415" s="871"/>
      <c r="F415" s="767"/>
      <c r="G415" s="206"/>
      <c r="H415" s="74"/>
      <c r="I415" s="560"/>
      <c r="J415" s="544"/>
      <c r="K415" s="365"/>
    </row>
    <row r="416" spans="1:11">
      <c r="A416" s="83"/>
      <c r="B416" s="43"/>
      <c r="C416" s="101"/>
      <c r="D416" s="342"/>
      <c r="E416" s="871"/>
      <c r="F416" s="853"/>
      <c r="G416" s="206"/>
      <c r="H416" s="74"/>
      <c r="I416" s="560"/>
      <c r="J416" s="544"/>
      <c r="K416" s="365"/>
    </row>
    <row r="417" spans="1:11">
      <c r="A417" s="83"/>
      <c r="B417" s="43"/>
      <c r="C417" s="101"/>
      <c r="D417" s="342"/>
      <c r="E417" s="871"/>
      <c r="F417" s="853"/>
      <c r="G417" s="206"/>
      <c r="H417" s="74"/>
      <c r="I417" s="560"/>
      <c r="J417" s="544"/>
      <c r="K417" s="365"/>
    </row>
    <row r="418" spans="1:11">
      <c r="A418" s="83"/>
      <c r="B418" s="43"/>
      <c r="C418" s="101"/>
      <c r="D418" s="342"/>
      <c r="E418" s="843"/>
      <c r="F418" s="853"/>
      <c r="G418" s="206"/>
      <c r="H418" s="74"/>
      <c r="I418" s="560"/>
      <c r="J418" s="544"/>
      <c r="K418" s="365"/>
    </row>
    <row r="419" spans="1:11">
      <c r="A419" s="782"/>
      <c r="B419" s="783"/>
      <c r="C419" s="222"/>
      <c r="D419" s="517"/>
      <c r="E419" s="843"/>
      <c r="F419" s="853"/>
      <c r="G419" s="206"/>
      <c r="H419" s="74"/>
      <c r="I419" s="560"/>
      <c r="J419" s="544"/>
      <c r="K419" s="365"/>
    </row>
    <row r="420" spans="1:11">
      <c r="A420" s="83"/>
      <c r="B420" s="362"/>
      <c r="C420" s="101"/>
      <c r="D420" s="342"/>
      <c r="E420" s="843"/>
      <c r="F420" s="853"/>
      <c r="G420" s="206"/>
      <c r="H420" s="74"/>
      <c r="I420" s="562"/>
      <c r="J420" s="547"/>
      <c r="K420" s="550"/>
    </row>
    <row r="421" spans="1:11">
      <c r="A421" s="83"/>
      <c r="B421" s="362"/>
      <c r="C421" s="101"/>
      <c r="D421" s="342"/>
      <c r="E421" s="871"/>
      <c r="F421" s="767"/>
      <c r="G421" s="206"/>
      <c r="H421" s="74"/>
      <c r="I421" s="562"/>
      <c r="J421" s="547"/>
      <c r="K421" s="550"/>
    </row>
    <row r="422" spans="1:11">
      <c r="A422" s="83"/>
      <c r="B422" s="362"/>
      <c r="C422" s="101"/>
      <c r="D422" s="322"/>
      <c r="E422" s="838"/>
      <c r="F422" s="767"/>
      <c r="G422" s="206"/>
      <c r="H422" s="74"/>
      <c r="I422" s="562"/>
      <c r="J422" s="547"/>
      <c r="K422" s="550"/>
    </row>
    <row r="423" spans="1:11">
      <c r="A423" s="83"/>
      <c r="B423" s="43"/>
      <c r="C423" s="101"/>
      <c r="D423" s="322"/>
      <c r="E423" s="838"/>
      <c r="F423" s="767"/>
      <c r="G423" s="206"/>
      <c r="H423" s="74"/>
      <c r="I423" s="562"/>
      <c r="J423" s="547"/>
      <c r="K423" s="550"/>
    </row>
    <row r="424" spans="1:11">
      <c r="A424" s="83"/>
      <c r="B424" s="43"/>
      <c r="C424" s="101"/>
      <c r="D424" s="322"/>
      <c r="E424" s="838"/>
      <c r="F424" s="767"/>
      <c r="G424" s="206"/>
      <c r="H424" s="74"/>
      <c r="I424" s="562"/>
      <c r="J424" s="547"/>
      <c r="K424" s="550"/>
    </row>
    <row r="425" spans="1:11">
      <c r="A425" s="83"/>
      <c r="B425" s="43"/>
      <c r="C425" s="101"/>
      <c r="D425" s="322"/>
      <c r="E425" s="871"/>
      <c r="F425" s="767"/>
      <c r="G425" s="206"/>
      <c r="H425" s="74"/>
      <c r="I425" s="562"/>
      <c r="J425" s="547"/>
      <c r="K425" s="550"/>
    </row>
    <row r="426" spans="1:11">
      <c r="A426" s="83"/>
      <c r="B426" s="43"/>
      <c r="C426" s="101"/>
      <c r="D426" s="322"/>
      <c r="E426" s="871"/>
      <c r="F426" s="767"/>
      <c r="G426" s="206"/>
      <c r="H426" s="74"/>
      <c r="I426" s="562"/>
      <c r="J426" s="547"/>
      <c r="K426" s="550"/>
    </row>
    <row r="427" spans="1:11">
      <c r="A427" s="83"/>
      <c r="B427" s="43"/>
      <c r="C427" s="101"/>
      <c r="D427" s="342"/>
      <c r="E427" s="871"/>
      <c r="F427" s="767"/>
      <c r="G427" s="206"/>
      <c r="H427" s="74"/>
      <c r="I427" s="560"/>
      <c r="J427" s="547"/>
      <c r="K427" s="616"/>
    </row>
    <row r="428" spans="1:11">
      <c r="A428" s="389"/>
      <c r="B428" s="382"/>
      <c r="C428" s="101"/>
      <c r="D428" s="342"/>
      <c r="E428" s="871"/>
      <c r="F428" s="767"/>
      <c r="G428" s="206"/>
      <c r="H428" s="74"/>
      <c r="I428" s="560"/>
      <c r="J428" s="547"/>
      <c r="K428" s="616"/>
    </row>
    <row r="429" spans="1:11">
      <c r="A429" s="87"/>
      <c r="B429" s="43"/>
      <c r="C429" s="101"/>
      <c r="D429" s="342"/>
      <c r="E429" s="871"/>
      <c r="F429" s="767"/>
      <c r="G429" s="206"/>
      <c r="H429" s="74"/>
      <c r="I429" s="560"/>
      <c r="J429" s="547"/>
      <c r="K429" s="616"/>
    </row>
    <row r="430" spans="1:11">
      <c r="A430" s="87"/>
      <c r="B430" s="43"/>
      <c r="C430" s="101"/>
      <c r="D430" s="342"/>
      <c r="E430" s="871"/>
      <c r="F430" s="767"/>
      <c r="G430" s="206"/>
      <c r="H430" s="74"/>
      <c r="I430" s="560"/>
      <c r="J430" s="547"/>
      <c r="K430" s="616"/>
    </row>
    <row r="431" spans="1:11">
      <c r="A431" s="87"/>
      <c r="B431" s="43"/>
      <c r="C431" s="101"/>
      <c r="D431" s="342"/>
      <c r="E431" s="871"/>
      <c r="F431" s="767"/>
      <c r="G431" s="206"/>
      <c r="H431" s="74"/>
      <c r="I431" s="560"/>
      <c r="J431" s="547"/>
      <c r="K431" s="616"/>
    </row>
    <row r="432" spans="1:11">
      <c r="A432" s="87"/>
      <c r="B432" s="43"/>
      <c r="C432" s="101"/>
      <c r="D432" s="342"/>
      <c r="E432" s="871"/>
      <c r="F432" s="767"/>
      <c r="G432" s="206"/>
      <c r="H432" s="74"/>
      <c r="I432" s="560"/>
      <c r="J432" s="547"/>
      <c r="K432" s="616"/>
    </row>
    <row r="433" spans="1:11">
      <c r="A433" s="44"/>
      <c r="B433" s="45"/>
      <c r="C433" s="46"/>
      <c r="D433" s="124"/>
      <c r="F433" s="104"/>
      <c r="H433" s="45"/>
      <c r="I433" s="556"/>
      <c r="K433" s="492">
        <v>13</v>
      </c>
    </row>
    <row r="434" spans="1:11">
      <c r="A434" s="45" t="s">
        <v>0</v>
      </c>
      <c r="B434" s="45"/>
      <c r="C434" s="68"/>
      <c r="D434" s="612"/>
      <c r="F434" s="104"/>
      <c r="H434" s="45"/>
      <c r="I434" s="556"/>
    </row>
    <row r="435" spans="1:11">
      <c r="A435" s="3480" t="s">
        <v>1</v>
      </c>
      <c r="B435" s="3480"/>
      <c r="C435" s="46"/>
      <c r="D435" s="124"/>
      <c r="F435" s="104"/>
      <c r="H435" s="45"/>
      <c r="I435" s="556"/>
    </row>
    <row r="436" spans="1:11" ht="35.25" thickBot="1">
      <c r="F436" s="104"/>
    </row>
    <row r="437" spans="1:11">
      <c r="A437" s="3481" t="s">
        <v>2</v>
      </c>
      <c r="B437" s="3482"/>
      <c r="C437" s="48" t="s">
        <v>3</v>
      </c>
      <c r="D437" s="436" t="s">
        <v>4</v>
      </c>
      <c r="E437" s="868" t="s">
        <v>5</v>
      </c>
      <c r="F437" s="849" t="s">
        <v>5</v>
      </c>
      <c r="G437" s="211" t="s">
        <v>6</v>
      </c>
      <c r="H437" s="48" t="s">
        <v>7</v>
      </c>
      <c r="I437" s="557" t="s">
        <v>8</v>
      </c>
      <c r="J437" s="541" t="s">
        <v>9</v>
      </c>
      <c r="K437" s="346" t="s">
        <v>9</v>
      </c>
    </row>
    <row r="438" spans="1:11" ht="35.25" thickBot="1">
      <c r="A438" s="51"/>
      <c r="B438" s="72"/>
      <c r="C438" s="50"/>
      <c r="D438" s="437" t="s">
        <v>10</v>
      </c>
      <c r="E438" s="869" t="s">
        <v>12</v>
      </c>
      <c r="F438" s="850" t="s">
        <v>11</v>
      </c>
      <c r="G438" s="212"/>
      <c r="H438" s="50" t="s">
        <v>13</v>
      </c>
      <c r="I438" s="558"/>
      <c r="J438" s="542" t="s">
        <v>14</v>
      </c>
      <c r="K438" s="347" t="s">
        <v>15</v>
      </c>
    </row>
    <row r="439" spans="1:11">
      <c r="A439" s="3485"/>
      <c r="B439" s="3486"/>
      <c r="C439" s="63"/>
      <c r="D439" s="322"/>
      <c r="E439" s="843"/>
      <c r="F439" s="767"/>
      <c r="G439" s="206"/>
      <c r="H439" s="74"/>
      <c r="I439" s="560"/>
      <c r="J439" s="544"/>
      <c r="K439" s="365"/>
    </row>
    <row r="440" spans="1:11">
      <c r="A440" s="398"/>
      <c r="B440" s="43"/>
      <c r="C440" s="101"/>
      <c r="D440" s="322"/>
      <c r="E440" s="843"/>
      <c r="F440" s="853"/>
      <c r="G440" s="206"/>
      <c r="H440" s="74"/>
      <c r="I440" s="560"/>
      <c r="J440" s="547"/>
      <c r="K440" s="550"/>
    </row>
    <row r="441" spans="1:11">
      <c r="A441" s="398"/>
      <c r="B441" s="43"/>
      <c r="C441" s="101"/>
      <c r="D441" s="322"/>
      <c r="E441" s="843"/>
      <c r="F441" s="853"/>
      <c r="G441" s="206"/>
      <c r="H441" s="74"/>
      <c r="I441" s="560"/>
      <c r="J441" s="547"/>
      <c r="K441" s="550"/>
    </row>
    <row r="442" spans="1:11">
      <c r="A442" s="398"/>
      <c r="B442" s="43"/>
      <c r="C442" s="101"/>
      <c r="D442" s="322"/>
      <c r="E442" s="843"/>
      <c r="F442" s="853"/>
      <c r="G442" s="206"/>
      <c r="H442" s="74"/>
      <c r="I442" s="560"/>
      <c r="J442" s="547"/>
      <c r="K442" s="550"/>
    </row>
    <row r="443" spans="1:11">
      <c r="A443" s="398"/>
      <c r="B443" s="43"/>
      <c r="C443" s="101"/>
      <c r="D443" s="322"/>
      <c r="E443" s="843"/>
      <c r="F443" s="853"/>
      <c r="G443" s="206"/>
      <c r="H443" s="74"/>
      <c r="I443" s="560"/>
      <c r="J443" s="547"/>
      <c r="K443" s="550"/>
    </row>
    <row r="444" spans="1:11">
      <c r="A444" s="398"/>
      <c r="B444" s="43"/>
      <c r="C444" s="101"/>
      <c r="D444" s="322"/>
      <c r="E444" s="843"/>
      <c r="F444" s="853"/>
      <c r="G444" s="206"/>
      <c r="H444" s="74"/>
      <c r="I444" s="560"/>
      <c r="J444" s="547"/>
      <c r="K444" s="550"/>
    </row>
    <row r="445" spans="1:11">
      <c r="A445" s="3487"/>
      <c r="B445" s="3488"/>
      <c r="C445" s="101"/>
      <c r="D445" s="322"/>
      <c r="E445" s="843"/>
      <c r="F445" s="853"/>
      <c r="G445" s="206"/>
      <c r="H445" s="74"/>
      <c r="I445" s="560"/>
      <c r="J445" s="544"/>
      <c r="K445" s="550"/>
    </row>
    <row r="446" spans="1:11">
      <c r="A446" s="663"/>
      <c r="B446" s="43"/>
      <c r="C446" s="101"/>
      <c r="D446" s="322"/>
      <c r="E446" s="843"/>
      <c r="F446" s="853"/>
      <c r="G446" s="206"/>
      <c r="H446" s="74"/>
      <c r="I446" s="560"/>
      <c r="J446" s="547"/>
      <c r="K446" s="550"/>
    </row>
    <row r="447" spans="1:11">
      <c r="A447" s="398"/>
      <c r="B447" s="43"/>
      <c r="C447" s="101"/>
      <c r="D447" s="322"/>
      <c r="E447" s="843"/>
      <c r="F447" s="853"/>
      <c r="G447" s="206"/>
      <c r="H447" s="74"/>
      <c r="I447" s="560"/>
      <c r="J447" s="547"/>
      <c r="K447" s="550"/>
    </row>
    <row r="448" spans="1:11">
      <c r="A448" s="398"/>
      <c r="B448" s="43"/>
      <c r="C448" s="101"/>
      <c r="D448" s="322"/>
      <c r="E448" s="843"/>
      <c r="F448" s="853"/>
      <c r="G448" s="206"/>
      <c r="H448" s="74"/>
      <c r="I448" s="560"/>
      <c r="J448" s="547"/>
      <c r="K448" s="550"/>
    </row>
    <row r="449" spans="1:11">
      <c r="A449" s="398"/>
      <c r="B449" s="43"/>
      <c r="C449" s="101"/>
      <c r="D449" s="322"/>
      <c r="E449" s="843"/>
      <c r="F449" s="853"/>
      <c r="G449" s="206"/>
      <c r="H449" s="74"/>
      <c r="I449" s="560"/>
      <c r="J449" s="547"/>
      <c r="K449" s="550"/>
    </row>
    <row r="450" spans="1:11">
      <c r="A450" s="83"/>
      <c r="B450" s="43"/>
      <c r="C450" s="101"/>
      <c r="D450" s="322"/>
      <c r="E450" s="843"/>
      <c r="F450" s="767"/>
      <c r="G450" s="206"/>
      <c r="H450" s="74"/>
      <c r="I450" s="560"/>
      <c r="J450" s="547"/>
      <c r="K450" s="550"/>
    </row>
    <row r="451" spans="1:11">
      <c r="A451" s="83"/>
      <c r="B451" s="43"/>
      <c r="C451" s="101"/>
      <c r="D451" s="322"/>
      <c r="E451" s="843"/>
      <c r="F451" s="853"/>
      <c r="G451" s="206"/>
      <c r="H451" s="74"/>
      <c r="I451" s="560"/>
      <c r="J451" s="547"/>
      <c r="K451" s="550"/>
    </row>
    <row r="452" spans="1:11">
      <c r="A452" s="83"/>
      <c r="B452" s="43"/>
      <c r="C452" s="101"/>
      <c r="D452" s="322"/>
      <c r="E452" s="843"/>
      <c r="F452" s="853"/>
      <c r="G452" s="206"/>
      <c r="H452" s="74"/>
      <c r="I452" s="560"/>
      <c r="J452" s="547"/>
      <c r="K452" s="550"/>
    </row>
    <row r="453" spans="1:11">
      <c r="A453" s="83"/>
      <c r="B453" s="43"/>
      <c r="C453" s="101"/>
      <c r="D453" s="322"/>
      <c r="E453" s="843"/>
      <c r="F453" s="853"/>
      <c r="G453" s="206"/>
      <c r="H453" s="74"/>
      <c r="I453" s="560"/>
      <c r="J453" s="547"/>
      <c r="K453" s="550"/>
    </row>
    <row r="454" spans="1:11">
      <c r="A454" s="83"/>
      <c r="B454" s="43"/>
      <c r="C454" s="101"/>
      <c r="D454" s="342"/>
      <c r="E454" s="843"/>
      <c r="F454" s="853"/>
      <c r="G454" s="206"/>
      <c r="H454" s="74"/>
      <c r="I454" s="560"/>
      <c r="J454" s="547"/>
      <c r="K454" s="550"/>
    </row>
    <row r="455" spans="1:11">
      <c r="A455" s="83"/>
      <c r="B455" s="43"/>
      <c r="C455" s="101"/>
      <c r="D455" s="322"/>
      <c r="E455" s="843"/>
      <c r="F455" s="853"/>
      <c r="G455" s="206"/>
      <c r="H455" s="74"/>
      <c r="I455" s="560"/>
      <c r="J455" s="547"/>
      <c r="K455" s="550"/>
    </row>
    <row r="456" spans="1:11">
      <c r="A456" s="83"/>
      <c r="B456" s="43"/>
      <c r="C456" s="101"/>
      <c r="D456" s="322"/>
      <c r="E456" s="843"/>
      <c r="F456" s="853"/>
      <c r="G456" s="206"/>
      <c r="H456" s="74"/>
      <c r="I456" s="560"/>
      <c r="J456" s="547"/>
      <c r="K456" s="550"/>
    </row>
    <row r="457" spans="1:11">
      <c r="A457" s="83"/>
      <c r="B457" s="43"/>
      <c r="C457" s="101"/>
      <c r="D457" s="342"/>
      <c r="E457" s="843"/>
      <c r="F457" s="853"/>
      <c r="G457" s="206"/>
      <c r="H457" s="74"/>
      <c r="I457" s="385"/>
      <c r="J457" s="547"/>
      <c r="K457" s="550"/>
    </row>
    <row r="458" spans="1:11">
      <c r="A458" s="83"/>
      <c r="B458" s="43"/>
      <c r="C458" s="101"/>
      <c r="D458" s="342"/>
      <c r="E458" s="843"/>
      <c r="F458" s="767"/>
      <c r="G458" s="206"/>
      <c r="H458" s="74"/>
      <c r="I458" s="560"/>
      <c r="J458" s="547"/>
      <c r="K458" s="550"/>
    </row>
    <row r="459" spans="1:11">
      <c r="A459" s="83"/>
      <c r="B459" s="43"/>
      <c r="C459" s="101"/>
      <c r="D459" s="322"/>
      <c r="E459" s="843"/>
      <c r="F459" s="767"/>
      <c r="G459" s="206"/>
      <c r="H459" s="74"/>
      <c r="I459" s="560"/>
      <c r="J459" s="547"/>
      <c r="K459" s="550"/>
    </row>
    <row r="460" spans="1:11">
      <c r="A460" s="83"/>
      <c r="B460" s="43"/>
      <c r="C460" s="101"/>
      <c r="D460" s="342"/>
      <c r="E460" s="843"/>
      <c r="F460" s="767"/>
      <c r="G460" s="206"/>
      <c r="H460" s="74"/>
      <c r="I460" s="560"/>
      <c r="J460" s="547"/>
      <c r="K460" s="550"/>
    </row>
    <row r="461" spans="1:11">
      <c r="A461" s="83"/>
      <c r="B461" s="382"/>
      <c r="C461" s="101"/>
      <c r="D461" s="322"/>
      <c r="E461" s="838"/>
      <c r="F461" s="767"/>
      <c r="G461" s="206"/>
      <c r="H461" s="74"/>
      <c r="I461" s="560"/>
      <c r="J461" s="547"/>
      <c r="K461" s="394"/>
    </row>
    <row r="462" spans="1:11">
      <c r="A462" s="83"/>
      <c r="B462" s="43"/>
      <c r="C462" s="320"/>
      <c r="D462" s="322"/>
      <c r="E462" s="838"/>
      <c r="F462" s="767"/>
      <c r="G462" s="206"/>
      <c r="H462" s="74"/>
      <c r="I462" s="563"/>
      <c r="J462" s="544"/>
      <c r="K462" s="394"/>
    </row>
    <row r="463" spans="1:11">
      <c r="A463" s="83"/>
      <c r="B463" s="43"/>
      <c r="C463" s="101"/>
      <c r="D463" s="322"/>
      <c r="E463" s="838"/>
      <c r="F463" s="767"/>
      <c r="G463" s="206"/>
      <c r="H463" s="74"/>
      <c r="I463" s="563"/>
      <c r="J463" s="548"/>
      <c r="K463" s="365"/>
    </row>
    <row r="464" spans="1:11">
      <c r="A464" s="83"/>
      <c r="B464" s="43"/>
      <c r="C464" s="101"/>
      <c r="D464" s="342"/>
      <c r="E464" s="871"/>
      <c r="F464" s="767"/>
      <c r="G464" s="206"/>
      <c r="H464" s="74"/>
      <c r="I464" s="563"/>
      <c r="J464" s="544"/>
      <c r="K464" s="365"/>
    </row>
    <row r="465" spans="1:11">
      <c r="A465" s="83"/>
      <c r="B465" s="43"/>
      <c r="C465" s="101"/>
      <c r="D465" s="342"/>
      <c r="E465" s="871"/>
      <c r="F465" s="767"/>
      <c r="G465" s="206"/>
      <c r="H465" s="74"/>
      <c r="I465" s="563"/>
      <c r="J465" s="544"/>
      <c r="K465" s="365"/>
    </row>
    <row r="466" spans="1:11">
      <c r="A466" s="83"/>
      <c r="B466" s="362"/>
      <c r="C466" s="101"/>
      <c r="D466" s="342"/>
      <c r="E466" s="871"/>
      <c r="F466" s="767"/>
      <c r="G466" s="206"/>
      <c r="H466" s="74"/>
      <c r="I466" s="563"/>
      <c r="J466" s="544"/>
      <c r="K466" s="365"/>
    </row>
    <row r="467" spans="1:11">
      <c r="A467" s="87"/>
      <c r="B467" s="362"/>
      <c r="C467" s="101"/>
      <c r="D467" s="342"/>
      <c r="E467" s="871"/>
      <c r="F467" s="767"/>
      <c r="G467" s="206"/>
      <c r="H467" s="74"/>
      <c r="I467" s="563"/>
      <c r="J467" s="544"/>
      <c r="K467" s="365"/>
    </row>
    <row r="468" spans="1:11">
      <c r="A468" s="87"/>
      <c r="B468" s="362"/>
      <c r="C468" s="101"/>
      <c r="D468" s="342"/>
      <c r="E468" s="871"/>
      <c r="F468" s="767"/>
      <c r="G468" s="206"/>
      <c r="H468" s="74"/>
      <c r="I468" s="563"/>
      <c r="J468" s="544"/>
      <c r="K468" s="365"/>
    </row>
    <row r="469" spans="1:11">
      <c r="A469" s="44"/>
      <c r="B469" s="45"/>
      <c r="C469" s="46"/>
      <c r="D469" s="124"/>
      <c r="F469" s="104"/>
      <c r="H469" s="45"/>
      <c r="I469" s="556"/>
      <c r="K469" s="537">
        <v>14</v>
      </c>
    </row>
    <row r="470" spans="1:11">
      <c r="A470" s="45" t="s">
        <v>0</v>
      </c>
      <c r="B470" s="45"/>
      <c r="C470" s="68"/>
      <c r="D470" s="612"/>
      <c r="F470" s="104"/>
      <c r="H470" s="45"/>
      <c r="I470" s="556"/>
    </row>
    <row r="471" spans="1:11">
      <c r="A471" s="3480" t="s">
        <v>1</v>
      </c>
      <c r="B471" s="3480"/>
      <c r="C471" s="46"/>
      <c r="D471" s="124"/>
      <c r="F471" s="104"/>
      <c r="H471" s="45"/>
      <c r="I471" s="556"/>
    </row>
    <row r="472" spans="1:11" ht="35.25" thickBot="1">
      <c r="F472" s="104"/>
      <c r="K472" s="732"/>
    </row>
    <row r="473" spans="1:11">
      <c r="A473" s="3445"/>
      <c r="B473" s="3446" t="s">
        <v>2</v>
      </c>
      <c r="C473" s="48" t="s">
        <v>3</v>
      </c>
      <c r="D473" s="436" t="s">
        <v>4</v>
      </c>
      <c r="E473" s="868" t="s">
        <v>5</v>
      </c>
      <c r="F473" s="849" t="s">
        <v>5</v>
      </c>
      <c r="G473" s="211" t="s">
        <v>6</v>
      </c>
      <c r="H473" s="48" t="s">
        <v>7</v>
      </c>
      <c r="I473" s="557" t="s">
        <v>8</v>
      </c>
      <c r="J473" s="573" t="s">
        <v>9</v>
      </c>
      <c r="K473" s="346" t="s">
        <v>9</v>
      </c>
    </row>
    <row r="474" spans="1:11" ht="35.25" thickBot="1">
      <c r="A474" s="51"/>
      <c r="B474" s="72"/>
      <c r="C474" s="50"/>
      <c r="D474" s="437" t="s">
        <v>10</v>
      </c>
      <c r="E474" s="869" t="s">
        <v>12</v>
      </c>
      <c r="F474" s="850" t="s">
        <v>11</v>
      </c>
      <c r="G474" s="212"/>
      <c r="H474" s="50" t="s">
        <v>13</v>
      </c>
      <c r="I474" s="558"/>
      <c r="J474" s="574" t="s">
        <v>14</v>
      </c>
      <c r="K474" s="347" t="s">
        <v>15</v>
      </c>
    </row>
    <row r="475" spans="1:11">
      <c r="A475" s="388"/>
      <c r="B475" s="382"/>
      <c r="C475" s="101"/>
      <c r="D475" s="322"/>
      <c r="E475" s="843"/>
      <c r="F475" s="767"/>
      <c r="G475" s="206"/>
      <c r="H475" s="74"/>
      <c r="I475" s="560"/>
      <c r="J475" s="544"/>
      <c r="K475" s="365"/>
    </row>
    <row r="476" spans="1:11">
      <c r="A476" s="83"/>
      <c r="B476" s="362"/>
      <c r="C476" s="101"/>
      <c r="D476" s="342"/>
      <c r="E476" s="872"/>
      <c r="F476" s="853"/>
      <c r="G476" s="206"/>
      <c r="H476" s="74"/>
      <c r="I476" s="560"/>
      <c r="J476" s="547"/>
      <c r="K476" s="550"/>
    </row>
    <row r="477" spans="1:11">
      <c r="A477" s="83"/>
      <c r="B477" s="362"/>
      <c r="C477" s="101"/>
      <c r="D477" s="342"/>
      <c r="E477" s="871"/>
      <c r="F477" s="767"/>
      <c r="G477" s="206"/>
      <c r="H477" s="74"/>
      <c r="I477" s="560"/>
      <c r="J477" s="547"/>
      <c r="K477" s="550"/>
    </row>
    <row r="478" spans="1:11">
      <c r="A478" s="83"/>
      <c r="B478" s="362"/>
      <c r="C478" s="101"/>
      <c r="D478" s="342"/>
      <c r="E478" s="871"/>
      <c r="F478" s="767"/>
      <c r="G478" s="206"/>
      <c r="H478" s="74"/>
      <c r="I478" s="560"/>
      <c r="J478" s="547"/>
      <c r="K478" s="550"/>
    </row>
    <row r="479" spans="1:11">
      <c r="A479" s="83"/>
      <c r="B479" s="43"/>
      <c r="C479" s="101"/>
      <c r="D479" s="342"/>
      <c r="E479" s="871"/>
      <c r="F479" s="767"/>
      <c r="G479" s="206"/>
      <c r="H479" s="74"/>
      <c r="I479" s="560"/>
      <c r="J479" s="547"/>
      <c r="K479" s="365"/>
    </row>
    <row r="480" spans="1:11">
      <c r="A480" s="83"/>
      <c r="B480" s="43"/>
      <c r="C480" s="101"/>
      <c r="D480" s="342"/>
      <c r="E480" s="871"/>
      <c r="F480" s="767"/>
      <c r="G480" s="206"/>
      <c r="H480" s="74"/>
      <c r="I480" s="560"/>
      <c r="J480" s="547"/>
      <c r="K480" s="365"/>
    </row>
    <row r="481" spans="1:11">
      <c r="A481" s="83"/>
      <c r="B481" s="43"/>
      <c r="C481" s="101"/>
      <c r="D481" s="342"/>
      <c r="E481" s="871"/>
      <c r="F481" s="767"/>
      <c r="G481" s="206"/>
      <c r="H481" s="74"/>
      <c r="I481" s="560"/>
      <c r="J481" s="731"/>
      <c r="K481" s="365"/>
    </row>
    <row r="482" spans="1:11">
      <c r="A482" s="83"/>
      <c r="B482" s="43"/>
      <c r="C482" s="101"/>
      <c r="D482" s="342"/>
      <c r="E482" s="871"/>
      <c r="F482" s="767"/>
      <c r="G482" s="206"/>
      <c r="H482" s="74"/>
      <c r="I482" s="560"/>
      <c r="J482" s="731"/>
      <c r="K482" s="365"/>
    </row>
    <row r="483" spans="1:11">
      <c r="A483" s="83"/>
      <c r="B483" s="43"/>
      <c r="C483" s="101"/>
      <c r="D483" s="342"/>
      <c r="E483" s="871"/>
      <c r="F483" s="767"/>
      <c r="G483" s="206"/>
      <c r="H483" s="74"/>
      <c r="I483" s="560"/>
      <c r="J483" s="731"/>
      <c r="K483" s="365"/>
    </row>
    <row r="484" spans="1:11">
      <c r="A484" s="83"/>
      <c r="B484" s="43"/>
      <c r="C484" s="101"/>
      <c r="D484" s="342"/>
      <c r="E484" s="871"/>
      <c r="F484" s="767"/>
      <c r="G484" s="206"/>
      <c r="H484" s="74"/>
      <c r="I484" s="560"/>
      <c r="J484" s="731"/>
      <c r="K484" s="365"/>
    </row>
    <row r="485" spans="1:11">
      <c r="A485" s="83"/>
      <c r="B485" s="43"/>
      <c r="C485" s="101"/>
      <c r="D485" s="342"/>
      <c r="E485" s="871"/>
      <c r="F485" s="767"/>
      <c r="G485" s="206"/>
      <c r="H485" s="74"/>
      <c r="I485" s="560"/>
      <c r="J485" s="731"/>
      <c r="K485" s="365"/>
    </row>
    <row r="486" spans="1:11">
      <c r="A486" s="389"/>
      <c r="B486" s="382"/>
      <c r="C486" s="105"/>
      <c r="D486" s="342"/>
      <c r="E486" s="871"/>
      <c r="F486" s="767"/>
      <c r="G486" s="206"/>
      <c r="H486" s="74"/>
      <c r="I486" s="560"/>
      <c r="J486" s="544"/>
      <c r="K486" s="365"/>
    </row>
    <row r="487" spans="1:11">
      <c r="A487" s="83"/>
      <c r="B487" s="43"/>
      <c r="C487" s="101"/>
      <c r="D487" s="342"/>
      <c r="E487" s="871"/>
      <c r="F487" s="767"/>
      <c r="G487" s="206"/>
      <c r="H487" s="74"/>
      <c r="I487" s="560"/>
      <c r="J487" s="544"/>
      <c r="K487" s="550"/>
    </row>
    <row r="488" spans="1:11">
      <c r="A488" s="83"/>
      <c r="B488" s="43"/>
      <c r="C488" s="101"/>
      <c r="D488" s="342"/>
      <c r="E488" s="871"/>
      <c r="F488" s="767"/>
      <c r="G488" s="206"/>
      <c r="H488" s="74"/>
      <c r="I488" s="560"/>
      <c r="J488" s="547"/>
      <c r="K488" s="550"/>
    </row>
    <row r="489" spans="1:11">
      <c r="A489" s="83"/>
      <c r="B489" s="43"/>
      <c r="C489" s="101"/>
      <c r="D489" s="342"/>
      <c r="E489" s="871"/>
      <c r="F489" s="767"/>
      <c r="G489" s="206"/>
      <c r="H489" s="74"/>
      <c r="I489" s="560"/>
      <c r="J489" s="544"/>
      <c r="K489" s="365"/>
    </row>
    <row r="490" spans="1:11">
      <c r="A490" s="83"/>
      <c r="B490" s="43"/>
      <c r="C490" s="101"/>
      <c r="D490" s="342"/>
      <c r="E490" s="871"/>
      <c r="F490" s="767"/>
      <c r="G490" s="206"/>
      <c r="H490" s="74"/>
      <c r="I490" s="560"/>
      <c r="J490" s="544"/>
      <c r="K490" s="365"/>
    </row>
    <row r="491" spans="1:11">
      <c r="A491" s="315"/>
      <c r="B491" s="43"/>
      <c r="C491" s="101"/>
      <c r="D491" s="517"/>
      <c r="E491" s="873"/>
      <c r="F491" s="767"/>
      <c r="G491" s="206"/>
      <c r="H491" s="58"/>
      <c r="I491" s="559"/>
      <c r="J491" s="544"/>
      <c r="K491" s="365"/>
    </row>
    <row r="492" spans="1:11">
      <c r="A492" s="83"/>
      <c r="B492" s="43"/>
      <c r="C492" s="101"/>
      <c r="D492" s="342"/>
      <c r="E492" s="871"/>
      <c r="F492" s="767"/>
      <c r="G492" s="206"/>
      <c r="H492" s="74"/>
      <c r="I492" s="560"/>
      <c r="J492" s="544"/>
      <c r="K492" s="365"/>
    </row>
    <row r="493" spans="1:11">
      <c r="A493" s="83"/>
      <c r="B493" s="43"/>
      <c r="C493" s="101"/>
      <c r="D493" s="342"/>
      <c r="E493" s="871"/>
      <c r="F493" s="767"/>
      <c r="G493" s="206"/>
      <c r="H493" s="74"/>
      <c r="I493" s="560"/>
      <c r="J493" s="544"/>
      <c r="K493" s="365"/>
    </row>
    <row r="494" spans="1:11">
      <c r="A494" s="493"/>
      <c r="B494" s="448"/>
      <c r="C494" s="661"/>
      <c r="D494" s="342"/>
      <c r="E494" s="871"/>
      <c r="F494" s="767"/>
      <c r="G494" s="206"/>
      <c r="H494" s="74"/>
      <c r="I494" s="560"/>
      <c r="J494" s="544"/>
      <c r="K494" s="365"/>
    </row>
    <row r="495" spans="1:11">
      <c r="A495" s="83"/>
      <c r="B495" s="43"/>
      <c r="C495" s="101"/>
      <c r="D495" s="342"/>
      <c r="E495" s="871"/>
      <c r="F495" s="767"/>
      <c r="G495" s="206"/>
      <c r="H495" s="74"/>
      <c r="I495" s="560"/>
      <c r="J495" s="544"/>
      <c r="K495" s="365"/>
    </row>
    <row r="496" spans="1:11">
      <c r="A496" s="83"/>
      <c r="B496" s="43"/>
      <c r="C496" s="101"/>
      <c r="D496" s="342"/>
      <c r="E496" s="871"/>
      <c r="F496" s="767"/>
      <c r="G496" s="206"/>
      <c r="H496" s="74"/>
      <c r="I496" s="560"/>
      <c r="J496" s="544"/>
      <c r="K496" s="365"/>
    </row>
    <row r="497" spans="1:11">
      <c r="A497" s="83"/>
      <c r="B497" s="43"/>
      <c r="C497" s="101"/>
      <c r="D497" s="342"/>
      <c r="E497" s="871"/>
      <c r="F497" s="767"/>
      <c r="G497" s="206"/>
      <c r="H497" s="74"/>
      <c r="I497" s="560"/>
      <c r="J497" s="544"/>
      <c r="K497" s="365"/>
    </row>
    <row r="498" spans="1:11">
      <c r="A498" s="83"/>
      <c r="B498" s="43"/>
      <c r="C498" s="101"/>
      <c r="D498" s="342"/>
      <c r="E498" s="871"/>
      <c r="F498" s="767"/>
      <c r="G498" s="206"/>
      <c r="H498" s="74"/>
      <c r="I498" s="560"/>
      <c r="J498" s="544"/>
      <c r="K498" s="365"/>
    </row>
    <row r="499" spans="1:11">
      <c r="A499" s="83"/>
      <c r="B499" s="362"/>
      <c r="C499" s="101"/>
      <c r="D499" s="342"/>
      <c r="E499" s="873"/>
      <c r="F499" s="767"/>
      <c r="G499" s="206"/>
      <c r="H499" s="74"/>
      <c r="I499" s="560"/>
      <c r="J499" s="544"/>
      <c r="K499" s="365"/>
    </row>
    <row r="500" spans="1:11">
      <c r="A500" s="83"/>
      <c r="B500" s="362"/>
      <c r="C500" s="101"/>
      <c r="D500" s="342"/>
      <c r="E500" s="873"/>
      <c r="F500" s="767"/>
      <c r="G500" s="206"/>
      <c r="H500" s="74"/>
      <c r="I500" s="560"/>
      <c r="J500" s="544"/>
      <c r="K500" s="365"/>
    </row>
    <row r="501" spans="1:11">
      <c r="A501" s="315"/>
      <c r="B501" s="43"/>
      <c r="C501" s="101"/>
      <c r="D501" s="342"/>
      <c r="E501" s="873"/>
      <c r="F501" s="767"/>
      <c r="G501" s="206"/>
      <c r="H501" s="58"/>
      <c r="I501" s="560"/>
      <c r="J501" s="544"/>
      <c r="K501" s="365"/>
    </row>
    <row r="502" spans="1:11">
      <c r="A502" s="315"/>
      <c r="B502" s="43"/>
      <c r="C502" s="101"/>
      <c r="D502" s="342"/>
      <c r="E502" s="873"/>
      <c r="F502" s="767"/>
      <c r="G502" s="206"/>
      <c r="H502" s="58"/>
      <c r="I502" s="559"/>
      <c r="J502" s="544"/>
      <c r="K502" s="365"/>
    </row>
    <row r="503" spans="1:11">
      <c r="A503" s="315"/>
      <c r="B503" s="43"/>
      <c r="C503" s="101"/>
      <c r="D503" s="342"/>
      <c r="E503" s="873"/>
      <c r="F503" s="767"/>
      <c r="G503" s="206"/>
      <c r="H503" s="58"/>
      <c r="I503" s="560"/>
      <c r="J503" s="544"/>
      <c r="K503" s="365"/>
    </row>
    <row r="504" spans="1:11">
      <c r="A504" s="315"/>
      <c r="B504" s="43"/>
      <c r="C504" s="101"/>
      <c r="D504" s="342"/>
      <c r="E504" s="873"/>
      <c r="F504" s="767"/>
      <c r="G504" s="206"/>
      <c r="H504" s="58"/>
      <c r="I504" s="559"/>
      <c r="J504" s="544"/>
      <c r="K504" s="365"/>
    </row>
  </sheetData>
  <mergeCells count="40">
    <mergeCell ref="A47:B47"/>
    <mergeCell ref="C135:D135"/>
    <mergeCell ref="C151:D151"/>
    <mergeCell ref="C161:D161"/>
    <mergeCell ref="A3:B3"/>
    <mergeCell ref="A39:B39"/>
    <mergeCell ref="A75:B75"/>
    <mergeCell ref="A77:B77"/>
    <mergeCell ref="A111:B111"/>
    <mergeCell ref="A113:B113"/>
    <mergeCell ref="A43:B43"/>
    <mergeCell ref="A57:B57"/>
    <mergeCell ref="A147:B147"/>
    <mergeCell ref="A149:B149"/>
    <mergeCell ref="A183:B183"/>
    <mergeCell ref="A186:B186"/>
    <mergeCell ref="A188:B188"/>
    <mergeCell ref="A357:B357"/>
    <mergeCell ref="A363:B363"/>
    <mergeCell ref="A255:B255"/>
    <mergeCell ref="A259:B259"/>
    <mergeCell ref="A273:B273"/>
    <mergeCell ref="A284:B284"/>
    <mergeCell ref="A291:B291"/>
    <mergeCell ref="A445:B445"/>
    <mergeCell ref="A471:B471"/>
    <mergeCell ref="A365:B365"/>
    <mergeCell ref="A367:B367"/>
    <mergeCell ref="A392:B392"/>
    <mergeCell ref="A399:B399"/>
    <mergeCell ref="A401:B401"/>
    <mergeCell ref="A403:B403"/>
    <mergeCell ref="A408:B408"/>
    <mergeCell ref="A435:B435"/>
    <mergeCell ref="A437:B437"/>
    <mergeCell ref="A439:B439"/>
    <mergeCell ref="A327:B327"/>
    <mergeCell ref="A329:B329"/>
    <mergeCell ref="A348:B348"/>
    <mergeCell ref="A354:B354"/>
  </mergeCells>
  <phoneticPr fontId="6" type="noConversion"/>
  <hyperlinks>
    <hyperlink ref="I8" r:id="rId1" display="ลด2%ด8/55ลัง642@53.47" xr:uid="{67A51161-9DC6-498C-9CC6-91F6207FDFF6}"/>
    <hyperlink ref="I48" r:id="rId2" xr:uid="{3F5E813C-F404-4BAD-8213-CA1A509D1C82}"/>
  </hyperlinks>
  <pageMargins left="0.7" right="0.7" top="0.75" bottom="0.75" header="0.3" footer="0.3"/>
  <pageSetup paperSize="9" scale="50" orientation="portrait" horizontalDpi="0" verticalDpi="0" r:id="rId3"/>
  <rowBreaks count="5" manualBreakCount="5">
    <brk id="37" max="16383" man="1"/>
    <brk id="73" max="16383" man="1"/>
    <brk id="108" max="16383" man="1"/>
    <brk id="144" max="16383" man="1"/>
    <brk id="18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E69B-AB04-4475-8291-6387694F57F3}">
  <sheetPr>
    <tabColor indexed="33"/>
  </sheetPr>
  <dimension ref="A1:P425"/>
  <sheetViews>
    <sheetView tabSelected="1" topLeftCell="A118" zoomScale="75" zoomScaleNormal="75" zoomScaleSheetLayoutView="126" workbookViewId="0">
      <selection activeCell="I130" sqref="I130"/>
    </sheetView>
  </sheetViews>
  <sheetFormatPr defaultRowHeight="34.5"/>
  <cols>
    <col min="1" max="1" width="1.7109375" style="75" customWidth="1"/>
    <col min="2" max="2" width="30.5703125" style="76" customWidth="1"/>
    <col min="3" max="3" width="12.5703125" style="76" customWidth="1"/>
    <col min="4" max="4" width="12.5703125" style="512" customWidth="1"/>
    <col min="5" max="5" width="13.7109375" style="46" customWidth="1"/>
    <col min="6" max="6" width="13.85546875" style="152" customWidth="1"/>
    <col min="7" max="7" width="12.42578125" style="210" customWidth="1"/>
    <col min="8" max="8" width="13.85546875" style="635" customWidth="1"/>
    <col min="9" max="9" width="21.28515625" style="512" customWidth="1"/>
    <col min="10" max="10" width="13.85546875" style="668" customWidth="1"/>
    <col min="11" max="11" width="13.85546875" style="366" customWidth="1"/>
    <col min="12" max="12" width="14.42578125" style="76" customWidth="1"/>
    <col min="13" max="13" width="13.28515625" style="76" customWidth="1"/>
    <col min="14" max="14" width="12.85546875" style="76" customWidth="1"/>
    <col min="15" max="15" width="17.42578125" style="743" customWidth="1"/>
    <col min="16" max="16" width="11.42578125" style="76" bestFit="1" customWidth="1"/>
    <col min="17" max="16384" width="9.140625" style="76"/>
  </cols>
  <sheetData>
    <row r="1" spans="1:15" ht="28.5" customHeight="1">
      <c r="F1" s="68"/>
    </row>
    <row r="2" spans="1:15" s="45" customFormat="1">
      <c r="A2" s="45" t="s">
        <v>0</v>
      </c>
      <c r="C2" s="44"/>
      <c r="D2" s="513"/>
      <c r="E2" s="46"/>
      <c r="F2" s="68"/>
      <c r="G2" s="210"/>
      <c r="H2" s="635"/>
      <c r="I2" s="512"/>
      <c r="J2" s="668"/>
      <c r="K2" s="366"/>
      <c r="O2" s="744"/>
    </row>
    <row r="3" spans="1:15" s="45" customFormat="1">
      <c r="A3" s="3480" t="s">
        <v>1150</v>
      </c>
      <c r="B3" s="3480"/>
      <c r="D3" s="204"/>
      <c r="E3" s="46"/>
      <c r="F3" s="68"/>
      <c r="G3" s="210"/>
      <c r="H3" s="635"/>
      <c r="I3" s="512"/>
      <c r="J3" s="668"/>
      <c r="K3" s="366"/>
      <c r="O3" s="744"/>
    </row>
    <row r="4" spans="1:15" ht="23.25" customHeight="1" thickBot="1">
      <c r="F4" s="68"/>
    </row>
    <row r="5" spans="1:15" s="46" customFormat="1">
      <c r="A5" s="3445"/>
      <c r="B5" s="3446" t="s">
        <v>2</v>
      </c>
      <c r="C5" s="48" t="s">
        <v>3</v>
      </c>
      <c r="D5" s="436" t="s">
        <v>4</v>
      </c>
      <c r="E5" s="77" t="s">
        <v>5</v>
      </c>
      <c r="F5" s="78" t="s">
        <v>5</v>
      </c>
      <c r="G5" s="219" t="s">
        <v>6</v>
      </c>
      <c r="H5" s="140" t="s">
        <v>7</v>
      </c>
      <c r="I5" s="344" t="s">
        <v>8</v>
      </c>
      <c r="J5" s="696" t="s">
        <v>9</v>
      </c>
      <c r="K5" s="346" t="s">
        <v>9</v>
      </c>
      <c r="O5" s="163"/>
    </row>
    <row r="6" spans="1:15" s="46" customFormat="1" ht="35.25" thickBot="1">
      <c r="A6" s="51"/>
      <c r="B6" s="72"/>
      <c r="C6" s="50"/>
      <c r="D6" s="437" t="s">
        <v>10</v>
      </c>
      <c r="E6" s="79" t="s">
        <v>11</v>
      </c>
      <c r="F6" s="80" t="s">
        <v>12</v>
      </c>
      <c r="G6" s="212"/>
      <c r="H6" s="141" t="s">
        <v>13</v>
      </c>
      <c r="I6" s="345"/>
      <c r="J6" s="697" t="s">
        <v>14</v>
      </c>
      <c r="K6" s="347" t="s">
        <v>15</v>
      </c>
      <c r="O6" s="163"/>
    </row>
    <row r="7" spans="1:15" s="46" customFormat="1">
      <c r="A7" s="2339" t="s">
        <v>1151</v>
      </c>
      <c r="B7" s="2340" t="s">
        <v>1152</v>
      </c>
      <c r="C7" s="2341"/>
      <c r="D7" s="2342"/>
      <c r="E7" s="2343"/>
      <c r="F7" s="2344"/>
      <c r="G7" s="2345"/>
      <c r="H7" s="2346"/>
      <c r="I7" s="2347"/>
      <c r="J7" s="2348"/>
      <c r="K7" s="2349"/>
      <c r="O7" s="163"/>
    </row>
    <row r="8" spans="1:15">
      <c r="A8" s="2336" t="s">
        <v>1153</v>
      </c>
      <c r="B8" s="938" t="s">
        <v>1154</v>
      </c>
      <c r="C8" s="947" t="s">
        <v>1155</v>
      </c>
      <c r="D8" s="948" t="s">
        <v>1156</v>
      </c>
      <c r="E8" s="1635">
        <v>95</v>
      </c>
      <c r="F8" s="1636" t="s">
        <v>1157</v>
      </c>
      <c r="G8" s="949" t="s">
        <v>1158</v>
      </c>
      <c r="H8" s="950">
        <v>699</v>
      </c>
      <c r="I8" s="1749" t="s">
        <v>1159</v>
      </c>
      <c r="J8" s="952" t="s">
        <v>1160</v>
      </c>
      <c r="K8" s="953">
        <v>90.82</v>
      </c>
    </row>
    <row r="9" spans="1:15">
      <c r="A9" s="2336" t="s">
        <v>1153</v>
      </c>
      <c r="B9" s="1325" t="s">
        <v>1161</v>
      </c>
      <c r="C9" s="947" t="s">
        <v>1155</v>
      </c>
      <c r="D9" s="948" t="s">
        <v>1156</v>
      </c>
      <c r="E9" s="1635">
        <v>95</v>
      </c>
      <c r="F9" s="1636"/>
      <c r="G9" s="949"/>
      <c r="H9" s="950"/>
      <c r="I9" s="951"/>
      <c r="J9" s="952"/>
      <c r="K9" s="953"/>
      <c r="L9" s="76">
        <f>1583.01*7/100+1583.01</f>
        <v>1693.8207</v>
      </c>
      <c r="M9" s="76">
        <f>L9/3</f>
        <v>564.6069</v>
      </c>
    </row>
    <row r="10" spans="1:15">
      <c r="A10" s="2332" t="s">
        <v>1162</v>
      </c>
      <c r="B10" s="406" t="s">
        <v>1163</v>
      </c>
      <c r="C10" s="224" t="s">
        <v>1155</v>
      </c>
      <c r="D10" s="924" t="s">
        <v>1156</v>
      </c>
      <c r="E10" s="927">
        <v>90</v>
      </c>
      <c r="F10" s="936" t="s">
        <v>1164</v>
      </c>
      <c r="G10" s="223" t="s">
        <v>37</v>
      </c>
      <c r="H10" s="647">
        <v>642.99</v>
      </c>
      <c r="I10" s="925" t="s">
        <v>1165</v>
      </c>
      <c r="J10" s="926">
        <v>674</v>
      </c>
      <c r="K10" s="378">
        <v>84.25</v>
      </c>
      <c r="L10" s="76" t="s">
        <v>1166</v>
      </c>
    </row>
    <row r="11" spans="1:15" ht="37.5">
      <c r="A11" s="2332" t="s">
        <v>1167</v>
      </c>
      <c r="B11" s="2351" t="s">
        <v>1168</v>
      </c>
      <c r="C11" s="1841" t="s">
        <v>1155</v>
      </c>
      <c r="D11" s="1842" t="s">
        <v>1169</v>
      </c>
      <c r="E11" s="122">
        <v>85</v>
      </c>
      <c r="F11" s="123" t="s">
        <v>1170</v>
      </c>
      <c r="G11" s="1843" t="s">
        <v>1171</v>
      </c>
      <c r="H11" s="943">
        <v>770</v>
      </c>
      <c r="I11" s="944"/>
      <c r="J11" s="945" t="s">
        <v>1172</v>
      </c>
      <c r="K11" s="946">
        <v>77</v>
      </c>
    </row>
    <row r="12" spans="1:15">
      <c r="A12" s="2332"/>
      <c r="B12" s="406"/>
      <c r="C12" s="224"/>
      <c r="D12" s="924"/>
      <c r="E12" s="927"/>
      <c r="F12" s="936"/>
      <c r="G12" s="223"/>
      <c r="H12" s="647"/>
      <c r="I12" s="925"/>
      <c r="J12" s="926"/>
      <c r="K12" s="378"/>
    </row>
    <row r="13" spans="1:15" ht="37.5">
      <c r="A13" s="2332"/>
      <c r="B13" s="1877"/>
      <c r="C13" s="1841"/>
      <c r="D13" s="1842"/>
      <c r="E13" s="122"/>
      <c r="F13" s="123"/>
      <c r="G13" s="1843"/>
      <c r="H13" s="943"/>
      <c r="I13" s="944"/>
      <c r="J13" s="945"/>
      <c r="K13" s="946"/>
      <c r="L13" s="76" t="s">
        <v>1173</v>
      </c>
    </row>
    <row r="14" spans="1:15">
      <c r="A14" s="2336" t="s">
        <v>1153</v>
      </c>
      <c r="B14" s="938" t="s">
        <v>1154</v>
      </c>
      <c r="C14" s="954" t="s">
        <v>1174</v>
      </c>
      <c r="D14" s="955" t="s">
        <v>70</v>
      </c>
      <c r="E14" s="956"/>
      <c r="F14" s="941"/>
      <c r="G14" s="942" t="s">
        <v>1175</v>
      </c>
      <c r="H14" s="943">
        <v>899</v>
      </c>
      <c r="I14" s="944"/>
      <c r="J14" s="945">
        <v>922.34</v>
      </c>
      <c r="K14" s="946">
        <v>19.22</v>
      </c>
      <c r="L14" s="76">
        <f>14920*7/100+14920</f>
        <v>15964.4</v>
      </c>
      <c r="M14" s="76">
        <f>L14/20</f>
        <v>798.22</v>
      </c>
    </row>
    <row r="15" spans="1:15">
      <c r="A15" s="2336" t="s">
        <v>1153</v>
      </c>
      <c r="B15" s="1325" t="s">
        <v>1161</v>
      </c>
      <c r="C15" s="954" t="s">
        <v>1176</v>
      </c>
      <c r="D15" s="955" t="s">
        <v>70</v>
      </c>
      <c r="E15" s="957"/>
      <c r="F15" s="941"/>
      <c r="G15" s="942" t="s">
        <v>1175</v>
      </c>
      <c r="H15" s="943">
        <v>875</v>
      </c>
      <c r="I15" s="944"/>
      <c r="J15" s="945">
        <v>829.25</v>
      </c>
      <c r="K15" s="946">
        <v>17.27</v>
      </c>
    </row>
    <row r="16" spans="1:15">
      <c r="A16" s="398"/>
      <c r="B16" s="2335"/>
      <c r="C16" s="222"/>
      <c r="D16" s="413"/>
      <c r="E16" s="776"/>
      <c r="F16" s="777"/>
      <c r="G16" s="223"/>
      <c r="H16" s="647"/>
      <c r="I16" s="925"/>
      <c r="J16" s="926"/>
      <c r="K16" s="378"/>
    </row>
    <row r="17" spans="1:16">
      <c r="A17" s="663"/>
      <c r="B17" s="2333"/>
      <c r="C17" s="2334"/>
      <c r="D17" s="413"/>
      <c r="E17" s="776"/>
      <c r="F17" s="777"/>
      <c r="G17" s="223"/>
      <c r="H17" s="647"/>
      <c r="I17" s="925"/>
      <c r="J17" s="926"/>
      <c r="K17" s="378"/>
    </row>
    <row r="18" spans="1:16">
      <c r="A18" s="2352" t="s">
        <v>1167</v>
      </c>
      <c r="B18" s="406" t="s">
        <v>1177</v>
      </c>
      <c r="C18" s="224" t="s">
        <v>1178</v>
      </c>
      <c r="D18" s="1506" t="s">
        <v>70</v>
      </c>
      <c r="E18" s="728" t="s">
        <v>1179</v>
      </c>
      <c r="F18" s="767" t="s">
        <v>722</v>
      </c>
      <c r="G18" s="223" t="s">
        <v>1180</v>
      </c>
      <c r="H18" s="647">
        <v>920</v>
      </c>
      <c r="I18" s="824" t="s">
        <v>1181</v>
      </c>
      <c r="J18" s="937">
        <v>880</v>
      </c>
      <c r="K18" s="378">
        <v>18.329999999999998</v>
      </c>
    </row>
    <row r="19" spans="1:16">
      <c r="A19" s="2336" t="s">
        <v>1153</v>
      </c>
      <c r="B19" s="2060" t="s">
        <v>1182</v>
      </c>
      <c r="C19" s="2337" t="s">
        <v>1183</v>
      </c>
      <c r="D19" s="1865" t="s">
        <v>70</v>
      </c>
      <c r="E19" s="2338" t="s">
        <v>1179</v>
      </c>
      <c r="F19" s="1771" t="s">
        <v>722</v>
      </c>
      <c r="G19" s="1079" t="s">
        <v>1184</v>
      </c>
      <c r="H19" s="1867">
        <v>865</v>
      </c>
      <c r="I19" s="1871" t="s">
        <v>1185</v>
      </c>
      <c r="J19" s="1869">
        <v>893.45</v>
      </c>
      <c r="K19" s="1870">
        <v>18.61</v>
      </c>
    </row>
    <row r="20" spans="1:16">
      <c r="A20" s="398"/>
      <c r="B20" s="2060" t="s">
        <v>1182</v>
      </c>
      <c r="C20" s="2337" t="s">
        <v>192</v>
      </c>
      <c r="D20" s="1865" t="s">
        <v>193</v>
      </c>
      <c r="E20" s="2338" t="s">
        <v>1186</v>
      </c>
      <c r="F20" s="1771" t="s">
        <v>1187</v>
      </c>
      <c r="G20" s="1079" t="s">
        <v>1158</v>
      </c>
      <c r="H20" s="1867">
        <v>874</v>
      </c>
      <c r="I20" s="1871" t="s">
        <v>1188</v>
      </c>
      <c r="J20" s="1869">
        <v>927.69</v>
      </c>
      <c r="K20" s="1870">
        <v>46.38</v>
      </c>
      <c r="L20" s="76">
        <f>1366.2*7/100+1366.2</f>
        <v>1461.8340000000001</v>
      </c>
      <c r="M20" s="76">
        <f>1461.83/5</f>
        <v>292.36599999999999</v>
      </c>
    </row>
    <row r="21" spans="1:16">
      <c r="A21" s="2336" t="s">
        <v>1153</v>
      </c>
      <c r="B21" s="2059" t="s">
        <v>1189</v>
      </c>
      <c r="C21" s="2337" t="s">
        <v>1190</v>
      </c>
      <c r="D21" s="1865" t="s">
        <v>18</v>
      </c>
      <c r="E21" s="2338" t="s">
        <v>1191</v>
      </c>
      <c r="F21" s="1771" t="s">
        <v>1192</v>
      </c>
      <c r="G21" s="1079" t="s">
        <v>1158</v>
      </c>
      <c r="H21" s="1867">
        <v>287</v>
      </c>
      <c r="I21" s="1868"/>
      <c r="J21" s="1869">
        <v>307.08999999999997</v>
      </c>
      <c r="K21" s="1870">
        <v>12.79</v>
      </c>
    </row>
    <row r="22" spans="1:16">
      <c r="A22" s="2336" t="s">
        <v>1153</v>
      </c>
      <c r="B22" s="2059" t="s">
        <v>1193</v>
      </c>
      <c r="C22" s="1864"/>
      <c r="D22" s="1865" t="s">
        <v>70</v>
      </c>
      <c r="E22" s="2338" t="s">
        <v>1194</v>
      </c>
      <c r="F22" s="1771" t="s">
        <v>1195</v>
      </c>
      <c r="G22" s="1079" t="s">
        <v>1158</v>
      </c>
      <c r="H22" s="1867">
        <v>947</v>
      </c>
      <c r="I22" s="1871"/>
      <c r="J22" s="1869">
        <v>965.14</v>
      </c>
      <c r="K22" s="1870">
        <v>20.100000000000001</v>
      </c>
    </row>
    <row r="23" spans="1:16">
      <c r="A23" s="2336" t="s">
        <v>1153</v>
      </c>
      <c r="B23" s="2060"/>
      <c r="C23" s="1864"/>
      <c r="D23" s="1865"/>
      <c r="E23" s="1866"/>
      <c r="F23" s="1087"/>
      <c r="G23" s="1079"/>
      <c r="H23" s="1867"/>
      <c r="I23" s="1871"/>
      <c r="J23" s="1869"/>
      <c r="K23" s="1870"/>
    </row>
    <row r="24" spans="1:16">
      <c r="A24" s="2336" t="s">
        <v>1153</v>
      </c>
      <c r="B24" s="1872" t="s">
        <v>1196</v>
      </c>
      <c r="C24" s="1873"/>
      <c r="D24" s="1865" t="s">
        <v>70</v>
      </c>
      <c r="E24" s="1866"/>
      <c r="F24" s="1087"/>
      <c r="G24" s="1079" t="s">
        <v>1175</v>
      </c>
      <c r="H24" s="1867">
        <v>782</v>
      </c>
      <c r="I24" s="1868" t="s">
        <v>1197</v>
      </c>
      <c r="J24" s="1869">
        <v>777.89</v>
      </c>
      <c r="K24" s="1870">
        <v>16.21</v>
      </c>
    </row>
    <row r="25" spans="1:16">
      <c r="A25" s="2336" t="s">
        <v>1153</v>
      </c>
      <c r="B25" s="1874" t="s">
        <v>1198</v>
      </c>
      <c r="C25" s="1085" t="s">
        <v>1199</v>
      </c>
      <c r="D25" s="2058" t="s">
        <v>1200</v>
      </c>
      <c r="E25" s="1866" t="s">
        <v>1201</v>
      </c>
      <c r="F25" s="1087"/>
      <c r="G25" s="1079" t="s">
        <v>1202</v>
      </c>
      <c r="H25" s="1867">
        <v>942</v>
      </c>
      <c r="I25" s="1088" t="s">
        <v>1203</v>
      </c>
      <c r="J25" s="1875" t="s">
        <v>1204</v>
      </c>
      <c r="K25" s="1870">
        <v>9.48</v>
      </c>
    </row>
    <row r="26" spans="1:16">
      <c r="A26" s="2336" t="s">
        <v>1153</v>
      </c>
      <c r="B26" s="1874" t="s">
        <v>1205</v>
      </c>
      <c r="C26" s="1085" t="s">
        <v>1199</v>
      </c>
      <c r="D26" s="2058" t="s">
        <v>1200</v>
      </c>
      <c r="E26" s="1866" t="s">
        <v>1201</v>
      </c>
      <c r="F26" s="1087"/>
      <c r="G26" s="1079" t="s">
        <v>1202</v>
      </c>
      <c r="H26" s="1867">
        <v>942</v>
      </c>
      <c r="I26" s="1088" t="s">
        <v>1203</v>
      </c>
      <c r="J26" s="1875" t="s">
        <v>1204</v>
      </c>
      <c r="K26" s="1870">
        <v>9.48</v>
      </c>
    </row>
    <row r="27" spans="1:16">
      <c r="A27" s="2336" t="s">
        <v>1153</v>
      </c>
      <c r="B27" s="1876" t="s">
        <v>1206</v>
      </c>
      <c r="C27" s="1085" t="s">
        <v>1199</v>
      </c>
      <c r="D27" s="1865" t="s">
        <v>1207</v>
      </c>
      <c r="E27" s="1866" t="s">
        <v>1208</v>
      </c>
      <c r="F27" s="1087"/>
      <c r="G27" s="1079" t="s">
        <v>1209</v>
      </c>
      <c r="H27" s="1867">
        <v>276</v>
      </c>
      <c r="I27" s="1868" t="s">
        <v>1210</v>
      </c>
      <c r="J27" s="1869">
        <v>273.06</v>
      </c>
      <c r="K27" s="1870">
        <v>45.51</v>
      </c>
      <c r="L27" s="575"/>
      <c r="M27" s="188"/>
      <c r="N27" s="188">
        <f>M27-(M27*0.03)</f>
        <v>0</v>
      </c>
      <c r="O27" s="188">
        <v>7.0000000000000007E-2</v>
      </c>
      <c r="P27" s="170">
        <f>(N27*O27)+N27</f>
        <v>0</v>
      </c>
    </row>
    <row r="28" spans="1:16">
      <c r="A28" s="74"/>
      <c r="B28" s="781" t="s">
        <v>1211</v>
      </c>
      <c r="C28" s="101"/>
      <c r="D28" s="322"/>
      <c r="E28" s="60"/>
      <c r="F28" s="61"/>
      <c r="G28" s="206"/>
      <c r="H28" s="150"/>
      <c r="I28" s="115"/>
      <c r="J28" s="644"/>
      <c r="K28" s="365"/>
      <c r="L28" s="575"/>
      <c r="M28" s="188">
        <v>1152</v>
      </c>
      <c r="N28" s="188">
        <f>M28-(M28*0.03)</f>
        <v>1117.44</v>
      </c>
      <c r="O28" s="188">
        <v>7.0000000000000007E-2</v>
      </c>
      <c r="P28" s="170">
        <f>(N28*O28)+N28</f>
        <v>1195.6608000000001</v>
      </c>
    </row>
    <row r="29" spans="1:16">
      <c r="A29" s="74"/>
      <c r="B29" s="406" t="s">
        <v>1163</v>
      </c>
      <c r="C29" s="224"/>
      <c r="D29" s="924" t="s">
        <v>70</v>
      </c>
      <c r="E29" s="927"/>
      <c r="F29" s="936"/>
      <c r="G29" s="223" t="s">
        <v>1212</v>
      </c>
      <c r="H29" s="647"/>
      <c r="I29" s="925"/>
      <c r="J29" s="926">
        <v>898.29</v>
      </c>
      <c r="K29" s="378">
        <v>18.71</v>
      </c>
      <c r="L29" s="575"/>
      <c r="M29" s="188">
        <v>1152</v>
      </c>
      <c r="N29" s="188">
        <f>M29-(M29*0.03)</f>
        <v>1117.44</v>
      </c>
      <c r="O29" s="188">
        <v>7.0000000000000007E-2</v>
      </c>
      <c r="P29" s="170">
        <f>(N29*O29)+N29</f>
        <v>1195.6608000000001</v>
      </c>
    </row>
    <row r="30" spans="1:16">
      <c r="A30" s="2736" t="s">
        <v>1213</v>
      </c>
      <c r="B30" s="406" t="s">
        <v>1214</v>
      </c>
      <c r="C30" s="224" t="s">
        <v>1215</v>
      </c>
      <c r="D30" s="924" t="s">
        <v>70</v>
      </c>
      <c r="E30" s="927">
        <v>24</v>
      </c>
      <c r="F30" s="936" t="s">
        <v>1216</v>
      </c>
      <c r="G30" s="223" t="s">
        <v>1217</v>
      </c>
      <c r="H30" s="647">
        <v>1070</v>
      </c>
      <c r="I30" s="925"/>
      <c r="J30" s="926">
        <v>1070</v>
      </c>
      <c r="K30" s="378">
        <v>22.29</v>
      </c>
      <c r="L30" s="575"/>
      <c r="M30" s="188"/>
      <c r="N30" s="188">
        <f>M30-(M30*0.03)</f>
        <v>0</v>
      </c>
      <c r="O30" s="188">
        <v>7.0000000000000007E-2</v>
      </c>
      <c r="P30" s="170">
        <f>(N30*O30)+N30</f>
        <v>0</v>
      </c>
    </row>
    <row r="31" spans="1:16">
      <c r="A31" s="2641" t="s">
        <v>1218</v>
      </c>
      <c r="B31" s="406" t="s">
        <v>1214</v>
      </c>
      <c r="C31" s="224" t="s">
        <v>1219</v>
      </c>
      <c r="D31" s="924" t="s">
        <v>23</v>
      </c>
      <c r="E31" s="927">
        <v>50</v>
      </c>
      <c r="F31" s="936" t="s">
        <v>1220</v>
      </c>
      <c r="G31" s="979" t="s">
        <v>1221</v>
      </c>
      <c r="H31" s="647">
        <v>608.23</v>
      </c>
      <c r="I31" s="2640" t="s">
        <v>1222</v>
      </c>
      <c r="J31" s="926">
        <v>569.5</v>
      </c>
      <c r="K31" s="378">
        <v>47.46</v>
      </c>
      <c r="L31" s="575"/>
      <c r="M31" s="188"/>
      <c r="N31" s="188">
        <f>M31-(M31*0.03)</f>
        <v>0</v>
      </c>
      <c r="O31" s="188">
        <v>7.0000000000000007E-2</v>
      </c>
      <c r="P31" s="170">
        <f>(N31*O31)+N31</f>
        <v>0</v>
      </c>
    </row>
    <row r="32" spans="1:16">
      <c r="A32" s="2641" t="s">
        <v>1218</v>
      </c>
      <c r="B32" s="1336" t="s">
        <v>1223</v>
      </c>
      <c r="C32" s="224" t="s">
        <v>1219</v>
      </c>
      <c r="D32" s="924" t="s">
        <v>23</v>
      </c>
      <c r="E32" s="927">
        <v>50</v>
      </c>
      <c r="F32" s="936" t="s">
        <v>1220</v>
      </c>
      <c r="G32" s="979" t="s">
        <v>1221</v>
      </c>
      <c r="H32" s="647">
        <v>608.23</v>
      </c>
      <c r="I32" s="2640" t="s">
        <v>1222</v>
      </c>
      <c r="J32" s="926">
        <v>569.5</v>
      </c>
      <c r="K32" s="378">
        <v>47.46</v>
      </c>
    </row>
    <row r="33" spans="1:15">
      <c r="A33" s="74"/>
      <c r="B33" s="406" t="s">
        <v>1163</v>
      </c>
      <c r="C33" s="224" t="s">
        <v>1155</v>
      </c>
      <c r="D33" s="924" t="s">
        <v>1156</v>
      </c>
      <c r="E33" s="927">
        <v>90</v>
      </c>
      <c r="F33" s="936" t="s">
        <v>1164</v>
      </c>
      <c r="G33" s="223" t="s">
        <v>37</v>
      </c>
      <c r="H33" s="647">
        <v>642.99</v>
      </c>
      <c r="I33" s="925" t="s">
        <v>1165</v>
      </c>
      <c r="J33" s="926">
        <v>674</v>
      </c>
      <c r="K33" s="378">
        <v>84.25</v>
      </c>
    </row>
    <row r="34" spans="1:15">
      <c r="A34" s="83"/>
      <c r="B34" s="43"/>
      <c r="C34" s="74"/>
      <c r="D34" s="516"/>
      <c r="E34" s="243"/>
      <c r="F34" s="61"/>
      <c r="G34" s="206"/>
      <c r="H34" s="150"/>
      <c r="I34" s="115"/>
      <c r="J34" s="644"/>
      <c r="K34" s="394"/>
    </row>
    <row r="35" spans="1:15" s="114" customFormat="1">
      <c r="D35" s="495"/>
      <c r="E35" s="323"/>
      <c r="F35" s="323"/>
      <c r="G35" s="495"/>
      <c r="H35" s="641"/>
      <c r="I35" s="495"/>
      <c r="J35" s="674"/>
      <c r="K35" s="377"/>
      <c r="O35" s="745"/>
    </row>
    <row r="36" spans="1:15">
      <c r="B36" s="75"/>
      <c r="C36" s="75"/>
      <c r="D36" s="270"/>
      <c r="E36" s="68"/>
      <c r="F36" s="68"/>
      <c r="G36" s="270"/>
      <c r="H36" s="642"/>
      <c r="I36" s="270"/>
      <c r="J36" s="675"/>
      <c r="K36" s="393"/>
    </row>
    <row r="37" spans="1:15">
      <c r="A37" s="45" t="s">
        <v>0</v>
      </c>
      <c r="B37" s="45"/>
      <c r="C37" s="44"/>
      <c r="D37" s="513"/>
      <c r="F37" s="68"/>
      <c r="L37" s="45"/>
    </row>
    <row r="38" spans="1:15">
      <c r="A38" s="44" t="s">
        <v>1224</v>
      </c>
      <c r="B38" s="45"/>
      <c r="C38" s="45"/>
      <c r="D38" s="204"/>
      <c r="F38" s="68"/>
      <c r="L38" s="45"/>
    </row>
    <row r="39" spans="1:15" ht="27" customHeight="1" thickBot="1">
      <c r="F39" s="68"/>
    </row>
    <row r="40" spans="1:15">
      <c r="A40" s="3445"/>
      <c r="B40" s="3446" t="s">
        <v>2</v>
      </c>
      <c r="C40" s="48" t="s">
        <v>3</v>
      </c>
      <c r="D40" s="436" t="s">
        <v>4</v>
      </c>
      <c r="E40" s="77" t="s">
        <v>5</v>
      </c>
      <c r="F40" s="78" t="s">
        <v>5</v>
      </c>
      <c r="G40" s="211" t="s">
        <v>6</v>
      </c>
      <c r="H40" s="636" t="s">
        <v>7</v>
      </c>
      <c r="I40" s="344" t="s">
        <v>8</v>
      </c>
      <c r="J40" s="676" t="s">
        <v>9</v>
      </c>
      <c r="K40" s="367" t="s">
        <v>9</v>
      </c>
      <c r="L40" s="46"/>
    </row>
    <row r="41" spans="1:15" ht="35.25" thickBot="1">
      <c r="A41" s="51"/>
      <c r="B41" s="930"/>
      <c r="C41" s="350"/>
      <c r="D41" s="931" t="s">
        <v>10</v>
      </c>
      <c r="E41" s="79" t="s">
        <v>12</v>
      </c>
      <c r="F41" s="80" t="s">
        <v>11</v>
      </c>
      <c r="G41" s="212"/>
      <c r="H41" s="637" t="s">
        <v>13</v>
      </c>
      <c r="I41" s="345"/>
      <c r="J41" s="677" t="s">
        <v>14</v>
      </c>
      <c r="K41" s="368" t="s">
        <v>15</v>
      </c>
      <c r="L41" s="46"/>
    </row>
    <row r="42" spans="1:15">
      <c r="A42" s="386" t="s">
        <v>1151</v>
      </c>
      <c r="B42" s="535"/>
      <c r="C42" s="352"/>
      <c r="D42" s="533"/>
      <c r="E42" s="351"/>
      <c r="F42" s="54"/>
      <c r="G42" s="534"/>
      <c r="H42" s="645"/>
      <c r="I42" s="338"/>
      <c r="J42" s="671"/>
      <c r="K42" s="374"/>
    </row>
    <row r="43" spans="1:15">
      <c r="A43" s="265"/>
      <c r="B43" s="938" t="s">
        <v>1154</v>
      </c>
      <c r="C43" s="947" t="s">
        <v>1155</v>
      </c>
      <c r="D43" s="948" t="s">
        <v>1156</v>
      </c>
      <c r="E43" s="1635">
        <v>95</v>
      </c>
      <c r="F43" s="1636" t="s">
        <v>1157</v>
      </c>
      <c r="G43" s="2371" t="s">
        <v>1225</v>
      </c>
      <c r="H43" s="950">
        <v>852</v>
      </c>
      <c r="I43" s="1749"/>
      <c r="J43" s="952" t="s">
        <v>1226</v>
      </c>
      <c r="K43" s="953">
        <v>111.01</v>
      </c>
    </row>
    <row r="44" spans="1:15">
      <c r="A44" s="265"/>
      <c r="B44" s="1325" t="s">
        <v>1161</v>
      </c>
      <c r="C44" s="947" t="s">
        <v>1155</v>
      </c>
      <c r="D44" s="948" t="s">
        <v>1156</v>
      </c>
      <c r="E44" s="1635">
        <v>95</v>
      </c>
      <c r="F44" s="1636"/>
      <c r="G44" s="2371" t="s">
        <v>1225</v>
      </c>
      <c r="H44" s="950">
        <v>815</v>
      </c>
      <c r="I44" s="951"/>
      <c r="J44" s="952" t="s">
        <v>1227</v>
      </c>
      <c r="K44" s="953">
        <v>103.39</v>
      </c>
    </row>
    <row r="45" spans="1:15">
      <c r="A45" s="83"/>
      <c r="B45" s="938" t="s">
        <v>1154</v>
      </c>
      <c r="C45" s="954" t="s">
        <v>1174</v>
      </c>
      <c r="D45" s="955" t="s">
        <v>70</v>
      </c>
      <c r="E45" s="956"/>
      <c r="F45" s="941"/>
      <c r="G45" s="942" t="s">
        <v>1175</v>
      </c>
      <c r="H45" s="943">
        <v>899</v>
      </c>
      <c r="I45" s="944"/>
      <c r="J45" s="945">
        <v>922.34</v>
      </c>
      <c r="K45" s="946">
        <v>19.22</v>
      </c>
    </row>
    <row r="46" spans="1:15">
      <c r="A46" s="398"/>
      <c r="B46" s="1325" t="s">
        <v>1161</v>
      </c>
      <c r="C46" s="954" t="s">
        <v>1176</v>
      </c>
      <c r="D46" s="955" t="s">
        <v>70</v>
      </c>
      <c r="E46" s="957"/>
      <c r="F46" s="941"/>
      <c r="G46" s="979" t="s">
        <v>1225</v>
      </c>
      <c r="H46" s="943">
        <v>815</v>
      </c>
      <c r="I46" s="944"/>
      <c r="J46" s="945">
        <v>827.11</v>
      </c>
      <c r="K46" s="946">
        <v>20.92</v>
      </c>
    </row>
    <row r="47" spans="1:15">
      <c r="A47" s="398"/>
      <c r="B47" s="938" t="s">
        <v>1228</v>
      </c>
      <c r="C47" s="939" t="s">
        <v>1229</v>
      </c>
      <c r="D47" s="940" t="s">
        <v>70</v>
      </c>
      <c r="E47" s="957"/>
      <c r="F47" s="941"/>
      <c r="G47" s="979" t="s">
        <v>1225</v>
      </c>
      <c r="H47" s="943">
        <v>937</v>
      </c>
      <c r="I47" s="944"/>
      <c r="J47" s="945">
        <v>988.68</v>
      </c>
      <c r="K47" s="946">
        <v>20.59</v>
      </c>
    </row>
    <row r="48" spans="1:15">
      <c r="A48" s="663"/>
      <c r="B48" s="938" t="s">
        <v>1228</v>
      </c>
      <c r="C48" s="939" t="s">
        <v>565</v>
      </c>
      <c r="D48" s="940" t="s">
        <v>193</v>
      </c>
      <c r="E48" s="957"/>
      <c r="F48" s="941"/>
      <c r="G48" s="979" t="s">
        <v>1225</v>
      </c>
      <c r="H48" s="943">
        <v>933</v>
      </c>
      <c r="I48" s="944"/>
      <c r="J48" s="945">
        <v>957.65</v>
      </c>
      <c r="K48" s="946">
        <v>47.88</v>
      </c>
    </row>
    <row r="49" spans="1:12">
      <c r="A49" s="398"/>
      <c r="B49" s="2059" t="s">
        <v>1189</v>
      </c>
      <c r="C49" s="2337" t="s">
        <v>1190</v>
      </c>
      <c r="D49" s="1865" t="s">
        <v>18</v>
      </c>
      <c r="E49" s="2338" t="s">
        <v>1191</v>
      </c>
      <c r="F49" s="1771" t="s">
        <v>1192</v>
      </c>
      <c r="G49" s="1079" t="s">
        <v>1158</v>
      </c>
      <c r="H49" s="1867">
        <v>287</v>
      </c>
      <c r="I49" s="1868"/>
      <c r="J49" s="1869">
        <v>307.08999999999997</v>
      </c>
      <c r="K49" s="1870">
        <v>12.79</v>
      </c>
    </row>
    <row r="50" spans="1:12">
      <c r="A50" s="83"/>
      <c r="B50" s="2059" t="s">
        <v>1193</v>
      </c>
      <c r="C50" s="2337" t="s">
        <v>1230</v>
      </c>
      <c r="D50" s="1865" t="s">
        <v>70</v>
      </c>
      <c r="E50" s="2338" t="s">
        <v>1194</v>
      </c>
      <c r="F50" s="2410">
        <v>24204</v>
      </c>
      <c r="G50" s="1079" t="s">
        <v>1225</v>
      </c>
      <c r="H50" s="1867"/>
      <c r="I50" s="1871"/>
      <c r="J50" s="1869">
        <v>1185.56</v>
      </c>
      <c r="K50" s="1870">
        <v>24.7</v>
      </c>
    </row>
    <row r="51" spans="1:12">
      <c r="A51" s="83"/>
      <c r="B51" s="2060" t="s">
        <v>1182</v>
      </c>
      <c r="C51" s="1864"/>
      <c r="D51" s="1865" t="s">
        <v>70</v>
      </c>
      <c r="E51" s="2338" t="s">
        <v>1231</v>
      </c>
      <c r="F51" s="1087"/>
      <c r="G51" s="979" t="s">
        <v>1225</v>
      </c>
      <c r="H51" s="1867">
        <v>1071</v>
      </c>
      <c r="I51" s="2409" t="s">
        <v>1232</v>
      </c>
      <c r="J51" s="1869">
        <v>1097.82</v>
      </c>
      <c r="K51" s="1870">
        <v>22.87</v>
      </c>
    </row>
    <row r="52" spans="1:12">
      <c r="A52" s="83"/>
      <c r="B52" s="2060" t="s">
        <v>1182</v>
      </c>
      <c r="C52" s="2337" t="s">
        <v>192</v>
      </c>
      <c r="D52" s="1865" t="s">
        <v>193</v>
      </c>
      <c r="E52" s="2338" t="s">
        <v>1186</v>
      </c>
      <c r="F52" s="1771" t="s">
        <v>1187</v>
      </c>
      <c r="G52" s="979" t="s">
        <v>1225</v>
      </c>
      <c r="H52" s="1867">
        <v>1132</v>
      </c>
      <c r="I52" s="1871"/>
      <c r="J52" s="1869">
        <v>1189.8399999999999</v>
      </c>
      <c r="K52" s="1870">
        <v>94.49</v>
      </c>
    </row>
    <row r="53" spans="1:12">
      <c r="A53" s="398"/>
      <c r="B53" s="1872"/>
      <c r="C53" s="1873"/>
      <c r="D53" s="1865"/>
      <c r="E53" s="1866"/>
      <c r="F53" s="1087"/>
      <c r="G53" s="1079"/>
      <c r="H53" s="1867"/>
      <c r="I53" s="1868"/>
      <c r="J53" s="1869"/>
      <c r="K53" s="1870"/>
    </row>
    <row r="54" spans="1:12">
      <c r="A54" s="398"/>
      <c r="B54" s="1872"/>
      <c r="C54" s="2411"/>
      <c r="D54" s="1865"/>
      <c r="E54" s="1866"/>
      <c r="F54" s="1087"/>
      <c r="G54" s="1079"/>
      <c r="H54" s="1867"/>
      <c r="I54" s="1868"/>
      <c r="J54" s="1869"/>
      <c r="K54" s="1870"/>
    </row>
    <row r="55" spans="1:12">
      <c r="A55" s="83"/>
      <c r="B55" s="1874" t="s">
        <v>1198</v>
      </c>
      <c r="C55" s="1085" t="s">
        <v>1199</v>
      </c>
      <c r="D55" s="2058" t="s">
        <v>1200</v>
      </c>
      <c r="E55" s="1866" t="s">
        <v>1201</v>
      </c>
      <c r="F55" s="1087"/>
      <c r="G55" s="1079" t="s">
        <v>1202</v>
      </c>
      <c r="H55" s="1867">
        <v>942</v>
      </c>
      <c r="I55" s="1088" t="s">
        <v>1203</v>
      </c>
      <c r="J55" s="1875" t="s">
        <v>1204</v>
      </c>
      <c r="K55" s="1870">
        <v>9.48</v>
      </c>
    </row>
    <row r="56" spans="1:12">
      <c r="A56" s="388"/>
      <c r="B56" s="1874" t="s">
        <v>1205</v>
      </c>
      <c r="C56" s="1085" t="s">
        <v>1199</v>
      </c>
      <c r="D56" s="2058" t="s">
        <v>1200</v>
      </c>
      <c r="E56" s="1866" t="s">
        <v>1201</v>
      </c>
      <c r="F56" s="1087"/>
      <c r="G56" s="1079" t="s">
        <v>1202</v>
      </c>
      <c r="H56" s="1867">
        <v>942</v>
      </c>
      <c r="I56" s="1088" t="s">
        <v>1203</v>
      </c>
      <c r="J56" s="1875" t="s">
        <v>1204</v>
      </c>
      <c r="K56" s="1870">
        <v>9.48</v>
      </c>
    </row>
    <row r="57" spans="1:12">
      <c r="A57" s="83"/>
      <c r="B57" s="1876" t="s">
        <v>1206</v>
      </c>
      <c r="C57" s="1085" t="s">
        <v>1199</v>
      </c>
      <c r="D57" s="1865" t="s">
        <v>1207</v>
      </c>
      <c r="E57" s="1866" t="s">
        <v>1208</v>
      </c>
      <c r="F57" s="1087"/>
      <c r="G57" s="1079" t="s">
        <v>1209</v>
      </c>
      <c r="H57" s="1867">
        <v>276</v>
      </c>
      <c r="I57" s="1868" t="s">
        <v>1210</v>
      </c>
      <c r="J57" s="1869">
        <v>273.06</v>
      </c>
      <c r="K57" s="1870">
        <v>45.51</v>
      </c>
    </row>
    <row r="58" spans="1:12">
      <c r="A58" s="74"/>
      <c r="B58" s="781" t="s">
        <v>1211</v>
      </c>
      <c r="C58" s="101"/>
      <c r="D58" s="322"/>
      <c r="E58" s="60"/>
      <c r="F58" s="61"/>
      <c r="G58" s="206"/>
      <c r="H58" s="150"/>
      <c r="I58" s="115"/>
      <c r="J58" s="644"/>
      <c r="K58" s="365"/>
    </row>
    <row r="59" spans="1:12">
      <c r="A59" s="74"/>
      <c r="B59" s="406" t="s">
        <v>1163</v>
      </c>
      <c r="C59" s="224"/>
      <c r="D59" s="924" t="s">
        <v>70</v>
      </c>
      <c r="E59" s="927"/>
      <c r="F59" s="936"/>
      <c r="G59" s="223" t="s">
        <v>1212</v>
      </c>
      <c r="H59" s="647"/>
      <c r="I59" s="925"/>
      <c r="J59" s="926">
        <v>898.29</v>
      </c>
      <c r="K59" s="378">
        <v>18.71</v>
      </c>
    </row>
    <row r="60" spans="1:12">
      <c r="A60" s="2736" t="s">
        <v>1213</v>
      </c>
      <c r="B60" s="406" t="s">
        <v>1214</v>
      </c>
      <c r="C60" s="224" t="s">
        <v>1215</v>
      </c>
      <c r="D60" s="924" t="s">
        <v>70</v>
      </c>
      <c r="E60" s="927">
        <v>24</v>
      </c>
      <c r="F60" s="936" t="s">
        <v>1216</v>
      </c>
      <c r="G60" s="223" t="s">
        <v>1217</v>
      </c>
      <c r="H60" s="647">
        <v>1070</v>
      </c>
      <c r="I60" s="925"/>
      <c r="J60" s="926">
        <v>1070</v>
      </c>
      <c r="K60" s="378">
        <v>22.29</v>
      </c>
    </row>
    <row r="61" spans="1:12">
      <c r="A61" s="2641" t="s">
        <v>1218</v>
      </c>
      <c r="B61" s="406" t="s">
        <v>1214</v>
      </c>
      <c r="C61" s="224" t="s">
        <v>1219</v>
      </c>
      <c r="D61" s="924" t="s">
        <v>23</v>
      </c>
      <c r="E61" s="927">
        <v>50</v>
      </c>
      <c r="F61" s="936" t="s">
        <v>1220</v>
      </c>
      <c r="G61" s="979" t="s">
        <v>1221</v>
      </c>
      <c r="H61" s="647">
        <v>608.23</v>
      </c>
      <c r="I61" s="2640" t="s">
        <v>1222</v>
      </c>
      <c r="J61" s="926">
        <v>569.5</v>
      </c>
      <c r="K61" s="378">
        <v>47.46</v>
      </c>
    </row>
    <row r="62" spans="1:12">
      <c r="A62" s="2641" t="s">
        <v>1218</v>
      </c>
      <c r="B62" s="406" t="s">
        <v>1233</v>
      </c>
      <c r="C62" s="224" t="s">
        <v>1219</v>
      </c>
      <c r="D62" s="924" t="s">
        <v>23</v>
      </c>
      <c r="E62" s="927">
        <v>50</v>
      </c>
      <c r="F62" s="936" t="s">
        <v>1220</v>
      </c>
      <c r="G62" s="979" t="s">
        <v>1221</v>
      </c>
      <c r="H62" s="647">
        <v>608.23</v>
      </c>
      <c r="I62" s="2640" t="s">
        <v>1222</v>
      </c>
      <c r="J62" s="926">
        <v>569.5</v>
      </c>
      <c r="K62" s="378">
        <v>47.46</v>
      </c>
    </row>
    <row r="63" spans="1:12">
      <c r="A63" s="74"/>
      <c r="B63" s="406" t="s">
        <v>1163</v>
      </c>
      <c r="C63" s="224" t="s">
        <v>1155</v>
      </c>
      <c r="D63" s="924" t="s">
        <v>1156</v>
      </c>
      <c r="E63" s="927">
        <v>90</v>
      </c>
      <c r="F63" s="936" t="s">
        <v>1164</v>
      </c>
      <c r="G63" s="223" t="s">
        <v>37</v>
      </c>
      <c r="H63" s="647">
        <v>642.99</v>
      </c>
      <c r="I63" s="925" t="s">
        <v>1165</v>
      </c>
      <c r="J63" s="926">
        <v>674</v>
      </c>
      <c r="K63" s="378">
        <v>84.25</v>
      </c>
      <c r="L63" s="378"/>
    </row>
    <row r="64" spans="1:12">
      <c r="A64" s="2641"/>
      <c r="B64" s="406"/>
      <c r="C64" s="224"/>
      <c r="D64" s="924"/>
      <c r="E64" s="927"/>
      <c r="F64" s="936"/>
      <c r="G64" s="2731"/>
      <c r="H64" s="647"/>
      <c r="I64" s="2640"/>
      <c r="J64" s="926"/>
      <c r="K64" s="378"/>
      <c r="L64" s="378"/>
    </row>
    <row r="65" spans="1:12">
      <c r="A65" s="2641"/>
      <c r="B65" s="406"/>
      <c r="C65" s="224"/>
      <c r="D65" s="924"/>
      <c r="E65" s="927"/>
      <c r="F65" s="936"/>
      <c r="G65" s="2731"/>
      <c r="H65" s="647"/>
      <c r="I65" s="2640"/>
      <c r="J65" s="926"/>
      <c r="K65" s="378"/>
      <c r="L65" s="378"/>
    </row>
    <row r="66" spans="1:12">
      <c r="A66" s="74"/>
      <c r="B66" s="406"/>
      <c r="C66" s="224"/>
      <c r="D66" s="924"/>
      <c r="E66" s="927"/>
      <c r="F66" s="936"/>
      <c r="G66" s="223"/>
      <c r="H66" s="647"/>
      <c r="I66" s="925"/>
      <c r="J66" s="926"/>
      <c r="K66" s="378"/>
    </row>
    <row r="67" spans="1:12">
      <c r="A67" s="63"/>
      <c r="B67" s="406"/>
      <c r="C67" s="224"/>
      <c r="D67" s="924"/>
      <c r="E67" s="60"/>
      <c r="F67" s="61"/>
      <c r="G67" s="223"/>
      <c r="H67" s="647"/>
      <c r="I67" s="925"/>
      <c r="J67" s="937"/>
      <c r="K67" s="378"/>
    </row>
    <row r="68" spans="1:12">
      <c r="A68" s="253"/>
      <c r="B68" s="406"/>
      <c r="C68" s="224"/>
      <c r="D68" s="1506"/>
      <c r="E68" s="60"/>
      <c r="F68" s="61"/>
      <c r="G68" s="223"/>
      <c r="H68" s="647"/>
      <c r="I68" s="824"/>
      <c r="J68" s="937"/>
      <c r="K68" s="378"/>
    </row>
    <row r="69" spans="1:12">
      <c r="A69" s="63"/>
      <c r="B69" s="406"/>
      <c r="C69" s="224"/>
      <c r="D69" s="1506"/>
      <c r="E69" s="60"/>
      <c r="F69" s="61"/>
      <c r="G69" s="223"/>
      <c r="H69" s="647"/>
      <c r="I69" s="824"/>
      <c r="J69" s="937"/>
      <c r="K69" s="378"/>
    </row>
    <row r="70" spans="1:12">
      <c r="A70" s="63"/>
      <c r="B70" s="43"/>
      <c r="C70" s="74"/>
      <c r="D70" s="516"/>
      <c r="E70" s="392"/>
      <c r="F70" s="69"/>
      <c r="G70" s="206"/>
      <c r="H70" s="150"/>
      <c r="I70" s="130"/>
      <c r="J70" s="694"/>
      <c r="K70" s="365"/>
    </row>
    <row r="71" spans="1:12" ht="29.25" customHeight="1">
      <c r="A71" s="44"/>
      <c r="B71" s="45"/>
      <c r="C71" s="45"/>
      <c r="D71" s="204"/>
      <c r="F71" s="68"/>
    </row>
    <row r="72" spans="1:12">
      <c r="A72" s="45" t="s">
        <v>0</v>
      </c>
      <c r="B72" s="45"/>
      <c r="C72" s="44"/>
      <c r="D72" s="513"/>
      <c r="F72" s="68"/>
      <c r="L72" s="45"/>
    </row>
    <row r="73" spans="1:12">
      <c r="A73" s="44" t="s">
        <v>1224</v>
      </c>
      <c r="B73" s="45"/>
      <c r="C73" s="45"/>
      <c r="D73" s="204"/>
      <c r="F73" s="68"/>
      <c r="L73" s="45"/>
    </row>
    <row r="74" spans="1:12" ht="27" customHeight="1" thickBot="1">
      <c r="F74" s="68"/>
    </row>
    <row r="75" spans="1:12">
      <c r="A75" s="3481" t="s">
        <v>2</v>
      </c>
      <c r="B75" s="3482"/>
      <c r="C75" s="48" t="s">
        <v>3</v>
      </c>
      <c r="D75" s="436" t="s">
        <v>4</v>
      </c>
      <c r="E75" s="77" t="s">
        <v>5</v>
      </c>
      <c r="F75" s="78" t="s">
        <v>5</v>
      </c>
      <c r="G75" s="211" t="s">
        <v>6</v>
      </c>
      <c r="H75" s="636" t="s">
        <v>7</v>
      </c>
      <c r="I75" s="344" t="s">
        <v>8</v>
      </c>
      <c r="J75" s="678" t="s">
        <v>9</v>
      </c>
      <c r="K75" s="367" t="s">
        <v>9</v>
      </c>
      <c r="L75" s="46"/>
    </row>
    <row r="76" spans="1:12" ht="35.25" thickBot="1">
      <c r="A76" s="51"/>
      <c r="B76" s="72"/>
      <c r="C76" s="50"/>
      <c r="D76" s="437" t="s">
        <v>10</v>
      </c>
      <c r="E76" s="79" t="s">
        <v>12</v>
      </c>
      <c r="F76" s="80" t="s">
        <v>11</v>
      </c>
      <c r="G76" s="212"/>
      <c r="H76" s="637" t="s">
        <v>13</v>
      </c>
      <c r="I76" s="345"/>
      <c r="J76" s="679" t="s">
        <v>14</v>
      </c>
      <c r="K76" s="368" t="s">
        <v>15</v>
      </c>
      <c r="L76" s="46"/>
    </row>
    <row r="77" spans="1:12">
      <c r="A77" s="389"/>
      <c r="B77" s="382" t="s">
        <v>1234</v>
      </c>
      <c r="C77" s="74"/>
      <c r="D77" s="514"/>
      <c r="E77" s="60"/>
      <c r="F77" s="61"/>
      <c r="G77" s="206"/>
      <c r="H77" s="150"/>
      <c r="I77" s="115"/>
      <c r="J77" s="680"/>
      <c r="K77" s="365"/>
    </row>
    <row r="78" spans="1:12" ht="37.5">
      <c r="A78" s="83"/>
      <c r="B78" s="1877" t="s">
        <v>1235</v>
      </c>
      <c r="C78" s="1841" t="s">
        <v>1155</v>
      </c>
      <c r="D78" s="1842" t="s">
        <v>1169</v>
      </c>
      <c r="E78" s="122">
        <v>85</v>
      </c>
      <c r="F78" s="123" t="s">
        <v>1170</v>
      </c>
      <c r="G78" s="1843" t="s">
        <v>1236</v>
      </c>
      <c r="H78" s="943">
        <v>774</v>
      </c>
      <c r="I78" s="944" t="s">
        <v>1237</v>
      </c>
      <c r="J78" s="945" t="s">
        <v>1238</v>
      </c>
      <c r="K78" s="946">
        <v>78.510000000000005</v>
      </c>
    </row>
    <row r="79" spans="1:12">
      <c r="A79" s="438"/>
      <c r="B79" s="938"/>
      <c r="C79" s="939"/>
      <c r="D79" s="940"/>
      <c r="E79" s="60"/>
      <c r="F79" s="61"/>
      <c r="G79" s="942"/>
      <c r="H79" s="943"/>
      <c r="I79" s="944"/>
      <c r="J79" s="945"/>
      <c r="K79" s="946"/>
    </row>
    <row r="80" spans="1:12">
      <c r="A80" s="315"/>
      <c r="B80" s="43" t="s">
        <v>1239</v>
      </c>
      <c r="C80" s="74"/>
      <c r="D80" s="516" t="s">
        <v>70</v>
      </c>
      <c r="E80" s="392"/>
      <c r="F80" s="69"/>
      <c r="G80" s="206" t="s">
        <v>1240</v>
      </c>
      <c r="H80" s="150"/>
      <c r="I80" s="115"/>
      <c r="J80" s="694">
        <v>850</v>
      </c>
      <c r="K80" s="365">
        <f>J80/48</f>
        <v>17.708333333333332</v>
      </c>
    </row>
    <row r="81" spans="1:11">
      <c r="A81" s="315"/>
      <c r="B81" s="406" t="s">
        <v>1241</v>
      </c>
      <c r="C81" s="224"/>
      <c r="D81" s="924" t="s">
        <v>70</v>
      </c>
      <c r="E81" s="60" t="s">
        <v>1242</v>
      </c>
      <c r="F81" s="61"/>
      <c r="G81" s="223" t="s">
        <v>1243</v>
      </c>
      <c r="H81" s="647">
        <v>1010</v>
      </c>
      <c r="I81" s="925"/>
      <c r="J81" s="937">
        <v>1010</v>
      </c>
      <c r="K81" s="378">
        <f>J81/48</f>
        <v>21.041666666666668</v>
      </c>
    </row>
    <row r="82" spans="1:11" ht="35.25" thickBot="1">
      <c r="A82" s="1675"/>
      <c r="B82" s="406" t="s">
        <v>1177</v>
      </c>
      <c r="C82" s="224" t="s">
        <v>1178</v>
      </c>
      <c r="D82" s="1506" t="s">
        <v>70</v>
      </c>
      <c r="E82" s="60" t="s">
        <v>1179</v>
      </c>
      <c r="F82" s="61" t="s">
        <v>722</v>
      </c>
      <c r="G82" s="223" t="s">
        <v>1244</v>
      </c>
      <c r="H82" s="647">
        <v>920</v>
      </c>
      <c r="I82" s="824" t="s">
        <v>1181</v>
      </c>
      <c r="J82" s="937">
        <v>880</v>
      </c>
      <c r="K82" s="378">
        <v>18.329999999999998</v>
      </c>
    </row>
    <row r="83" spans="1:11">
      <c r="A83" s="70"/>
      <c r="B83" s="406" t="s">
        <v>1245</v>
      </c>
      <c r="C83" s="224" t="s">
        <v>1246</v>
      </c>
      <c r="D83" s="1506" t="s">
        <v>70</v>
      </c>
      <c r="E83" s="60"/>
      <c r="F83" s="61"/>
      <c r="G83" s="223" t="s">
        <v>1247</v>
      </c>
      <c r="H83" s="647"/>
      <c r="I83" s="824"/>
      <c r="J83" s="937">
        <v>990</v>
      </c>
      <c r="K83" s="378">
        <v>20.63</v>
      </c>
    </row>
    <row r="84" spans="1:11">
      <c r="A84" s="59"/>
      <c r="B84" s="2705"/>
      <c r="C84" s="2729"/>
      <c r="D84" s="2730"/>
      <c r="E84" s="243"/>
      <c r="F84" s="61"/>
      <c r="G84" s="2731"/>
      <c r="H84" s="2732"/>
      <c r="I84" s="2733"/>
      <c r="J84" s="2735"/>
      <c r="K84" s="2734"/>
    </row>
    <row r="85" spans="1:11">
      <c r="A85" s="83"/>
      <c r="B85" s="43"/>
      <c r="C85" s="74"/>
      <c r="D85" s="516"/>
      <c r="E85" s="243"/>
      <c r="F85" s="61"/>
      <c r="G85" s="206"/>
      <c r="H85" s="150"/>
      <c r="I85" s="115"/>
      <c r="J85" s="694"/>
      <c r="K85" s="365"/>
    </row>
    <row r="86" spans="1:11">
      <c r="A86" s="83"/>
      <c r="B86" s="43"/>
      <c r="C86" s="74"/>
      <c r="D86" s="516"/>
      <c r="E86" s="243"/>
      <c r="F86" s="61"/>
      <c r="G86" s="206"/>
      <c r="H86" s="150"/>
      <c r="I86" s="115"/>
      <c r="J86" s="694"/>
      <c r="K86" s="365"/>
    </row>
    <row r="87" spans="1:11">
      <c r="A87" s="83"/>
      <c r="B87" s="43"/>
      <c r="C87" s="74"/>
      <c r="D87" s="514"/>
      <c r="E87" s="60"/>
      <c r="F87" s="61"/>
      <c r="G87" s="206"/>
      <c r="H87" s="150"/>
      <c r="I87" s="115"/>
      <c r="J87" s="694"/>
      <c r="K87" s="394"/>
    </row>
    <row r="88" spans="1:11">
      <c r="A88" s="83"/>
      <c r="B88" s="362"/>
      <c r="C88" s="74"/>
      <c r="D88" s="514"/>
      <c r="E88" s="60"/>
      <c r="F88" s="61"/>
      <c r="G88" s="206"/>
      <c r="H88" s="150"/>
      <c r="I88" s="115"/>
      <c r="J88" s="694"/>
      <c r="K88" s="747"/>
    </row>
    <row r="89" spans="1:11">
      <c r="A89" s="83"/>
      <c r="B89" s="43"/>
      <c r="C89" s="74"/>
      <c r="D89" s="514"/>
      <c r="E89" s="60"/>
      <c r="F89" s="61"/>
      <c r="G89" s="206"/>
      <c r="H89" s="150"/>
      <c r="I89" s="115"/>
      <c r="J89" s="680"/>
      <c r="K89" s="365"/>
    </row>
    <row r="90" spans="1:11">
      <c r="A90" s="83"/>
      <c r="B90" s="43"/>
      <c r="C90" s="74"/>
      <c r="D90" s="516"/>
      <c r="E90" s="243"/>
      <c r="F90" s="61"/>
      <c r="G90" s="206"/>
      <c r="H90" s="150"/>
      <c r="I90" s="115"/>
      <c r="J90" s="694"/>
      <c r="K90" s="365"/>
    </row>
    <row r="91" spans="1:11">
      <c r="A91" s="83"/>
      <c r="B91" s="43"/>
      <c r="C91" s="101"/>
      <c r="D91" s="322"/>
      <c r="E91" s="60"/>
      <c r="F91" s="61"/>
      <c r="G91" s="206"/>
      <c r="H91" s="150"/>
      <c r="I91" s="115"/>
      <c r="J91" s="644"/>
      <c r="K91" s="365"/>
    </row>
    <row r="92" spans="1:11">
      <c r="A92" s="83"/>
      <c r="B92" s="43"/>
      <c r="C92" s="101"/>
      <c r="D92" s="322"/>
      <c r="E92" s="60"/>
      <c r="F92" s="61"/>
      <c r="G92" s="223"/>
      <c r="H92" s="647"/>
      <c r="I92" s="925"/>
      <c r="J92" s="937"/>
      <c r="K92" s="378"/>
    </row>
    <row r="93" spans="1:11">
      <c r="A93" s="83"/>
      <c r="B93" s="43"/>
      <c r="C93" s="101"/>
      <c r="D93" s="322"/>
      <c r="E93" s="60"/>
      <c r="F93" s="61"/>
      <c r="G93" s="223"/>
      <c r="H93" s="647"/>
      <c r="I93" s="925"/>
      <c r="J93" s="926"/>
      <c r="K93" s="378"/>
    </row>
    <row r="94" spans="1:11">
      <c r="A94" s="83"/>
      <c r="B94" s="43"/>
      <c r="C94" s="74"/>
      <c r="D94" s="516"/>
      <c r="E94" s="392"/>
      <c r="F94" s="69"/>
      <c r="G94" s="206"/>
      <c r="H94" s="150"/>
      <c r="I94" s="115"/>
      <c r="J94" s="694"/>
      <c r="K94" s="365"/>
    </row>
    <row r="95" spans="1:11">
      <c r="A95" s="83"/>
      <c r="B95" s="406"/>
      <c r="C95" s="224"/>
      <c r="D95" s="924"/>
      <c r="E95" s="60"/>
      <c r="F95" s="61"/>
      <c r="G95" s="223"/>
      <c r="H95" s="647"/>
      <c r="I95" s="925"/>
      <c r="J95" s="937"/>
      <c r="K95" s="378"/>
    </row>
    <row r="96" spans="1:11">
      <c r="A96" s="83"/>
      <c r="B96" s="382" t="s">
        <v>792</v>
      </c>
      <c r="C96" s="74"/>
      <c r="D96" s="516"/>
      <c r="E96" s="91"/>
      <c r="F96" s="61"/>
      <c r="G96" s="206"/>
      <c r="H96" s="150"/>
      <c r="I96" s="115"/>
      <c r="J96" s="644"/>
      <c r="K96" s="365"/>
    </row>
    <row r="97" spans="1:15">
      <c r="A97" s="83"/>
      <c r="B97" s="43" t="s">
        <v>1248</v>
      </c>
      <c r="C97" s="74"/>
      <c r="D97" s="516" t="s">
        <v>70</v>
      </c>
      <c r="E97" s="392">
        <v>985</v>
      </c>
      <c r="F97" s="69">
        <v>21</v>
      </c>
      <c r="G97" s="206" t="s">
        <v>1249</v>
      </c>
      <c r="H97" s="150">
        <v>960</v>
      </c>
      <c r="I97" s="130" t="s">
        <v>1250</v>
      </c>
      <c r="J97" s="694">
        <v>900</v>
      </c>
      <c r="K97" s="365">
        <f>J97/48</f>
        <v>18.75</v>
      </c>
    </row>
    <row r="98" spans="1:15">
      <c r="A98" s="315"/>
      <c r="B98" s="406" t="s">
        <v>1241</v>
      </c>
      <c r="C98" s="224"/>
      <c r="D98" s="924" t="s">
        <v>70</v>
      </c>
      <c r="E98" s="60" t="s">
        <v>1251</v>
      </c>
      <c r="F98" s="61"/>
      <c r="G98" s="223" t="s">
        <v>1252</v>
      </c>
      <c r="H98" s="647">
        <v>1020</v>
      </c>
      <c r="I98" s="925"/>
      <c r="J98" s="937">
        <v>1020</v>
      </c>
      <c r="K98" s="365"/>
    </row>
    <row r="99" spans="1:15" ht="37.5">
      <c r="A99" s="315"/>
      <c r="B99" s="1877" t="s">
        <v>1253</v>
      </c>
      <c r="C99" s="1841" t="s">
        <v>1155</v>
      </c>
      <c r="D99" s="1842" t="s">
        <v>1169</v>
      </c>
      <c r="E99" s="122">
        <v>98</v>
      </c>
      <c r="F99" s="123" t="s">
        <v>1254</v>
      </c>
      <c r="G99" s="2406" t="s">
        <v>813</v>
      </c>
      <c r="H99" s="943">
        <v>1235</v>
      </c>
      <c r="I99" s="944"/>
      <c r="J99" s="945" t="s">
        <v>1255</v>
      </c>
      <c r="K99" s="378" t="s">
        <v>1256</v>
      </c>
    </row>
    <row r="100" spans="1:15" ht="37.5">
      <c r="A100" s="83"/>
      <c r="B100" s="1877" t="s">
        <v>1235</v>
      </c>
      <c r="C100" s="1841" t="s">
        <v>1155</v>
      </c>
      <c r="D100" s="1842" t="s">
        <v>1169</v>
      </c>
      <c r="E100" s="122">
        <v>98</v>
      </c>
      <c r="F100" s="123" t="s">
        <v>1254</v>
      </c>
      <c r="G100" s="1843" t="s">
        <v>813</v>
      </c>
      <c r="H100" s="943">
        <v>1040</v>
      </c>
      <c r="I100" s="944"/>
      <c r="J100" s="945" t="s">
        <v>1257</v>
      </c>
      <c r="K100" s="378" t="s">
        <v>1258</v>
      </c>
    </row>
    <row r="101" spans="1:15">
      <c r="A101" s="59"/>
      <c r="B101" s="43"/>
      <c r="C101" s="74"/>
      <c r="D101" s="516"/>
      <c r="E101" s="392"/>
      <c r="F101" s="69"/>
      <c r="G101" s="206"/>
      <c r="H101" s="150"/>
      <c r="I101" s="115"/>
      <c r="J101" s="694"/>
      <c r="K101" s="365">
        <f>J101/48</f>
        <v>0</v>
      </c>
    </row>
    <row r="102" spans="1:15">
      <c r="A102" s="59"/>
      <c r="B102" s="43" t="s">
        <v>1259</v>
      </c>
      <c r="C102" s="101"/>
      <c r="D102" s="322" t="s">
        <v>70</v>
      </c>
      <c r="E102" s="60" t="s">
        <v>286</v>
      </c>
      <c r="F102" s="61">
        <v>850</v>
      </c>
      <c r="G102" s="206" t="s">
        <v>1260</v>
      </c>
      <c r="H102" s="150"/>
      <c r="I102" s="115"/>
      <c r="J102" s="644">
        <v>810</v>
      </c>
      <c r="K102" s="378">
        <f>J102/48</f>
        <v>16.875</v>
      </c>
    </row>
    <row r="103" spans="1:15">
      <c r="A103" s="70"/>
      <c r="B103" s="406" t="s">
        <v>1177</v>
      </c>
      <c r="C103" s="224" t="s">
        <v>1178</v>
      </c>
      <c r="D103" s="1506" t="s">
        <v>70</v>
      </c>
      <c r="E103" s="60" t="s">
        <v>1179</v>
      </c>
      <c r="F103" s="61" t="s">
        <v>722</v>
      </c>
      <c r="G103" s="223" t="s">
        <v>1180</v>
      </c>
      <c r="H103" s="647">
        <v>920</v>
      </c>
      <c r="I103" s="824" t="s">
        <v>1181</v>
      </c>
      <c r="J103" s="937">
        <v>880</v>
      </c>
      <c r="K103" s="378">
        <v>18.329999999999998</v>
      </c>
    </row>
    <row r="104" spans="1:15">
      <c r="A104" s="265"/>
      <c r="B104" s="406" t="s">
        <v>1245</v>
      </c>
      <c r="C104" s="224" t="s">
        <v>1246</v>
      </c>
      <c r="D104" s="1506" t="s">
        <v>70</v>
      </c>
      <c r="E104" s="60"/>
      <c r="F104" s="61"/>
      <c r="G104" s="223" t="s">
        <v>1247</v>
      </c>
      <c r="H104" s="647"/>
      <c r="I104" s="824"/>
      <c r="J104" s="937">
        <v>990</v>
      </c>
      <c r="K104" s="378">
        <v>20.63</v>
      </c>
    </row>
    <row r="105" spans="1:15" ht="37.5">
      <c r="A105" s="2332"/>
      <c r="B105" s="1877"/>
      <c r="C105" s="1841"/>
      <c r="D105" s="1842"/>
      <c r="E105" s="122"/>
      <c r="F105" s="123"/>
      <c r="G105" s="1843"/>
      <c r="H105" s="943"/>
      <c r="I105" s="944"/>
      <c r="J105" s="945"/>
      <c r="K105" s="946">
        <v>77</v>
      </c>
      <c r="L105" s="946"/>
    </row>
    <row r="106" spans="1:15" s="75" customFormat="1">
      <c r="B106" s="793"/>
      <c r="C106" s="786"/>
      <c r="D106" s="1095"/>
      <c r="E106" s="783"/>
      <c r="F106" s="777"/>
      <c r="G106" s="223"/>
      <c r="H106" s="648"/>
      <c r="I106" s="794"/>
      <c r="J106" s="659"/>
      <c r="K106" s="646"/>
      <c r="O106" s="746"/>
    </row>
    <row r="107" spans="1:15">
      <c r="A107" s="44"/>
      <c r="B107" s="45"/>
      <c r="C107" s="45"/>
      <c r="D107" s="204"/>
      <c r="F107" s="68"/>
    </row>
    <row r="108" spans="1:15">
      <c r="A108" s="45" t="s">
        <v>0</v>
      </c>
      <c r="B108" s="45"/>
      <c r="C108" s="44"/>
      <c r="D108" s="513"/>
      <c r="F108" s="68"/>
      <c r="L108" s="45"/>
    </row>
    <row r="109" spans="1:15">
      <c r="A109" s="44" t="s">
        <v>1261</v>
      </c>
      <c r="B109" s="45"/>
      <c r="C109" s="45"/>
      <c r="D109" s="204"/>
      <c r="F109" s="68"/>
      <c r="L109" s="45"/>
    </row>
    <row r="110" spans="1:15" ht="18.75" customHeight="1" thickBot="1">
      <c r="F110" s="68"/>
    </row>
    <row r="111" spans="1:15">
      <c r="A111" s="3481" t="s">
        <v>2</v>
      </c>
      <c r="B111" s="3482"/>
      <c r="C111" s="48" t="s">
        <v>3</v>
      </c>
      <c r="D111" s="436" t="s">
        <v>4</v>
      </c>
      <c r="E111" s="77" t="s">
        <v>5</v>
      </c>
      <c r="F111" s="78" t="s">
        <v>5</v>
      </c>
      <c r="G111" s="211" t="s">
        <v>6</v>
      </c>
      <c r="H111" s="636" t="s">
        <v>7</v>
      </c>
      <c r="I111" s="344" t="s">
        <v>8</v>
      </c>
      <c r="J111" s="669" t="s">
        <v>9</v>
      </c>
      <c r="K111" s="346" t="s">
        <v>9</v>
      </c>
      <c r="L111" s="46"/>
    </row>
    <row r="112" spans="1:15" ht="35.25" thickBot="1">
      <c r="A112" s="51"/>
      <c r="B112" s="72"/>
      <c r="C112" s="50"/>
      <c r="D112" s="437" t="s">
        <v>10</v>
      </c>
      <c r="E112" s="79" t="s">
        <v>12</v>
      </c>
      <c r="F112" s="80" t="s">
        <v>11</v>
      </c>
      <c r="G112" s="212"/>
      <c r="H112" s="637" t="s">
        <v>13</v>
      </c>
      <c r="I112" s="345"/>
      <c r="J112" s="670" t="s">
        <v>14</v>
      </c>
      <c r="K112" s="347" t="s">
        <v>15</v>
      </c>
      <c r="L112" s="46"/>
    </row>
    <row r="113" spans="1:11">
      <c r="A113" s="388"/>
      <c r="B113" s="382" t="s">
        <v>792</v>
      </c>
      <c r="C113" s="74"/>
      <c r="D113" s="514"/>
      <c r="E113" s="392"/>
      <c r="F113" s="61"/>
      <c r="G113" s="206"/>
      <c r="H113" s="150"/>
      <c r="I113" s="115"/>
      <c r="J113" s="644"/>
      <c r="K113" s="365"/>
    </row>
    <row r="114" spans="1:11">
      <c r="A114" s="398"/>
      <c r="B114" s="43" t="s">
        <v>1262</v>
      </c>
      <c r="C114" s="74" t="s">
        <v>1263</v>
      </c>
      <c r="D114" s="514" t="s">
        <v>1264</v>
      </c>
      <c r="E114" s="837"/>
      <c r="F114" s="853">
        <v>320</v>
      </c>
      <c r="G114" s="206" t="s">
        <v>1265</v>
      </c>
      <c r="H114" s="150">
        <v>300</v>
      </c>
      <c r="I114" s="115" t="s">
        <v>1266</v>
      </c>
      <c r="J114" s="694">
        <v>290</v>
      </c>
      <c r="K114" s="394" t="s">
        <v>1267</v>
      </c>
    </row>
    <row r="115" spans="1:11">
      <c r="A115" s="398"/>
      <c r="B115" s="43" t="s">
        <v>1268</v>
      </c>
      <c r="C115" s="74" t="s">
        <v>1263</v>
      </c>
      <c r="D115" s="514" t="s">
        <v>1264</v>
      </c>
      <c r="E115" s="837">
        <v>67</v>
      </c>
      <c r="F115" s="853">
        <v>390</v>
      </c>
      <c r="G115" s="799" t="s">
        <v>1269</v>
      </c>
      <c r="H115" s="150">
        <v>380</v>
      </c>
      <c r="I115" s="115"/>
      <c r="J115" s="694">
        <v>380</v>
      </c>
      <c r="K115" s="394" t="s">
        <v>1270</v>
      </c>
    </row>
    <row r="116" spans="1:11">
      <c r="A116" s="398"/>
      <c r="B116" s="43" t="s">
        <v>1271</v>
      </c>
      <c r="C116" s="74" t="s">
        <v>1263</v>
      </c>
      <c r="D116" s="514" t="s">
        <v>1264</v>
      </c>
      <c r="E116" s="837">
        <v>66</v>
      </c>
      <c r="F116" s="853">
        <v>385</v>
      </c>
      <c r="G116" s="799" t="s">
        <v>1272</v>
      </c>
      <c r="H116" s="150">
        <v>375</v>
      </c>
      <c r="I116" s="115" t="s">
        <v>1273</v>
      </c>
      <c r="J116" s="694">
        <v>355</v>
      </c>
      <c r="K116" s="394" t="s">
        <v>1274</v>
      </c>
    </row>
    <row r="117" spans="1:11" ht="37.5">
      <c r="A117" s="398"/>
      <c r="B117" s="43" t="s">
        <v>1268</v>
      </c>
      <c r="C117" s="74" t="s">
        <v>1275</v>
      </c>
      <c r="D117" s="514" t="s">
        <v>1264</v>
      </c>
      <c r="E117" s="837">
        <v>130</v>
      </c>
      <c r="F117" s="853"/>
      <c r="G117" s="206" t="s">
        <v>1276</v>
      </c>
      <c r="H117" s="150"/>
      <c r="I117" s="115"/>
      <c r="J117" s="694"/>
      <c r="K117" s="1326">
        <v>124</v>
      </c>
    </row>
    <row r="118" spans="1:11">
      <c r="A118" s="398"/>
      <c r="B118" s="43" t="s">
        <v>1271</v>
      </c>
      <c r="C118" s="74" t="s">
        <v>1275</v>
      </c>
      <c r="D118" s="514" t="s">
        <v>1264</v>
      </c>
      <c r="E118" s="837">
        <v>130</v>
      </c>
      <c r="F118" s="853"/>
      <c r="G118" s="206" t="s">
        <v>1277</v>
      </c>
      <c r="H118" s="150"/>
      <c r="I118" s="115"/>
      <c r="J118" s="694"/>
      <c r="K118" s="365">
        <v>124</v>
      </c>
    </row>
    <row r="119" spans="1:11">
      <c r="A119" s="398"/>
      <c r="B119" s="481" t="s">
        <v>1278</v>
      </c>
      <c r="C119" s="765" t="s">
        <v>1275</v>
      </c>
      <c r="D119" s="935" t="s">
        <v>1264</v>
      </c>
      <c r="E119" s="2353">
        <v>48</v>
      </c>
      <c r="F119" s="1136">
        <v>280</v>
      </c>
      <c r="G119" s="223" t="s">
        <v>1277</v>
      </c>
      <c r="H119" s="723">
        <v>265</v>
      </c>
      <c r="I119" s="933"/>
      <c r="J119" s="934">
        <v>265</v>
      </c>
      <c r="K119" s="1041" t="s">
        <v>1279</v>
      </c>
    </row>
    <row r="120" spans="1:11">
      <c r="A120" s="398"/>
      <c r="B120" s="481" t="s">
        <v>1280</v>
      </c>
      <c r="C120" s="765" t="s">
        <v>1275</v>
      </c>
      <c r="D120" s="935" t="s">
        <v>1264</v>
      </c>
      <c r="E120" s="2353">
        <v>62</v>
      </c>
      <c r="F120" s="1136" t="s">
        <v>1281</v>
      </c>
      <c r="G120" s="223" t="s">
        <v>1282</v>
      </c>
      <c r="H120" s="723">
        <v>350</v>
      </c>
      <c r="I120" s="933" t="s">
        <v>1283</v>
      </c>
      <c r="J120" s="934">
        <v>336</v>
      </c>
      <c r="K120" s="1041" t="s">
        <v>1284</v>
      </c>
    </row>
    <row r="121" spans="1:11">
      <c r="A121" s="83"/>
      <c r="B121" s="481" t="s">
        <v>1285</v>
      </c>
      <c r="C121" s="765" t="s">
        <v>1286</v>
      </c>
      <c r="D121" s="932" t="s">
        <v>1287</v>
      </c>
      <c r="E121" s="2354">
        <v>32</v>
      </c>
      <c r="F121" s="2355" t="s">
        <v>1288</v>
      </c>
      <c r="G121" s="223" t="s">
        <v>804</v>
      </c>
      <c r="H121" s="723">
        <v>360</v>
      </c>
      <c r="I121" s="933" t="s">
        <v>1266</v>
      </c>
      <c r="J121" s="934">
        <v>350</v>
      </c>
      <c r="K121" s="1041" t="s">
        <v>1289</v>
      </c>
    </row>
    <row r="122" spans="1:11">
      <c r="A122" s="398"/>
      <c r="B122" s="481" t="s">
        <v>1290</v>
      </c>
      <c r="C122" s="765" t="s">
        <v>1291</v>
      </c>
      <c r="D122" s="932" t="s">
        <v>1287</v>
      </c>
      <c r="E122" s="2354">
        <v>32</v>
      </c>
      <c r="F122" s="2355" t="s">
        <v>1288</v>
      </c>
      <c r="G122" s="2701" t="s">
        <v>1292</v>
      </c>
      <c r="H122" s="723">
        <v>350</v>
      </c>
      <c r="I122" s="933" t="s">
        <v>1293</v>
      </c>
      <c r="J122" s="934">
        <v>336</v>
      </c>
      <c r="K122" s="1041" t="s">
        <v>1294</v>
      </c>
    </row>
    <row r="123" spans="1:11">
      <c r="A123" s="398"/>
      <c r="B123" s="43" t="s">
        <v>1295</v>
      </c>
      <c r="C123" s="74" t="s">
        <v>1296</v>
      </c>
      <c r="D123" s="516" t="s">
        <v>1297</v>
      </c>
      <c r="E123" s="837">
        <v>35</v>
      </c>
      <c r="F123" s="767" t="s">
        <v>1298</v>
      </c>
      <c r="G123" s="2701" t="s">
        <v>1299</v>
      </c>
      <c r="H123" s="150">
        <v>390</v>
      </c>
      <c r="I123" s="2712" t="s">
        <v>1293</v>
      </c>
      <c r="J123" s="694">
        <v>374.4</v>
      </c>
      <c r="K123" s="394" t="s">
        <v>1300</v>
      </c>
    </row>
    <row r="124" spans="1:11">
      <c r="A124" s="398"/>
      <c r="B124" s="43" t="s">
        <v>1295</v>
      </c>
      <c r="C124" s="74" t="s">
        <v>1301</v>
      </c>
      <c r="D124" s="514" t="s">
        <v>1297</v>
      </c>
      <c r="E124" s="837">
        <v>18</v>
      </c>
      <c r="F124" s="853">
        <v>198</v>
      </c>
      <c r="G124" s="206" t="s">
        <v>1302</v>
      </c>
      <c r="H124" s="150">
        <v>370</v>
      </c>
      <c r="I124" s="115"/>
      <c r="J124" s="694">
        <v>370</v>
      </c>
      <c r="K124" s="394" t="s">
        <v>1303</v>
      </c>
    </row>
    <row r="125" spans="1:11">
      <c r="A125" s="83"/>
      <c r="B125" s="43" t="s">
        <v>1304</v>
      </c>
      <c r="C125" s="74" t="s">
        <v>1296</v>
      </c>
      <c r="D125" s="514" t="s">
        <v>1297</v>
      </c>
      <c r="E125" s="837">
        <v>35</v>
      </c>
      <c r="F125" s="853" t="s">
        <v>1298</v>
      </c>
      <c r="G125" s="2737" t="s">
        <v>1292</v>
      </c>
      <c r="H125" s="150">
        <v>390</v>
      </c>
      <c r="I125" s="2712" t="s">
        <v>1293</v>
      </c>
      <c r="J125" s="694">
        <v>374.4</v>
      </c>
      <c r="K125" s="394" t="s">
        <v>1300</v>
      </c>
    </row>
    <row r="126" spans="1:11">
      <c r="A126" s="83"/>
      <c r="B126" s="43" t="s">
        <v>1305</v>
      </c>
      <c r="C126" s="74" t="s">
        <v>1296</v>
      </c>
      <c r="D126" s="514" t="s">
        <v>1297</v>
      </c>
      <c r="E126" s="837">
        <v>35</v>
      </c>
      <c r="F126" s="853" t="s">
        <v>1298</v>
      </c>
      <c r="G126" s="2701" t="s">
        <v>1282</v>
      </c>
      <c r="H126" s="150">
        <v>390</v>
      </c>
      <c r="I126" s="2712" t="s">
        <v>1293</v>
      </c>
      <c r="J126" s="694">
        <v>374.4</v>
      </c>
      <c r="K126" s="394" t="s">
        <v>1300</v>
      </c>
    </row>
    <row r="127" spans="1:11">
      <c r="A127" s="83"/>
      <c r="B127" s="43" t="s">
        <v>1306</v>
      </c>
      <c r="C127" s="74" t="s">
        <v>1296</v>
      </c>
      <c r="D127" s="514" t="s">
        <v>1297</v>
      </c>
      <c r="E127" s="837">
        <v>35</v>
      </c>
      <c r="F127" s="853" t="s">
        <v>1298</v>
      </c>
      <c r="G127" s="799" t="s">
        <v>1269</v>
      </c>
      <c r="H127" s="150">
        <v>390</v>
      </c>
      <c r="I127" s="115"/>
      <c r="J127" s="694">
        <v>390</v>
      </c>
      <c r="K127" s="394" t="s">
        <v>1307</v>
      </c>
    </row>
    <row r="128" spans="1:11">
      <c r="A128" s="83"/>
      <c r="B128" s="791" t="s">
        <v>1308</v>
      </c>
      <c r="C128" s="74" t="s">
        <v>1296</v>
      </c>
      <c r="D128" s="514" t="s">
        <v>1297</v>
      </c>
      <c r="E128" s="837">
        <v>34</v>
      </c>
      <c r="F128" s="853" t="s">
        <v>1309</v>
      </c>
      <c r="G128" s="223" t="s">
        <v>1310</v>
      </c>
      <c r="H128" s="150">
        <v>375</v>
      </c>
      <c r="I128" s="115" t="s">
        <v>1311</v>
      </c>
      <c r="J128" s="694">
        <v>365</v>
      </c>
      <c r="K128" s="394" t="s">
        <v>1312</v>
      </c>
    </row>
    <row r="129" spans="1:12">
      <c r="A129" s="83"/>
      <c r="B129" s="43" t="s">
        <v>1313</v>
      </c>
      <c r="C129" s="74" t="s">
        <v>1296</v>
      </c>
      <c r="D129" s="516" t="s">
        <v>1314</v>
      </c>
      <c r="E129" s="839" t="s">
        <v>1315</v>
      </c>
      <c r="F129" s="853" t="s">
        <v>1316</v>
      </c>
      <c r="G129" s="2737" t="s">
        <v>1282</v>
      </c>
      <c r="H129" s="150">
        <v>420</v>
      </c>
      <c r="I129" s="2712" t="s">
        <v>1317</v>
      </c>
      <c r="J129" s="694">
        <v>403.2</v>
      </c>
      <c r="K129" s="394" t="s">
        <v>1318</v>
      </c>
    </row>
    <row r="130" spans="1:12">
      <c r="A130" s="83"/>
      <c r="B130" s="43" t="s">
        <v>1319</v>
      </c>
      <c r="C130" s="74" t="s">
        <v>1296</v>
      </c>
      <c r="D130" s="516" t="s">
        <v>1297</v>
      </c>
      <c r="E130" s="839">
        <v>38</v>
      </c>
      <c r="F130" s="853" t="s">
        <v>1320</v>
      </c>
      <c r="G130" s="2701" t="s">
        <v>388</v>
      </c>
      <c r="H130" s="150">
        <v>320</v>
      </c>
      <c r="I130" s="2712" t="s">
        <v>1293</v>
      </c>
      <c r="J130" s="694">
        <v>307.39999999999998</v>
      </c>
      <c r="K130" s="394" t="s">
        <v>1321</v>
      </c>
    </row>
    <row r="131" spans="1:12">
      <c r="A131" s="83"/>
      <c r="B131" s="43" t="s">
        <v>1322</v>
      </c>
      <c r="C131" s="74" t="s">
        <v>1296</v>
      </c>
      <c r="D131" s="516" t="s">
        <v>1297</v>
      </c>
      <c r="E131" s="839">
        <v>42</v>
      </c>
      <c r="F131" s="853">
        <v>480</v>
      </c>
      <c r="G131" s="223" t="s">
        <v>1269</v>
      </c>
      <c r="H131" s="150">
        <v>375</v>
      </c>
      <c r="I131" s="115"/>
      <c r="J131" s="694">
        <v>375</v>
      </c>
      <c r="K131" s="394" t="s">
        <v>1323</v>
      </c>
    </row>
    <row r="132" spans="1:12">
      <c r="A132" s="83"/>
      <c r="B132" s="43" t="s">
        <v>1324</v>
      </c>
      <c r="C132" s="74" t="s">
        <v>1296</v>
      </c>
      <c r="D132" s="516" t="s">
        <v>1297</v>
      </c>
      <c r="E132" s="839">
        <v>43</v>
      </c>
      <c r="F132" s="853">
        <v>490</v>
      </c>
      <c r="G132" s="223" t="s">
        <v>1325</v>
      </c>
      <c r="H132" s="150">
        <v>440</v>
      </c>
      <c r="I132" s="115"/>
      <c r="J132" s="694">
        <v>440</v>
      </c>
      <c r="K132" s="394" t="s">
        <v>1326</v>
      </c>
    </row>
    <row r="133" spans="1:12">
      <c r="A133" s="83"/>
      <c r="B133" s="406" t="s">
        <v>1327</v>
      </c>
      <c r="C133" s="224" t="s">
        <v>1328</v>
      </c>
      <c r="D133" s="924" t="s">
        <v>18</v>
      </c>
      <c r="E133" s="728" t="s">
        <v>1329</v>
      </c>
      <c r="F133" s="854" t="s">
        <v>1330</v>
      </c>
      <c r="G133" s="2701" t="s">
        <v>1299</v>
      </c>
      <c r="H133" s="647">
        <v>193</v>
      </c>
      <c r="I133" s="2712">
        <v>0.04</v>
      </c>
      <c r="J133" s="937" t="s">
        <v>1331</v>
      </c>
      <c r="K133" s="1096" t="s">
        <v>1332</v>
      </c>
    </row>
    <row r="134" spans="1:12">
      <c r="A134" s="83"/>
      <c r="B134" s="406" t="s">
        <v>1333</v>
      </c>
      <c r="C134" s="74" t="s">
        <v>1334</v>
      </c>
      <c r="D134" s="1795" t="s">
        <v>1335</v>
      </c>
      <c r="E134" s="728" t="s">
        <v>1329</v>
      </c>
      <c r="F134" s="854" t="s">
        <v>1330</v>
      </c>
      <c r="G134" s="2701" t="s">
        <v>1299</v>
      </c>
      <c r="H134" s="647">
        <v>193</v>
      </c>
      <c r="I134" s="2712">
        <v>0.04</v>
      </c>
      <c r="J134" s="937" t="s">
        <v>1331</v>
      </c>
      <c r="K134" s="1096" t="s">
        <v>1332</v>
      </c>
    </row>
    <row r="135" spans="1:12">
      <c r="A135" s="438"/>
      <c r="B135" s="406" t="s">
        <v>1336</v>
      </c>
      <c r="C135" s="74" t="s">
        <v>1334</v>
      </c>
      <c r="D135" s="1795" t="s">
        <v>1335</v>
      </c>
      <c r="E135" s="728" t="s">
        <v>1329</v>
      </c>
      <c r="F135" s="854" t="s">
        <v>1330</v>
      </c>
      <c r="G135" s="2701" t="s">
        <v>1299</v>
      </c>
      <c r="H135" s="647">
        <v>193</v>
      </c>
      <c r="I135" s="2712">
        <v>0.04</v>
      </c>
      <c r="J135" s="937" t="s">
        <v>1331</v>
      </c>
      <c r="K135" s="1096" t="s">
        <v>1332</v>
      </c>
    </row>
    <row r="136" spans="1:12">
      <c r="A136" s="83"/>
      <c r="B136" s="406" t="s">
        <v>1337</v>
      </c>
      <c r="C136" s="74" t="s">
        <v>1334</v>
      </c>
      <c r="D136" s="1795" t="s">
        <v>1335</v>
      </c>
      <c r="E136" s="728" t="s">
        <v>1329</v>
      </c>
      <c r="F136" s="854" t="s">
        <v>1330</v>
      </c>
      <c r="G136" s="2701" t="s">
        <v>1299</v>
      </c>
      <c r="H136" s="647">
        <v>193</v>
      </c>
      <c r="I136" s="2712">
        <v>0.04</v>
      </c>
      <c r="J136" s="937" t="s">
        <v>1331</v>
      </c>
      <c r="K136" s="1096" t="s">
        <v>1332</v>
      </c>
    </row>
    <row r="137" spans="1:12">
      <c r="A137" s="438"/>
      <c r="B137" s="406" t="s">
        <v>1338</v>
      </c>
      <c r="C137" s="74" t="s">
        <v>1339</v>
      </c>
      <c r="D137" s="514" t="s">
        <v>1340</v>
      </c>
      <c r="E137" s="728">
        <v>59</v>
      </c>
      <c r="F137" s="767" t="s">
        <v>1341</v>
      </c>
      <c r="G137" s="799" t="s">
        <v>1342</v>
      </c>
      <c r="H137" s="150">
        <v>1685</v>
      </c>
      <c r="I137" s="115"/>
      <c r="J137" s="644">
        <v>1685</v>
      </c>
      <c r="K137" s="365" t="s">
        <v>1343</v>
      </c>
    </row>
    <row r="138" spans="1:12">
      <c r="A138" s="83"/>
      <c r="B138" s="43"/>
      <c r="C138" s="74"/>
      <c r="D138" s="516"/>
      <c r="E138" s="60"/>
      <c r="F138" s="61"/>
      <c r="G138" s="206"/>
      <c r="H138" s="150"/>
      <c r="I138" s="115"/>
      <c r="J138" s="680"/>
      <c r="K138" s="363"/>
    </row>
    <row r="139" spans="1:12">
      <c r="A139" s="83"/>
      <c r="B139" s="43"/>
      <c r="C139" s="74"/>
      <c r="D139" s="514"/>
      <c r="E139" s="60"/>
      <c r="F139" s="61"/>
      <c r="G139" s="223"/>
      <c r="H139" s="150"/>
      <c r="I139" s="115"/>
      <c r="J139" s="680"/>
      <c r="K139" s="363"/>
    </row>
    <row r="140" spans="1:12">
      <c r="A140" s="83"/>
      <c r="B140" s="43"/>
      <c r="C140" s="74"/>
      <c r="D140" s="514"/>
      <c r="E140" s="60"/>
      <c r="F140" s="61"/>
      <c r="G140" s="223"/>
      <c r="H140" s="150"/>
      <c r="I140" s="115"/>
      <c r="J140" s="695"/>
      <c r="K140" s="394"/>
    </row>
    <row r="141" spans="1:12">
      <c r="A141" s="83"/>
      <c r="B141" s="43"/>
      <c r="C141" s="74"/>
      <c r="D141" s="516"/>
      <c r="E141" s="60"/>
      <c r="F141" s="61"/>
      <c r="G141" s="206"/>
      <c r="H141" s="150"/>
      <c r="I141" s="115"/>
      <c r="J141" s="695"/>
      <c r="K141" s="394"/>
      <c r="L141" s="75"/>
    </row>
    <row r="142" spans="1:12">
      <c r="A142" s="83"/>
      <c r="B142" s="43"/>
      <c r="C142" s="74"/>
      <c r="D142" s="342"/>
      <c r="E142" s="243"/>
      <c r="F142" s="69"/>
      <c r="G142" s="206"/>
      <c r="H142" s="150"/>
      <c r="I142" s="115"/>
      <c r="J142" s="694"/>
      <c r="K142" s="365"/>
      <c r="L142" s="75"/>
    </row>
    <row r="143" spans="1:12">
      <c r="A143" s="44"/>
      <c r="B143" s="45"/>
      <c r="C143" s="45"/>
      <c r="D143" s="204"/>
      <c r="F143" s="68"/>
    </row>
    <row r="144" spans="1:12">
      <c r="A144" s="45" t="s">
        <v>0</v>
      </c>
      <c r="B144" s="45"/>
      <c r="C144" s="44"/>
      <c r="D144" s="513"/>
      <c r="F144" s="68"/>
      <c r="L144" s="45"/>
    </row>
    <row r="145" spans="1:16">
      <c r="A145" s="44" t="s">
        <v>1224</v>
      </c>
      <c r="B145" s="45"/>
      <c r="C145" s="45"/>
      <c r="D145" s="204"/>
      <c r="F145" s="68"/>
      <c r="L145" s="45"/>
    </row>
    <row r="146" spans="1:16" ht="24" customHeight="1" thickBot="1">
      <c r="F146" s="68"/>
    </row>
    <row r="147" spans="1:16">
      <c r="A147" s="3481" t="s">
        <v>2</v>
      </c>
      <c r="B147" s="3482"/>
      <c r="C147" s="48" t="s">
        <v>3</v>
      </c>
      <c r="D147" s="436" t="s">
        <v>4</v>
      </c>
      <c r="E147" s="77" t="s">
        <v>5</v>
      </c>
      <c r="F147" s="78" t="s">
        <v>5</v>
      </c>
      <c r="G147" s="211" t="s">
        <v>6</v>
      </c>
      <c r="H147" s="636" t="s">
        <v>7</v>
      </c>
      <c r="I147" s="344" t="s">
        <v>8</v>
      </c>
      <c r="J147" s="669" t="s">
        <v>9</v>
      </c>
      <c r="K147" s="346" t="s">
        <v>9</v>
      </c>
      <c r="L147" s="46"/>
    </row>
    <row r="148" spans="1:16" ht="35.25" thickBot="1">
      <c r="A148" s="51"/>
      <c r="B148" s="72"/>
      <c r="C148" s="50"/>
      <c r="D148" s="437" t="s">
        <v>10</v>
      </c>
      <c r="E148" s="79" t="s">
        <v>11</v>
      </c>
      <c r="F148" s="80" t="s">
        <v>12</v>
      </c>
      <c r="G148" s="212"/>
      <c r="H148" s="637" t="s">
        <v>13</v>
      </c>
      <c r="I148" s="345"/>
      <c r="J148" s="670" t="s">
        <v>14</v>
      </c>
      <c r="K148" s="347" t="s">
        <v>15</v>
      </c>
      <c r="L148" s="46"/>
    </row>
    <row r="149" spans="1:16">
      <c r="A149" s="388"/>
      <c r="B149" s="382" t="s">
        <v>1211</v>
      </c>
      <c r="C149" s="74"/>
      <c r="D149" s="514"/>
      <c r="E149" s="392"/>
      <c r="F149" s="61"/>
      <c r="G149" s="206"/>
      <c r="H149" s="150"/>
      <c r="I149" s="115"/>
      <c r="J149" s="644"/>
      <c r="K149" s="365"/>
    </row>
    <row r="150" spans="1:16">
      <c r="A150" s="398"/>
      <c r="B150" s="406" t="s">
        <v>1344</v>
      </c>
      <c r="C150" s="224" t="s">
        <v>1296</v>
      </c>
      <c r="D150" s="1506" t="s">
        <v>1345</v>
      </c>
      <c r="E150" s="927">
        <v>38</v>
      </c>
      <c r="F150" s="777">
        <v>340</v>
      </c>
      <c r="G150" s="223" t="s">
        <v>1346</v>
      </c>
      <c r="H150" s="647">
        <v>299.07</v>
      </c>
      <c r="I150" s="824" t="s">
        <v>1347</v>
      </c>
      <c r="J150" s="926">
        <v>325</v>
      </c>
      <c r="K150" s="779" t="s">
        <v>1348</v>
      </c>
    </row>
    <row r="151" spans="1:16">
      <c r="A151" s="398"/>
      <c r="B151" s="406" t="s">
        <v>1349</v>
      </c>
      <c r="C151" s="224" t="s">
        <v>1296</v>
      </c>
      <c r="D151" s="1506" t="s">
        <v>1345</v>
      </c>
      <c r="E151" s="927">
        <v>38</v>
      </c>
      <c r="F151" s="777">
        <v>340</v>
      </c>
      <c r="G151" s="223" t="s">
        <v>1346</v>
      </c>
      <c r="H151" s="647">
        <v>299.07</v>
      </c>
      <c r="I151" s="824" t="s">
        <v>1347</v>
      </c>
      <c r="J151" s="926">
        <v>325</v>
      </c>
      <c r="K151" s="779" t="s">
        <v>1348</v>
      </c>
      <c r="M151" s="76">
        <v>1717.65</v>
      </c>
      <c r="O151" s="743">
        <f>(M151*N151)+M151</f>
        <v>1717.65</v>
      </c>
      <c r="P151" s="743">
        <f>O151/5/6</f>
        <v>57.255000000000003</v>
      </c>
    </row>
    <row r="152" spans="1:16">
      <c r="A152" s="398"/>
      <c r="B152" s="406" t="s">
        <v>1350</v>
      </c>
      <c r="C152" s="224" t="s">
        <v>1296</v>
      </c>
      <c r="D152" s="1506" t="s">
        <v>1345</v>
      </c>
      <c r="E152" s="927">
        <v>38</v>
      </c>
      <c r="F152" s="777">
        <v>340</v>
      </c>
      <c r="G152" s="223" t="s">
        <v>1346</v>
      </c>
      <c r="H152" s="647">
        <v>299.07</v>
      </c>
      <c r="I152" s="824" t="s">
        <v>1347</v>
      </c>
      <c r="J152" s="926">
        <v>325</v>
      </c>
      <c r="K152" s="779" t="s">
        <v>1348</v>
      </c>
      <c r="N152" s="76">
        <v>7.0000000000000007E-2</v>
      </c>
      <c r="O152" s="743">
        <f>(M152*N152)+M152</f>
        <v>0</v>
      </c>
      <c r="P152" s="743">
        <f>O152/2</f>
        <v>0</v>
      </c>
    </row>
    <row r="153" spans="1:16">
      <c r="A153" s="398"/>
      <c r="B153" s="43" t="s">
        <v>1351</v>
      </c>
      <c r="C153" s="74" t="s">
        <v>1352</v>
      </c>
      <c r="D153" s="514" t="s">
        <v>1264</v>
      </c>
      <c r="E153" s="392">
        <v>65</v>
      </c>
      <c r="F153" s="69">
        <v>385</v>
      </c>
      <c r="G153" s="206" t="s">
        <v>1353</v>
      </c>
      <c r="H153" s="150">
        <v>372</v>
      </c>
      <c r="I153" s="1160"/>
      <c r="J153" s="644">
        <v>371.99</v>
      </c>
      <c r="K153" s="756" t="s">
        <v>1354</v>
      </c>
      <c r="M153" s="76">
        <v>663.3</v>
      </c>
      <c r="N153" s="76">
        <v>7.0000000000000007E-2</v>
      </c>
      <c r="O153" s="743">
        <f>(M153*N153)+M153</f>
        <v>709.73099999999999</v>
      </c>
      <c r="P153" s="743">
        <f>O153/2</f>
        <v>354.8655</v>
      </c>
    </row>
    <row r="154" spans="1:16">
      <c r="A154" s="398"/>
      <c r="B154" s="43" t="s">
        <v>1355</v>
      </c>
      <c r="C154" s="74" t="s">
        <v>1352</v>
      </c>
      <c r="D154" s="514" t="s">
        <v>1264</v>
      </c>
      <c r="E154" s="392">
        <v>65</v>
      </c>
      <c r="F154" s="69">
        <v>385</v>
      </c>
      <c r="G154" s="206" t="s">
        <v>1356</v>
      </c>
      <c r="H154" s="150">
        <v>347.66</v>
      </c>
      <c r="I154" s="1160" t="s">
        <v>1357</v>
      </c>
      <c r="J154" s="644">
        <v>371.99</v>
      </c>
      <c r="K154" s="756" t="s">
        <v>1354</v>
      </c>
    </row>
    <row r="155" spans="1:16">
      <c r="A155" s="398"/>
      <c r="B155" s="43" t="s">
        <v>1358</v>
      </c>
      <c r="C155" s="74" t="s">
        <v>1352</v>
      </c>
      <c r="D155" s="514" t="s">
        <v>1264</v>
      </c>
      <c r="E155" s="392">
        <v>65</v>
      </c>
      <c r="F155" s="69">
        <v>385</v>
      </c>
      <c r="G155" s="206" t="s">
        <v>1356</v>
      </c>
      <c r="H155" s="150">
        <v>347.66</v>
      </c>
      <c r="I155" s="1160"/>
      <c r="J155" s="644">
        <v>371.99</v>
      </c>
      <c r="K155" s="756" t="s">
        <v>1354</v>
      </c>
    </row>
    <row r="156" spans="1:16">
      <c r="A156" s="398"/>
      <c r="B156" s="43" t="s">
        <v>1359</v>
      </c>
      <c r="C156" s="74" t="s">
        <v>1352</v>
      </c>
      <c r="D156" s="514" t="s">
        <v>1264</v>
      </c>
      <c r="E156" s="392">
        <v>65</v>
      </c>
      <c r="F156" s="69">
        <v>385</v>
      </c>
      <c r="G156" s="206" t="s">
        <v>1353</v>
      </c>
      <c r="H156" s="150">
        <v>372</v>
      </c>
      <c r="I156" s="1160"/>
      <c r="J156" s="644">
        <v>371.99</v>
      </c>
      <c r="K156" s="756" t="s">
        <v>1354</v>
      </c>
      <c r="N156" s="76">
        <v>7.0000000000000007E-2</v>
      </c>
      <c r="O156" s="743">
        <f>(M156*N156)+M156</f>
        <v>0</v>
      </c>
    </row>
    <row r="157" spans="1:16">
      <c r="A157" s="83"/>
      <c r="B157" s="43" t="s">
        <v>1360</v>
      </c>
      <c r="C157" s="74" t="s">
        <v>1361</v>
      </c>
      <c r="D157" s="514" t="s">
        <v>1287</v>
      </c>
      <c r="E157" s="392">
        <v>270</v>
      </c>
      <c r="F157" s="69">
        <v>24</v>
      </c>
      <c r="G157" s="206" t="s">
        <v>1362</v>
      </c>
      <c r="H157" s="150">
        <v>247.18</v>
      </c>
      <c r="I157" s="130" t="s">
        <v>1363</v>
      </c>
      <c r="J157" s="644">
        <v>261.83</v>
      </c>
      <c r="K157" s="394" t="s">
        <v>1364</v>
      </c>
      <c r="M157" s="76">
        <v>825.66</v>
      </c>
      <c r="N157" s="76">
        <v>7.0000000000000007E-2</v>
      </c>
      <c r="O157" s="743">
        <f>(M157*N157)+M157</f>
        <v>883.45619999999997</v>
      </c>
    </row>
    <row r="158" spans="1:16">
      <c r="A158" s="398"/>
      <c r="B158" s="406" t="s">
        <v>1365</v>
      </c>
      <c r="C158" s="224" t="s">
        <v>1361</v>
      </c>
      <c r="D158" s="924" t="s">
        <v>1297</v>
      </c>
      <c r="E158" s="927">
        <v>195</v>
      </c>
      <c r="F158" s="936">
        <v>18</v>
      </c>
      <c r="G158" s="223" t="s">
        <v>1362</v>
      </c>
      <c r="H158" s="647">
        <v>172.21</v>
      </c>
      <c r="I158" s="824" t="s">
        <v>1363</v>
      </c>
      <c r="J158" s="926">
        <v>182.42</v>
      </c>
      <c r="K158" s="378">
        <v>15.2</v>
      </c>
    </row>
    <row r="159" spans="1:16">
      <c r="A159" s="398"/>
      <c r="B159" s="781" t="s">
        <v>1366</v>
      </c>
      <c r="C159" s="224"/>
      <c r="D159" s="1506"/>
      <c r="E159" s="60"/>
      <c r="F159" s="61"/>
      <c r="G159" s="223"/>
      <c r="H159" s="647"/>
      <c r="I159" s="824"/>
      <c r="J159" s="926"/>
      <c r="K159" s="779"/>
    </row>
    <row r="160" spans="1:16">
      <c r="A160" s="398"/>
      <c r="B160" s="406" t="s">
        <v>1367</v>
      </c>
      <c r="C160" s="925" t="s">
        <v>1368</v>
      </c>
      <c r="D160" s="1796" t="s">
        <v>683</v>
      </c>
      <c r="E160" s="249" t="s">
        <v>1369</v>
      </c>
      <c r="F160" s="381" t="s">
        <v>1370</v>
      </c>
      <c r="G160" s="1880" t="s">
        <v>1371</v>
      </c>
      <c r="H160" s="101">
        <v>259.06</v>
      </c>
      <c r="I160" s="1495" t="s">
        <v>1372</v>
      </c>
      <c r="J160" s="586">
        <v>255.02</v>
      </c>
      <c r="K160" s="527" t="s">
        <v>1373</v>
      </c>
    </row>
    <row r="161" spans="1:16">
      <c r="A161" s="83"/>
      <c r="B161" s="406" t="s">
        <v>1374</v>
      </c>
      <c r="C161" s="925" t="s">
        <v>1368</v>
      </c>
      <c r="D161" s="1796" t="s">
        <v>683</v>
      </c>
      <c r="E161" s="249" t="s">
        <v>1369</v>
      </c>
      <c r="F161" s="381" t="s">
        <v>1370</v>
      </c>
      <c r="G161" s="1880" t="s">
        <v>1371</v>
      </c>
      <c r="H161" s="101">
        <v>259.06</v>
      </c>
      <c r="I161" s="1495" t="s">
        <v>1372</v>
      </c>
      <c r="J161" s="586">
        <v>255.02</v>
      </c>
      <c r="K161" s="527" t="s">
        <v>1373</v>
      </c>
    </row>
    <row r="162" spans="1:16">
      <c r="A162" s="83"/>
      <c r="B162" s="1336" t="s">
        <v>1375</v>
      </c>
      <c r="C162" s="925" t="s">
        <v>1368</v>
      </c>
      <c r="D162" s="1796" t="s">
        <v>683</v>
      </c>
      <c r="E162" s="249" t="s">
        <v>1369</v>
      </c>
      <c r="F162" s="381" t="s">
        <v>1370</v>
      </c>
      <c r="G162" s="1880" t="s">
        <v>1371</v>
      </c>
      <c r="H162" s="101">
        <v>259.06</v>
      </c>
      <c r="I162" s="1495" t="s">
        <v>1372</v>
      </c>
      <c r="J162" s="586">
        <v>255.02</v>
      </c>
      <c r="K162" s="527" t="s">
        <v>1373</v>
      </c>
      <c r="M162" s="76">
        <v>17523</v>
      </c>
      <c r="N162" s="76">
        <v>7.0000000000000007E-2</v>
      </c>
      <c r="O162" s="743">
        <f>(M162*N162)+M162</f>
        <v>18749.61</v>
      </c>
    </row>
    <row r="163" spans="1:16">
      <c r="A163" s="83"/>
      <c r="B163" s="1336" t="s">
        <v>1376</v>
      </c>
      <c r="C163" s="925" t="s">
        <v>1368</v>
      </c>
      <c r="D163" s="1796" t="s">
        <v>683</v>
      </c>
      <c r="E163" s="249" t="s">
        <v>1369</v>
      </c>
      <c r="F163" s="381" t="s">
        <v>1370</v>
      </c>
      <c r="G163" s="1880" t="s">
        <v>1371</v>
      </c>
      <c r="H163" s="101">
        <v>259.06</v>
      </c>
      <c r="I163" s="1495" t="s">
        <v>1372</v>
      </c>
      <c r="J163" s="586">
        <v>255.02</v>
      </c>
      <c r="K163" s="527" t="s">
        <v>1373</v>
      </c>
      <c r="M163" s="76">
        <v>76180.5</v>
      </c>
      <c r="N163" s="76">
        <v>7.0000000000000007E-2</v>
      </c>
      <c r="O163" s="743">
        <f>(M163*N163)+M163</f>
        <v>81513.134999999995</v>
      </c>
    </row>
    <row r="164" spans="1:16">
      <c r="A164" s="83"/>
      <c r="B164" s="1336" t="s">
        <v>1377</v>
      </c>
      <c r="C164" s="925" t="s">
        <v>1368</v>
      </c>
      <c r="D164" s="1796" t="s">
        <v>683</v>
      </c>
      <c r="E164" s="249" t="s">
        <v>1369</v>
      </c>
      <c r="F164" s="381" t="s">
        <v>1370</v>
      </c>
      <c r="G164" s="1880" t="s">
        <v>1371</v>
      </c>
      <c r="H164" s="101">
        <v>259.06</v>
      </c>
      <c r="I164" s="1495" t="s">
        <v>1372</v>
      </c>
      <c r="J164" s="586">
        <v>255.02</v>
      </c>
      <c r="K164" s="527" t="s">
        <v>1373</v>
      </c>
      <c r="M164" s="76">
        <v>170.49</v>
      </c>
      <c r="N164" s="76">
        <v>7.0000000000000007E-2</v>
      </c>
      <c r="O164" s="743">
        <f>(M164*N164)+M164</f>
        <v>182.42430000000002</v>
      </c>
      <c r="P164" s="743">
        <f>O164/12</f>
        <v>15.202025000000001</v>
      </c>
    </row>
    <row r="165" spans="1:16">
      <c r="A165" s="83"/>
      <c r="B165" s="969" t="s">
        <v>1378</v>
      </c>
      <c r="C165" s="925" t="s">
        <v>1368</v>
      </c>
      <c r="D165" s="1796" t="s">
        <v>683</v>
      </c>
      <c r="E165" s="249" t="s">
        <v>1369</v>
      </c>
      <c r="F165" s="381" t="s">
        <v>1370</v>
      </c>
      <c r="G165" s="1880" t="s">
        <v>1371</v>
      </c>
      <c r="H165" s="101">
        <v>259.06</v>
      </c>
      <c r="I165" s="1495" t="s">
        <v>1372</v>
      </c>
      <c r="J165" s="586">
        <v>255.02</v>
      </c>
      <c r="K165" s="527" t="s">
        <v>1373</v>
      </c>
    </row>
    <row r="166" spans="1:16">
      <c r="A166" s="83"/>
      <c r="B166" s="781" t="s">
        <v>1379</v>
      </c>
      <c r="C166" s="74"/>
      <c r="D166" s="514"/>
      <c r="E166" s="60"/>
      <c r="F166" s="61"/>
      <c r="G166" s="206" t="s">
        <v>1380</v>
      </c>
      <c r="H166" s="150"/>
      <c r="I166" s="115"/>
      <c r="J166" s="644"/>
      <c r="K166" s="365"/>
    </row>
    <row r="167" spans="1:16">
      <c r="A167" s="83"/>
      <c r="B167" s="43" t="s">
        <v>1381</v>
      </c>
      <c r="C167" s="74" t="s">
        <v>1382</v>
      </c>
      <c r="D167" s="514" t="s">
        <v>1383</v>
      </c>
      <c r="E167" s="60">
        <v>26</v>
      </c>
      <c r="F167" s="61">
        <v>250</v>
      </c>
      <c r="G167" s="206" t="s">
        <v>1384</v>
      </c>
      <c r="H167" s="150"/>
      <c r="I167" s="115"/>
      <c r="J167" s="680">
        <v>240</v>
      </c>
      <c r="K167" s="363" t="s">
        <v>1385</v>
      </c>
    </row>
    <row r="168" spans="1:16">
      <c r="A168" s="83"/>
      <c r="B168" s="43" t="s">
        <v>1386</v>
      </c>
      <c r="C168" s="74" t="s">
        <v>1382</v>
      </c>
      <c r="D168" s="516" t="s">
        <v>1383</v>
      </c>
      <c r="E168" s="60">
        <v>26</v>
      </c>
      <c r="F168" s="61">
        <v>250</v>
      </c>
      <c r="G168" s="206" t="s">
        <v>1384</v>
      </c>
      <c r="H168" s="150"/>
      <c r="I168" s="115"/>
      <c r="J168" s="680">
        <v>240</v>
      </c>
      <c r="K168" s="363" t="s">
        <v>1387</v>
      </c>
    </row>
    <row r="169" spans="1:16">
      <c r="A169" s="83"/>
      <c r="B169" s="43" t="s">
        <v>1388</v>
      </c>
      <c r="C169" s="74" t="s">
        <v>1382</v>
      </c>
      <c r="D169" s="514" t="s">
        <v>1389</v>
      </c>
      <c r="E169" s="60">
        <v>33</v>
      </c>
      <c r="F169" s="61" t="s">
        <v>1031</v>
      </c>
      <c r="G169" s="979" t="s">
        <v>1390</v>
      </c>
      <c r="H169" s="150">
        <v>295</v>
      </c>
      <c r="I169" s="115"/>
      <c r="J169" s="680">
        <v>295</v>
      </c>
      <c r="K169" s="363" t="s">
        <v>1391</v>
      </c>
    </row>
    <row r="170" spans="1:16">
      <c r="A170" s="438"/>
      <c r="B170" s="43" t="s">
        <v>1388</v>
      </c>
      <c r="C170" s="74" t="s">
        <v>1392</v>
      </c>
      <c r="D170" s="514" t="s">
        <v>1264</v>
      </c>
      <c r="E170" s="60">
        <v>50</v>
      </c>
      <c r="F170" s="61" t="s">
        <v>1393</v>
      </c>
      <c r="G170" s="979" t="s">
        <v>1394</v>
      </c>
      <c r="H170" s="150">
        <v>245</v>
      </c>
      <c r="I170" s="115"/>
      <c r="J170" s="695">
        <v>245</v>
      </c>
      <c r="K170" s="394" t="s">
        <v>1395</v>
      </c>
    </row>
    <row r="171" spans="1:16">
      <c r="A171" s="438"/>
      <c r="B171" s="43" t="s">
        <v>1396</v>
      </c>
      <c r="C171" s="74" t="s">
        <v>1392</v>
      </c>
      <c r="D171" s="516" t="s">
        <v>1264</v>
      </c>
      <c r="E171" s="60">
        <v>50</v>
      </c>
      <c r="F171" s="61">
        <v>290</v>
      </c>
      <c r="G171" s="206" t="s">
        <v>1394</v>
      </c>
      <c r="H171" s="150">
        <v>245</v>
      </c>
      <c r="I171" s="115"/>
      <c r="J171" s="695">
        <v>245</v>
      </c>
      <c r="K171" s="394" t="s">
        <v>1395</v>
      </c>
    </row>
    <row r="172" spans="1:16">
      <c r="A172" s="315"/>
      <c r="B172" s="62" t="s">
        <v>1397</v>
      </c>
      <c r="C172" s="74"/>
      <c r="D172" s="516"/>
      <c r="E172" s="91"/>
      <c r="F172" s="121"/>
      <c r="G172" s="206"/>
      <c r="H172" s="150"/>
      <c r="I172" s="115"/>
      <c r="J172" s="644"/>
      <c r="K172" s="363"/>
    </row>
    <row r="173" spans="1:16">
      <c r="A173" s="315"/>
      <c r="B173" s="1336" t="s">
        <v>1398</v>
      </c>
      <c r="C173" s="925"/>
      <c r="D173" s="1796" t="s">
        <v>1399</v>
      </c>
      <c r="E173" s="249">
        <v>10</v>
      </c>
      <c r="F173" s="381" t="s">
        <v>1400</v>
      </c>
      <c r="G173" s="478" t="s">
        <v>1401</v>
      </c>
      <c r="H173" s="101">
        <v>266.36</v>
      </c>
      <c r="I173" s="1495" t="s">
        <v>1402</v>
      </c>
      <c r="J173" s="586">
        <v>274.57</v>
      </c>
      <c r="K173" s="2256" t="s">
        <v>1403</v>
      </c>
    </row>
    <row r="174" spans="1:16">
      <c r="A174" s="83"/>
      <c r="B174" s="1336" t="s">
        <v>1404</v>
      </c>
      <c r="C174" s="925"/>
      <c r="D174" s="1796" t="s">
        <v>1399</v>
      </c>
      <c r="E174" s="249">
        <v>10</v>
      </c>
      <c r="F174" s="381" t="s">
        <v>1400</v>
      </c>
      <c r="G174" s="478" t="s">
        <v>1401</v>
      </c>
      <c r="H174" s="101">
        <v>266.36</v>
      </c>
      <c r="I174" s="1495" t="s">
        <v>1402</v>
      </c>
      <c r="J174" s="586">
        <v>274.57</v>
      </c>
      <c r="K174" s="2256" t="s">
        <v>1403</v>
      </c>
    </row>
    <row r="175" spans="1:16">
      <c r="A175" s="59"/>
      <c r="B175" s="1336" t="s">
        <v>1405</v>
      </c>
      <c r="C175" s="925"/>
      <c r="D175" s="1796" t="s">
        <v>1399</v>
      </c>
      <c r="E175" s="249">
        <v>10</v>
      </c>
      <c r="F175" s="381" t="s">
        <v>1400</v>
      </c>
      <c r="G175" s="478" t="s">
        <v>1401</v>
      </c>
      <c r="H175" s="101">
        <v>266.36</v>
      </c>
      <c r="I175" s="1495" t="s">
        <v>1402</v>
      </c>
      <c r="J175" s="586">
        <v>274.57</v>
      </c>
      <c r="K175" s="2256" t="s">
        <v>1403</v>
      </c>
    </row>
    <row r="176" spans="1:16">
      <c r="A176" s="59"/>
      <c r="B176" s="1336" t="s">
        <v>1406</v>
      </c>
      <c r="C176" s="925"/>
      <c r="D176" s="1796" t="s">
        <v>1399</v>
      </c>
      <c r="E176" s="249">
        <v>10</v>
      </c>
      <c r="F176" s="381" t="s">
        <v>1400</v>
      </c>
      <c r="G176" s="478" t="s">
        <v>1401</v>
      </c>
      <c r="H176" s="101">
        <v>266.36</v>
      </c>
      <c r="I176" s="1495" t="s">
        <v>1402</v>
      </c>
      <c r="J176" s="586">
        <v>274.57</v>
      </c>
      <c r="K176" s="2256" t="s">
        <v>1403</v>
      </c>
    </row>
    <row r="177" spans="1:12">
      <c r="A177" s="1416"/>
      <c r="B177" s="1337"/>
      <c r="C177" s="925"/>
      <c r="D177" s="1796"/>
      <c r="E177" s="249"/>
      <c r="F177" s="381"/>
      <c r="G177" s="478"/>
      <c r="H177" s="101"/>
      <c r="I177" s="1495"/>
      <c r="J177" s="586"/>
      <c r="K177" s="2256"/>
    </row>
    <row r="178" spans="1:12">
      <c r="A178" s="44"/>
      <c r="B178" s="969"/>
      <c r="C178" s="925"/>
      <c r="D178" s="1796"/>
      <c r="E178" s="249"/>
      <c r="F178" s="381"/>
      <c r="G178" s="478"/>
      <c r="H178" s="101"/>
      <c r="I178" s="1495"/>
      <c r="J178" s="586"/>
      <c r="K178" s="2256"/>
    </row>
    <row r="179" spans="1:12">
      <c r="A179" s="44"/>
      <c r="B179" s="75"/>
      <c r="C179" s="167"/>
      <c r="D179" s="104"/>
      <c r="E179" s="273"/>
      <c r="F179" s="1811"/>
      <c r="G179" s="1638"/>
      <c r="H179" s="104"/>
      <c r="I179" s="205"/>
      <c r="J179" s="1809"/>
      <c r="K179" s="1810"/>
    </row>
    <row r="180" spans="1:12">
      <c r="A180" s="44" t="s">
        <v>0</v>
      </c>
      <c r="B180" s="75"/>
      <c r="C180" s="167"/>
      <c r="D180" s="104"/>
      <c r="E180" s="1812"/>
      <c r="F180" s="757"/>
      <c r="G180" s="1638"/>
      <c r="H180" s="104"/>
      <c r="I180" s="205"/>
      <c r="J180" s="545"/>
      <c r="K180" s="171"/>
      <c r="L180" s="45"/>
    </row>
    <row r="181" spans="1:12">
      <c r="A181" s="44" t="s">
        <v>1407</v>
      </c>
      <c r="B181" s="45"/>
      <c r="C181" s="45"/>
      <c r="D181" s="204"/>
      <c r="F181" s="68"/>
      <c r="L181" s="45"/>
    </row>
    <row r="182" spans="1:12" ht="22.5" customHeight="1" thickBot="1">
      <c r="F182" s="68"/>
    </row>
    <row r="183" spans="1:12">
      <c r="A183" s="3481" t="s">
        <v>2</v>
      </c>
      <c r="B183" s="3482"/>
      <c r="C183" s="48" t="s">
        <v>3</v>
      </c>
      <c r="D183" s="436" t="s">
        <v>4</v>
      </c>
      <c r="E183" s="77" t="s">
        <v>5</v>
      </c>
      <c r="F183" s="78" t="s">
        <v>5</v>
      </c>
      <c r="G183" s="211" t="s">
        <v>6</v>
      </c>
      <c r="H183" s="636" t="s">
        <v>7</v>
      </c>
      <c r="I183" s="344" t="s">
        <v>8</v>
      </c>
      <c r="J183" s="696" t="s">
        <v>9</v>
      </c>
      <c r="K183" s="346" t="s">
        <v>9</v>
      </c>
      <c r="L183" s="46"/>
    </row>
    <row r="184" spans="1:12" ht="35.25" thickBot="1">
      <c r="A184" s="51"/>
      <c r="B184" s="72"/>
      <c r="C184" s="50"/>
      <c r="D184" s="437" t="s">
        <v>10</v>
      </c>
      <c r="E184" s="79" t="s">
        <v>11</v>
      </c>
      <c r="F184" s="80" t="s">
        <v>12</v>
      </c>
      <c r="G184" s="212"/>
      <c r="H184" s="637" t="s">
        <v>13</v>
      </c>
      <c r="I184" s="345"/>
      <c r="J184" s="697" t="s">
        <v>14</v>
      </c>
      <c r="K184" s="347" t="s">
        <v>15</v>
      </c>
      <c r="L184" s="46"/>
    </row>
    <row r="185" spans="1:12">
      <c r="A185" s="2356"/>
      <c r="B185" s="1679" t="s">
        <v>1408</v>
      </c>
      <c r="C185" s="1678"/>
      <c r="D185" s="124"/>
      <c r="E185" s="392"/>
      <c r="F185" s="61"/>
      <c r="G185" s="206"/>
      <c r="H185" s="150"/>
      <c r="I185" s="115"/>
      <c r="J185" s="644"/>
      <c r="K185" s="365"/>
    </row>
    <row r="186" spans="1:12">
      <c r="A186" s="83"/>
      <c r="B186" s="465" t="s">
        <v>1409</v>
      </c>
      <c r="C186" s="105" t="s">
        <v>1410</v>
      </c>
      <c r="D186" s="322" t="s">
        <v>1297</v>
      </c>
      <c r="E186" s="60">
        <v>60</v>
      </c>
      <c r="F186" s="61">
        <v>710</v>
      </c>
      <c r="G186" s="318" t="s">
        <v>1411</v>
      </c>
      <c r="H186" s="150">
        <v>645</v>
      </c>
      <c r="I186" s="115"/>
      <c r="J186" s="644">
        <v>690.15</v>
      </c>
      <c r="K186" s="394" t="s">
        <v>1412</v>
      </c>
    </row>
    <row r="187" spans="1:12">
      <c r="A187" s="83"/>
      <c r="B187" s="384" t="s">
        <v>1413</v>
      </c>
      <c r="C187" s="105" t="s">
        <v>1361</v>
      </c>
      <c r="D187" s="322" t="s">
        <v>1297</v>
      </c>
      <c r="E187" s="60">
        <v>60</v>
      </c>
      <c r="F187" s="61">
        <v>710</v>
      </c>
      <c r="G187" s="318" t="s">
        <v>1411</v>
      </c>
      <c r="H187" s="150">
        <v>645</v>
      </c>
      <c r="I187" s="115"/>
      <c r="J187" s="644">
        <v>690.15</v>
      </c>
      <c r="K187" s="394" t="s">
        <v>1412</v>
      </c>
    </row>
    <row r="188" spans="1:12">
      <c r="A188" s="83"/>
      <c r="B188" s="465" t="s">
        <v>1414</v>
      </c>
      <c r="C188" s="105" t="s">
        <v>1361</v>
      </c>
      <c r="D188" s="322" t="s">
        <v>1297</v>
      </c>
      <c r="E188" s="60">
        <v>60</v>
      </c>
      <c r="F188" s="61">
        <v>710</v>
      </c>
      <c r="G188" s="318" t="s">
        <v>1411</v>
      </c>
      <c r="H188" s="150">
        <v>645</v>
      </c>
      <c r="I188" s="115"/>
      <c r="J188" s="644">
        <v>690.15</v>
      </c>
      <c r="K188" s="394" t="s">
        <v>1412</v>
      </c>
    </row>
    <row r="189" spans="1:12" ht="35.25" thickBot="1">
      <c r="A189" s="83"/>
      <c r="B189" s="1668" t="s">
        <v>1415</v>
      </c>
      <c r="C189" s="108" t="s">
        <v>1361</v>
      </c>
      <c r="D189" s="1393" t="s">
        <v>1297</v>
      </c>
      <c r="E189" s="60">
        <v>60</v>
      </c>
      <c r="F189" s="61">
        <v>710</v>
      </c>
      <c r="G189" s="318" t="s">
        <v>1411</v>
      </c>
      <c r="H189" s="150">
        <v>645</v>
      </c>
      <c r="I189" s="115"/>
      <c r="J189" s="644">
        <v>690.15</v>
      </c>
      <c r="K189" s="394" t="s">
        <v>1412</v>
      </c>
    </row>
    <row r="190" spans="1:12">
      <c r="A190" s="83"/>
      <c r="B190" s="464" t="s">
        <v>1416</v>
      </c>
      <c r="C190" s="106" t="s">
        <v>1296</v>
      </c>
      <c r="D190" s="117" t="s">
        <v>1297</v>
      </c>
      <c r="E190" s="122">
        <v>55</v>
      </c>
      <c r="F190" s="123">
        <v>650</v>
      </c>
      <c r="G190" s="2786" t="s">
        <v>1417</v>
      </c>
      <c r="H190" s="640">
        <v>603</v>
      </c>
      <c r="I190" s="1665"/>
      <c r="J190" s="673">
        <v>628.94000000000005</v>
      </c>
      <c r="K190" s="1666" t="s">
        <v>1418</v>
      </c>
    </row>
    <row r="191" spans="1:12">
      <c r="A191" s="83"/>
      <c r="B191" s="384" t="s">
        <v>1419</v>
      </c>
      <c r="C191" s="105" t="s">
        <v>1296</v>
      </c>
      <c r="D191" s="207" t="s">
        <v>1297</v>
      </c>
      <c r="E191" s="122">
        <v>55</v>
      </c>
      <c r="F191" s="123">
        <v>650</v>
      </c>
      <c r="G191" s="2786" t="s">
        <v>1417</v>
      </c>
      <c r="H191" s="640">
        <v>603</v>
      </c>
      <c r="I191" s="1665"/>
      <c r="J191" s="673">
        <v>628.94000000000005</v>
      </c>
      <c r="K191" s="1666" t="s">
        <v>1418</v>
      </c>
    </row>
    <row r="192" spans="1:12">
      <c r="A192" s="83"/>
      <c r="B192" s="384" t="s">
        <v>1420</v>
      </c>
      <c r="C192" s="105" t="s">
        <v>1296</v>
      </c>
      <c r="D192" s="207" t="s">
        <v>1297</v>
      </c>
      <c r="E192" s="122">
        <v>55</v>
      </c>
      <c r="F192" s="123">
        <v>650</v>
      </c>
      <c r="G192" s="2786" t="s">
        <v>1417</v>
      </c>
      <c r="H192" s="640">
        <v>603</v>
      </c>
      <c r="I192" s="1665"/>
      <c r="J192" s="673">
        <v>628.94000000000005</v>
      </c>
      <c r="K192" s="1666" t="s">
        <v>1418</v>
      </c>
    </row>
    <row r="193" spans="1:15" ht="35.25" thickBot="1">
      <c r="A193" s="1675" t="e">
        <f ca="1">+A193:K206B198A193:K207</f>
        <v>#NAME?</v>
      </c>
      <c r="B193" s="1667" t="s">
        <v>1421</v>
      </c>
      <c r="C193" s="108" t="s">
        <v>1296</v>
      </c>
      <c r="D193" s="1386" t="s">
        <v>1297</v>
      </c>
      <c r="E193" s="122">
        <v>55</v>
      </c>
      <c r="F193" s="123">
        <v>650</v>
      </c>
      <c r="G193" s="2786" t="s">
        <v>1417</v>
      </c>
      <c r="H193" s="640">
        <v>603</v>
      </c>
      <c r="I193" s="1665"/>
      <c r="J193" s="673">
        <v>628.94000000000005</v>
      </c>
      <c r="K193" s="1666" t="s">
        <v>1418</v>
      </c>
    </row>
    <row r="194" spans="1:15" ht="35.25" thickBot="1">
      <c r="A194" s="1675" t="e">
        <f ca="1">+A194:K206B198A193:K208</f>
        <v>#NAME?</v>
      </c>
      <c r="B194" s="1669" t="s">
        <v>1422</v>
      </c>
      <c r="C194" s="1670" t="s">
        <v>1296</v>
      </c>
      <c r="D194" s="1671" t="s">
        <v>1297</v>
      </c>
      <c r="E194" s="1140">
        <v>52</v>
      </c>
      <c r="F194" s="1141" t="s">
        <v>1423</v>
      </c>
      <c r="G194" s="2408" t="s">
        <v>1417</v>
      </c>
      <c r="H194" s="1672">
        <v>554</v>
      </c>
      <c r="I194" s="1673"/>
      <c r="J194" s="1142">
        <v>592.78</v>
      </c>
      <c r="K194" s="1674" t="s">
        <v>1424</v>
      </c>
    </row>
    <row r="195" spans="1:15" ht="35.25" thickBot="1">
      <c r="A195" s="265"/>
      <c r="B195" s="1676" t="s">
        <v>1425</v>
      </c>
      <c r="C195" s="1677" t="s">
        <v>1296</v>
      </c>
      <c r="D195" s="1515" t="s">
        <v>1297</v>
      </c>
      <c r="E195" s="1140">
        <v>52</v>
      </c>
      <c r="F195" s="1141" t="s">
        <v>1423</v>
      </c>
      <c r="G195" s="2408" t="s">
        <v>1417</v>
      </c>
      <c r="H195" s="1672">
        <v>554</v>
      </c>
      <c r="I195" s="1673"/>
      <c r="J195" s="1142">
        <v>592.78</v>
      </c>
      <c r="K195" s="1674" t="s">
        <v>1424</v>
      </c>
    </row>
    <row r="196" spans="1:15" ht="35.25" thickBot="1">
      <c r="A196" s="1675"/>
      <c r="B196" s="1676"/>
      <c r="C196" s="1677"/>
      <c r="D196" s="1515"/>
      <c r="E196" s="1140"/>
      <c r="F196" s="1141"/>
      <c r="G196" s="2408"/>
      <c r="H196" s="1672"/>
      <c r="I196" s="1673"/>
      <c r="J196" s="1142"/>
      <c r="K196" s="1674"/>
    </row>
    <row r="197" spans="1:15">
      <c r="A197" s="265"/>
      <c r="B197" s="912" t="s">
        <v>1426</v>
      </c>
      <c r="C197" s="913" t="s">
        <v>1275</v>
      </c>
      <c r="D197" s="914" t="s">
        <v>1297</v>
      </c>
      <c r="E197" s="915">
        <v>52</v>
      </c>
      <c r="F197" s="916">
        <v>615</v>
      </c>
      <c r="G197" s="917" t="s">
        <v>1427</v>
      </c>
      <c r="H197" s="918">
        <v>503</v>
      </c>
      <c r="I197" s="919"/>
      <c r="J197" s="920">
        <v>538.21</v>
      </c>
      <c r="K197" s="921" t="s">
        <v>1428</v>
      </c>
    </row>
    <row r="198" spans="1:15">
      <c r="A198" s="83"/>
      <c r="B198" s="912" t="s">
        <v>1429</v>
      </c>
      <c r="C198" s="913" t="s">
        <v>1430</v>
      </c>
      <c r="D198" s="914" t="s">
        <v>1287</v>
      </c>
      <c r="E198" s="915">
        <v>65</v>
      </c>
      <c r="F198" s="916" t="s">
        <v>1431</v>
      </c>
      <c r="G198" s="2407" t="s">
        <v>1432</v>
      </c>
      <c r="H198" s="918"/>
      <c r="I198" s="919"/>
      <c r="J198" s="920" t="s">
        <v>1433</v>
      </c>
      <c r="K198" s="922" t="s">
        <v>1434</v>
      </c>
    </row>
    <row r="199" spans="1:15">
      <c r="A199" s="83"/>
      <c r="B199" s="912" t="s">
        <v>1435</v>
      </c>
      <c r="C199" s="913" t="s">
        <v>1430</v>
      </c>
      <c r="D199" s="914" t="s">
        <v>1287</v>
      </c>
      <c r="E199" s="915">
        <v>57</v>
      </c>
      <c r="F199" s="916">
        <v>670</v>
      </c>
      <c r="G199" s="917" t="s">
        <v>1436</v>
      </c>
      <c r="H199" s="918">
        <v>611</v>
      </c>
      <c r="I199" s="919"/>
      <c r="J199" s="920">
        <v>653.77</v>
      </c>
      <c r="K199" s="922">
        <v>54.48</v>
      </c>
      <c r="M199" s="76">
        <v>54.72</v>
      </c>
      <c r="N199" s="76">
        <v>7.0000000000000007E-2</v>
      </c>
      <c r="O199" s="743">
        <f>(M199*N199)+M199</f>
        <v>58.550399999999996</v>
      </c>
    </row>
    <row r="200" spans="1:15">
      <c r="A200" s="83"/>
      <c r="B200" s="912" t="s">
        <v>1437</v>
      </c>
      <c r="C200" s="913" t="s">
        <v>297</v>
      </c>
      <c r="D200" s="914" t="s">
        <v>18</v>
      </c>
      <c r="E200" s="915">
        <v>227</v>
      </c>
      <c r="F200" s="916"/>
      <c r="G200" s="923" t="s">
        <v>1438</v>
      </c>
      <c r="H200" s="918">
        <v>4952</v>
      </c>
      <c r="I200" s="1751"/>
      <c r="J200" s="920">
        <v>5298.64</v>
      </c>
      <c r="K200" s="922">
        <v>220.77</v>
      </c>
      <c r="M200" s="76">
        <v>1477.44</v>
      </c>
      <c r="N200" s="76">
        <v>7.0000000000000007E-2</v>
      </c>
      <c r="O200" s="743">
        <f>(M200*N200)+M200</f>
        <v>1580.8608000000002</v>
      </c>
    </row>
    <row r="201" spans="1:15">
      <c r="A201" s="83"/>
      <c r="B201" s="912" t="s">
        <v>1437</v>
      </c>
      <c r="C201" s="913" t="s">
        <v>123</v>
      </c>
      <c r="D201" s="914" t="s">
        <v>23</v>
      </c>
      <c r="E201" s="915">
        <v>355</v>
      </c>
      <c r="F201" s="916"/>
      <c r="G201" s="923" t="s">
        <v>1439</v>
      </c>
      <c r="H201" s="918">
        <v>3871</v>
      </c>
      <c r="I201" s="919" t="s">
        <v>1363</v>
      </c>
      <c r="J201" s="920">
        <v>3123.87</v>
      </c>
      <c r="K201" s="922">
        <v>341.71</v>
      </c>
      <c r="M201" s="76">
        <v>2462.4</v>
      </c>
      <c r="N201" s="76">
        <v>7.0000000000000007E-2</v>
      </c>
      <c r="O201" s="743">
        <f>(M201*N201)+M201</f>
        <v>2634.768</v>
      </c>
    </row>
    <row r="202" spans="1:15">
      <c r="A202" s="83"/>
      <c r="B202" s="2372" t="s">
        <v>1440</v>
      </c>
      <c r="C202" s="2373" t="s">
        <v>1441</v>
      </c>
      <c r="D202" s="2374" t="s">
        <v>23</v>
      </c>
      <c r="E202" s="2375">
        <v>164</v>
      </c>
      <c r="F202" s="2376" t="s">
        <v>1357</v>
      </c>
      <c r="G202" s="3408" t="s">
        <v>1442</v>
      </c>
      <c r="H202" s="2377">
        <v>1787.5</v>
      </c>
      <c r="I202" s="2381"/>
      <c r="J202" s="2379">
        <v>1912.62</v>
      </c>
      <c r="K202" s="2380">
        <v>159.38</v>
      </c>
    </row>
    <row r="203" spans="1:15">
      <c r="A203" s="83"/>
      <c r="B203" s="2372" t="s">
        <v>1440</v>
      </c>
      <c r="C203" s="2373" t="s">
        <v>1443</v>
      </c>
      <c r="D203" s="2374" t="s">
        <v>23</v>
      </c>
      <c r="E203" s="2375">
        <v>364</v>
      </c>
      <c r="F203" s="2376"/>
      <c r="G203" s="3383" t="s">
        <v>1444</v>
      </c>
      <c r="H203" s="2377">
        <v>3965</v>
      </c>
      <c r="I203" s="2378"/>
      <c r="J203" s="2379">
        <v>4242.55</v>
      </c>
      <c r="K203" s="2380">
        <v>353.55</v>
      </c>
    </row>
    <row r="204" spans="1:15">
      <c r="A204" s="83"/>
      <c r="B204" s="2372" t="s">
        <v>1445</v>
      </c>
      <c r="C204" s="2373" t="s">
        <v>100</v>
      </c>
      <c r="D204" s="2374" t="s">
        <v>27</v>
      </c>
      <c r="E204" s="2375">
        <v>465</v>
      </c>
      <c r="F204" s="2376"/>
      <c r="G204" s="3409" t="s">
        <v>1442</v>
      </c>
      <c r="H204" s="2377">
        <v>3370</v>
      </c>
      <c r="I204" s="2378"/>
      <c r="J204" s="2379">
        <v>3605.9</v>
      </c>
      <c r="K204" s="2380">
        <v>450.74</v>
      </c>
    </row>
    <row r="205" spans="1:15">
      <c r="A205" s="83"/>
      <c r="B205" s="2643" t="s">
        <v>1446</v>
      </c>
      <c r="C205" s="2382" t="s">
        <v>1447</v>
      </c>
      <c r="D205" s="2374" t="s">
        <v>23</v>
      </c>
      <c r="E205" s="2375">
        <v>165</v>
      </c>
      <c r="F205" s="2376"/>
      <c r="G205" s="3408" t="s">
        <v>1417</v>
      </c>
      <c r="H205" s="2377">
        <v>1787.5</v>
      </c>
      <c r="I205" s="2383"/>
      <c r="J205" s="2379">
        <v>1922</v>
      </c>
      <c r="K205" s="2380">
        <v>160</v>
      </c>
    </row>
    <row r="206" spans="1:15">
      <c r="A206" s="83"/>
      <c r="B206" s="2643" t="s">
        <v>1448</v>
      </c>
      <c r="C206" s="2382" t="s">
        <v>1449</v>
      </c>
      <c r="D206" s="2374" t="s">
        <v>27</v>
      </c>
      <c r="E206" s="2375">
        <v>349</v>
      </c>
      <c r="F206" s="2376"/>
      <c r="G206" s="3410">
        <v>25301</v>
      </c>
      <c r="H206" s="2377">
        <v>2707</v>
      </c>
      <c r="I206" s="2378"/>
      <c r="J206" s="2379">
        <v>2707</v>
      </c>
      <c r="K206" s="2380">
        <v>338.37</v>
      </c>
    </row>
    <row r="207" spans="1:15">
      <c r="A207" s="438"/>
      <c r="B207" s="2643" t="s">
        <v>1450</v>
      </c>
      <c r="C207" s="2382" t="s">
        <v>1451</v>
      </c>
      <c r="D207" s="2374"/>
      <c r="E207" s="2375">
        <v>250</v>
      </c>
      <c r="F207" s="2376"/>
      <c r="G207" s="3384">
        <v>25259</v>
      </c>
      <c r="H207" s="2377">
        <v>1812</v>
      </c>
      <c r="I207" s="2378"/>
      <c r="J207" s="2379">
        <v>1938.84</v>
      </c>
      <c r="K207" s="2380">
        <v>242.36</v>
      </c>
    </row>
    <row r="208" spans="1:15">
      <c r="A208" s="83"/>
      <c r="B208" s="2387"/>
      <c r="C208" s="2388"/>
      <c r="D208" s="2492" t="s">
        <v>1452</v>
      </c>
      <c r="E208" s="2390"/>
      <c r="F208" s="2391"/>
      <c r="G208" s="2392"/>
      <c r="H208" s="2393"/>
      <c r="I208" s="2394"/>
      <c r="J208" s="2395"/>
      <c r="K208" s="2396"/>
    </row>
    <row r="209" spans="1:12">
      <c r="A209" s="438"/>
      <c r="B209" s="2397"/>
      <c r="C209" s="2398"/>
      <c r="D209" s="2389"/>
      <c r="E209" s="2390"/>
      <c r="F209" s="2391"/>
      <c r="G209" s="2392"/>
      <c r="H209" s="2393"/>
      <c r="I209" s="2399"/>
      <c r="J209" s="2395"/>
      <c r="K209" s="2396"/>
    </row>
    <row r="210" spans="1:12">
      <c r="A210" s="83"/>
      <c r="B210" s="2397"/>
      <c r="C210" s="2400"/>
      <c r="D210" s="2389"/>
      <c r="E210" s="2390"/>
      <c r="F210" s="2391"/>
      <c r="G210" s="2392"/>
      <c r="H210" s="2393"/>
      <c r="I210" s="2394"/>
      <c r="J210" s="2395"/>
      <c r="K210" s="2396"/>
    </row>
    <row r="211" spans="1:12">
      <c r="A211" s="83"/>
      <c r="B211" s="2397"/>
      <c r="C211" s="2400"/>
      <c r="D211" s="2389"/>
      <c r="E211" s="2390"/>
      <c r="F211" s="2391"/>
      <c r="G211" s="2392"/>
      <c r="H211" s="2393"/>
      <c r="I211" s="2394"/>
      <c r="J211" s="2395"/>
      <c r="K211" s="2396"/>
    </row>
    <row r="212" spans="1:12">
      <c r="A212" s="59"/>
      <c r="B212" s="2387"/>
      <c r="C212" s="2388"/>
      <c r="D212" s="2389"/>
      <c r="E212" s="2390"/>
      <c r="F212" s="2391"/>
      <c r="G212" s="2392"/>
      <c r="H212" s="2393"/>
      <c r="I212" s="3407">
        <v>25301</v>
      </c>
      <c r="J212" s="2395"/>
      <c r="K212" s="2396"/>
    </row>
    <row r="213" spans="1:12">
      <c r="A213" s="59"/>
      <c r="B213" s="3468"/>
      <c r="C213" s="224"/>
      <c r="D213" s="624"/>
      <c r="E213" s="999"/>
      <c r="F213" s="981"/>
      <c r="G213" s="2105"/>
      <c r="H213" s="647"/>
      <c r="I213" s="341"/>
      <c r="J213" s="926"/>
      <c r="K213" s="646"/>
    </row>
    <row r="214" spans="1:12">
      <c r="B214" s="75"/>
      <c r="C214" s="75"/>
      <c r="D214" s="270"/>
      <c r="E214" s="68"/>
      <c r="F214" s="266"/>
      <c r="G214" s="269"/>
      <c r="H214" s="642"/>
      <c r="I214" s="270"/>
      <c r="J214" s="675"/>
      <c r="L214" s="75"/>
    </row>
    <row r="215" spans="1:12">
      <c r="B215" s="75"/>
      <c r="C215" s="75"/>
      <c r="D215" s="270"/>
      <c r="E215" s="68"/>
      <c r="F215" s="266"/>
      <c r="G215" s="269"/>
      <c r="H215" s="642"/>
      <c r="I215" s="270"/>
      <c r="J215" s="675"/>
      <c r="L215" s="75"/>
    </row>
    <row r="216" spans="1:12">
      <c r="A216" s="45" t="s">
        <v>0</v>
      </c>
      <c r="B216" s="45"/>
      <c r="C216" s="44"/>
      <c r="D216" s="513"/>
      <c r="F216" s="68"/>
      <c r="L216" s="45"/>
    </row>
    <row r="217" spans="1:12">
      <c r="A217" s="44" t="s">
        <v>1453</v>
      </c>
      <c r="B217" s="45"/>
      <c r="C217" s="45"/>
      <c r="D217" s="204"/>
      <c r="F217" s="68"/>
      <c r="L217" s="45"/>
    </row>
    <row r="218" spans="1:12" ht="35.25" thickBot="1">
      <c r="F218" s="68"/>
    </row>
    <row r="219" spans="1:12">
      <c r="A219" s="47" t="s">
        <v>1454</v>
      </c>
      <c r="B219" s="48" t="s">
        <v>2</v>
      </c>
      <c r="C219" s="48" t="s">
        <v>3</v>
      </c>
      <c r="D219" s="436" t="s">
        <v>4</v>
      </c>
      <c r="E219" s="77" t="s">
        <v>5</v>
      </c>
      <c r="F219" s="78" t="s">
        <v>5</v>
      </c>
      <c r="G219" s="211" t="s">
        <v>6</v>
      </c>
      <c r="H219" s="636" t="s">
        <v>7</v>
      </c>
      <c r="I219" s="344" t="s">
        <v>8</v>
      </c>
      <c r="J219" s="676" t="s">
        <v>9</v>
      </c>
      <c r="K219" s="346" t="s">
        <v>9</v>
      </c>
      <c r="L219" s="46"/>
    </row>
    <row r="220" spans="1:12" ht="35.25" thickBot="1">
      <c r="A220" s="49"/>
      <c r="B220" s="350"/>
      <c r="C220" s="350"/>
      <c r="D220" s="437" t="s">
        <v>10</v>
      </c>
      <c r="E220" s="79" t="s">
        <v>12</v>
      </c>
      <c r="F220" s="80" t="s">
        <v>11</v>
      </c>
      <c r="G220" s="212"/>
      <c r="H220" s="637" t="s">
        <v>13</v>
      </c>
      <c r="I220" s="345"/>
      <c r="J220" s="677" t="s">
        <v>14</v>
      </c>
      <c r="K220" s="347" t="s">
        <v>15</v>
      </c>
      <c r="L220" s="46"/>
    </row>
    <row r="221" spans="1:12">
      <c r="A221" s="389" t="s">
        <v>1455</v>
      </c>
      <c r="B221" s="382"/>
      <c r="C221" s="74"/>
      <c r="D221" s="516"/>
      <c r="E221" s="91"/>
      <c r="F221" s="61"/>
      <c r="G221" s="206"/>
      <c r="H221" s="150"/>
      <c r="I221" s="115"/>
      <c r="J221" s="644"/>
      <c r="K221" s="365"/>
      <c r="L221" s="365"/>
    </row>
    <row r="222" spans="1:12">
      <c r="A222" s="83"/>
      <c r="B222" s="43" t="s">
        <v>1456</v>
      </c>
      <c r="C222" s="74" t="s">
        <v>1275</v>
      </c>
      <c r="D222" s="516" t="s">
        <v>1287</v>
      </c>
      <c r="E222" s="121" t="s">
        <v>1457</v>
      </c>
      <c r="F222" s="121">
        <v>380</v>
      </c>
      <c r="G222" s="206" t="s">
        <v>1458</v>
      </c>
      <c r="H222" s="150">
        <v>349.2</v>
      </c>
      <c r="I222" s="115"/>
      <c r="J222" s="644">
        <v>366.18</v>
      </c>
      <c r="K222" s="756" t="s">
        <v>1459</v>
      </c>
      <c r="L222" s="363"/>
    </row>
    <row r="223" spans="1:12">
      <c r="A223" s="438"/>
      <c r="B223" s="43" t="s">
        <v>1460</v>
      </c>
      <c r="C223" s="74" t="s">
        <v>1275</v>
      </c>
      <c r="D223" s="516" t="s">
        <v>1287</v>
      </c>
      <c r="E223" s="121" t="s">
        <v>1457</v>
      </c>
      <c r="F223" s="121">
        <v>380</v>
      </c>
      <c r="G223" s="206" t="s">
        <v>1458</v>
      </c>
      <c r="H223" s="150">
        <v>349.2</v>
      </c>
      <c r="I223" s="115"/>
      <c r="J223" s="644">
        <v>366.18</v>
      </c>
      <c r="K223" s="756" t="s">
        <v>1459</v>
      </c>
      <c r="L223" s="363"/>
    </row>
    <row r="224" spans="1:12">
      <c r="A224" s="315"/>
      <c r="B224" s="383" t="s">
        <v>1461</v>
      </c>
      <c r="C224" s="74" t="s">
        <v>1275</v>
      </c>
      <c r="D224" s="516" t="s">
        <v>1287</v>
      </c>
      <c r="E224" s="121" t="s">
        <v>1462</v>
      </c>
      <c r="F224" s="121">
        <v>410</v>
      </c>
      <c r="G224" s="206" t="s">
        <v>1458</v>
      </c>
      <c r="H224" s="150">
        <v>378.3</v>
      </c>
      <c r="I224" s="115"/>
      <c r="J224" s="644">
        <v>396.69</v>
      </c>
      <c r="K224" s="756" t="s">
        <v>1463</v>
      </c>
      <c r="L224" s="363"/>
    </row>
    <row r="225" spans="1:12">
      <c r="A225" s="315"/>
      <c r="B225" s="362" t="s">
        <v>1464</v>
      </c>
      <c r="C225" s="74" t="s">
        <v>1275</v>
      </c>
      <c r="D225" s="516" t="s">
        <v>1287</v>
      </c>
      <c r="E225" s="121" t="s">
        <v>1465</v>
      </c>
      <c r="F225" s="121">
        <v>435</v>
      </c>
      <c r="G225" s="206" t="s">
        <v>1458</v>
      </c>
      <c r="H225" s="150">
        <v>397.7</v>
      </c>
      <c r="I225" s="115"/>
      <c r="J225" s="644">
        <v>417.03</v>
      </c>
      <c r="K225" s="756" t="s">
        <v>1466</v>
      </c>
      <c r="L225" s="363"/>
    </row>
    <row r="226" spans="1:12" ht="35.25" thickBot="1">
      <c r="A226" s="1675"/>
      <c r="B226" s="1777" t="s">
        <v>1467</v>
      </c>
      <c r="C226" s="85" t="s">
        <v>1275</v>
      </c>
      <c r="D226" s="520" t="s">
        <v>1287</v>
      </c>
      <c r="E226" s="258" t="s">
        <v>1462</v>
      </c>
      <c r="F226" s="258">
        <v>410</v>
      </c>
      <c r="G226" s="220" t="s">
        <v>1458</v>
      </c>
      <c r="H226" s="643">
        <v>378.3</v>
      </c>
      <c r="I226" s="288"/>
      <c r="J226" s="681">
        <v>396.69</v>
      </c>
      <c r="K226" s="1817" t="s">
        <v>1463</v>
      </c>
      <c r="L226" s="363"/>
    </row>
    <row r="227" spans="1:12">
      <c r="A227" s="70"/>
      <c r="B227" s="81" t="s">
        <v>1468</v>
      </c>
      <c r="C227" s="82" t="s">
        <v>1275</v>
      </c>
      <c r="D227" s="518" t="s">
        <v>1264</v>
      </c>
      <c r="E227" s="94">
        <v>310</v>
      </c>
      <c r="F227" s="123" t="s">
        <v>1469</v>
      </c>
      <c r="G227" s="216" t="s">
        <v>1470</v>
      </c>
      <c r="H227" s="638">
        <v>294</v>
      </c>
      <c r="I227" s="116"/>
      <c r="J227" s="672">
        <v>417.03</v>
      </c>
      <c r="K227" s="364" t="s">
        <v>1471</v>
      </c>
      <c r="L227" s="363"/>
    </row>
    <row r="228" spans="1:12">
      <c r="A228" s="59"/>
      <c r="B228" s="43" t="s">
        <v>1472</v>
      </c>
      <c r="C228" s="74" t="s">
        <v>1275</v>
      </c>
      <c r="D228" s="516" t="s">
        <v>1264</v>
      </c>
      <c r="E228" s="91">
        <v>310</v>
      </c>
      <c r="F228" s="121" t="s">
        <v>1469</v>
      </c>
      <c r="G228" s="206" t="s">
        <v>1470</v>
      </c>
      <c r="H228" s="150">
        <v>294</v>
      </c>
      <c r="I228" s="115"/>
      <c r="J228" s="644">
        <v>294</v>
      </c>
      <c r="K228" s="363" t="s">
        <v>1471</v>
      </c>
      <c r="L228" s="363"/>
    </row>
    <row r="229" spans="1:12">
      <c r="A229" s="83"/>
      <c r="B229" s="139" t="s">
        <v>1473</v>
      </c>
      <c r="C229" s="74" t="s">
        <v>1275</v>
      </c>
      <c r="D229" s="342" t="s">
        <v>1264</v>
      </c>
      <c r="E229" s="91">
        <v>300</v>
      </c>
      <c r="F229" s="121" t="s">
        <v>1474</v>
      </c>
      <c r="G229" s="215" t="s">
        <v>1475</v>
      </c>
      <c r="H229" s="150">
        <v>291</v>
      </c>
      <c r="I229" s="207"/>
      <c r="J229" s="644">
        <v>291</v>
      </c>
      <c r="K229" s="363" t="s">
        <v>1476</v>
      </c>
    </row>
    <row r="230" spans="1:12">
      <c r="A230" s="83"/>
      <c r="B230" s="139" t="s">
        <v>1477</v>
      </c>
      <c r="C230" s="74" t="s">
        <v>1275</v>
      </c>
      <c r="D230" s="342" t="s">
        <v>1264</v>
      </c>
      <c r="E230" s="91">
        <v>300</v>
      </c>
      <c r="F230" s="121" t="s">
        <v>1474</v>
      </c>
      <c r="G230" s="215" t="s">
        <v>1475</v>
      </c>
      <c r="H230" s="150">
        <v>291</v>
      </c>
      <c r="I230" s="207"/>
      <c r="J230" s="644">
        <v>291</v>
      </c>
      <c r="K230" s="363" t="s">
        <v>1476</v>
      </c>
    </row>
    <row r="231" spans="1:12">
      <c r="A231" s="83"/>
      <c r="B231" s="43"/>
      <c r="C231" s="74"/>
      <c r="D231" s="514"/>
      <c r="E231" s="60"/>
      <c r="F231" s="61"/>
      <c r="G231" s="206"/>
      <c r="H231" s="150"/>
      <c r="I231" s="115"/>
      <c r="J231" s="694"/>
      <c r="K231" s="394"/>
    </row>
    <row r="232" spans="1:12">
      <c r="A232" s="83"/>
      <c r="B232" s="362"/>
      <c r="C232" s="74"/>
      <c r="D232" s="514"/>
      <c r="E232" s="60"/>
      <c r="F232" s="61"/>
      <c r="G232" s="206"/>
      <c r="H232" s="150"/>
      <c r="I232" s="115"/>
      <c r="J232" s="694"/>
      <c r="K232" s="747"/>
    </row>
    <row r="233" spans="1:12">
      <c r="A233" s="83"/>
      <c r="B233" s="43"/>
      <c r="C233" s="74"/>
      <c r="D233" s="514"/>
      <c r="E233" s="60"/>
      <c r="F233" s="61"/>
      <c r="G233" s="206"/>
      <c r="H233" s="150"/>
      <c r="I233" s="115"/>
      <c r="J233" s="680"/>
      <c r="K233" s="365"/>
    </row>
    <row r="234" spans="1:12">
      <c r="A234" s="83"/>
      <c r="B234" s="43"/>
      <c r="C234" s="74"/>
      <c r="D234" s="516"/>
      <c r="E234" s="243"/>
      <c r="F234" s="61"/>
      <c r="G234" s="206"/>
      <c r="H234" s="150"/>
      <c r="I234" s="115"/>
      <c r="J234" s="694"/>
      <c r="K234" s="365"/>
    </row>
    <row r="235" spans="1:12">
      <c r="A235" s="83"/>
      <c r="B235" s="43"/>
      <c r="C235" s="74"/>
      <c r="D235" s="516"/>
      <c r="E235" s="243"/>
      <c r="F235" s="61"/>
      <c r="G235" s="206"/>
      <c r="H235" s="150"/>
      <c r="I235" s="115"/>
      <c r="J235" s="694"/>
      <c r="K235" s="394"/>
    </row>
    <row r="236" spans="1:12" ht="35.25" thickBot="1">
      <c r="A236" s="83"/>
      <c r="B236" s="43"/>
      <c r="C236" s="74"/>
      <c r="D236" s="516"/>
      <c r="E236" s="243"/>
      <c r="F236" s="61"/>
      <c r="G236" s="206"/>
      <c r="H236" s="150"/>
      <c r="I236" s="115"/>
      <c r="J236" s="694"/>
      <c r="K236" s="394"/>
    </row>
    <row r="237" spans="1:12" ht="35.25" thickBot="1">
      <c r="A237" s="83"/>
      <c r="B237" s="607" t="s">
        <v>1478</v>
      </c>
      <c r="C237" s="607"/>
      <c r="D237" s="124"/>
      <c r="E237" s="392"/>
      <c r="F237" s="61"/>
      <c r="G237" s="206"/>
      <c r="H237" s="150"/>
      <c r="I237" s="115"/>
      <c r="J237" s="644"/>
      <c r="K237" s="365"/>
    </row>
    <row r="238" spans="1:12" ht="38.25" thickBot="1">
      <c r="A238" s="83"/>
      <c r="B238" s="1100" t="s">
        <v>1479</v>
      </c>
      <c r="C238" s="320" t="s">
        <v>624</v>
      </c>
      <c r="D238" s="1644" t="s">
        <v>1480</v>
      </c>
      <c r="E238" s="777">
        <v>47</v>
      </c>
      <c r="F238" s="3688">
        <v>370</v>
      </c>
      <c r="G238" s="223" t="s">
        <v>1481</v>
      </c>
      <c r="H238" s="647">
        <v>405.6</v>
      </c>
      <c r="I238" s="1099"/>
      <c r="J238" s="654">
        <v>356.14</v>
      </c>
      <c r="K238" s="1104">
        <v>44.52</v>
      </c>
    </row>
    <row r="239" spans="1:12" ht="37.5">
      <c r="A239" s="83"/>
      <c r="B239" s="1729" t="s">
        <v>1482</v>
      </c>
      <c r="C239" s="320" t="s">
        <v>624</v>
      </c>
      <c r="D239" s="1644" t="s">
        <v>1480</v>
      </c>
      <c r="E239" s="777">
        <v>47</v>
      </c>
      <c r="F239" s="3688">
        <v>370</v>
      </c>
      <c r="G239" s="223" t="s">
        <v>1481</v>
      </c>
      <c r="H239" s="647">
        <v>405.6</v>
      </c>
      <c r="I239" s="1099"/>
      <c r="J239" s="654">
        <v>356.14</v>
      </c>
      <c r="K239" s="1104">
        <v>44.52</v>
      </c>
    </row>
    <row r="240" spans="1:12">
      <c r="A240" s="83"/>
      <c r="B240" s="460"/>
      <c r="C240" s="3478"/>
      <c r="D240" s="3479"/>
      <c r="E240" s="61"/>
      <c r="F240" s="118"/>
      <c r="G240" s="248"/>
      <c r="H240" s="639"/>
      <c r="I240" s="355"/>
      <c r="J240" s="469"/>
      <c r="K240" s="363"/>
    </row>
    <row r="241" spans="1:12">
      <c r="A241" s="83"/>
      <c r="B241" s="1731" t="s">
        <v>1483</v>
      </c>
      <c r="C241" s="1469"/>
      <c r="D241" s="1732"/>
      <c r="E241" s="61"/>
      <c r="F241" s="118"/>
      <c r="G241" s="248"/>
      <c r="H241" s="639"/>
      <c r="I241" s="355"/>
      <c r="J241" s="469"/>
      <c r="K241" s="363"/>
    </row>
    <row r="242" spans="1:12">
      <c r="A242" s="315"/>
      <c r="B242" s="460" t="s">
        <v>1484</v>
      </c>
      <c r="C242" s="1733" t="s">
        <v>1485</v>
      </c>
      <c r="D242" s="1648" t="s">
        <v>683</v>
      </c>
      <c r="E242" s="1119">
        <v>44</v>
      </c>
      <c r="F242" s="118">
        <v>520</v>
      </c>
      <c r="G242" s="248" t="s">
        <v>1486</v>
      </c>
      <c r="H242" s="639">
        <v>489</v>
      </c>
      <c r="I242" s="355"/>
      <c r="J242" s="469">
        <v>501.83</v>
      </c>
      <c r="K242" s="363">
        <v>41.81</v>
      </c>
    </row>
    <row r="243" spans="1:12">
      <c r="A243" s="315"/>
      <c r="B243" s="460" t="s">
        <v>1487</v>
      </c>
      <c r="C243" s="1733" t="s">
        <v>1485</v>
      </c>
      <c r="D243" s="1648" t="s">
        <v>683</v>
      </c>
      <c r="E243" s="1119">
        <v>44</v>
      </c>
      <c r="F243" s="118">
        <v>520</v>
      </c>
      <c r="G243" s="248" t="s">
        <v>1486</v>
      </c>
      <c r="H243" s="639">
        <v>489</v>
      </c>
      <c r="I243" s="355"/>
      <c r="J243" s="469">
        <v>501.83</v>
      </c>
      <c r="K243" s="363">
        <v>41.81</v>
      </c>
    </row>
    <row r="244" spans="1:12">
      <c r="A244" s="83"/>
      <c r="B244" s="460" t="s">
        <v>1488</v>
      </c>
      <c r="C244" s="1733" t="s">
        <v>1485</v>
      </c>
      <c r="D244" s="1648" t="s">
        <v>683</v>
      </c>
      <c r="E244" s="1119">
        <v>44</v>
      </c>
      <c r="F244" s="118">
        <v>520</v>
      </c>
      <c r="G244" s="248" t="s">
        <v>1486</v>
      </c>
      <c r="H244" s="639">
        <v>489</v>
      </c>
      <c r="I244" s="355"/>
      <c r="J244" s="469">
        <v>501.83</v>
      </c>
      <c r="K244" s="363">
        <v>41.81</v>
      </c>
    </row>
    <row r="245" spans="1:12">
      <c r="A245" s="59"/>
      <c r="B245" s="382" t="s">
        <v>1489</v>
      </c>
      <c r="C245" s="320"/>
      <c r="D245" s="532"/>
      <c r="E245" s="783"/>
      <c r="F245" s="1476"/>
      <c r="G245" s="223"/>
      <c r="H245" s="648"/>
      <c r="I245" s="554"/>
      <c r="J245" s="659"/>
      <c r="K245" s="1947"/>
    </row>
    <row r="246" spans="1:12">
      <c r="A246" s="59"/>
      <c r="B246" s="406" t="s">
        <v>1490</v>
      </c>
      <c r="C246" s="341" t="s">
        <v>1491</v>
      </c>
      <c r="D246" s="1095" t="s">
        <v>1492</v>
      </c>
      <c r="E246" s="243">
        <v>40</v>
      </c>
      <c r="F246" s="61"/>
      <c r="G246" s="206" t="s">
        <v>1493</v>
      </c>
      <c r="H246" s="150">
        <v>41.44</v>
      </c>
      <c r="I246" s="115" t="s">
        <v>1494</v>
      </c>
      <c r="J246" s="644">
        <v>348.38</v>
      </c>
      <c r="K246" s="365">
        <v>38.700000000000003</v>
      </c>
    </row>
    <row r="247" spans="1:12" ht="39">
      <c r="A247" s="70"/>
      <c r="B247" s="406" t="s">
        <v>1495</v>
      </c>
      <c r="C247" s="341" t="s">
        <v>1491</v>
      </c>
      <c r="D247" s="1095" t="s">
        <v>1492</v>
      </c>
      <c r="E247" s="783">
        <v>69</v>
      </c>
      <c r="F247" s="777"/>
      <c r="G247" s="223" t="s">
        <v>1496</v>
      </c>
      <c r="H247" s="648">
        <v>61.72</v>
      </c>
      <c r="I247" s="794"/>
      <c r="J247" s="659">
        <v>594.36</v>
      </c>
      <c r="K247" s="646">
        <v>66.040000000000006</v>
      </c>
    </row>
    <row r="248" spans="1:12" ht="36">
      <c r="A248" s="265"/>
      <c r="B248" s="793" t="s">
        <v>1497</v>
      </c>
      <c r="C248" s="786" t="s">
        <v>1498</v>
      </c>
      <c r="D248" s="1095" t="s">
        <v>1499</v>
      </c>
      <c r="E248" s="783">
        <v>205</v>
      </c>
      <c r="F248" s="777" t="s">
        <v>1500</v>
      </c>
      <c r="G248" s="223" t="s">
        <v>1501</v>
      </c>
      <c r="H248" s="648">
        <v>182.89</v>
      </c>
      <c r="I248" s="794" t="s">
        <v>1102</v>
      </c>
      <c r="J248" s="659">
        <v>587.08000000000004</v>
      </c>
      <c r="K248" s="646">
        <v>195.7</v>
      </c>
    </row>
    <row r="249" spans="1:12" ht="39">
      <c r="A249" s="83"/>
      <c r="B249" s="406" t="s">
        <v>1502</v>
      </c>
      <c r="C249" s="341" t="s">
        <v>1491</v>
      </c>
      <c r="D249" s="1095" t="s">
        <v>1492</v>
      </c>
      <c r="E249" s="776"/>
      <c r="F249" s="777"/>
      <c r="G249" s="223" t="s">
        <v>1503</v>
      </c>
      <c r="H249" s="647"/>
      <c r="I249" s="925"/>
      <c r="J249" s="926">
        <f>1580.86/3</f>
        <v>526.95333333333326</v>
      </c>
      <c r="K249" s="378"/>
    </row>
    <row r="250" spans="1:12" ht="36">
      <c r="B250" s="793" t="s">
        <v>1504</v>
      </c>
      <c r="C250" s="786" t="s">
        <v>1498</v>
      </c>
      <c r="D250" s="1095" t="s">
        <v>1499</v>
      </c>
      <c r="E250" s="783">
        <v>205</v>
      </c>
      <c r="F250" s="777" t="s">
        <v>1500</v>
      </c>
      <c r="G250" s="223" t="s">
        <v>1501</v>
      </c>
      <c r="H250" s="648">
        <v>182.89</v>
      </c>
      <c r="I250" s="794" t="s">
        <v>1102</v>
      </c>
      <c r="J250" s="659">
        <v>587.08000000000004</v>
      </c>
      <c r="K250" s="646">
        <v>195.7</v>
      </c>
    </row>
    <row r="251" spans="1:12">
      <c r="A251" s="45" t="s">
        <v>0</v>
      </c>
      <c r="B251" s="45"/>
      <c r="C251" s="44"/>
      <c r="D251" s="513"/>
      <c r="F251" s="68"/>
      <c r="L251" s="45"/>
    </row>
    <row r="252" spans="1:12">
      <c r="A252" s="44" t="s">
        <v>1453</v>
      </c>
      <c r="B252" s="45"/>
      <c r="C252" s="45"/>
      <c r="D252" s="204"/>
      <c r="F252" s="68"/>
      <c r="L252" s="45"/>
    </row>
    <row r="253" spans="1:12" ht="35.25" thickBot="1">
      <c r="F253" s="68"/>
    </row>
    <row r="254" spans="1:12">
      <c r="A254" s="47" t="s">
        <v>1454</v>
      </c>
      <c r="B254" s="48" t="s">
        <v>2</v>
      </c>
      <c r="C254" s="48" t="s">
        <v>3</v>
      </c>
      <c r="D254" s="436" t="s">
        <v>4</v>
      </c>
      <c r="E254" s="77" t="s">
        <v>5</v>
      </c>
      <c r="F254" s="78" t="s">
        <v>5</v>
      </c>
      <c r="G254" s="211" t="s">
        <v>6</v>
      </c>
      <c r="H254" s="636" t="s">
        <v>7</v>
      </c>
      <c r="I254" s="344" t="s">
        <v>8</v>
      </c>
      <c r="J254" s="678" t="s">
        <v>9</v>
      </c>
      <c r="K254" s="367" t="s">
        <v>9</v>
      </c>
      <c r="L254" s="46"/>
    </row>
    <row r="255" spans="1:12" ht="35.25" thickBot="1">
      <c r="A255" s="49"/>
      <c r="B255" s="50"/>
      <c r="C255" s="50"/>
      <c r="D255" s="437" t="s">
        <v>10</v>
      </c>
      <c r="E255" s="79" t="s">
        <v>12</v>
      </c>
      <c r="F255" s="80" t="s">
        <v>11</v>
      </c>
      <c r="G255" s="212"/>
      <c r="H255" s="637" t="s">
        <v>13</v>
      </c>
      <c r="I255" s="345"/>
      <c r="J255" s="679" t="s">
        <v>14</v>
      </c>
      <c r="K255" s="368" t="s">
        <v>15</v>
      </c>
      <c r="L255" s="46"/>
    </row>
    <row r="256" spans="1:12">
      <c r="A256" s="388"/>
      <c r="B256" s="382" t="s">
        <v>1505</v>
      </c>
      <c r="C256" s="74"/>
      <c r="D256" s="514"/>
      <c r="E256" s="392"/>
      <c r="F256" s="61"/>
      <c r="G256" s="206"/>
      <c r="H256" s="150"/>
      <c r="I256" s="115"/>
      <c r="J256" s="644"/>
      <c r="K256" s="365"/>
    </row>
    <row r="257" spans="1:11">
      <c r="A257" s="398"/>
      <c r="B257" s="43" t="s">
        <v>1506</v>
      </c>
      <c r="C257" s="74"/>
      <c r="D257" s="514" t="s">
        <v>23</v>
      </c>
      <c r="E257" s="392"/>
      <c r="F257" s="69"/>
      <c r="G257" s="206" t="s">
        <v>1507</v>
      </c>
      <c r="H257" s="150"/>
      <c r="I257" s="115"/>
      <c r="J257" s="694">
        <v>420</v>
      </c>
      <c r="K257" s="365">
        <f>J257/12</f>
        <v>35</v>
      </c>
    </row>
    <row r="258" spans="1:11">
      <c r="A258" s="398"/>
      <c r="B258" s="43" t="s">
        <v>1508</v>
      </c>
      <c r="C258" s="74" t="s">
        <v>1509</v>
      </c>
      <c r="D258" s="514"/>
      <c r="E258" s="392"/>
      <c r="F258" s="69"/>
      <c r="G258" s="206" t="s">
        <v>1507</v>
      </c>
      <c r="H258" s="150"/>
      <c r="I258" s="115"/>
      <c r="J258" s="694">
        <v>2780</v>
      </c>
      <c r="K258" s="365"/>
    </row>
    <row r="259" spans="1:11">
      <c r="A259" s="43"/>
      <c r="B259" s="74"/>
      <c r="C259" s="74"/>
      <c r="D259" s="516"/>
      <c r="E259" s="243"/>
      <c r="F259" s="61"/>
      <c r="G259" s="206"/>
      <c r="H259" s="150"/>
      <c r="I259" s="115"/>
      <c r="J259" s="644"/>
      <c r="K259" s="365"/>
    </row>
    <row r="260" spans="1:11">
      <c r="A260" s="43"/>
      <c r="B260" s="74"/>
      <c r="C260" s="74"/>
      <c r="D260" s="516"/>
      <c r="E260" s="243"/>
      <c r="F260" s="61"/>
      <c r="G260" s="206"/>
      <c r="H260" s="150"/>
      <c r="I260" s="115"/>
      <c r="J260" s="644"/>
      <c r="K260" s="365"/>
    </row>
    <row r="261" spans="1:11">
      <c r="A261" s="43"/>
      <c r="B261" s="74"/>
      <c r="C261" s="74"/>
      <c r="D261" s="516"/>
      <c r="E261" s="243"/>
      <c r="F261" s="61"/>
      <c r="G261" s="206"/>
      <c r="H261" s="150"/>
      <c r="I261" s="115"/>
      <c r="J261" s="644"/>
      <c r="K261" s="365"/>
    </row>
    <row r="262" spans="1:11">
      <c r="A262" s="43"/>
      <c r="B262" s="74"/>
      <c r="C262" s="74"/>
      <c r="D262" s="516"/>
      <c r="E262" s="243"/>
      <c r="F262" s="61"/>
      <c r="G262" s="206"/>
      <c r="H262" s="150"/>
      <c r="I262" s="115"/>
      <c r="J262" s="644"/>
      <c r="K262" s="365"/>
    </row>
    <row r="263" spans="1:11">
      <c r="A263" s="43"/>
      <c r="B263" s="74"/>
      <c r="C263" s="74"/>
      <c r="D263" s="516"/>
      <c r="E263" s="243"/>
      <c r="F263" s="61"/>
      <c r="G263" s="206"/>
      <c r="H263" s="150"/>
      <c r="I263" s="115"/>
      <c r="J263" s="644"/>
      <c r="K263" s="365"/>
    </row>
    <row r="264" spans="1:11">
      <c r="A264" s="43"/>
      <c r="B264" s="74"/>
      <c r="C264" s="74"/>
      <c r="D264" s="516"/>
      <c r="E264" s="243"/>
      <c r="F264" s="61"/>
      <c r="G264" s="206"/>
      <c r="H264" s="150"/>
      <c r="I264" s="115"/>
      <c r="J264" s="644"/>
      <c r="K264" s="365"/>
    </row>
    <row r="265" spans="1:11">
      <c r="A265" s="43"/>
      <c r="B265" s="74"/>
      <c r="C265" s="74"/>
      <c r="D265" s="516"/>
      <c r="E265" s="243"/>
      <c r="F265" s="61"/>
      <c r="G265" s="206"/>
      <c r="H265" s="150"/>
      <c r="I265" s="115"/>
      <c r="J265" s="644"/>
      <c r="K265" s="365"/>
    </row>
    <row r="266" spans="1:11">
      <c r="A266" s="43"/>
      <c r="B266" s="74"/>
      <c r="C266" s="74"/>
      <c r="D266" s="516"/>
      <c r="E266" s="243"/>
      <c r="F266" s="61"/>
      <c r="G266" s="206"/>
      <c r="H266" s="150"/>
      <c r="I266" s="115"/>
      <c r="J266" s="644"/>
      <c r="K266" s="365"/>
    </row>
    <row r="267" spans="1:11">
      <c r="A267" s="43"/>
      <c r="B267" s="74"/>
      <c r="C267" s="74"/>
      <c r="D267" s="516"/>
      <c r="E267" s="243"/>
      <c r="F267" s="61"/>
      <c r="G267" s="206"/>
      <c r="H267" s="150"/>
      <c r="I267" s="115"/>
      <c r="J267" s="644"/>
      <c r="K267" s="365"/>
    </row>
    <row r="268" spans="1:11">
      <c r="A268" s="43"/>
      <c r="B268" s="74"/>
      <c r="C268" s="74"/>
      <c r="D268" s="516"/>
      <c r="E268" s="243"/>
      <c r="F268" s="61"/>
      <c r="G268" s="206"/>
      <c r="H268" s="150"/>
      <c r="I268" s="115"/>
      <c r="J268" s="644"/>
      <c r="K268" s="365"/>
    </row>
    <row r="269" spans="1:11">
      <c r="A269" s="43"/>
      <c r="B269" s="74"/>
      <c r="C269" s="74"/>
      <c r="D269" s="516"/>
      <c r="E269" s="243"/>
      <c r="F269" s="61"/>
      <c r="G269" s="206"/>
      <c r="H269" s="150"/>
      <c r="I269" s="115"/>
      <c r="J269" s="644"/>
      <c r="K269" s="365"/>
    </row>
    <row r="270" spans="1:11">
      <c r="A270" s="43"/>
      <c r="B270" s="74"/>
      <c r="C270" s="74"/>
      <c r="D270" s="516"/>
      <c r="E270" s="243"/>
      <c r="F270" s="61"/>
      <c r="G270" s="206"/>
      <c r="H270" s="150"/>
      <c r="I270" s="115"/>
      <c r="J270" s="644"/>
      <c r="K270" s="365"/>
    </row>
    <row r="271" spans="1:11">
      <c r="A271" s="43"/>
      <c r="B271" s="74"/>
      <c r="C271" s="74"/>
      <c r="D271" s="516"/>
      <c r="E271" s="243"/>
      <c r="F271" s="61"/>
      <c r="G271" s="206"/>
      <c r="H271" s="150"/>
      <c r="I271" s="115"/>
      <c r="J271" s="644"/>
      <c r="K271" s="365"/>
    </row>
    <row r="272" spans="1:11">
      <c r="A272" s="43"/>
      <c r="B272" s="74"/>
      <c r="C272" s="74"/>
      <c r="D272" s="516"/>
      <c r="E272" s="243"/>
      <c r="F272" s="61"/>
      <c r="G272" s="206"/>
      <c r="H272" s="150"/>
      <c r="I272" s="115"/>
      <c r="J272" s="644"/>
      <c r="K272" s="365"/>
    </row>
    <row r="273" spans="1:12">
      <c r="A273" s="43"/>
      <c r="B273" s="74"/>
      <c r="C273" s="74"/>
      <c r="D273" s="516"/>
      <c r="E273" s="243"/>
      <c r="F273" s="61"/>
      <c r="G273" s="206"/>
      <c r="H273" s="150"/>
      <c r="I273" s="115"/>
      <c r="J273" s="644"/>
      <c r="K273" s="365"/>
    </row>
    <row r="274" spans="1:12">
      <c r="A274" s="43"/>
      <c r="B274" s="74"/>
      <c r="C274" s="74"/>
      <c r="D274" s="516"/>
      <c r="E274" s="243"/>
      <c r="F274" s="61"/>
      <c r="G274" s="206"/>
      <c r="H274" s="150"/>
      <c r="I274" s="115"/>
      <c r="J274" s="644"/>
      <c r="K274" s="365"/>
    </row>
    <row r="275" spans="1:12">
      <c r="A275" s="74"/>
      <c r="B275" s="74"/>
      <c r="C275" s="74"/>
      <c r="D275" s="516"/>
      <c r="E275" s="91"/>
      <c r="F275" s="61"/>
      <c r="G275" s="206"/>
      <c r="H275" s="150"/>
      <c r="I275" s="115"/>
      <c r="J275" s="644"/>
      <c r="K275" s="365"/>
    </row>
    <row r="276" spans="1:12">
      <c r="A276" s="58"/>
      <c r="B276" s="58"/>
      <c r="C276" s="58"/>
      <c r="D276" s="519"/>
      <c r="E276" s="91"/>
      <c r="F276" s="61"/>
      <c r="G276" s="206"/>
      <c r="H276" s="150"/>
      <c r="I276" s="115"/>
      <c r="J276" s="644"/>
      <c r="K276" s="365"/>
    </row>
    <row r="277" spans="1:12">
      <c r="A277" s="58"/>
      <c r="B277" s="58"/>
      <c r="C277" s="58"/>
      <c r="D277" s="519"/>
      <c r="E277" s="91"/>
      <c r="F277" s="61"/>
      <c r="G277" s="206"/>
      <c r="H277" s="150"/>
      <c r="I277" s="115"/>
      <c r="J277" s="644"/>
      <c r="K277" s="365"/>
    </row>
    <row r="278" spans="1:12">
      <c r="A278" s="74"/>
      <c r="B278" s="74"/>
      <c r="C278" s="74"/>
      <c r="D278" s="516"/>
      <c r="E278" s="91"/>
      <c r="F278" s="61"/>
      <c r="G278" s="206"/>
      <c r="H278" s="150"/>
      <c r="I278" s="115"/>
      <c r="J278" s="644"/>
      <c r="K278" s="365"/>
    </row>
    <row r="279" spans="1:12">
      <c r="A279" s="63"/>
      <c r="B279" s="63"/>
      <c r="C279" s="63"/>
      <c r="D279" s="517"/>
      <c r="E279" s="91"/>
      <c r="F279" s="61"/>
      <c r="G279" s="215"/>
      <c r="H279" s="150"/>
      <c r="I279" s="207"/>
      <c r="J279" s="644"/>
      <c r="K279" s="365"/>
    </row>
    <row r="280" spans="1:12">
      <c r="A280" s="63"/>
      <c r="B280" s="63"/>
      <c r="C280" s="63"/>
      <c r="D280" s="517"/>
      <c r="E280" s="91"/>
      <c r="F280" s="61"/>
      <c r="G280" s="215"/>
      <c r="H280" s="150"/>
      <c r="I280" s="207"/>
      <c r="J280" s="644"/>
      <c r="K280" s="365"/>
    </row>
    <row r="281" spans="1:12">
      <c r="A281" s="81"/>
      <c r="B281" s="82"/>
      <c r="C281" s="82"/>
      <c r="D281" s="518"/>
      <c r="E281" s="387"/>
      <c r="F281" s="69"/>
      <c r="G281" s="216"/>
      <c r="H281" s="638"/>
      <c r="I281" s="116"/>
      <c r="J281" s="672"/>
      <c r="K281" s="369"/>
    </row>
    <row r="282" spans="1:12">
      <c r="A282" s="43"/>
      <c r="B282" s="74"/>
      <c r="C282" s="74"/>
      <c r="D282" s="516"/>
      <c r="E282" s="243"/>
      <c r="F282" s="61"/>
      <c r="G282" s="206"/>
      <c r="H282" s="150"/>
      <c r="I282" s="115"/>
      <c r="J282" s="644"/>
      <c r="K282" s="365"/>
    </row>
    <row r="283" spans="1:12">
      <c r="A283" s="81"/>
      <c r="B283" s="82"/>
      <c r="C283" s="82"/>
      <c r="D283" s="518"/>
      <c r="E283" s="387"/>
      <c r="F283" s="69"/>
      <c r="G283" s="216"/>
      <c r="H283" s="638"/>
      <c r="I283" s="116"/>
      <c r="J283" s="672"/>
      <c r="K283" s="369"/>
    </row>
    <row r="284" spans="1:12" ht="35.25" thickBot="1">
      <c r="A284" s="86"/>
      <c r="B284" s="85"/>
      <c r="C284" s="85"/>
      <c r="D284" s="520"/>
      <c r="E284" s="397"/>
      <c r="F284" s="66"/>
      <c r="G284" s="220"/>
      <c r="H284" s="643"/>
      <c r="I284" s="288"/>
      <c r="J284" s="681"/>
      <c r="K284" s="395"/>
    </row>
    <row r="285" spans="1:12">
      <c r="A285" s="44"/>
      <c r="B285" s="45"/>
      <c r="C285" s="45"/>
      <c r="D285" s="204"/>
      <c r="F285" s="68"/>
    </row>
    <row r="286" spans="1:12">
      <c r="A286" s="45" t="s">
        <v>0</v>
      </c>
      <c r="B286" s="45"/>
      <c r="C286" s="44"/>
      <c r="D286" s="513"/>
      <c r="F286" s="68"/>
      <c r="L286" s="45"/>
    </row>
    <row r="287" spans="1:12">
      <c r="A287" s="44" t="s">
        <v>1453</v>
      </c>
      <c r="B287" s="45"/>
      <c r="C287" s="45"/>
      <c r="D287" s="204"/>
      <c r="F287" s="68"/>
      <c r="L287" s="45"/>
    </row>
    <row r="288" spans="1:12" ht="35.25" thickBot="1">
      <c r="F288" s="68"/>
    </row>
    <row r="289" spans="1:12">
      <c r="A289" s="47" t="s">
        <v>1454</v>
      </c>
      <c r="B289" s="48" t="s">
        <v>2</v>
      </c>
      <c r="C289" s="48" t="s">
        <v>3</v>
      </c>
      <c r="D289" s="436" t="s">
        <v>4</v>
      </c>
      <c r="E289" s="77" t="s">
        <v>5</v>
      </c>
      <c r="F289" s="78" t="s">
        <v>5</v>
      </c>
      <c r="G289" s="211" t="s">
        <v>6</v>
      </c>
      <c r="H289" s="636" t="s">
        <v>7</v>
      </c>
      <c r="I289" s="344" t="s">
        <v>8</v>
      </c>
      <c r="J289" s="678" t="s">
        <v>9</v>
      </c>
      <c r="K289" s="367" t="s">
        <v>9</v>
      </c>
      <c r="L289" s="46"/>
    </row>
    <row r="290" spans="1:12" ht="35.25" thickBot="1">
      <c r="A290" s="49"/>
      <c r="B290" s="50"/>
      <c r="C290" s="50"/>
      <c r="D290" s="437" t="s">
        <v>10</v>
      </c>
      <c r="E290" s="79" t="s">
        <v>12</v>
      </c>
      <c r="F290" s="80" t="s">
        <v>11</v>
      </c>
      <c r="G290" s="212"/>
      <c r="H290" s="637" t="s">
        <v>13</v>
      </c>
      <c r="I290" s="345"/>
      <c r="J290" s="679" t="s">
        <v>14</v>
      </c>
      <c r="K290" s="368" t="s">
        <v>15</v>
      </c>
      <c r="L290" s="46"/>
    </row>
    <row r="291" spans="1:12">
      <c r="A291" s="43"/>
      <c r="B291" s="74"/>
      <c r="C291" s="74"/>
      <c r="D291" s="514"/>
      <c r="E291" s="392"/>
      <c r="F291" s="61"/>
      <c r="G291" s="206"/>
      <c r="H291" s="150"/>
      <c r="I291" s="115"/>
      <c r="J291" s="644"/>
      <c r="K291" s="365"/>
    </row>
    <row r="292" spans="1:12">
      <c r="A292" s="43"/>
      <c r="B292" s="74"/>
      <c r="C292" s="74"/>
      <c r="D292" s="516"/>
      <c r="E292" s="387"/>
      <c r="F292" s="69"/>
      <c r="G292" s="206"/>
      <c r="H292" s="150"/>
      <c r="I292" s="115"/>
      <c r="J292" s="644"/>
      <c r="K292" s="365"/>
    </row>
    <row r="293" spans="1:12">
      <c r="A293" s="43"/>
      <c r="B293" s="74"/>
      <c r="C293" s="74"/>
      <c r="D293" s="516"/>
      <c r="E293" s="243"/>
      <c r="F293" s="61"/>
      <c r="G293" s="206"/>
      <c r="H293" s="150"/>
      <c r="I293" s="115"/>
      <c r="J293" s="644"/>
      <c r="K293" s="365"/>
    </row>
    <row r="294" spans="1:12">
      <c r="A294" s="43"/>
      <c r="B294" s="74"/>
      <c r="C294" s="74"/>
      <c r="D294" s="516"/>
      <c r="E294" s="243"/>
      <c r="F294" s="61"/>
      <c r="G294" s="206"/>
      <c r="H294" s="150"/>
      <c r="I294" s="115"/>
      <c r="J294" s="644"/>
      <c r="K294" s="365"/>
    </row>
    <row r="295" spans="1:12">
      <c r="A295" s="43"/>
      <c r="B295" s="74"/>
      <c r="C295" s="74"/>
      <c r="D295" s="516"/>
      <c r="E295" s="243"/>
      <c r="F295" s="61"/>
      <c r="G295" s="206"/>
      <c r="H295" s="150"/>
      <c r="I295" s="115"/>
      <c r="J295" s="644"/>
      <c r="K295" s="365"/>
    </row>
    <row r="296" spans="1:12">
      <c r="A296" s="43"/>
      <c r="B296" s="74"/>
      <c r="C296" s="74"/>
      <c r="D296" s="516"/>
      <c r="E296" s="243"/>
      <c r="F296" s="61"/>
      <c r="G296" s="206"/>
      <c r="H296" s="150"/>
      <c r="I296" s="115"/>
      <c r="J296" s="644"/>
      <c r="K296" s="365"/>
    </row>
    <row r="297" spans="1:12">
      <c r="A297" s="43"/>
      <c r="B297" s="74"/>
      <c r="C297" s="74"/>
      <c r="D297" s="516"/>
      <c r="E297" s="243"/>
      <c r="F297" s="61"/>
      <c r="G297" s="206"/>
      <c r="H297" s="150"/>
      <c r="I297" s="115"/>
      <c r="J297" s="644"/>
      <c r="K297" s="365"/>
    </row>
    <row r="298" spans="1:12">
      <c r="A298" s="43"/>
      <c r="B298" s="74"/>
      <c r="C298" s="74"/>
      <c r="D298" s="516"/>
      <c r="E298" s="243"/>
      <c r="F298" s="61"/>
      <c r="G298" s="206"/>
      <c r="H298" s="150"/>
      <c r="I298" s="115"/>
      <c r="J298" s="644"/>
      <c r="K298" s="365"/>
    </row>
    <row r="299" spans="1:12">
      <c r="A299" s="43"/>
      <c r="B299" s="74"/>
      <c r="C299" s="74"/>
      <c r="D299" s="516"/>
      <c r="E299" s="243"/>
      <c r="F299" s="61"/>
      <c r="G299" s="206"/>
      <c r="H299" s="150"/>
      <c r="I299" s="115"/>
      <c r="J299" s="644"/>
      <c r="K299" s="365"/>
    </row>
    <row r="300" spans="1:12">
      <c r="A300" s="43"/>
      <c r="B300" s="74"/>
      <c r="C300" s="74"/>
      <c r="D300" s="516"/>
      <c r="E300" s="243"/>
      <c r="F300" s="61"/>
      <c r="G300" s="206"/>
      <c r="H300" s="150"/>
      <c r="I300" s="115"/>
      <c r="J300" s="644"/>
      <c r="K300" s="365"/>
    </row>
    <row r="301" spans="1:12">
      <c r="A301" s="43"/>
      <c r="B301" s="74"/>
      <c r="C301" s="74"/>
      <c r="D301" s="516"/>
      <c r="E301" s="243"/>
      <c r="F301" s="61"/>
      <c r="G301" s="206"/>
      <c r="H301" s="150"/>
      <c r="I301" s="115"/>
      <c r="J301" s="644"/>
      <c r="K301" s="365"/>
    </row>
    <row r="302" spans="1:12">
      <c r="A302" s="43"/>
      <c r="B302" s="74"/>
      <c r="C302" s="74"/>
      <c r="D302" s="516"/>
      <c r="E302" s="243"/>
      <c r="F302" s="61"/>
      <c r="G302" s="206"/>
      <c r="H302" s="150"/>
      <c r="I302" s="115"/>
      <c r="J302" s="644"/>
      <c r="K302" s="365"/>
    </row>
    <row r="303" spans="1:12">
      <c r="A303" s="43"/>
      <c r="B303" s="74"/>
      <c r="C303" s="74"/>
      <c r="D303" s="516"/>
      <c r="E303" s="243"/>
      <c r="F303" s="61"/>
      <c r="G303" s="206"/>
      <c r="H303" s="150"/>
      <c r="I303" s="115"/>
      <c r="J303" s="644"/>
      <c r="K303" s="365"/>
    </row>
    <row r="304" spans="1:12">
      <c r="A304" s="43"/>
      <c r="B304" s="74"/>
      <c r="C304" s="74"/>
      <c r="D304" s="516"/>
      <c r="E304" s="243"/>
      <c r="F304" s="61"/>
      <c r="G304" s="206"/>
      <c r="H304" s="150"/>
      <c r="I304" s="115"/>
      <c r="J304" s="644"/>
      <c r="K304" s="365"/>
    </row>
    <row r="305" spans="1:11">
      <c r="A305" s="43"/>
      <c r="B305" s="74"/>
      <c r="C305" s="74"/>
      <c r="D305" s="516"/>
      <c r="E305" s="243"/>
      <c r="F305" s="61"/>
      <c r="G305" s="206"/>
      <c r="H305" s="150"/>
      <c r="I305" s="115"/>
      <c r="J305" s="644"/>
      <c r="K305" s="365"/>
    </row>
    <row r="306" spans="1:11">
      <c r="A306" s="43"/>
      <c r="B306" s="74"/>
      <c r="C306" s="74"/>
      <c r="D306" s="516"/>
      <c r="E306" s="243"/>
      <c r="F306" s="61"/>
      <c r="G306" s="206"/>
      <c r="H306" s="150"/>
      <c r="I306" s="115"/>
      <c r="J306" s="644"/>
      <c r="K306" s="365"/>
    </row>
    <row r="307" spans="1:11">
      <c r="A307" s="43"/>
      <c r="B307" s="74"/>
      <c r="C307" s="74"/>
      <c r="D307" s="516"/>
      <c r="E307" s="243"/>
      <c r="F307" s="61"/>
      <c r="G307" s="206"/>
      <c r="H307" s="150"/>
      <c r="I307" s="115"/>
      <c r="J307" s="644"/>
      <c r="K307" s="365"/>
    </row>
    <row r="308" spans="1:11">
      <c r="A308" s="43"/>
      <c r="B308" s="74"/>
      <c r="C308" s="74"/>
      <c r="D308" s="516"/>
      <c r="E308" s="243"/>
      <c r="F308" s="61"/>
      <c r="G308" s="206"/>
      <c r="H308" s="150"/>
      <c r="I308" s="115"/>
      <c r="J308" s="644"/>
      <c r="K308" s="365"/>
    </row>
    <row r="309" spans="1:11">
      <c r="A309" s="43"/>
      <c r="B309" s="74"/>
      <c r="C309" s="74"/>
      <c r="D309" s="516"/>
      <c r="E309" s="243"/>
      <c r="F309" s="61"/>
      <c r="G309" s="206"/>
      <c r="H309" s="150"/>
      <c r="I309" s="115"/>
      <c r="J309" s="644"/>
      <c r="K309" s="365"/>
    </row>
    <row r="310" spans="1:11">
      <c r="A310" s="74"/>
      <c r="B310" s="74"/>
      <c r="C310" s="74"/>
      <c r="D310" s="516"/>
      <c r="E310" s="91"/>
      <c r="F310" s="61"/>
      <c r="G310" s="206"/>
      <c r="H310" s="150"/>
      <c r="I310" s="115"/>
      <c r="J310" s="644"/>
      <c r="K310" s="365"/>
    </row>
    <row r="311" spans="1:11">
      <c r="A311" s="58"/>
      <c r="B311" s="58"/>
      <c r="C311" s="58"/>
      <c r="D311" s="519"/>
      <c r="E311" s="91"/>
      <c r="F311" s="61"/>
      <c r="G311" s="206"/>
      <c r="H311" s="150"/>
      <c r="I311" s="115"/>
      <c r="J311" s="644"/>
      <c r="K311" s="365"/>
    </row>
    <row r="312" spans="1:11">
      <c r="A312" s="58"/>
      <c r="B312" s="58"/>
      <c r="C312" s="58"/>
      <c r="D312" s="519"/>
      <c r="E312" s="91"/>
      <c r="F312" s="61"/>
      <c r="G312" s="206"/>
      <c r="H312" s="150"/>
      <c r="I312" s="115"/>
      <c r="J312" s="644"/>
      <c r="K312" s="365"/>
    </row>
    <row r="313" spans="1:11">
      <c r="A313" s="74"/>
      <c r="B313" s="74"/>
      <c r="C313" s="74"/>
      <c r="D313" s="516"/>
      <c r="E313" s="91"/>
      <c r="F313" s="61"/>
      <c r="G313" s="206"/>
      <c r="H313" s="150"/>
      <c r="I313" s="115"/>
      <c r="J313" s="644"/>
      <c r="K313" s="365"/>
    </row>
    <row r="314" spans="1:11">
      <c r="A314" s="63"/>
      <c r="B314" s="63"/>
      <c r="C314" s="63"/>
      <c r="D314" s="517"/>
      <c r="E314" s="91"/>
      <c r="F314" s="61"/>
      <c r="G314" s="215"/>
      <c r="H314" s="150"/>
      <c r="I314" s="207"/>
      <c r="J314" s="644"/>
      <c r="K314" s="365"/>
    </row>
    <row r="315" spans="1:11">
      <c r="A315" s="63"/>
      <c r="B315" s="63"/>
      <c r="C315" s="63"/>
      <c r="D315" s="517"/>
      <c r="E315" s="91"/>
      <c r="F315" s="61"/>
      <c r="G315" s="215"/>
      <c r="H315" s="150"/>
      <c r="I315" s="207"/>
      <c r="J315" s="644"/>
      <c r="K315" s="365"/>
    </row>
    <row r="316" spans="1:11">
      <c r="A316" s="81"/>
      <c r="B316" s="82"/>
      <c r="C316" s="82"/>
      <c r="D316" s="518"/>
      <c r="E316" s="387"/>
      <c r="F316" s="69"/>
      <c r="G316" s="216"/>
      <c r="H316" s="638"/>
      <c r="I316" s="116"/>
      <c r="J316" s="672"/>
      <c r="K316" s="369"/>
    </row>
    <row r="317" spans="1:11">
      <c r="A317" s="43"/>
      <c r="B317" s="74"/>
      <c r="C317" s="74"/>
      <c r="D317" s="516"/>
      <c r="E317" s="243"/>
      <c r="F317" s="61"/>
      <c r="G317" s="206"/>
      <c r="H317" s="150"/>
      <c r="I317" s="115"/>
      <c r="J317" s="644"/>
      <c r="K317" s="365"/>
    </row>
    <row r="318" spans="1:11">
      <c r="A318" s="81"/>
      <c r="B318" s="82"/>
      <c r="C318" s="82"/>
      <c r="D318" s="518"/>
      <c r="E318" s="387"/>
      <c r="F318" s="69"/>
      <c r="G318" s="216"/>
      <c r="H318" s="638"/>
      <c r="I318" s="116"/>
      <c r="J318" s="672"/>
      <c r="K318" s="369"/>
    </row>
    <row r="319" spans="1:11" ht="35.25" thickBot="1">
      <c r="A319" s="86"/>
      <c r="B319" s="85"/>
      <c r="C319" s="85"/>
      <c r="D319" s="520"/>
      <c r="E319" s="397"/>
      <c r="F319" s="66"/>
      <c r="G319" s="220"/>
      <c r="H319" s="643"/>
      <c r="I319" s="288"/>
      <c r="J319" s="681"/>
      <c r="K319" s="395"/>
    </row>
    <row r="320" spans="1:11">
      <c r="A320" s="44"/>
      <c r="B320" s="45"/>
      <c r="C320" s="45"/>
      <c r="D320" s="204"/>
      <c r="F320" s="68"/>
    </row>
    <row r="321" spans="1:12">
      <c r="A321" s="45" t="s">
        <v>0</v>
      </c>
      <c r="B321" s="45"/>
      <c r="C321" s="44"/>
      <c r="D321" s="513"/>
      <c r="F321" s="68"/>
      <c r="L321" s="45"/>
    </row>
    <row r="322" spans="1:12">
      <c r="A322" s="44" t="s">
        <v>1453</v>
      </c>
      <c r="B322" s="45"/>
      <c r="C322" s="45"/>
      <c r="D322" s="204"/>
      <c r="F322" s="68"/>
      <c r="L322" s="45"/>
    </row>
    <row r="323" spans="1:12" ht="35.25" thickBot="1">
      <c r="F323" s="68"/>
    </row>
    <row r="324" spans="1:12">
      <c r="A324" s="47" t="s">
        <v>1454</v>
      </c>
      <c r="B324" s="48" t="s">
        <v>2</v>
      </c>
      <c r="C324" s="48" t="s">
        <v>3</v>
      </c>
      <c r="D324" s="436" t="s">
        <v>4</v>
      </c>
      <c r="E324" s="77" t="s">
        <v>5</v>
      </c>
      <c r="F324" s="78" t="s">
        <v>5</v>
      </c>
      <c r="G324" s="211" t="s">
        <v>6</v>
      </c>
      <c r="H324" s="636" t="s">
        <v>7</v>
      </c>
      <c r="I324" s="344" t="s">
        <v>8</v>
      </c>
      <c r="J324" s="678" t="s">
        <v>9</v>
      </c>
      <c r="K324" s="367" t="s">
        <v>9</v>
      </c>
      <c r="L324" s="46"/>
    </row>
    <row r="325" spans="1:12" ht="35.25" thickBot="1">
      <c r="A325" s="49"/>
      <c r="B325" s="50"/>
      <c r="C325" s="50"/>
      <c r="D325" s="437" t="s">
        <v>10</v>
      </c>
      <c r="E325" s="79" t="s">
        <v>12</v>
      </c>
      <c r="F325" s="80" t="s">
        <v>11</v>
      </c>
      <c r="G325" s="212"/>
      <c r="H325" s="637" t="s">
        <v>13</v>
      </c>
      <c r="I325" s="345"/>
      <c r="J325" s="679" t="s">
        <v>14</v>
      </c>
      <c r="K325" s="368" t="s">
        <v>15</v>
      </c>
      <c r="L325" s="46"/>
    </row>
    <row r="326" spans="1:12">
      <c r="A326" s="43"/>
      <c r="B326" s="74"/>
      <c r="C326" s="74"/>
      <c r="D326" s="514"/>
      <c r="E326" s="392"/>
      <c r="F326" s="61"/>
      <c r="G326" s="206"/>
      <c r="H326" s="150"/>
      <c r="I326" s="115"/>
      <c r="J326" s="644"/>
      <c r="K326" s="365"/>
    </row>
    <row r="327" spans="1:12">
      <c r="A327" s="43"/>
      <c r="B327" s="74"/>
      <c r="C327" s="74"/>
      <c r="D327" s="516"/>
      <c r="E327" s="387"/>
      <c r="F327" s="69"/>
      <c r="G327" s="206"/>
      <c r="H327" s="150"/>
      <c r="I327" s="115"/>
      <c r="J327" s="644"/>
      <c r="K327" s="365"/>
    </row>
    <row r="328" spans="1:12">
      <c r="A328" s="43"/>
      <c r="B328" s="74"/>
      <c r="C328" s="74"/>
      <c r="D328" s="516"/>
      <c r="E328" s="243"/>
      <c r="F328" s="61"/>
      <c r="G328" s="206"/>
      <c r="H328" s="150"/>
      <c r="I328" s="115"/>
      <c r="J328" s="644"/>
      <c r="K328" s="365"/>
    </row>
    <row r="329" spans="1:12">
      <c r="A329" s="43"/>
      <c r="B329" s="74"/>
      <c r="C329" s="74"/>
      <c r="D329" s="516"/>
      <c r="E329" s="243"/>
      <c r="F329" s="61"/>
      <c r="G329" s="206"/>
      <c r="H329" s="150"/>
      <c r="I329" s="115"/>
      <c r="J329" s="644"/>
      <c r="K329" s="365"/>
    </row>
    <row r="330" spans="1:12">
      <c r="A330" s="43"/>
      <c r="B330" s="74"/>
      <c r="C330" s="74"/>
      <c r="D330" s="516"/>
      <c r="E330" s="243"/>
      <c r="F330" s="61"/>
      <c r="G330" s="206"/>
      <c r="H330" s="150"/>
      <c r="I330" s="115"/>
      <c r="J330" s="644"/>
      <c r="K330" s="365"/>
    </row>
    <row r="331" spans="1:12">
      <c r="A331" s="43"/>
      <c r="B331" s="74"/>
      <c r="C331" s="74"/>
      <c r="D331" s="516"/>
      <c r="E331" s="243"/>
      <c r="F331" s="61"/>
      <c r="G331" s="206"/>
      <c r="H331" s="150"/>
      <c r="I331" s="115"/>
      <c r="J331" s="644"/>
      <c r="K331" s="365"/>
    </row>
    <row r="332" spans="1:12">
      <c r="A332" s="43"/>
      <c r="B332" s="74"/>
      <c r="C332" s="74"/>
      <c r="D332" s="516"/>
      <c r="E332" s="243"/>
      <c r="F332" s="61"/>
      <c r="G332" s="206"/>
      <c r="H332" s="150"/>
      <c r="I332" s="115"/>
      <c r="J332" s="644"/>
      <c r="K332" s="365"/>
    </row>
    <row r="333" spans="1:12">
      <c r="A333" s="43"/>
      <c r="B333" s="74"/>
      <c r="C333" s="74"/>
      <c r="D333" s="516"/>
      <c r="E333" s="243"/>
      <c r="F333" s="61"/>
      <c r="G333" s="206"/>
      <c r="H333" s="150"/>
      <c r="I333" s="115"/>
      <c r="J333" s="644"/>
      <c r="K333" s="365"/>
    </row>
    <row r="334" spans="1:12">
      <c r="A334" s="43"/>
      <c r="B334" s="74"/>
      <c r="C334" s="74"/>
      <c r="D334" s="516"/>
      <c r="E334" s="243"/>
      <c r="F334" s="61"/>
      <c r="G334" s="206"/>
      <c r="H334" s="150"/>
      <c r="I334" s="115"/>
      <c r="J334" s="644"/>
      <c r="K334" s="365"/>
    </row>
    <row r="335" spans="1:12">
      <c r="A335" s="43"/>
      <c r="B335" s="74"/>
      <c r="C335" s="74"/>
      <c r="D335" s="516"/>
      <c r="E335" s="243"/>
      <c r="F335" s="61"/>
      <c r="G335" s="206"/>
      <c r="H335" s="150"/>
      <c r="I335" s="115"/>
      <c r="J335" s="644"/>
      <c r="K335" s="365"/>
    </row>
    <row r="336" spans="1:12">
      <c r="A336" s="43"/>
      <c r="B336" s="74"/>
      <c r="C336" s="74"/>
      <c r="D336" s="516"/>
      <c r="E336" s="243"/>
      <c r="F336" s="61"/>
      <c r="G336" s="206"/>
      <c r="H336" s="150"/>
      <c r="I336" s="115"/>
      <c r="J336" s="644"/>
      <c r="K336" s="365"/>
    </row>
    <row r="337" spans="1:11">
      <c r="A337" s="43"/>
      <c r="B337" s="74"/>
      <c r="C337" s="74"/>
      <c r="D337" s="516"/>
      <c r="E337" s="243"/>
      <c r="F337" s="61"/>
      <c r="G337" s="206"/>
      <c r="H337" s="150"/>
      <c r="I337" s="115"/>
      <c r="J337" s="644"/>
      <c r="K337" s="365"/>
    </row>
    <row r="338" spans="1:11">
      <c r="A338" s="43"/>
      <c r="B338" s="74"/>
      <c r="C338" s="74"/>
      <c r="D338" s="516"/>
      <c r="E338" s="243"/>
      <c r="F338" s="61"/>
      <c r="G338" s="206"/>
      <c r="H338" s="150"/>
      <c r="I338" s="115"/>
      <c r="J338" s="644"/>
      <c r="K338" s="365"/>
    </row>
    <row r="339" spans="1:11">
      <c r="A339" s="43"/>
      <c r="B339" s="74"/>
      <c r="C339" s="74"/>
      <c r="D339" s="516"/>
      <c r="E339" s="243"/>
      <c r="F339" s="61"/>
      <c r="G339" s="206"/>
      <c r="H339" s="150"/>
      <c r="I339" s="115"/>
      <c r="J339" s="644"/>
      <c r="K339" s="365"/>
    </row>
    <row r="340" spans="1:11">
      <c r="A340" s="43"/>
      <c r="B340" s="74"/>
      <c r="C340" s="74"/>
      <c r="D340" s="516"/>
      <c r="E340" s="243"/>
      <c r="F340" s="61"/>
      <c r="G340" s="206"/>
      <c r="H340" s="150"/>
      <c r="I340" s="115"/>
      <c r="J340" s="644"/>
      <c r="K340" s="365"/>
    </row>
    <row r="341" spans="1:11">
      <c r="A341" s="43"/>
      <c r="B341" s="74"/>
      <c r="C341" s="74"/>
      <c r="D341" s="516"/>
      <c r="E341" s="243"/>
      <c r="F341" s="61"/>
      <c r="G341" s="206"/>
      <c r="H341" s="150"/>
      <c r="I341" s="115"/>
      <c r="J341" s="644"/>
      <c r="K341" s="365"/>
    </row>
    <row r="342" spans="1:11">
      <c r="A342" s="43"/>
      <c r="B342" s="74"/>
      <c r="C342" s="74"/>
      <c r="D342" s="516"/>
      <c r="E342" s="243"/>
      <c r="F342" s="61"/>
      <c r="G342" s="206"/>
      <c r="H342" s="150"/>
      <c r="I342" s="115"/>
      <c r="J342" s="644"/>
      <c r="K342" s="365"/>
    </row>
    <row r="343" spans="1:11">
      <c r="A343" s="43"/>
      <c r="B343" s="74"/>
      <c r="C343" s="74"/>
      <c r="D343" s="516"/>
      <c r="E343" s="243"/>
      <c r="F343" s="61"/>
      <c r="G343" s="206"/>
      <c r="H343" s="150"/>
      <c r="I343" s="115"/>
      <c r="J343" s="644"/>
      <c r="K343" s="365"/>
    </row>
    <row r="344" spans="1:11">
      <c r="A344" s="43"/>
      <c r="B344" s="74"/>
      <c r="C344" s="74"/>
      <c r="D344" s="516"/>
      <c r="E344" s="243"/>
      <c r="F344" s="61"/>
      <c r="G344" s="206"/>
      <c r="H344" s="150"/>
      <c r="I344" s="115"/>
      <c r="J344" s="644"/>
      <c r="K344" s="365"/>
    </row>
    <row r="345" spans="1:11">
      <c r="A345" s="74"/>
      <c r="B345" s="74"/>
      <c r="C345" s="74"/>
      <c r="D345" s="516"/>
      <c r="E345" s="91"/>
      <c r="F345" s="61"/>
      <c r="G345" s="206"/>
      <c r="H345" s="150"/>
      <c r="I345" s="115"/>
      <c r="J345" s="644"/>
      <c r="K345" s="365"/>
    </row>
    <row r="346" spans="1:11">
      <c r="A346" s="58"/>
      <c r="B346" s="58"/>
      <c r="C346" s="58"/>
      <c r="D346" s="519"/>
      <c r="E346" s="91"/>
      <c r="F346" s="61"/>
      <c r="G346" s="206"/>
      <c r="H346" s="150"/>
      <c r="I346" s="115"/>
      <c r="J346" s="644"/>
      <c r="K346" s="365"/>
    </row>
    <row r="347" spans="1:11">
      <c r="A347" s="58"/>
      <c r="B347" s="58"/>
      <c r="C347" s="58"/>
      <c r="D347" s="519"/>
      <c r="E347" s="91"/>
      <c r="F347" s="61"/>
      <c r="G347" s="206"/>
      <c r="H347" s="150"/>
      <c r="I347" s="115"/>
      <c r="J347" s="644"/>
      <c r="K347" s="365"/>
    </row>
    <row r="348" spans="1:11">
      <c r="A348" s="74"/>
      <c r="B348" s="74"/>
      <c r="C348" s="74"/>
      <c r="D348" s="516"/>
      <c r="E348" s="91"/>
      <c r="F348" s="61"/>
      <c r="G348" s="206"/>
      <c r="H348" s="150"/>
      <c r="I348" s="115"/>
      <c r="J348" s="644"/>
      <c r="K348" s="365"/>
    </row>
    <row r="349" spans="1:11">
      <c r="A349" s="63"/>
      <c r="B349" s="63"/>
      <c r="C349" s="63"/>
      <c r="D349" s="517"/>
      <c r="E349" s="91"/>
      <c r="F349" s="61"/>
      <c r="G349" s="215"/>
      <c r="H349" s="150"/>
      <c r="I349" s="207"/>
      <c r="J349" s="644"/>
      <c r="K349" s="365"/>
    </row>
    <row r="350" spans="1:11">
      <c r="A350" s="63"/>
      <c r="B350" s="63"/>
      <c r="C350" s="63"/>
      <c r="D350" s="517"/>
      <c r="E350" s="91"/>
      <c r="F350" s="61"/>
      <c r="G350" s="215"/>
      <c r="H350" s="150"/>
      <c r="I350" s="207"/>
      <c r="J350" s="644"/>
      <c r="K350" s="365"/>
    </row>
    <row r="351" spans="1:11">
      <c r="A351" s="81"/>
      <c r="B351" s="82"/>
      <c r="C351" s="82"/>
      <c r="D351" s="518"/>
      <c r="E351" s="387"/>
      <c r="F351" s="69"/>
      <c r="G351" s="216"/>
      <c r="H351" s="638"/>
      <c r="I351" s="116"/>
      <c r="J351" s="672"/>
      <c r="K351" s="369"/>
    </row>
    <row r="352" spans="1:11">
      <c r="A352" s="43"/>
      <c r="B352" s="74"/>
      <c r="C352" s="74"/>
      <c r="D352" s="516"/>
      <c r="E352" s="243"/>
      <c r="F352" s="61"/>
      <c r="G352" s="206"/>
      <c r="H352" s="150"/>
      <c r="I352" s="115"/>
      <c r="J352" s="644"/>
      <c r="K352" s="365"/>
    </row>
    <row r="353" spans="1:12">
      <c r="A353" s="81"/>
      <c r="B353" s="82"/>
      <c r="C353" s="82"/>
      <c r="D353" s="518"/>
      <c r="E353" s="387"/>
      <c r="F353" s="69"/>
      <c r="G353" s="216"/>
      <c r="H353" s="638"/>
      <c r="I353" s="116"/>
      <c r="J353" s="672"/>
      <c r="K353" s="369"/>
    </row>
    <row r="354" spans="1:12" ht="35.25" thickBot="1">
      <c r="A354" s="86"/>
      <c r="B354" s="85"/>
      <c r="C354" s="85"/>
      <c r="D354" s="520"/>
      <c r="E354" s="397"/>
      <c r="F354" s="66"/>
      <c r="G354" s="220"/>
      <c r="H354" s="643"/>
      <c r="I354" s="288"/>
      <c r="J354" s="681"/>
      <c r="K354" s="395"/>
    </row>
    <row r="355" spans="1:12">
      <c r="A355" s="44"/>
      <c r="B355" s="45"/>
      <c r="C355" s="45"/>
      <c r="D355" s="204"/>
      <c r="F355" s="68"/>
    </row>
    <row r="356" spans="1:12">
      <c r="A356" s="45" t="s">
        <v>0</v>
      </c>
      <c r="B356" s="45"/>
      <c r="C356" s="44"/>
      <c r="D356" s="513"/>
      <c r="F356" s="68"/>
      <c r="L356" s="45"/>
    </row>
    <row r="357" spans="1:12">
      <c r="A357" s="44" t="s">
        <v>1453</v>
      </c>
      <c r="B357" s="45"/>
      <c r="C357" s="45"/>
      <c r="D357" s="204"/>
      <c r="F357" s="68"/>
      <c r="L357" s="45"/>
    </row>
    <row r="358" spans="1:12" ht="35.25" thickBot="1">
      <c r="F358" s="68"/>
    </row>
    <row r="359" spans="1:12">
      <c r="A359" s="47" t="s">
        <v>1454</v>
      </c>
      <c r="B359" s="48" t="s">
        <v>2</v>
      </c>
      <c r="C359" s="48" t="s">
        <v>3</v>
      </c>
      <c r="D359" s="436" t="s">
        <v>4</v>
      </c>
      <c r="E359" s="77" t="s">
        <v>5</v>
      </c>
      <c r="F359" s="78" t="s">
        <v>5</v>
      </c>
      <c r="G359" s="211" t="s">
        <v>6</v>
      </c>
      <c r="H359" s="636" t="s">
        <v>7</v>
      </c>
      <c r="I359" s="344" t="s">
        <v>8</v>
      </c>
      <c r="J359" s="678" t="s">
        <v>9</v>
      </c>
      <c r="K359" s="367" t="s">
        <v>9</v>
      </c>
      <c r="L359" s="46"/>
    </row>
    <row r="360" spans="1:12" ht="35.25" thickBot="1">
      <c r="A360" s="49"/>
      <c r="B360" s="50"/>
      <c r="C360" s="50"/>
      <c r="D360" s="437" t="s">
        <v>10</v>
      </c>
      <c r="E360" s="79" t="s">
        <v>12</v>
      </c>
      <c r="F360" s="80" t="s">
        <v>11</v>
      </c>
      <c r="G360" s="212"/>
      <c r="H360" s="637" t="s">
        <v>13</v>
      </c>
      <c r="I360" s="345"/>
      <c r="J360" s="679" t="s">
        <v>14</v>
      </c>
      <c r="K360" s="368" t="s">
        <v>15</v>
      </c>
      <c r="L360" s="46"/>
    </row>
    <row r="361" spans="1:12">
      <c r="A361" s="43"/>
      <c r="B361" s="74"/>
      <c r="C361" s="74"/>
      <c r="D361" s="514"/>
      <c r="E361" s="392"/>
      <c r="F361" s="61"/>
      <c r="G361" s="206"/>
      <c r="H361" s="150"/>
      <c r="I361" s="115"/>
      <c r="J361" s="644"/>
      <c r="K361" s="365"/>
    </row>
    <row r="362" spans="1:12">
      <c r="A362" s="43"/>
      <c r="B362" s="74"/>
      <c r="C362" s="74"/>
      <c r="D362" s="516"/>
      <c r="E362" s="387"/>
      <c r="F362" s="69"/>
      <c r="G362" s="206"/>
      <c r="H362" s="150"/>
      <c r="I362" s="115"/>
      <c r="J362" s="644"/>
      <c r="K362" s="365"/>
    </row>
    <row r="363" spans="1:12">
      <c r="A363" s="43"/>
      <c r="B363" s="74"/>
      <c r="C363" s="74"/>
      <c r="D363" s="516"/>
      <c r="E363" s="243"/>
      <c r="F363" s="61"/>
      <c r="G363" s="206"/>
      <c r="H363" s="150"/>
      <c r="I363" s="115"/>
      <c r="J363" s="644"/>
      <c r="K363" s="365"/>
    </row>
    <row r="364" spans="1:12">
      <c r="A364" s="43"/>
      <c r="B364" s="74"/>
      <c r="C364" s="74"/>
      <c r="D364" s="516"/>
      <c r="E364" s="243"/>
      <c r="F364" s="61"/>
      <c r="G364" s="206"/>
      <c r="H364" s="150"/>
      <c r="I364" s="115"/>
      <c r="J364" s="644"/>
      <c r="K364" s="365"/>
    </row>
    <row r="365" spans="1:12">
      <c r="A365" s="43"/>
      <c r="B365" s="74"/>
      <c r="C365" s="74"/>
      <c r="D365" s="516"/>
      <c r="E365" s="243"/>
      <c r="F365" s="61"/>
      <c r="G365" s="206"/>
      <c r="H365" s="150"/>
      <c r="I365" s="115"/>
      <c r="J365" s="644"/>
      <c r="K365" s="365"/>
    </row>
    <row r="366" spans="1:12">
      <c r="A366" s="43"/>
      <c r="B366" s="74"/>
      <c r="C366" s="74"/>
      <c r="D366" s="516"/>
      <c r="E366" s="243"/>
      <c r="F366" s="61"/>
      <c r="G366" s="206"/>
      <c r="H366" s="150"/>
      <c r="I366" s="115"/>
      <c r="J366" s="644"/>
      <c r="K366" s="365"/>
    </row>
    <row r="367" spans="1:12">
      <c r="A367" s="43"/>
      <c r="B367" s="74"/>
      <c r="C367" s="74"/>
      <c r="D367" s="516"/>
      <c r="E367" s="243"/>
      <c r="F367" s="61"/>
      <c r="G367" s="206"/>
      <c r="H367" s="150"/>
      <c r="I367" s="115"/>
      <c r="J367" s="644"/>
      <c r="K367" s="365"/>
    </row>
    <row r="368" spans="1:12">
      <c r="A368" s="43"/>
      <c r="B368" s="74"/>
      <c r="C368" s="74"/>
      <c r="D368" s="516"/>
      <c r="E368" s="243"/>
      <c r="F368" s="61"/>
      <c r="G368" s="206"/>
      <c r="H368" s="150"/>
      <c r="I368" s="115"/>
      <c r="J368" s="644"/>
      <c r="K368" s="365"/>
    </row>
    <row r="369" spans="1:11">
      <c r="A369" s="43"/>
      <c r="B369" s="74"/>
      <c r="C369" s="74"/>
      <c r="D369" s="516"/>
      <c r="E369" s="243"/>
      <c r="F369" s="61"/>
      <c r="G369" s="206"/>
      <c r="H369" s="150"/>
      <c r="I369" s="115"/>
      <c r="J369" s="644"/>
      <c r="K369" s="365"/>
    </row>
    <row r="370" spans="1:11">
      <c r="A370" s="43"/>
      <c r="B370" s="74"/>
      <c r="C370" s="74"/>
      <c r="D370" s="516"/>
      <c r="E370" s="243"/>
      <c r="F370" s="61"/>
      <c r="G370" s="206"/>
      <c r="H370" s="150"/>
      <c r="I370" s="115"/>
      <c r="J370" s="644"/>
      <c r="K370" s="365"/>
    </row>
    <row r="371" spans="1:11">
      <c r="A371" s="43"/>
      <c r="B371" s="74"/>
      <c r="C371" s="74"/>
      <c r="D371" s="516"/>
      <c r="E371" s="243"/>
      <c r="F371" s="61"/>
      <c r="G371" s="206"/>
      <c r="H371" s="150"/>
      <c r="I371" s="115"/>
      <c r="J371" s="644"/>
      <c r="K371" s="365"/>
    </row>
    <row r="372" spans="1:11">
      <c r="A372" s="43"/>
      <c r="B372" s="74"/>
      <c r="C372" s="74"/>
      <c r="D372" s="516"/>
      <c r="E372" s="243"/>
      <c r="F372" s="61"/>
      <c r="G372" s="206"/>
      <c r="H372" s="150"/>
      <c r="I372" s="115"/>
      <c r="J372" s="644"/>
      <c r="K372" s="365"/>
    </row>
    <row r="373" spans="1:11">
      <c r="A373" s="43"/>
      <c r="B373" s="74"/>
      <c r="C373" s="74"/>
      <c r="D373" s="516"/>
      <c r="E373" s="243"/>
      <c r="F373" s="61"/>
      <c r="G373" s="206"/>
      <c r="H373" s="150"/>
      <c r="I373" s="115"/>
      <c r="J373" s="644"/>
      <c r="K373" s="365"/>
    </row>
    <row r="374" spans="1:11">
      <c r="A374" s="43"/>
      <c r="B374" s="74"/>
      <c r="C374" s="74"/>
      <c r="D374" s="516"/>
      <c r="E374" s="243"/>
      <c r="F374" s="61"/>
      <c r="G374" s="206"/>
      <c r="H374" s="150"/>
      <c r="I374" s="115"/>
      <c r="J374" s="644"/>
      <c r="K374" s="365"/>
    </row>
    <row r="375" spans="1:11">
      <c r="A375" s="43"/>
      <c r="B375" s="74"/>
      <c r="C375" s="74"/>
      <c r="D375" s="516"/>
      <c r="E375" s="243"/>
      <c r="F375" s="61"/>
      <c r="G375" s="206"/>
      <c r="H375" s="150"/>
      <c r="I375" s="115"/>
      <c r="J375" s="644"/>
      <c r="K375" s="365"/>
    </row>
    <row r="376" spans="1:11">
      <c r="A376" s="43"/>
      <c r="B376" s="74"/>
      <c r="C376" s="74"/>
      <c r="D376" s="516"/>
      <c r="E376" s="243"/>
      <c r="F376" s="61"/>
      <c r="G376" s="206"/>
      <c r="H376" s="150"/>
      <c r="I376" s="115"/>
      <c r="J376" s="644"/>
      <c r="K376" s="365"/>
    </row>
    <row r="377" spans="1:11">
      <c r="A377" s="43"/>
      <c r="B377" s="74"/>
      <c r="C377" s="74"/>
      <c r="D377" s="516"/>
      <c r="E377" s="243"/>
      <c r="F377" s="61"/>
      <c r="G377" s="206"/>
      <c r="H377" s="150"/>
      <c r="I377" s="115"/>
      <c r="J377" s="644"/>
      <c r="K377" s="365"/>
    </row>
    <row r="378" spans="1:11">
      <c r="A378" s="43"/>
      <c r="B378" s="74"/>
      <c r="C378" s="74"/>
      <c r="D378" s="516"/>
      <c r="E378" s="243"/>
      <c r="F378" s="61"/>
      <c r="G378" s="206"/>
      <c r="H378" s="150"/>
      <c r="I378" s="115"/>
      <c r="J378" s="644"/>
      <c r="K378" s="365"/>
    </row>
    <row r="379" spans="1:11">
      <c r="A379" s="43"/>
      <c r="B379" s="74"/>
      <c r="C379" s="74"/>
      <c r="D379" s="516"/>
      <c r="E379" s="243"/>
      <c r="F379" s="61"/>
      <c r="G379" s="206"/>
      <c r="H379" s="150"/>
      <c r="I379" s="115"/>
      <c r="J379" s="644"/>
      <c r="K379" s="365"/>
    </row>
    <row r="380" spans="1:11">
      <c r="A380" s="74"/>
      <c r="B380" s="74"/>
      <c r="C380" s="74"/>
      <c r="D380" s="516"/>
      <c r="E380" s="91"/>
      <c r="F380" s="61"/>
      <c r="G380" s="206"/>
      <c r="H380" s="150"/>
      <c r="I380" s="115"/>
      <c r="J380" s="644"/>
      <c r="K380" s="365"/>
    </row>
    <row r="381" spans="1:11">
      <c r="A381" s="58"/>
      <c r="B381" s="58"/>
      <c r="C381" s="58"/>
      <c r="D381" s="519"/>
      <c r="E381" s="91"/>
      <c r="F381" s="61"/>
      <c r="G381" s="206"/>
      <c r="H381" s="150"/>
      <c r="I381" s="115"/>
      <c r="J381" s="644"/>
      <c r="K381" s="365"/>
    </row>
    <row r="382" spans="1:11">
      <c r="A382" s="58"/>
      <c r="B382" s="58"/>
      <c r="C382" s="58"/>
      <c r="D382" s="519"/>
      <c r="E382" s="91"/>
      <c r="F382" s="61"/>
      <c r="G382" s="206"/>
      <c r="H382" s="150"/>
      <c r="I382" s="115"/>
      <c r="J382" s="644"/>
      <c r="K382" s="365"/>
    </row>
    <row r="383" spans="1:11">
      <c r="A383" s="74"/>
      <c r="B383" s="74"/>
      <c r="C383" s="74"/>
      <c r="D383" s="516"/>
      <c r="E383" s="91"/>
      <c r="F383" s="61"/>
      <c r="G383" s="206"/>
      <c r="H383" s="150"/>
      <c r="I383" s="115"/>
      <c r="J383" s="644"/>
      <c r="K383" s="365"/>
    </row>
    <row r="384" spans="1:11">
      <c r="A384" s="63"/>
      <c r="B384" s="63"/>
      <c r="C384" s="63"/>
      <c r="D384" s="517"/>
      <c r="E384" s="91"/>
      <c r="F384" s="61"/>
      <c r="G384" s="215"/>
      <c r="H384" s="150"/>
      <c r="I384" s="207"/>
      <c r="J384" s="644"/>
      <c r="K384" s="365"/>
    </row>
    <row r="385" spans="1:12">
      <c r="A385" s="63"/>
      <c r="B385" s="63"/>
      <c r="C385" s="63"/>
      <c r="D385" s="517"/>
      <c r="E385" s="91"/>
      <c r="F385" s="61"/>
      <c r="G385" s="215"/>
      <c r="H385" s="150"/>
      <c r="I385" s="207"/>
      <c r="J385" s="644"/>
      <c r="K385" s="365"/>
    </row>
    <row r="386" spans="1:12">
      <c r="A386" s="81"/>
      <c r="B386" s="82"/>
      <c r="C386" s="82"/>
      <c r="D386" s="518"/>
      <c r="E386" s="387"/>
      <c r="F386" s="69"/>
      <c r="G386" s="216"/>
      <c r="H386" s="638"/>
      <c r="I386" s="116"/>
      <c r="J386" s="672"/>
      <c r="K386" s="369"/>
    </row>
    <row r="387" spans="1:12">
      <c r="A387" s="43"/>
      <c r="B387" s="74"/>
      <c r="C387" s="74"/>
      <c r="D387" s="516"/>
      <c r="E387" s="243"/>
      <c r="F387" s="61"/>
      <c r="G387" s="206"/>
      <c r="H387" s="150"/>
      <c r="I387" s="115"/>
      <c r="J387" s="644"/>
      <c r="K387" s="365"/>
    </row>
    <row r="388" spans="1:12">
      <c r="A388" s="81"/>
      <c r="B388" s="82"/>
      <c r="C388" s="82"/>
      <c r="D388" s="518"/>
      <c r="E388" s="387"/>
      <c r="F388" s="69"/>
      <c r="G388" s="216"/>
      <c r="H388" s="638"/>
      <c r="I388" s="116"/>
      <c r="J388" s="672"/>
      <c r="K388" s="369"/>
    </row>
    <row r="389" spans="1:12" ht="35.25" thickBot="1">
      <c r="A389" s="86"/>
      <c r="B389" s="85"/>
      <c r="C389" s="85"/>
      <c r="D389" s="520"/>
      <c r="E389" s="397"/>
      <c r="F389" s="66"/>
      <c r="G389" s="220"/>
      <c r="H389" s="643"/>
      <c r="I389" s="288"/>
      <c r="J389" s="681"/>
      <c r="K389" s="395"/>
    </row>
    <row r="390" spans="1:12">
      <c r="A390" s="44"/>
      <c r="B390" s="45"/>
      <c r="C390" s="45"/>
      <c r="D390" s="204"/>
      <c r="F390" s="68"/>
    </row>
    <row r="391" spans="1:12">
      <c r="A391" s="45" t="s">
        <v>0</v>
      </c>
      <c r="B391" s="45"/>
      <c r="C391" s="44"/>
      <c r="D391" s="513"/>
      <c r="F391" s="68"/>
      <c r="L391" s="45"/>
    </row>
    <row r="392" spans="1:12">
      <c r="A392" s="44" t="s">
        <v>1453</v>
      </c>
      <c r="B392" s="45"/>
      <c r="C392" s="45"/>
      <c r="D392" s="204"/>
      <c r="F392" s="68"/>
      <c r="L392" s="45"/>
    </row>
    <row r="393" spans="1:12" ht="35.25" thickBot="1">
      <c r="F393" s="68"/>
    </row>
    <row r="394" spans="1:12">
      <c r="A394" s="47" t="s">
        <v>1454</v>
      </c>
      <c r="B394" s="48" t="s">
        <v>2</v>
      </c>
      <c r="C394" s="48" t="s">
        <v>3</v>
      </c>
      <c r="D394" s="436" t="s">
        <v>4</v>
      </c>
      <c r="E394" s="77" t="s">
        <v>5</v>
      </c>
      <c r="F394" s="78" t="s">
        <v>5</v>
      </c>
      <c r="G394" s="211" t="s">
        <v>6</v>
      </c>
      <c r="H394" s="636" t="s">
        <v>7</v>
      </c>
      <c r="I394" s="344" t="s">
        <v>8</v>
      </c>
      <c r="J394" s="678" t="s">
        <v>9</v>
      </c>
      <c r="K394" s="367" t="s">
        <v>9</v>
      </c>
      <c r="L394" s="46"/>
    </row>
    <row r="395" spans="1:12" ht="35.25" thickBot="1">
      <c r="A395" s="49"/>
      <c r="B395" s="50"/>
      <c r="C395" s="50"/>
      <c r="D395" s="437" t="s">
        <v>10</v>
      </c>
      <c r="E395" s="79" t="s">
        <v>12</v>
      </c>
      <c r="F395" s="80" t="s">
        <v>11</v>
      </c>
      <c r="G395" s="212"/>
      <c r="H395" s="637" t="s">
        <v>13</v>
      </c>
      <c r="I395" s="345"/>
      <c r="J395" s="679" t="s">
        <v>14</v>
      </c>
      <c r="K395" s="368" t="s">
        <v>15</v>
      </c>
      <c r="L395" s="46"/>
    </row>
    <row r="396" spans="1:12">
      <c r="A396" s="43"/>
      <c r="B396" s="74"/>
      <c r="C396" s="74"/>
      <c r="D396" s="514"/>
      <c r="E396" s="392"/>
      <c r="F396" s="61"/>
      <c r="G396" s="206"/>
      <c r="H396" s="150"/>
      <c r="I396" s="115"/>
      <c r="J396" s="644"/>
      <c r="K396" s="365"/>
    </row>
    <row r="397" spans="1:12">
      <c r="A397" s="43"/>
      <c r="B397" s="74"/>
      <c r="C397" s="74"/>
      <c r="D397" s="516"/>
      <c r="E397" s="387"/>
      <c r="F397" s="69"/>
      <c r="G397" s="206"/>
      <c r="H397" s="150"/>
      <c r="I397" s="115"/>
      <c r="J397" s="644"/>
      <c r="K397" s="365"/>
    </row>
    <row r="398" spans="1:12">
      <c r="A398" s="43"/>
      <c r="B398" s="74"/>
      <c r="C398" s="74"/>
      <c r="D398" s="516"/>
      <c r="E398" s="243"/>
      <c r="F398" s="61"/>
      <c r="G398" s="206"/>
      <c r="H398" s="150"/>
      <c r="I398" s="115"/>
      <c r="J398" s="644"/>
      <c r="K398" s="365"/>
    </row>
    <row r="399" spans="1:12">
      <c r="A399" s="43"/>
      <c r="B399" s="74"/>
      <c r="C399" s="74"/>
      <c r="D399" s="516"/>
      <c r="E399" s="243"/>
      <c r="F399" s="61"/>
      <c r="G399" s="206"/>
      <c r="H399" s="150"/>
      <c r="I399" s="115"/>
      <c r="J399" s="644"/>
      <c r="K399" s="365"/>
    </row>
    <row r="400" spans="1:12">
      <c r="A400" s="43"/>
      <c r="B400" s="74"/>
      <c r="C400" s="74"/>
      <c r="D400" s="516"/>
      <c r="E400" s="243"/>
      <c r="F400" s="61"/>
      <c r="G400" s="206"/>
      <c r="H400" s="150"/>
      <c r="I400" s="115"/>
      <c r="J400" s="644"/>
      <c r="K400" s="365"/>
    </row>
    <row r="401" spans="1:11">
      <c r="A401" s="43"/>
      <c r="B401" s="74"/>
      <c r="C401" s="74"/>
      <c r="D401" s="516"/>
      <c r="E401" s="243"/>
      <c r="F401" s="61"/>
      <c r="G401" s="206"/>
      <c r="H401" s="150"/>
      <c r="I401" s="115"/>
      <c r="J401" s="644"/>
      <c r="K401" s="365"/>
    </row>
    <row r="402" spans="1:11">
      <c r="A402" s="43"/>
      <c r="B402" s="74"/>
      <c r="C402" s="74"/>
      <c r="D402" s="516"/>
      <c r="E402" s="243"/>
      <c r="F402" s="61"/>
      <c r="G402" s="206"/>
      <c r="H402" s="150"/>
      <c r="I402" s="115"/>
      <c r="J402" s="644"/>
      <c r="K402" s="365"/>
    </row>
    <row r="403" spans="1:11">
      <c r="A403" s="43"/>
      <c r="B403" s="74"/>
      <c r="C403" s="74"/>
      <c r="D403" s="516"/>
      <c r="E403" s="243"/>
      <c r="F403" s="61"/>
      <c r="G403" s="206"/>
      <c r="H403" s="150"/>
      <c r="I403" s="115"/>
      <c r="J403" s="644"/>
      <c r="K403" s="365"/>
    </row>
    <row r="404" spans="1:11">
      <c r="A404" s="43"/>
      <c r="B404" s="74"/>
      <c r="C404" s="74"/>
      <c r="D404" s="516"/>
      <c r="E404" s="243"/>
      <c r="F404" s="61"/>
      <c r="G404" s="206"/>
      <c r="H404" s="150"/>
      <c r="I404" s="115"/>
      <c r="J404" s="644"/>
      <c r="K404" s="365"/>
    </row>
    <row r="405" spans="1:11">
      <c r="A405" s="43"/>
      <c r="B405" s="74"/>
      <c r="C405" s="74"/>
      <c r="D405" s="516"/>
      <c r="E405" s="243"/>
      <c r="F405" s="61"/>
      <c r="G405" s="206"/>
      <c r="H405" s="150"/>
      <c r="I405" s="115"/>
      <c r="J405" s="644"/>
      <c r="K405" s="365"/>
    </row>
    <row r="406" spans="1:11">
      <c r="A406" s="43"/>
      <c r="B406" s="74"/>
      <c r="C406" s="74"/>
      <c r="D406" s="516"/>
      <c r="E406" s="243"/>
      <c r="F406" s="61"/>
      <c r="G406" s="206"/>
      <c r="H406" s="150"/>
      <c r="I406" s="115"/>
      <c r="J406" s="644"/>
      <c r="K406" s="365"/>
    </row>
    <row r="407" spans="1:11">
      <c r="A407" s="43"/>
      <c r="B407" s="74"/>
      <c r="C407" s="74"/>
      <c r="D407" s="516"/>
      <c r="E407" s="243"/>
      <c r="F407" s="61"/>
      <c r="G407" s="206"/>
      <c r="H407" s="150"/>
      <c r="I407" s="115"/>
      <c r="J407" s="644"/>
      <c r="K407" s="365"/>
    </row>
    <row r="408" spans="1:11">
      <c r="A408" s="43"/>
      <c r="B408" s="74"/>
      <c r="C408" s="74"/>
      <c r="D408" s="516"/>
      <c r="E408" s="243"/>
      <c r="F408" s="61"/>
      <c r="G408" s="206"/>
      <c r="H408" s="150"/>
      <c r="I408" s="115"/>
      <c r="J408" s="644"/>
      <c r="K408" s="365"/>
    </row>
    <row r="409" spans="1:11">
      <c r="A409" s="43"/>
      <c r="B409" s="74"/>
      <c r="C409" s="74"/>
      <c r="D409" s="516"/>
      <c r="E409" s="243"/>
      <c r="F409" s="61"/>
      <c r="G409" s="206"/>
      <c r="H409" s="150"/>
      <c r="I409" s="115"/>
      <c r="J409" s="644"/>
      <c r="K409" s="365"/>
    </row>
    <row r="410" spans="1:11">
      <c r="A410" s="43"/>
      <c r="B410" s="74"/>
      <c r="C410" s="74"/>
      <c r="D410" s="516"/>
      <c r="E410" s="243"/>
      <c r="F410" s="61"/>
      <c r="G410" s="206"/>
      <c r="H410" s="150"/>
      <c r="I410" s="115"/>
      <c r="J410" s="644"/>
      <c r="K410" s="365"/>
    </row>
    <row r="411" spans="1:11">
      <c r="A411" s="43"/>
      <c r="B411" s="74"/>
      <c r="C411" s="74"/>
      <c r="D411" s="516"/>
      <c r="E411" s="243"/>
      <c r="F411" s="61"/>
      <c r="G411" s="206"/>
      <c r="H411" s="150"/>
      <c r="I411" s="115"/>
      <c r="J411" s="644"/>
      <c r="K411" s="365"/>
    </row>
    <row r="412" spans="1:11">
      <c r="A412" s="43"/>
      <c r="B412" s="74"/>
      <c r="C412" s="74"/>
      <c r="D412" s="516"/>
      <c r="E412" s="243"/>
      <c r="F412" s="61"/>
      <c r="G412" s="206"/>
      <c r="H412" s="150"/>
      <c r="I412" s="115"/>
      <c r="J412" s="644"/>
      <c r="K412" s="365"/>
    </row>
    <row r="413" spans="1:11">
      <c r="A413" s="43"/>
      <c r="B413" s="74"/>
      <c r="C413" s="74"/>
      <c r="D413" s="516"/>
      <c r="E413" s="243"/>
      <c r="F413" s="61"/>
      <c r="G413" s="206"/>
      <c r="H413" s="150"/>
      <c r="I413" s="115"/>
      <c r="J413" s="644"/>
      <c r="K413" s="365"/>
    </row>
    <row r="414" spans="1:11">
      <c r="A414" s="43"/>
      <c r="B414" s="74"/>
      <c r="C414" s="74"/>
      <c r="D414" s="516"/>
      <c r="E414" s="243"/>
      <c r="F414" s="61"/>
      <c r="G414" s="206"/>
      <c r="H414" s="150"/>
      <c r="I414" s="115"/>
      <c r="J414" s="644"/>
      <c r="K414" s="365"/>
    </row>
    <row r="415" spans="1:11">
      <c r="A415" s="74"/>
      <c r="B415" s="74"/>
      <c r="C415" s="74"/>
      <c r="D415" s="516"/>
      <c r="E415" s="91"/>
      <c r="F415" s="61"/>
      <c r="G415" s="206"/>
      <c r="H415" s="150"/>
      <c r="I415" s="115"/>
      <c r="J415" s="644"/>
      <c r="K415" s="365"/>
    </row>
    <row r="416" spans="1:11">
      <c r="A416" s="58"/>
      <c r="B416" s="58"/>
      <c r="C416" s="58"/>
      <c r="D416" s="519"/>
      <c r="E416" s="91"/>
      <c r="F416" s="61"/>
      <c r="G416" s="206"/>
      <c r="H416" s="150"/>
      <c r="I416" s="115"/>
      <c r="J416" s="644"/>
      <c r="K416" s="365"/>
    </row>
    <row r="417" spans="1:11">
      <c r="A417" s="58"/>
      <c r="B417" s="58"/>
      <c r="C417" s="58"/>
      <c r="D417" s="519"/>
      <c r="E417" s="91"/>
      <c r="F417" s="61"/>
      <c r="G417" s="206"/>
      <c r="H417" s="150"/>
      <c r="I417" s="115"/>
      <c r="J417" s="644"/>
      <c r="K417" s="365"/>
    </row>
    <row r="418" spans="1:11">
      <c r="A418" s="74"/>
      <c r="B418" s="74"/>
      <c r="C418" s="74"/>
      <c r="D418" s="516"/>
      <c r="E418" s="91"/>
      <c r="F418" s="61"/>
      <c r="G418" s="206"/>
      <c r="H418" s="150"/>
      <c r="I418" s="115"/>
      <c r="J418" s="644"/>
      <c r="K418" s="365"/>
    </row>
    <row r="419" spans="1:11">
      <c r="A419" s="63"/>
      <c r="B419" s="63"/>
      <c r="C419" s="63"/>
      <c r="D419" s="517"/>
      <c r="E419" s="91"/>
      <c r="F419" s="61"/>
      <c r="G419" s="215"/>
      <c r="H419" s="150"/>
      <c r="I419" s="207"/>
      <c r="J419" s="644"/>
      <c r="K419" s="365"/>
    </row>
    <row r="420" spans="1:11">
      <c r="A420" s="63"/>
      <c r="B420" s="63"/>
      <c r="C420" s="63"/>
      <c r="D420" s="517"/>
      <c r="E420" s="91"/>
      <c r="F420" s="61"/>
      <c r="G420" s="215"/>
      <c r="H420" s="150"/>
      <c r="I420" s="207"/>
      <c r="J420" s="644"/>
      <c r="K420" s="365"/>
    </row>
    <row r="421" spans="1:11">
      <c r="A421" s="81"/>
      <c r="B421" s="82"/>
      <c r="C421" s="82"/>
      <c r="D421" s="518"/>
      <c r="E421" s="387"/>
      <c r="F421" s="69"/>
      <c r="G421" s="216"/>
      <c r="H421" s="638"/>
      <c r="I421" s="116"/>
      <c r="J421" s="672"/>
      <c r="K421" s="369"/>
    </row>
    <row r="422" spans="1:11">
      <c r="A422" s="43"/>
      <c r="B422" s="74"/>
      <c r="C422" s="74"/>
      <c r="D422" s="516"/>
      <c r="E422" s="243"/>
      <c r="F422" s="61"/>
      <c r="G422" s="206"/>
      <c r="H422" s="150"/>
      <c r="I422" s="115"/>
      <c r="J422" s="644"/>
      <c r="K422" s="365"/>
    </row>
    <row r="423" spans="1:11">
      <c r="A423" s="81"/>
      <c r="B423" s="82"/>
      <c r="C423" s="82"/>
      <c r="D423" s="518"/>
      <c r="E423" s="387"/>
      <c r="F423" s="69"/>
      <c r="G423" s="216"/>
      <c r="H423" s="638"/>
      <c r="I423" s="116"/>
      <c r="J423" s="672"/>
      <c r="K423" s="369"/>
    </row>
    <row r="424" spans="1:11" ht="35.25" thickBot="1">
      <c r="A424" s="86"/>
      <c r="B424" s="85"/>
      <c r="C424" s="85"/>
      <c r="D424" s="520"/>
      <c r="E424" s="397"/>
      <c r="F424" s="66"/>
      <c r="G424" s="220"/>
      <c r="H424" s="643"/>
      <c r="I424" s="288"/>
      <c r="J424" s="681"/>
      <c r="K424" s="395"/>
    </row>
    <row r="425" spans="1:11">
      <c r="A425" s="44"/>
      <c r="B425" s="45"/>
      <c r="C425" s="45"/>
      <c r="D425" s="204"/>
      <c r="F425" s="68"/>
    </row>
  </sheetData>
  <mergeCells count="6">
    <mergeCell ref="C240:D240"/>
    <mergeCell ref="A3:B3"/>
    <mergeCell ref="A75:B75"/>
    <mergeCell ref="A183:B183"/>
    <mergeCell ref="A111:B111"/>
    <mergeCell ref="A147:B147"/>
  </mergeCells>
  <phoneticPr fontId="6" type="noConversion"/>
  <pageMargins left="0.31496062992125984" right="0.15748031496062992" top="0.19685039370078741" bottom="0.11811023622047245" header="0.15748031496062992" footer="0.11811023622047245"/>
  <pageSetup paperSize="9" scale="60" orientation="portrait" r:id="rId1"/>
  <headerFooter alignWithMargins="0"/>
  <rowBreaks count="9" manualBreakCount="9">
    <brk id="35" max="26" man="1"/>
    <brk id="70" max="26" man="1"/>
    <brk id="106" max="26" man="1"/>
    <brk id="142" max="26" man="1"/>
    <brk id="178" max="26" man="1"/>
    <brk id="214" max="26" man="1"/>
    <brk id="249" max="26" man="1"/>
    <brk id="284" max="26" man="1"/>
    <brk id="319" max="2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6932-8639-43A0-949E-2A064CB45129}">
  <sheetPr>
    <tabColor indexed="51"/>
  </sheetPr>
  <dimension ref="A1:AM278"/>
  <sheetViews>
    <sheetView view="pageBreakPreview" topLeftCell="A25" zoomScale="93" zoomScaleNormal="70" zoomScaleSheetLayoutView="93" workbookViewId="0">
      <selection activeCell="I34" sqref="I34"/>
    </sheetView>
  </sheetViews>
  <sheetFormatPr defaultRowHeight="33"/>
  <cols>
    <col min="1" max="1" width="6.5703125" style="1311" customWidth="1"/>
    <col min="2" max="2" width="30.42578125" style="1311" customWidth="1"/>
    <col min="3" max="3" width="12.42578125" style="1311" customWidth="1"/>
    <col min="4" max="4" width="13" style="1311" customWidth="1"/>
    <col min="5" max="5" width="13.140625" style="1311" customWidth="1"/>
    <col min="6" max="7" width="13" style="1311" customWidth="1"/>
    <col min="8" max="8" width="10.28515625" style="1311" customWidth="1"/>
    <col min="9" max="9" width="19.5703125" style="1311" customWidth="1"/>
    <col min="10" max="10" width="13.28515625" style="1312" customWidth="1"/>
    <col min="11" max="11" width="12.5703125" style="1311" customWidth="1"/>
    <col min="12" max="12" width="19.42578125" style="1311" customWidth="1"/>
    <col min="13" max="13" width="11.28515625" style="1311" customWidth="1"/>
    <col min="14" max="14" width="9.28515625" style="1311" bestFit="1" customWidth="1"/>
    <col min="15" max="15" width="9.85546875" style="1311" bestFit="1" customWidth="1"/>
    <col min="16" max="16" width="12.7109375" style="1311" customWidth="1"/>
    <col min="17" max="17" width="11.5703125" style="1311" customWidth="1"/>
    <col min="18" max="18" width="9.28515625" style="1311" bestFit="1" customWidth="1"/>
    <col min="19" max="19" width="18.42578125" style="1311" customWidth="1"/>
    <col min="20" max="16384" width="9.140625" style="1311"/>
  </cols>
  <sheetData>
    <row r="1" spans="1:17" s="305" customFormat="1" ht="39" customHeight="1">
      <c r="A1" s="1163"/>
      <c r="B1" s="1164"/>
      <c r="C1" s="1165"/>
      <c r="D1" s="1166"/>
      <c r="E1" s="1167"/>
      <c r="F1" s="1168"/>
      <c r="G1" s="1169"/>
      <c r="H1" s="1163"/>
      <c r="I1" s="1170"/>
      <c r="J1" s="698"/>
      <c r="K1" s="1171"/>
    </row>
    <row r="2" spans="1:17" s="305" customFormat="1" ht="38.25">
      <c r="A2" s="303" t="s">
        <v>0</v>
      </c>
      <c r="B2" s="304"/>
      <c r="C2" s="848"/>
      <c r="D2" s="1172"/>
      <c r="E2" s="1173"/>
      <c r="F2" s="1165"/>
      <c r="G2" s="1174"/>
      <c r="I2" s="306"/>
      <c r="J2" s="1175"/>
      <c r="K2" s="1171"/>
    </row>
    <row r="3" spans="1:17" s="305" customFormat="1" ht="39" customHeight="1">
      <c r="A3" s="1176" t="s">
        <v>1510</v>
      </c>
      <c r="B3" s="1176"/>
      <c r="C3" s="303"/>
      <c r="D3" s="1177"/>
      <c r="E3" s="1173"/>
      <c r="F3" s="1165"/>
      <c r="G3" s="1174"/>
      <c r="I3" s="306"/>
      <c r="J3" s="1175"/>
      <c r="K3" s="1171"/>
    </row>
    <row r="4" spans="1:17" s="305" customFormat="1" ht="39" customHeight="1" thickBot="1">
      <c r="A4" s="1163"/>
      <c r="B4" s="1172"/>
      <c r="C4" s="614"/>
      <c r="D4" s="1172"/>
      <c r="E4" s="1173"/>
      <c r="F4" s="1165"/>
      <c r="G4" s="1174"/>
      <c r="I4" s="306"/>
      <c r="J4" s="1175"/>
      <c r="K4" s="1171"/>
    </row>
    <row r="5" spans="1:17" s="305" customFormat="1" ht="38.25">
      <c r="A5" s="3502" t="s">
        <v>2</v>
      </c>
      <c r="B5" s="3503"/>
      <c r="C5" s="1178" t="s">
        <v>3</v>
      </c>
      <c r="D5" s="1179" t="s">
        <v>4</v>
      </c>
      <c r="E5" s="1180" t="s">
        <v>5</v>
      </c>
      <c r="F5" s="1181" t="s">
        <v>5</v>
      </c>
      <c r="G5" s="1182" t="s">
        <v>6</v>
      </c>
      <c r="H5" s="1183" t="s">
        <v>7</v>
      </c>
      <c r="I5" s="1184" t="s">
        <v>1511</v>
      </c>
      <c r="J5" s="1185" t="s">
        <v>9</v>
      </c>
      <c r="K5" s="1186" t="s">
        <v>9</v>
      </c>
    </row>
    <row r="6" spans="1:17" s="305" customFormat="1" ht="39" thickBot="1">
      <c r="A6" s="1187"/>
      <c r="B6" s="1188"/>
      <c r="C6" s="1189"/>
      <c r="D6" s="1190" t="s">
        <v>10</v>
      </c>
      <c r="E6" s="1191" t="s">
        <v>11</v>
      </c>
      <c r="F6" s="1192" t="s">
        <v>12</v>
      </c>
      <c r="G6" s="1193"/>
      <c r="H6" s="1194" t="s">
        <v>13</v>
      </c>
      <c r="I6" s="1195" t="s">
        <v>1512</v>
      </c>
      <c r="J6" s="1196" t="s">
        <v>14</v>
      </c>
      <c r="K6" s="1197" t="s">
        <v>15</v>
      </c>
    </row>
    <row r="7" spans="1:17" s="305" customFormat="1" ht="38.25">
      <c r="A7" s="1198" t="s">
        <v>1513</v>
      </c>
      <c r="B7" s="1199"/>
      <c r="C7" s="1200"/>
      <c r="D7" s="1201"/>
      <c r="E7" s="1202"/>
      <c r="F7" s="1203"/>
      <c r="G7" s="1204"/>
      <c r="H7" s="1205"/>
      <c r="I7" s="1206"/>
      <c r="J7" s="1207"/>
      <c r="K7" s="1208"/>
    </row>
    <row r="8" spans="1:17" s="305" customFormat="1" ht="38.25">
      <c r="A8" s="1209"/>
      <c r="B8" s="1210" t="s">
        <v>1514</v>
      </c>
      <c r="C8" s="101" t="s">
        <v>1515</v>
      </c>
      <c r="D8" s="1212" t="s">
        <v>1516</v>
      </c>
      <c r="E8" s="1267">
        <v>6</v>
      </c>
      <c r="F8" s="767" t="s">
        <v>1517</v>
      </c>
      <c r="G8" s="1224" t="s">
        <v>1518</v>
      </c>
      <c r="H8" s="1205">
        <v>807</v>
      </c>
      <c r="I8" s="553" t="s">
        <v>1519</v>
      </c>
      <c r="J8" s="1215" t="s">
        <v>1520</v>
      </c>
      <c r="K8" s="2363">
        <v>5.64</v>
      </c>
      <c r="L8" s="305">
        <v>1384</v>
      </c>
      <c r="M8" s="305">
        <v>0.02</v>
      </c>
      <c r="N8" s="305">
        <f>L8*M8</f>
        <v>27.68</v>
      </c>
      <c r="O8" s="305">
        <f>L8-N8</f>
        <v>1356.32</v>
      </c>
      <c r="P8" s="305">
        <v>7.0000000000000007E-2</v>
      </c>
      <c r="Q8" s="305">
        <f>(O8*P8)+O8</f>
        <v>1451.2623999999998</v>
      </c>
    </row>
    <row r="9" spans="1:17" s="305" customFormat="1" ht="38.25">
      <c r="A9" s="1216"/>
      <c r="B9" s="1210" t="s">
        <v>1521</v>
      </c>
      <c r="C9" s="101" t="s">
        <v>136</v>
      </c>
      <c r="D9" s="1212" t="s">
        <v>683</v>
      </c>
      <c r="E9" s="1267">
        <v>10</v>
      </c>
      <c r="F9" s="854" t="s">
        <v>1522</v>
      </c>
      <c r="G9" s="1236" t="s">
        <v>24</v>
      </c>
      <c r="H9" s="1205">
        <v>1268</v>
      </c>
      <c r="I9" s="1206" t="s">
        <v>1523</v>
      </c>
      <c r="J9" s="1217" t="s">
        <v>1524</v>
      </c>
      <c r="K9" s="2363">
        <v>7.99</v>
      </c>
    </row>
    <row r="10" spans="1:17" s="305" customFormat="1" ht="38.25">
      <c r="A10" s="1216"/>
      <c r="B10" s="1210" t="s">
        <v>1525</v>
      </c>
      <c r="C10" s="101" t="s">
        <v>1515</v>
      </c>
      <c r="D10" s="1212" t="s">
        <v>1516</v>
      </c>
      <c r="E10" s="1267">
        <v>6</v>
      </c>
      <c r="F10" s="767" t="s">
        <v>1517</v>
      </c>
      <c r="G10" s="1224" t="s">
        <v>1518</v>
      </c>
      <c r="H10" s="1205">
        <v>807</v>
      </c>
      <c r="I10" s="553" t="s">
        <v>1519</v>
      </c>
      <c r="J10" s="1215" t="s">
        <v>1520</v>
      </c>
      <c r="K10" s="2363">
        <v>5.64</v>
      </c>
    </row>
    <row r="11" spans="1:17" s="305" customFormat="1" ht="38.25">
      <c r="A11" s="1216"/>
      <c r="B11" s="1210" t="s">
        <v>1526</v>
      </c>
      <c r="C11" s="101" t="s">
        <v>136</v>
      </c>
      <c r="D11" s="1212" t="s">
        <v>683</v>
      </c>
      <c r="E11" s="1267">
        <v>10</v>
      </c>
      <c r="F11" s="854" t="s">
        <v>1522</v>
      </c>
      <c r="G11" s="1236" t="s">
        <v>24</v>
      </c>
      <c r="H11" s="1205">
        <v>1268</v>
      </c>
      <c r="I11" s="1206" t="s">
        <v>1523</v>
      </c>
      <c r="J11" s="1217" t="s">
        <v>1524</v>
      </c>
      <c r="K11" s="2363">
        <v>7.99</v>
      </c>
      <c r="L11" s="305">
        <v>1614</v>
      </c>
      <c r="M11" s="305">
        <v>0.02</v>
      </c>
      <c r="N11" s="305">
        <f>L11*M11</f>
        <v>32.28</v>
      </c>
      <c r="O11" s="305">
        <f>L11-N11</f>
        <v>1581.72</v>
      </c>
      <c r="P11" s="305">
        <v>7.0000000000000007E-2</v>
      </c>
      <c r="Q11" s="305">
        <f>(O11*P11)+O11/2</f>
        <v>901.58040000000005</v>
      </c>
    </row>
    <row r="12" spans="1:17" s="305" customFormat="1" ht="38.25">
      <c r="A12" s="1216"/>
      <c r="B12" s="1210" t="s">
        <v>1527</v>
      </c>
      <c r="C12" s="101" t="s">
        <v>1515</v>
      </c>
      <c r="D12" s="1212" t="s">
        <v>1516</v>
      </c>
      <c r="E12" s="1267">
        <v>6</v>
      </c>
      <c r="F12" s="767" t="s">
        <v>1528</v>
      </c>
      <c r="G12" s="1224" t="s">
        <v>1529</v>
      </c>
      <c r="H12" s="1205">
        <v>692</v>
      </c>
      <c r="I12" s="553" t="s">
        <v>1530</v>
      </c>
      <c r="J12" s="1215" t="s">
        <v>1531</v>
      </c>
      <c r="K12" s="2363">
        <v>5.04</v>
      </c>
    </row>
    <row r="13" spans="1:17" s="305" customFormat="1" ht="38.25">
      <c r="A13" s="1216"/>
      <c r="B13" s="1210" t="s">
        <v>1532</v>
      </c>
      <c r="C13" s="101" t="s">
        <v>1515</v>
      </c>
      <c r="D13" s="1212" t="s">
        <v>1516</v>
      </c>
      <c r="E13" s="1267">
        <v>9</v>
      </c>
      <c r="F13" s="1268" t="s">
        <v>1533</v>
      </c>
      <c r="G13" s="1224" t="s">
        <v>1518</v>
      </c>
      <c r="H13" s="1205">
        <v>901</v>
      </c>
      <c r="I13" s="1206" t="s">
        <v>1534</v>
      </c>
      <c r="J13" s="1217" t="s">
        <v>1535</v>
      </c>
      <c r="K13" s="2363">
        <v>6.13</v>
      </c>
    </row>
    <row r="14" spans="1:17" s="305" customFormat="1" ht="38.25">
      <c r="A14" s="1216"/>
      <c r="B14" s="1210"/>
      <c r="C14" s="101"/>
      <c r="D14" s="1212"/>
      <c r="E14" s="1213"/>
      <c r="F14" s="1214"/>
      <c r="G14" s="1204"/>
      <c r="H14" s="1205"/>
      <c r="I14" s="1206"/>
      <c r="J14" s="1217"/>
      <c r="K14" s="1208"/>
    </row>
    <row r="15" spans="1:17" s="305" customFormat="1" ht="38.25">
      <c r="A15" s="1216"/>
      <c r="B15" s="1210" t="s">
        <v>1536</v>
      </c>
      <c r="C15" s="1211" t="s">
        <v>1537</v>
      </c>
      <c r="D15" s="1212" t="s">
        <v>1383</v>
      </c>
      <c r="E15" s="1213">
        <v>15</v>
      </c>
      <c r="F15" s="1214"/>
      <c r="G15" s="1204" t="s">
        <v>1538</v>
      </c>
      <c r="H15" s="1205">
        <v>803</v>
      </c>
      <c r="I15" s="1206" t="s">
        <v>1539</v>
      </c>
      <c r="J15" s="1217"/>
      <c r="K15" s="1208">
        <v>11.58</v>
      </c>
    </row>
    <row r="16" spans="1:17" s="305" customFormat="1" ht="38.25" customHeight="1">
      <c r="A16" s="1216"/>
      <c r="B16" s="1210" t="s">
        <v>1536</v>
      </c>
      <c r="C16" s="1211" t="s">
        <v>1540</v>
      </c>
      <c r="D16" s="1218" t="s">
        <v>1383</v>
      </c>
      <c r="E16" s="1213">
        <v>16</v>
      </c>
      <c r="F16" s="1214"/>
      <c r="G16" s="1204" t="s">
        <v>1538</v>
      </c>
      <c r="H16" s="1205">
        <v>1017</v>
      </c>
      <c r="I16" s="1206" t="s">
        <v>1539</v>
      </c>
      <c r="J16" s="1217"/>
      <c r="K16" s="1208">
        <v>14.66</v>
      </c>
    </row>
    <row r="17" spans="1:21" s="305" customFormat="1" ht="38.25">
      <c r="A17" s="1216"/>
      <c r="B17" s="962" t="s">
        <v>1541</v>
      </c>
      <c r="C17" s="1220" t="s">
        <v>1542</v>
      </c>
      <c r="D17" s="2289" t="s">
        <v>1543</v>
      </c>
      <c r="E17" s="1230">
        <v>12</v>
      </c>
      <c r="F17" s="1223"/>
      <c r="G17" s="1224" t="s">
        <v>1544</v>
      </c>
      <c r="H17" s="1225">
        <v>870</v>
      </c>
      <c r="I17" s="1008" t="s">
        <v>1545</v>
      </c>
      <c r="J17" s="1318">
        <v>54.28</v>
      </c>
      <c r="K17" s="1219">
        <v>9.0399999999999991</v>
      </c>
    </row>
    <row r="18" spans="1:21" s="305" customFormat="1" ht="38.25">
      <c r="A18" s="1216"/>
      <c r="B18" s="962"/>
      <c r="C18" s="1220" t="s">
        <v>1546</v>
      </c>
      <c r="D18" s="2289" t="s">
        <v>1547</v>
      </c>
      <c r="E18" s="1230">
        <v>22</v>
      </c>
      <c r="F18" s="1223"/>
      <c r="G18" s="1224" t="s">
        <v>1548</v>
      </c>
      <c r="H18" s="1225">
        <v>1229</v>
      </c>
      <c r="I18" s="1008" t="s">
        <v>1549</v>
      </c>
      <c r="J18" s="1318">
        <v>107.39</v>
      </c>
      <c r="K18" s="1219">
        <v>17.89</v>
      </c>
    </row>
    <row r="19" spans="1:21" s="305" customFormat="1" ht="38.25">
      <c r="A19" s="1216"/>
      <c r="B19" s="962"/>
      <c r="C19" s="1220" t="s">
        <v>17</v>
      </c>
      <c r="D19" s="2289" t="s">
        <v>1550</v>
      </c>
      <c r="E19" s="1230">
        <v>55</v>
      </c>
      <c r="F19" s="1223"/>
      <c r="G19" s="1224" t="s">
        <v>1551</v>
      </c>
      <c r="H19" s="1225">
        <v>1122</v>
      </c>
      <c r="I19" s="1008" t="s">
        <v>1552</v>
      </c>
      <c r="J19" s="1318">
        <v>147.07</v>
      </c>
      <c r="K19" s="1219">
        <v>49.02</v>
      </c>
    </row>
    <row r="20" spans="1:21" s="305" customFormat="1" ht="38.25">
      <c r="A20" s="1216"/>
      <c r="B20" s="962" t="s">
        <v>1553</v>
      </c>
      <c r="C20" s="1220" t="s">
        <v>1542</v>
      </c>
      <c r="D20" s="1229" t="s">
        <v>1554</v>
      </c>
      <c r="E20" s="1230">
        <v>10</v>
      </c>
      <c r="F20" s="1223">
        <v>132</v>
      </c>
      <c r="G20" s="1224" t="s">
        <v>1555</v>
      </c>
      <c r="H20" s="1225">
        <v>870</v>
      </c>
      <c r="I20" s="1008" t="s">
        <v>1556</v>
      </c>
      <c r="J20" s="1768" t="s">
        <v>1557</v>
      </c>
      <c r="K20" s="1219">
        <v>7.8</v>
      </c>
    </row>
    <row r="21" spans="1:21" s="305" customFormat="1" ht="38.25">
      <c r="A21" s="1216"/>
      <c r="B21" s="962"/>
      <c r="C21" s="1220" t="s">
        <v>1546</v>
      </c>
      <c r="D21" s="1229" t="s">
        <v>1558</v>
      </c>
      <c r="E21" s="1230">
        <v>20</v>
      </c>
      <c r="F21" s="1223">
        <v>215</v>
      </c>
      <c r="G21" s="1224" t="s">
        <v>1555</v>
      </c>
      <c r="H21" s="1225">
        <v>1229</v>
      </c>
      <c r="I21" s="1008" t="s">
        <v>1559</v>
      </c>
      <c r="J21" s="1318">
        <v>214.79</v>
      </c>
      <c r="K21" s="1219">
        <v>17.89</v>
      </c>
    </row>
    <row r="22" spans="1:21" s="305" customFormat="1" ht="38.25">
      <c r="A22" s="1216"/>
      <c r="B22" s="962"/>
      <c r="C22" s="1220" t="s">
        <v>17</v>
      </c>
      <c r="D22" s="1229" t="s">
        <v>1560</v>
      </c>
      <c r="E22" s="1230">
        <v>55</v>
      </c>
      <c r="F22" s="1223">
        <v>155</v>
      </c>
      <c r="G22" s="1224" t="s">
        <v>1555</v>
      </c>
      <c r="H22" s="1225">
        <v>1122</v>
      </c>
      <c r="I22" s="1008" t="s">
        <v>1561</v>
      </c>
      <c r="J22" s="1318">
        <v>147.06</v>
      </c>
      <c r="K22" s="1219">
        <v>49.02</v>
      </c>
      <c r="L22" s="305">
        <v>14990</v>
      </c>
      <c r="M22" s="305">
        <v>0.02</v>
      </c>
      <c r="N22" s="305">
        <f>L22*M22</f>
        <v>299.8</v>
      </c>
      <c r="O22" s="305">
        <f>L22-N22</f>
        <v>14690.2</v>
      </c>
      <c r="P22" s="305">
        <v>7.0000000000000007E-2</v>
      </c>
      <c r="Q22" s="305">
        <f>(O22*P22)+O22/2/10</f>
        <v>1762.8240000000001</v>
      </c>
    </row>
    <row r="23" spans="1:21" s="305" customFormat="1" ht="38.25">
      <c r="A23" s="1216"/>
      <c r="B23" s="962"/>
      <c r="C23" s="1220"/>
      <c r="D23" s="1221"/>
      <c r="E23" s="1222"/>
      <c r="F23" s="1223"/>
      <c r="G23" s="1224"/>
      <c r="H23" s="1225"/>
      <c r="I23" s="1226"/>
      <c r="J23" s="1227"/>
      <c r="K23" s="1219"/>
    </row>
    <row r="24" spans="1:21" s="305" customFormat="1" ht="38.25">
      <c r="A24" s="1228"/>
      <c r="B24" s="962"/>
      <c r="C24" s="1220"/>
      <c r="D24" s="1229"/>
      <c r="E24" s="1230"/>
      <c r="F24" s="1223"/>
      <c r="G24" s="1224"/>
      <c r="H24" s="1225"/>
      <c r="I24" s="1231"/>
      <c r="J24" s="1227"/>
      <c r="K24" s="1219"/>
    </row>
    <row r="25" spans="1:21" s="305" customFormat="1" ht="38.25">
      <c r="A25" s="1216"/>
      <c r="B25" s="962"/>
      <c r="C25" s="1220"/>
      <c r="D25" s="1229"/>
      <c r="E25" s="1230"/>
      <c r="F25" s="1223"/>
      <c r="G25" s="1224"/>
      <c r="H25" s="1225"/>
      <c r="I25" s="1231"/>
      <c r="J25" s="1227"/>
      <c r="K25" s="1219"/>
      <c r="N25" s="305" t="s">
        <v>1562</v>
      </c>
      <c r="S25" s="305" t="s">
        <v>92</v>
      </c>
      <c r="U25" s="305" t="s">
        <v>1563</v>
      </c>
    </row>
    <row r="26" spans="1:21" s="305" customFormat="1" ht="38.25">
      <c r="A26" s="1216"/>
      <c r="B26" s="1210" t="s">
        <v>1564</v>
      </c>
      <c r="C26" s="1211" t="s">
        <v>1540</v>
      </c>
      <c r="D26" s="1221" t="s">
        <v>1565</v>
      </c>
      <c r="E26" s="1267">
        <v>145</v>
      </c>
      <c r="F26" s="1214"/>
      <c r="G26" s="1204" t="s">
        <v>1566</v>
      </c>
      <c r="H26" s="1205">
        <v>1499</v>
      </c>
      <c r="I26" s="1206" t="s">
        <v>1567</v>
      </c>
      <c r="J26" s="1217">
        <v>1762.82</v>
      </c>
      <c r="K26" s="1208">
        <f>J26/12</f>
        <v>146.90166666666667</v>
      </c>
      <c r="L26" s="305" t="s">
        <v>1568</v>
      </c>
    </row>
    <row r="27" spans="1:21" s="305" customFormat="1" ht="38.25">
      <c r="A27" s="3504"/>
      <c r="B27" s="3505"/>
      <c r="C27" s="1211"/>
      <c r="D27" s="1232"/>
      <c r="E27" s="1213"/>
      <c r="F27" s="1214"/>
      <c r="G27" s="1204"/>
      <c r="H27" s="1205"/>
      <c r="I27" s="1206"/>
      <c r="J27" s="1217"/>
      <c r="K27" s="1208"/>
      <c r="N27" s="305" t="s">
        <v>1569</v>
      </c>
      <c r="T27" s="305" t="s">
        <v>1570</v>
      </c>
    </row>
    <row r="28" spans="1:21" s="305" customFormat="1" ht="38.25">
      <c r="A28" s="404"/>
      <c r="B28" s="1233" t="s">
        <v>1571</v>
      </c>
      <c r="C28" s="1234" t="s">
        <v>1572</v>
      </c>
      <c r="D28" s="1235" t="s">
        <v>1383</v>
      </c>
      <c r="E28" s="2560">
        <v>9</v>
      </c>
      <c r="F28" s="2561" t="s">
        <v>1573</v>
      </c>
      <c r="G28" s="1236" t="s">
        <v>1555</v>
      </c>
      <c r="H28" s="1237">
        <v>512</v>
      </c>
      <c r="I28" s="1238" t="s">
        <v>1574</v>
      </c>
      <c r="J28" s="1239">
        <v>89.52</v>
      </c>
      <c r="K28" s="1240">
        <v>7.46</v>
      </c>
      <c r="P28" s="305" t="s">
        <v>1575</v>
      </c>
    </row>
    <row r="29" spans="1:21" s="305" customFormat="1" ht="38.25">
      <c r="A29" s="404"/>
      <c r="B29" s="1233" t="s">
        <v>1576</v>
      </c>
      <c r="C29" s="1234" t="s">
        <v>1577</v>
      </c>
      <c r="D29" s="1886" t="s">
        <v>1578</v>
      </c>
      <c r="E29" s="2560">
        <v>16</v>
      </c>
      <c r="F29" s="2561" t="s">
        <v>1579</v>
      </c>
      <c r="G29" s="1236" t="s">
        <v>1580</v>
      </c>
      <c r="H29" s="1237">
        <v>1024</v>
      </c>
      <c r="I29" s="1238" t="s">
        <v>1581</v>
      </c>
      <c r="J29" s="1584" t="s">
        <v>1582</v>
      </c>
      <c r="K29" s="1240">
        <v>14.91</v>
      </c>
      <c r="M29" s="305" t="s">
        <v>1583</v>
      </c>
    </row>
    <row r="30" spans="1:21" s="305" customFormat="1" ht="38.25">
      <c r="A30" s="1216"/>
      <c r="B30" s="962" t="s">
        <v>1584</v>
      </c>
      <c r="C30" s="1220" t="s">
        <v>1585</v>
      </c>
      <c r="D30" s="3469" t="s">
        <v>1586</v>
      </c>
      <c r="E30" s="2014">
        <v>10</v>
      </c>
      <c r="F30" s="2015" t="s">
        <v>1587</v>
      </c>
      <c r="G30" s="2788" t="s">
        <v>86</v>
      </c>
      <c r="H30" s="1225" t="s">
        <v>692</v>
      </c>
      <c r="I30" s="1231" t="s">
        <v>1588</v>
      </c>
      <c r="J30" s="878" t="s">
        <v>1589</v>
      </c>
      <c r="K30" s="527" t="s">
        <v>1590</v>
      </c>
      <c r="R30" s="305" t="s">
        <v>1591</v>
      </c>
    </row>
    <row r="31" spans="1:21" s="305" customFormat="1" ht="38.25">
      <c r="A31" s="1216"/>
      <c r="B31" s="962" t="s">
        <v>1584</v>
      </c>
      <c r="C31" s="1220" t="s">
        <v>1592</v>
      </c>
      <c r="D31" s="3469" t="s">
        <v>1586</v>
      </c>
      <c r="E31" s="2014">
        <v>10</v>
      </c>
      <c r="F31" s="2015" t="s">
        <v>1587</v>
      </c>
      <c r="G31" s="2788" t="s">
        <v>86</v>
      </c>
      <c r="H31" s="1225" t="s">
        <v>692</v>
      </c>
      <c r="I31" s="1231" t="s">
        <v>1588</v>
      </c>
      <c r="J31" s="878" t="s">
        <v>1589</v>
      </c>
      <c r="K31" s="527" t="s">
        <v>1590</v>
      </c>
    </row>
    <row r="32" spans="1:21" s="305" customFormat="1" ht="38.25">
      <c r="A32" s="1216"/>
      <c r="B32" s="962" t="s">
        <v>1593</v>
      </c>
      <c r="C32" s="1220" t="s">
        <v>1592</v>
      </c>
      <c r="D32" s="3469" t="s">
        <v>1586</v>
      </c>
      <c r="E32" s="2014">
        <v>10</v>
      </c>
      <c r="F32" s="2015" t="s">
        <v>1587</v>
      </c>
      <c r="G32" s="2788" t="s">
        <v>86</v>
      </c>
      <c r="H32" s="1225" t="s">
        <v>692</v>
      </c>
      <c r="I32" s="1231" t="s">
        <v>1588</v>
      </c>
      <c r="J32" s="878" t="s">
        <v>1589</v>
      </c>
      <c r="K32" s="527" t="s">
        <v>1590</v>
      </c>
    </row>
    <row r="33" spans="1:17" s="305" customFormat="1" ht="38.25">
      <c r="A33" s="1216"/>
      <c r="B33" s="962" t="s">
        <v>1594</v>
      </c>
      <c r="C33" s="1220" t="s">
        <v>1595</v>
      </c>
      <c r="D33" s="3469" t="s">
        <v>1596</v>
      </c>
      <c r="E33" s="2456">
        <v>16</v>
      </c>
      <c r="F33" s="2015" t="s">
        <v>1597</v>
      </c>
      <c r="G33" s="1224" t="s">
        <v>1580</v>
      </c>
      <c r="H33" s="1225">
        <v>852</v>
      </c>
      <c r="I33" s="2556" t="s">
        <v>1598</v>
      </c>
      <c r="J33" s="878" t="s">
        <v>1599</v>
      </c>
      <c r="K33" s="1219">
        <v>12.4</v>
      </c>
    </row>
    <row r="34" spans="1:17" s="305" customFormat="1" ht="38.25">
      <c r="A34" s="1216"/>
      <c r="B34" s="962" t="s">
        <v>1600</v>
      </c>
      <c r="C34" s="1220" t="s">
        <v>1601</v>
      </c>
      <c r="D34" s="1229" t="s">
        <v>108</v>
      </c>
      <c r="E34" s="2014">
        <v>16</v>
      </c>
      <c r="F34" s="2015" t="s">
        <v>1602</v>
      </c>
      <c r="G34" s="1224" t="s">
        <v>75</v>
      </c>
      <c r="H34" s="1225">
        <v>479</v>
      </c>
      <c r="I34" s="1231" t="s">
        <v>1603</v>
      </c>
      <c r="J34" s="1227">
        <v>502.28</v>
      </c>
      <c r="K34" s="1219">
        <v>13.95</v>
      </c>
    </row>
    <row r="35" spans="1:17" s="305" customFormat="1" ht="38.25">
      <c r="A35" s="1216"/>
      <c r="B35" s="962" t="s">
        <v>1604</v>
      </c>
      <c r="C35" s="1220" t="s">
        <v>1601</v>
      </c>
      <c r="D35" s="1229" t="s">
        <v>108</v>
      </c>
      <c r="E35" s="2014">
        <v>16</v>
      </c>
      <c r="F35" s="2015" t="s">
        <v>1602</v>
      </c>
      <c r="G35" s="1224" t="s">
        <v>249</v>
      </c>
      <c r="H35" s="1225">
        <v>507</v>
      </c>
      <c r="I35" s="1231" t="s">
        <v>1603</v>
      </c>
      <c r="J35" s="1227">
        <v>507.63</v>
      </c>
      <c r="K35" s="1219">
        <v>14.1</v>
      </c>
    </row>
    <row r="36" spans="1:17" s="305" customFormat="1" ht="38.25">
      <c r="A36" s="303"/>
      <c r="B36" s="1163"/>
      <c r="C36" s="1163"/>
      <c r="D36" s="1163"/>
      <c r="E36" s="1163"/>
      <c r="F36" s="1163"/>
      <c r="G36" s="1163"/>
      <c r="H36" s="1163"/>
      <c r="I36" s="1177"/>
      <c r="J36" s="1241"/>
      <c r="K36" s="1171"/>
    </row>
    <row r="37" spans="1:17" s="305" customFormat="1" ht="38.25">
      <c r="A37" s="303" t="s">
        <v>0</v>
      </c>
      <c r="B37" s="304"/>
      <c r="C37" s="848"/>
      <c r="D37" s="1172"/>
      <c r="E37" s="1173"/>
      <c r="F37" s="1165"/>
      <c r="G37" s="1174"/>
      <c r="I37" s="306"/>
      <c r="J37" s="1175"/>
      <c r="K37" s="1171"/>
    </row>
    <row r="38" spans="1:17" s="305" customFormat="1" ht="35.25" customHeight="1">
      <c r="A38" s="1176" t="s">
        <v>1510</v>
      </c>
      <c r="B38" s="1176"/>
      <c r="C38" s="303"/>
      <c r="D38" s="1177"/>
      <c r="E38" s="1173"/>
      <c r="F38" s="1165"/>
      <c r="G38" s="1174"/>
      <c r="I38" s="306"/>
      <c r="J38" s="1175"/>
      <c r="K38" s="1171"/>
    </row>
    <row r="39" spans="1:17" s="305" customFormat="1" ht="18.75" customHeight="1" thickBot="1">
      <c r="A39" s="1163"/>
      <c r="B39" s="1172"/>
      <c r="C39" s="614"/>
      <c r="D39" s="1172"/>
      <c r="E39" s="1173"/>
      <c r="F39" s="1165"/>
      <c r="G39" s="1174"/>
      <c r="I39" s="306"/>
      <c r="J39" s="1175"/>
      <c r="K39" s="1171"/>
    </row>
    <row r="40" spans="1:17" s="305" customFormat="1" ht="38.25">
      <c r="A40" s="3502" t="s">
        <v>2</v>
      </c>
      <c r="B40" s="3503"/>
      <c r="C40" s="1178" t="s">
        <v>3</v>
      </c>
      <c r="D40" s="1242" t="s">
        <v>4</v>
      </c>
      <c r="E40" s="2500" t="s">
        <v>5</v>
      </c>
      <c r="F40" s="2501" t="s">
        <v>5</v>
      </c>
      <c r="G40" s="1182" t="s">
        <v>6</v>
      </c>
      <c r="H40" s="1183" t="s">
        <v>7</v>
      </c>
      <c r="I40" s="1184" t="s">
        <v>1511</v>
      </c>
      <c r="J40" s="1185" t="s">
        <v>9</v>
      </c>
      <c r="K40" s="1186" t="s">
        <v>9</v>
      </c>
    </row>
    <row r="41" spans="1:17" s="305" customFormat="1" ht="39" thickBot="1">
      <c r="A41" s="1187"/>
      <c r="B41" s="1188"/>
      <c r="C41" s="1189"/>
      <c r="D41" s="1243" t="s">
        <v>10</v>
      </c>
      <c r="E41" s="2502" t="s">
        <v>11</v>
      </c>
      <c r="F41" s="2503" t="s">
        <v>12</v>
      </c>
      <c r="G41" s="1193"/>
      <c r="H41" s="1194" t="s">
        <v>13</v>
      </c>
      <c r="I41" s="1195" t="s">
        <v>1512</v>
      </c>
      <c r="J41" s="1196" t="s">
        <v>14</v>
      </c>
      <c r="K41" s="3330" t="s">
        <v>15</v>
      </c>
    </row>
    <row r="42" spans="1:17" s="305" customFormat="1" ht="38.25">
      <c r="A42" s="1244"/>
      <c r="B42" s="1821" t="s">
        <v>1605</v>
      </c>
      <c r="C42" s="1245"/>
      <c r="D42" s="1201"/>
      <c r="E42" s="2504"/>
      <c r="F42" s="2505"/>
      <c r="G42" s="1204"/>
      <c r="H42" s="1205"/>
      <c r="I42" s="1206"/>
      <c r="J42" s="1207"/>
      <c r="K42" s="3325"/>
    </row>
    <row r="43" spans="1:17" s="305" customFormat="1" ht="38.25">
      <c r="A43" s="1209"/>
      <c r="B43" s="406" t="s">
        <v>1606</v>
      </c>
      <c r="C43" s="341" t="s">
        <v>284</v>
      </c>
      <c r="D43" s="624" t="s">
        <v>1607</v>
      </c>
      <c r="E43" s="1876">
        <v>50</v>
      </c>
      <c r="F43" s="2509" t="s">
        <v>1608</v>
      </c>
      <c r="G43" s="3037" t="s">
        <v>1609</v>
      </c>
      <c r="H43" s="663" t="s">
        <v>1610</v>
      </c>
      <c r="I43" s="2062" t="s">
        <v>1611</v>
      </c>
      <c r="J43" s="1826" t="s">
        <v>1612</v>
      </c>
      <c r="K43" s="3331" t="s">
        <v>1613</v>
      </c>
      <c r="M43" s="305">
        <v>0.05</v>
      </c>
      <c r="N43" s="305">
        <f t="shared" ref="N43:N71" si="0">L43-(L43*M43)</f>
        <v>0</v>
      </c>
      <c r="P43" s="305">
        <v>7.0000000000000007E-2</v>
      </c>
      <c r="Q43" s="305">
        <f t="shared" ref="Q43:Q71" si="1">(N43*P43)+N43</f>
        <v>0</v>
      </c>
    </row>
    <row r="44" spans="1:17" s="305" customFormat="1" ht="39" thickBot="1">
      <c r="A44" s="1216"/>
      <c r="B44" s="1028" t="s">
        <v>1606</v>
      </c>
      <c r="C44" s="1721" t="s">
        <v>1614</v>
      </c>
      <c r="D44" s="1722" t="s">
        <v>1615</v>
      </c>
      <c r="E44" s="2506">
        <v>10</v>
      </c>
      <c r="F44" s="2507" t="s">
        <v>1616</v>
      </c>
      <c r="G44" s="3340" t="s">
        <v>1617</v>
      </c>
      <c r="H44" s="1823" t="s">
        <v>1618</v>
      </c>
      <c r="I44" s="2062" t="s">
        <v>1619</v>
      </c>
      <c r="J44" s="1829" t="s">
        <v>1620</v>
      </c>
      <c r="K44" s="3332" t="s">
        <v>1621</v>
      </c>
    </row>
    <row r="45" spans="1:17" s="305" customFormat="1" ht="38.25">
      <c r="A45" s="1216"/>
      <c r="B45" s="406" t="s">
        <v>1622</v>
      </c>
      <c r="C45" s="341" t="s">
        <v>26</v>
      </c>
      <c r="D45" s="624" t="s">
        <v>1623</v>
      </c>
      <c r="E45" s="2508">
        <v>112</v>
      </c>
      <c r="F45" s="2509" t="s">
        <v>1624</v>
      </c>
      <c r="G45" s="3037" t="s">
        <v>1625</v>
      </c>
      <c r="H45" s="620" t="s">
        <v>1626</v>
      </c>
      <c r="I45" s="2062" t="s">
        <v>1627</v>
      </c>
      <c r="J45" s="1595" t="s">
        <v>1628</v>
      </c>
      <c r="K45" s="3333" t="s">
        <v>1629</v>
      </c>
      <c r="M45" s="305">
        <v>0.05</v>
      </c>
      <c r="N45" s="305">
        <f t="shared" si="0"/>
        <v>0</v>
      </c>
      <c r="P45" s="305">
        <v>7.0000000000000007E-2</v>
      </c>
      <c r="Q45" s="305">
        <f t="shared" si="1"/>
        <v>0</v>
      </c>
    </row>
    <row r="46" spans="1:17" s="305" customFormat="1" ht="38.25">
      <c r="A46" s="1216"/>
      <c r="B46" s="406" t="s">
        <v>1622</v>
      </c>
      <c r="C46" s="341" t="s">
        <v>280</v>
      </c>
      <c r="D46" s="2063" t="s">
        <v>1607</v>
      </c>
      <c r="E46" s="2508">
        <v>59</v>
      </c>
      <c r="F46" s="2510" t="s">
        <v>1630</v>
      </c>
      <c r="G46" s="3048" t="s">
        <v>1625</v>
      </c>
      <c r="H46" s="620" t="s">
        <v>1631</v>
      </c>
      <c r="I46" s="554" t="s">
        <v>1632</v>
      </c>
      <c r="J46" s="1595" t="s">
        <v>1633</v>
      </c>
      <c r="K46" s="3333" t="s">
        <v>1634</v>
      </c>
    </row>
    <row r="47" spans="1:17" s="305" customFormat="1" ht="38.25">
      <c r="A47" s="1216"/>
      <c r="B47" s="406" t="s">
        <v>1622</v>
      </c>
      <c r="C47" s="341" t="s">
        <v>1635</v>
      </c>
      <c r="D47" s="1825" t="s">
        <v>1636</v>
      </c>
      <c r="E47" s="2511">
        <v>32</v>
      </c>
      <c r="F47" s="2512" t="s">
        <v>1637</v>
      </c>
      <c r="G47" s="3048" t="s">
        <v>1638</v>
      </c>
      <c r="H47" s="620" t="s">
        <v>1639</v>
      </c>
      <c r="I47" s="554" t="s">
        <v>1640</v>
      </c>
      <c r="J47" s="686" t="s">
        <v>1641</v>
      </c>
      <c r="K47" s="3333" t="s">
        <v>1642</v>
      </c>
    </row>
    <row r="48" spans="1:17" s="305" customFormat="1" ht="39" thickBot="1">
      <c r="A48" s="2526"/>
      <c r="B48" s="1905" t="s">
        <v>1622</v>
      </c>
      <c r="C48" s="2527" t="s">
        <v>1643</v>
      </c>
      <c r="D48" s="2528" t="s">
        <v>1644</v>
      </c>
      <c r="E48" s="2529">
        <v>10</v>
      </c>
      <c r="F48" s="2530" t="s">
        <v>1645</v>
      </c>
      <c r="G48" s="3061" t="s">
        <v>1625</v>
      </c>
      <c r="H48" s="2531" t="s">
        <v>1646</v>
      </c>
      <c r="I48" s="2532" t="s">
        <v>1647</v>
      </c>
      <c r="J48" s="2533" t="s">
        <v>1648</v>
      </c>
      <c r="K48" s="3334" t="s">
        <v>1649</v>
      </c>
    </row>
    <row r="49" spans="1:17" s="305" customFormat="1" ht="39" thickTop="1">
      <c r="A49" s="2522"/>
      <c r="B49" s="1479" t="s">
        <v>1650</v>
      </c>
      <c r="C49" s="523" t="s">
        <v>1651</v>
      </c>
      <c r="D49" s="523" t="s">
        <v>1652</v>
      </c>
      <c r="E49" s="2523" t="s">
        <v>1653</v>
      </c>
      <c r="F49" s="2524" t="s">
        <v>1654</v>
      </c>
      <c r="G49" s="3054" t="s">
        <v>1638</v>
      </c>
      <c r="H49" s="1518" t="s">
        <v>306</v>
      </c>
      <c r="I49" s="2499" t="s">
        <v>1655</v>
      </c>
      <c r="J49" s="2525" t="s">
        <v>1656</v>
      </c>
      <c r="K49" s="3335" t="s">
        <v>1657</v>
      </c>
      <c r="M49" s="305">
        <v>0.05</v>
      </c>
      <c r="N49" s="305">
        <f t="shared" si="0"/>
        <v>0</v>
      </c>
      <c r="P49" s="305">
        <v>7.0000000000000007E-2</v>
      </c>
      <c r="Q49" s="305">
        <f t="shared" si="1"/>
        <v>0</v>
      </c>
    </row>
    <row r="50" spans="1:17" s="305" customFormat="1" ht="39" thickBot="1">
      <c r="A50" s="2515"/>
      <c r="B50" s="2516" t="s">
        <v>1650</v>
      </c>
      <c r="C50" s="2517" t="s">
        <v>1658</v>
      </c>
      <c r="D50" s="3122" t="s">
        <v>1659</v>
      </c>
      <c r="E50" s="2518" t="s">
        <v>1660</v>
      </c>
      <c r="F50" s="2519" t="s">
        <v>1661</v>
      </c>
      <c r="G50" s="3055" t="s">
        <v>1625</v>
      </c>
      <c r="H50" s="2520" t="s">
        <v>1662</v>
      </c>
      <c r="I50" s="2499" t="s">
        <v>1663</v>
      </c>
      <c r="J50" s="2521" t="s">
        <v>1664</v>
      </c>
      <c r="K50" s="3336" t="s">
        <v>1665</v>
      </c>
      <c r="M50" s="305">
        <v>0.05</v>
      </c>
      <c r="N50" s="305">
        <f t="shared" si="0"/>
        <v>0</v>
      </c>
      <c r="P50" s="305">
        <v>7.0000000000000007E-2</v>
      </c>
      <c r="Q50" s="305">
        <f t="shared" si="1"/>
        <v>0</v>
      </c>
    </row>
    <row r="51" spans="1:17" s="305" customFormat="1" ht="38.25">
      <c r="A51" s="1216"/>
      <c r="B51" s="770" t="s">
        <v>1666</v>
      </c>
      <c r="C51" s="523" t="s">
        <v>36</v>
      </c>
      <c r="D51" s="1510" t="s">
        <v>1667</v>
      </c>
      <c r="E51" s="2513">
        <v>102</v>
      </c>
      <c r="F51" s="2514" t="s">
        <v>1668</v>
      </c>
      <c r="G51" s="3048" t="s">
        <v>1669</v>
      </c>
      <c r="H51" s="1518" t="s">
        <v>1670</v>
      </c>
      <c r="I51" s="2499" t="s">
        <v>1671</v>
      </c>
      <c r="J51" s="1519" t="s">
        <v>1672</v>
      </c>
      <c r="K51" s="3337" t="s">
        <v>1673</v>
      </c>
      <c r="M51" s="305">
        <v>0.05</v>
      </c>
      <c r="N51" s="305">
        <f t="shared" si="0"/>
        <v>0</v>
      </c>
      <c r="P51" s="305">
        <v>7.0000000000000007E-2</v>
      </c>
      <c r="Q51" s="305">
        <f t="shared" si="1"/>
        <v>0</v>
      </c>
    </row>
    <row r="52" spans="1:17" s="305" customFormat="1" ht="38.25">
      <c r="A52" s="1216"/>
      <c r="B52" s="406" t="s">
        <v>1674</v>
      </c>
      <c r="C52" s="341" t="s">
        <v>276</v>
      </c>
      <c r="D52" s="624" t="s">
        <v>1675</v>
      </c>
      <c r="E52" s="2508">
        <v>62</v>
      </c>
      <c r="F52" s="2514" t="s">
        <v>1676</v>
      </c>
      <c r="G52" s="3037" t="s">
        <v>1677</v>
      </c>
      <c r="H52" s="620" t="s">
        <v>1678</v>
      </c>
      <c r="I52" s="2499" t="s">
        <v>1679</v>
      </c>
      <c r="J52" s="1826" t="s">
        <v>1680</v>
      </c>
      <c r="K52" s="3333" t="s">
        <v>1681</v>
      </c>
      <c r="M52" s="305">
        <v>0.05</v>
      </c>
      <c r="N52" s="305">
        <f t="shared" si="0"/>
        <v>0</v>
      </c>
      <c r="P52" s="305">
        <v>7.0000000000000007E-2</v>
      </c>
      <c r="Q52" s="305">
        <f t="shared" si="1"/>
        <v>0</v>
      </c>
    </row>
    <row r="53" spans="1:17" s="305" customFormat="1" ht="38.25">
      <c r="A53" s="1216"/>
      <c r="B53" s="406" t="s">
        <v>1682</v>
      </c>
      <c r="C53" s="341" t="s">
        <v>1683</v>
      </c>
      <c r="D53" s="624" t="s">
        <v>1684</v>
      </c>
      <c r="E53" s="2508">
        <v>27</v>
      </c>
      <c r="F53" s="2510" t="s">
        <v>1685</v>
      </c>
      <c r="G53" s="3037" t="s">
        <v>1677</v>
      </c>
      <c r="H53" s="620" t="s">
        <v>1686</v>
      </c>
      <c r="I53" s="2499" t="s">
        <v>1687</v>
      </c>
      <c r="J53" s="1826" t="s">
        <v>1688</v>
      </c>
      <c r="K53" s="3338" t="s">
        <v>1689</v>
      </c>
      <c r="M53" s="305">
        <v>0.05</v>
      </c>
      <c r="N53" s="305">
        <f t="shared" si="0"/>
        <v>0</v>
      </c>
      <c r="P53" s="305">
        <v>7.0000000000000007E-2</v>
      </c>
      <c r="Q53" s="305">
        <f t="shared" si="1"/>
        <v>0</v>
      </c>
    </row>
    <row r="54" spans="1:17" s="305" customFormat="1" ht="38.25">
      <c r="A54" s="1216"/>
      <c r="B54" s="406" t="s">
        <v>1690</v>
      </c>
      <c r="C54" s="341" t="s">
        <v>1691</v>
      </c>
      <c r="D54" s="1825" t="s">
        <v>1692</v>
      </c>
      <c r="E54" s="2508">
        <v>13</v>
      </c>
      <c r="F54" s="2510" t="s">
        <v>1693</v>
      </c>
      <c r="G54" s="3037" t="s">
        <v>1609</v>
      </c>
      <c r="H54" s="620" t="s">
        <v>1694</v>
      </c>
      <c r="I54" s="2499" t="s">
        <v>1695</v>
      </c>
      <c r="J54" s="1826" t="s">
        <v>1696</v>
      </c>
      <c r="K54" s="3338" t="s">
        <v>1697</v>
      </c>
      <c r="M54" s="305">
        <v>0.05</v>
      </c>
      <c r="N54" s="305">
        <f t="shared" si="0"/>
        <v>0</v>
      </c>
      <c r="P54" s="305">
        <v>7.0000000000000007E-2</v>
      </c>
      <c r="Q54" s="305">
        <f t="shared" si="1"/>
        <v>0</v>
      </c>
    </row>
    <row r="55" spans="1:17" s="305" customFormat="1" ht="38.25">
      <c r="A55" s="1216"/>
      <c r="B55" s="770" t="s">
        <v>1698</v>
      </c>
      <c r="C55" s="523" t="s">
        <v>36</v>
      </c>
      <c r="D55" s="1510" t="s">
        <v>1667</v>
      </c>
      <c r="E55" s="2513">
        <v>102</v>
      </c>
      <c r="F55" s="2514" t="s">
        <v>1699</v>
      </c>
      <c r="G55" s="3048" t="s">
        <v>1700</v>
      </c>
      <c r="H55" s="1518" t="s">
        <v>1670</v>
      </c>
      <c r="I55" s="2499" t="s">
        <v>1671</v>
      </c>
      <c r="J55" s="1519" t="s">
        <v>1672</v>
      </c>
      <c r="K55" s="3339" t="s">
        <v>1673</v>
      </c>
      <c r="M55" s="305">
        <v>0.05</v>
      </c>
      <c r="N55" s="305">
        <f t="shared" si="0"/>
        <v>0</v>
      </c>
      <c r="P55" s="305">
        <v>7.0000000000000007E-2</v>
      </c>
      <c r="Q55" s="305">
        <f t="shared" si="1"/>
        <v>0</v>
      </c>
    </row>
    <row r="56" spans="1:17" s="305" customFormat="1" ht="38.25">
      <c r="A56" s="1216"/>
      <c r="B56" s="406" t="s">
        <v>1701</v>
      </c>
      <c r="C56" s="341" t="s">
        <v>1683</v>
      </c>
      <c r="D56" s="624" t="s">
        <v>1684</v>
      </c>
      <c r="E56" s="2508">
        <v>27</v>
      </c>
      <c r="F56" s="2510" t="s">
        <v>1685</v>
      </c>
      <c r="G56" s="3321" t="s">
        <v>1702</v>
      </c>
      <c r="H56" s="620" t="s">
        <v>1703</v>
      </c>
      <c r="I56" s="2499" t="s">
        <v>1704</v>
      </c>
      <c r="J56" s="1826" t="s">
        <v>1688</v>
      </c>
      <c r="K56" s="3338" t="s">
        <v>1689</v>
      </c>
    </row>
    <row r="57" spans="1:17" s="305" customFormat="1" ht="38.25">
      <c r="A57" s="1216"/>
      <c r="B57" s="406" t="s">
        <v>1705</v>
      </c>
      <c r="C57" s="341" t="s">
        <v>1691</v>
      </c>
      <c r="D57" s="1825" t="s">
        <v>1692</v>
      </c>
      <c r="E57" s="2508">
        <v>13</v>
      </c>
      <c r="F57" s="2510" t="s">
        <v>1693</v>
      </c>
      <c r="G57" s="3321" t="s">
        <v>1702</v>
      </c>
      <c r="H57" s="620" t="s">
        <v>1694</v>
      </c>
      <c r="I57" s="2499" t="s">
        <v>1695</v>
      </c>
      <c r="J57" s="1826" t="s">
        <v>1696</v>
      </c>
      <c r="K57" s="3338" t="s">
        <v>1697</v>
      </c>
      <c r="M57" s="305">
        <v>0.05</v>
      </c>
      <c r="N57" s="305">
        <f t="shared" si="0"/>
        <v>0</v>
      </c>
      <c r="P57" s="305">
        <v>7.0000000000000007E-2</v>
      </c>
      <c r="Q57" s="305">
        <f t="shared" si="1"/>
        <v>0</v>
      </c>
    </row>
    <row r="58" spans="1:17" s="305" customFormat="1" ht="37.5">
      <c r="A58" s="2498" t="s">
        <v>1706</v>
      </c>
      <c r="B58" s="1210" t="s">
        <v>1707</v>
      </c>
      <c r="C58" s="1211" t="s">
        <v>1542</v>
      </c>
      <c r="D58" s="1496" t="s">
        <v>1708</v>
      </c>
      <c r="E58" s="2563">
        <v>12</v>
      </c>
      <c r="F58" s="767" t="s">
        <v>1709</v>
      </c>
      <c r="G58" s="3322" t="s">
        <v>1710</v>
      </c>
      <c r="H58" s="1205">
        <v>810</v>
      </c>
      <c r="I58" s="474" t="s">
        <v>1711</v>
      </c>
      <c r="J58" s="3324" t="s">
        <v>1712</v>
      </c>
      <c r="K58" s="2363" t="s">
        <v>1713</v>
      </c>
    </row>
    <row r="59" spans="1:17" s="305" customFormat="1" ht="38.25">
      <c r="A59" s="1228"/>
      <c r="B59" s="1210"/>
      <c r="C59" s="1211" t="s">
        <v>1714</v>
      </c>
      <c r="D59" s="3123" t="s">
        <v>1715</v>
      </c>
      <c r="E59" s="1267">
        <v>25</v>
      </c>
      <c r="F59" s="1268">
        <v>130</v>
      </c>
      <c r="G59" s="2788" t="s">
        <v>1625</v>
      </c>
      <c r="H59" s="1205">
        <v>720</v>
      </c>
      <c r="I59" s="474" t="s">
        <v>1716</v>
      </c>
      <c r="J59" s="2017" t="s">
        <v>1717</v>
      </c>
      <c r="K59" s="3328" t="s">
        <v>1718</v>
      </c>
      <c r="L59" s="305">
        <v>343.2</v>
      </c>
      <c r="M59" s="305">
        <v>0.05</v>
      </c>
      <c r="N59" s="305">
        <f>L59-(L59*M59)</f>
        <v>326.03999999999996</v>
      </c>
      <c r="P59" s="305">
        <v>7.0000000000000007E-2</v>
      </c>
      <c r="Q59" s="305">
        <f>(N59*P59)+N59</f>
        <v>348.86279999999999</v>
      </c>
    </row>
    <row r="60" spans="1:17" s="305" customFormat="1" ht="38.25">
      <c r="A60" s="1216"/>
      <c r="B60" s="1210"/>
      <c r="C60" s="1211" t="s">
        <v>36</v>
      </c>
      <c r="D60" s="1510" t="s">
        <v>1667</v>
      </c>
      <c r="E60" s="1267">
        <v>85</v>
      </c>
      <c r="F60" s="1268">
        <v>410</v>
      </c>
      <c r="G60" s="3322" t="s">
        <v>1719</v>
      </c>
      <c r="H60" s="1205">
        <v>760</v>
      </c>
      <c r="I60" s="474" t="s">
        <v>1720</v>
      </c>
      <c r="J60" s="2016" t="s">
        <v>1672</v>
      </c>
      <c r="K60" s="2359" t="s">
        <v>1721</v>
      </c>
      <c r="M60" s="305">
        <v>0.05</v>
      </c>
      <c r="N60" s="305">
        <f>L60-(L60*M60)</f>
        <v>0</v>
      </c>
      <c r="P60" s="305">
        <v>2.0699999999999998</v>
      </c>
      <c r="Q60" s="305">
        <f>(N60*P60)+N60</f>
        <v>0</v>
      </c>
    </row>
    <row r="61" spans="1:17" s="305" customFormat="1" ht="38.25">
      <c r="A61" s="1216"/>
      <c r="B61" s="362" t="s">
        <v>1722</v>
      </c>
      <c r="C61" s="1211" t="s">
        <v>1542</v>
      </c>
      <c r="D61" s="1496" t="s">
        <v>1708</v>
      </c>
      <c r="E61" s="1267">
        <v>12</v>
      </c>
      <c r="F61" s="1268">
        <v>105</v>
      </c>
      <c r="G61" s="3322" t="s">
        <v>1710</v>
      </c>
      <c r="H61" s="1205">
        <v>810</v>
      </c>
      <c r="I61" s="474"/>
      <c r="J61" s="3324" t="s">
        <v>1712</v>
      </c>
      <c r="K61" s="2363" t="s">
        <v>1713</v>
      </c>
      <c r="M61" s="305">
        <v>0.05</v>
      </c>
      <c r="N61" s="305">
        <f t="shared" si="0"/>
        <v>0</v>
      </c>
      <c r="P61" s="305">
        <v>7.0000000000000007E-2</v>
      </c>
      <c r="Q61" s="305">
        <f t="shared" si="1"/>
        <v>0</v>
      </c>
    </row>
    <row r="62" spans="1:17" s="305" customFormat="1" ht="38.25">
      <c r="A62" s="1216"/>
      <c r="B62" s="1210"/>
      <c r="C62" s="1211" t="s">
        <v>1723</v>
      </c>
      <c r="D62" s="3123" t="s">
        <v>1715</v>
      </c>
      <c r="E62" s="1267">
        <v>25</v>
      </c>
      <c r="F62" s="1268">
        <v>130</v>
      </c>
      <c r="G62" s="2788" t="s">
        <v>1625</v>
      </c>
      <c r="H62" s="1205">
        <v>720</v>
      </c>
      <c r="I62" s="474" t="s">
        <v>1724</v>
      </c>
      <c r="J62" s="2017" t="s">
        <v>1725</v>
      </c>
      <c r="K62" s="3328" t="s">
        <v>1726</v>
      </c>
      <c r="M62" s="305">
        <v>0.05</v>
      </c>
      <c r="N62" s="305">
        <f t="shared" si="0"/>
        <v>0</v>
      </c>
      <c r="P62" s="305">
        <v>7.0000000000000007E-2</v>
      </c>
      <c r="Q62" s="305">
        <f t="shared" si="1"/>
        <v>0</v>
      </c>
    </row>
    <row r="63" spans="1:17" s="305" customFormat="1" ht="38.25">
      <c r="A63" s="821"/>
      <c r="B63" s="1210"/>
      <c r="C63" s="1211" t="s">
        <v>36</v>
      </c>
      <c r="D63" s="1510" t="s">
        <v>1667</v>
      </c>
      <c r="E63" s="1267">
        <v>85</v>
      </c>
      <c r="F63" s="1268">
        <v>410</v>
      </c>
      <c r="G63" s="2788" t="s">
        <v>1625</v>
      </c>
      <c r="H63" s="1205">
        <v>760</v>
      </c>
      <c r="I63" s="474" t="s">
        <v>1727</v>
      </c>
      <c r="J63" s="2016" t="s">
        <v>1728</v>
      </c>
      <c r="K63" s="2359" t="s">
        <v>1729</v>
      </c>
      <c r="M63" s="305">
        <v>0.05</v>
      </c>
      <c r="N63" s="305">
        <f t="shared" si="0"/>
        <v>0</v>
      </c>
      <c r="P63" s="305">
        <v>7.0000000000000007E-2</v>
      </c>
      <c r="Q63" s="305">
        <f t="shared" si="1"/>
        <v>0</v>
      </c>
    </row>
    <row r="64" spans="1:17" s="305" customFormat="1" ht="38.25">
      <c r="A64" s="1216"/>
      <c r="B64" s="383" t="s">
        <v>1730</v>
      </c>
      <c r="C64" s="1211" t="s">
        <v>1542</v>
      </c>
      <c r="D64" s="3120" t="s">
        <v>1708</v>
      </c>
      <c r="E64" s="1267">
        <v>12</v>
      </c>
      <c r="F64" s="1268">
        <v>105</v>
      </c>
      <c r="G64" s="3322" t="s">
        <v>1710</v>
      </c>
      <c r="H64" s="1205">
        <v>810</v>
      </c>
      <c r="I64" s="474" t="s">
        <v>1711</v>
      </c>
      <c r="J64" s="3324" t="s">
        <v>1712</v>
      </c>
      <c r="K64" s="2363" t="s">
        <v>1713</v>
      </c>
    </row>
    <row r="65" spans="1:39" s="305" customFormat="1" ht="38.25">
      <c r="A65" s="1216"/>
      <c r="B65" s="1210"/>
      <c r="C65" s="1211" t="s">
        <v>1714</v>
      </c>
      <c r="D65" s="3120" t="s">
        <v>1731</v>
      </c>
      <c r="E65" s="1267">
        <v>25</v>
      </c>
      <c r="F65" s="1268">
        <v>130</v>
      </c>
      <c r="G65" s="3322" t="s">
        <v>1732</v>
      </c>
      <c r="H65" s="1205" t="s">
        <v>1733</v>
      </c>
      <c r="I65" s="474" t="s">
        <v>407</v>
      </c>
      <c r="J65" s="2017" t="s">
        <v>1734</v>
      </c>
      <c r="K65" s="3329" t="s">
        <v>1735</v>
      </c>
    </row>
    <row r="66" spans="1:39" s="305" customFormat="1" ht="38.25">
      <c r="A66" s="821"/>
      <c r="B66" s="1210"/>
      <c r="C66" s="1211" t="s">
        <v>36</v>
      </c>
      <c r="D66" s="3121" t="s">
        <v>1736</v>
      </c>
      <c r="E66" s="1267">
        <v>85</v>
      </c>
      <c r="F66" s="1268">
        <v>410</v>
      </c>
      <c r="G66" s="3322" t="s">
        <v>1737</v>
      </c>
      <c r="H66" s="1205">
        <v>760</v>
      </c>
      <c r="I66" s="474" t="s">
        <v>1720</v>
      </c>
      <c r="J66" s="2016"/>
      <c r="K66" s="2359" t="s">
        <v>1738</v>
      </c>
      <c r="M66" s="305">
        <v>0.05</v>
      </c>
      <c r="N66" s="305">
        <f t="shared" si="0"/>
        <v>0</v>
      </c>
      <c r="P66" s="305">
        <v>7.0000000000000007E-2</v>
      </c>
      <c r="Q66" s="305">
        <f t="shared" si="1"/>
        <v>0</v>
      </c>
    </row>
    <row r="67" spans="1:39" s="305" customFormat="1" ht="38.25">
      <c r="A67" s="821"/>
      <c r="B67" s="791" t="s">
        <v>1739</v>
      </c>
      <c r="C67" s="1211" t="s">
        <v>1740</v>
      </c>
      <c r="D67" s="3119" t="s">
        <v>1715</v>
      </c>
      <c r="E67" s="84" t="s">
        <v>1741</v>
      </c>
      <c r="F67" s="2302" t="s">
        <v>1742</v>
      </c>
      <c r="G67" s="3322" t="s">
        <v>534</v>
      </c>
      <c r="H67" s="1205" t="s">
        <v>566</v>
      </c>
      <c r="I67" s="474" t="s">
        <v>1743</v>
      </c>
      <c r="J67" s="2017" t="s">
        <v>1744</v>
      </c>
      <c r="K67" s="3328" t="s">
        <v>1745</v>
      </c>
      <c r="M67" s="305">
        <v>0.05</v>
      </c>
      <c r="N67" s="305">
        <f t="shared" si="0"/>
        <v>0</v>
      </c>
      <c r="P67" s="305">
        <v>7.0000000000000007E-2</v>
      </c>
      <c r="Q67" s="305">
        <f t="shared" si="1"/>
        <v>0</v>
      </c>
    </row>
    <row r="68" spans="1:39" s="305" customFormat="1" ht="38.25">
      <c r="A68" s="821"/>
      <c r="B68" s="383" t="s">
        <v>1746</v>
      </c>
      <c r="C68" s="1211" t="s">
        <v>1542</v>
      </c>
      <c r="D68" s="1496" t="s">
        <v>1708</v>
      </c>
      <c r="E68" s="1213"/>
      <c r="F68" s="1214"/>
      <c r="G68" s="3322"/>
      <c r="H68" s="1205"/>
      <c r="I68" s="474"/>
      <c r="J68" s="2017"/>
      <c r="K68" s="3326"/>
      <c r="M68" s="305">
        <v>0.05</v>
      </c>
      <c r="N68" s="305">
        <f t="shared" si="0"/>
        <v>0</v>
      </c>
      <c r="P68" s="305">
        <v>7.0000000000000007E-2</v>
      </c>
      <c r="Q68" s="305">
        <f t="shared" si="1"/>
        <v>0</v>
      </c>
    </row>
    <row r="69" spans="1:39" s="305" customFormat="1" ht="38.25">
      <c r="A69" s="821"/>
      <c r="B69" s="1210"/>
      <c r="C69" s="1211" t="s">
        <v>1714</v>
      </c>
      <c r="D69" s="3120" t="s">
        <v>1731</v>
      </c>
      <c r="E69" s="1267">
        <v>25</v>
      </c>
      <c r="F69" s="1268">
        <v>130</v>
      </c>
      <c r="G69" s="3322" t="s">
        <v>1732</v>
      </c>
      <c r="H69" s="1205" t="s">
        <v>1733</v>
      </c>
      <c r="I69" s="474" t="s">
        <v>407</v>
      </c>
      <c r="J69" s="2017" t="s">
        <v>1734</v>
      </c>
      <c r="K69" s="3327" t="s">
        <v>1735</v>
      </c>
      <c r="M69" s="305">
        <v>0.05</v>
      </c>
      <c r="N69" s="305">
        <f t="shared" si="0"/>
        <v>0</v>
      </c>
      <c r="P69" s="305">
        <v>7.0000000000000007E-2</v>
      </c>
      <c r="Q69" s="305">
        <f t="shared" si="1"/>
        <v>0</v>
      </c>
    </row>
    <row r="70" spans="1:39" s="305" customFormat="1" ht="38.25">
      <c r="A70" s="821"/>
      <c r="B70" s="1210"/>
      <c r="C70" s="1211" t="s">
        <v>36</v>
      </c>
      <c r="D70" s="3467" t="s">
        <v>1747</v>
      </c>
      <c r="E70" s="1249"/>
      <c r="F70" s="1214"/>
      <c r="G70" s="3323" t="s">
        <v>1748</v>
      </c>
      <c r="H70" s="1211" t="s">
        <v>690</v>
      </c>
      <c r="I70" s="2244" t="s">
        <v>407</v>
      </c>
      <c r="J70" s="2743" t="s">
        <v>1749</v>
      </c>
      <c r="K70" s="2363" t="s">
        <v>1750</v>
      </c>
      <c r="M70" s="305">
        <v>0.05</v>
      </c>
      <c r="N70" s="305">
        <f t="shared" si="0"/>
        <v>0</v>
      </c>
      <c r="P70" s="305">
        <v>7.0000000000000007E-2</v>
      </c>
      <c r="Q70" s="305">
        <f t="shared" si="1"/>
        <v>0</v>
      </c>
      <c r="AM70" s="305" t="s">
        <v>1751</v>
      </c>
    </row>
    <row r="71" spans="1:39" s="305" customFormat="1" ht="38.25">
      <c r="A71" s="821"/>
      <c r="B71" s="791" t="s">
        <v>1752</v>
      </c>
      <c r="C71" s="1211" t="s">
        <v>1740</v>
      </c>
      <c r="D71" s="3119" t="s">
        <v>1715</v>
      </c>
      <c r="E71" s="84" t="s">
        <v>1753</v>
      </c>
      <c r="F71" s="2302" t="s">
        <v>1754</v>
      </c>
      <c r="G71" s="3322" t="s">
        <v>1702</v>
      </c>
      <c r="H71" s="1205" t="s">
        <v>195</v>
      </c>
      <c r="I71" s="431" t="s">
        <v>1755</v>
      </c>
      <c r="J71" s="2358" t="s">
        <v>1756</v>
      </c>
      <c r="K71" s="2359" t="s">
        <v>1757</v>
      </c>
      <c r="M71" s="305">
        <v>0.05</v>
      </c>
      <c r="N71" s="305">
        <f t="shared" si="0"/>
        <v>0</v>
      </c>
      <c r="P71" s="305">
        <v>7.0000000000000007E-2</v>
      </c>
      <c r="Q71" s="305">
        <f t="shared" si="1"/>
        <v>0</v>
      </c>
    </row>
    <row r="72" spans="1:39" s="305" customFormat="1" ht="35.25" customHeight="1">
      <c r="A72" s="1176"/>
      <c r="B72" s="1163"/>
      <c r="C72" s="848"/>
      <c r="D72" s="1177"/>
      <c r="E72" s="1264"/>
      <c r="F72" s="1265"/>
      <c r="G72" s="1169"/>
      <c r="H72" s="1266"/>
      <c r="I72" s="1170"/>
      <c r="J72" s="698"/>
      <c r="K72" s="1171"/>
    </row>
    <row r="73" spans="1:39" s="305" customFormat="1" ht="38.25">
      <c r="A73" s="303" t="s">
        <v>0</v>
      </c>
      <c r="B73" s="304"/>
      <c r="C73" s="848"/>
      <c r="D73" s="1172"/>
      <c r="E73" s="1173"/>
      <c r="F73" s="1165"/>
      <c r="G73" s="1174"/>
      <c r="I73" s="306"/>
      <c r="J73" s="1175"/>
      <c r="K73" s="1171"/>
    </row>
    <row r="74" spans="1:39" s="305" customFormat="1" ht="35.25" customHeight="1">
      <c r="A74" s="1176" t="s">
        <v>1510</v>
      </c>
      <c r="B74" s="1176"/>
      <c r="C74" s="303"/>
      <c r="D74" s="1177"/>
      <c r="E74" s="1173"/>
      <c r="F74" s="1165"/>
      <c r="G74" s="1174"/>
      <c r="I74" s="306"/>
      <c r="J74" s="1175"/>
      <c r="K74" s="1171"/>
    </row>
    <row r="75" spans="1:39" s="305" customFormat="1" ht="12.75" customHeight="1" thickBot="1">
      <c r="A75" s="1163"/>
      <c r="B75" s="1172"/>
      <c r="C75" s="614"/>
      <c r="D75" s="1172"/>
      <c r="E75" s="1173"/>
      <c r="F75" s="1165"/>
      <c r="G75" s="1174"/>
      <c r="I75" s="306"/>
      <c r="J75" s="1175"/>
      <c r="K75" s="1171"/>
    </row>
    <row r="76" spans="1:39" s="305" customFormat="1" ht="38.25">
      <c r="A76" s="3502" t="s">
        <v>2</v>
      </c>
      <c r="B76" s="3503"/>
      <c r="C76" s="1178" t="s">
        <v>3</v>
      </c>
      <c r="D76" s="1179" t="s">
        <v>4</v>
      </c>
      <c r="E76" s="1180" t="s">
        <v>5</v>
      </c>
      <c r="F76" s="1181" t="s">
        <v>5</v>
      </c>
      <c r="G76" s="1182" t="s">
        <v>6</v>
      </c>
      <c r="H76" s="1183" t="s">
        <v>7</v>
      </c>
      <c r="I76" s="1184" t="s">
        <v>1511</v>
      </c>
      <c r="J76" s="1185" t="s">
        <v>9</v>
      </c>
      <c r="K76" s="1186" t="s">
        <v>9</v>
      </c>
    </row>
    <row r="77" spans="1:39" s="305" customFormat="1" ht="39" thickBot="1">
      <c r="A77" s="1187"/>
      <c r="B77" s="1188"/>
      <c r="C77" s="1189"/>
      <c r="D77" s="1190" t="s">
        <v>10</v>
      </c>
      <c r="E77" s="1191" t="s">
        <v>11</v>
      </c>
      <c r="F77" s="1192" t="s">
        <v>12</v>
      </c>
      <c r="G77" s="1193"/>
      <c r="H77" s="1194" t="s">
        <v>13</v>
      </c>
      <c r="I77" s="1195" t="s">
        <v>1512</v>
      </c>
      <c r="J77" s="1196" t="s">
        <v>14</v>
      </c>
      <c r="K77" s="1197" t="s">
        <v>15</v>
      </c>
    </row>
    <row r="78" spans="1:39" s="305" customFormat="1" ht="38.25">
      <c r="A78" s="1216"/>
      <c r="B78" s="3508" t="s">
        <v>1455</v>
      </c>
      <c r="C78" s="3509"/>
      <c r="D78" s="1232"/>
      <c r="E78" s="1213"/>
      <c r="F78" s="1214"/>
      <c r="G78" s="1204"/>
      <c r="H78" s="1205"/>
      <c r="I78" s="1206"/>
      <c r="J78" s="1217"/>
      <c r="K78" s="1208"/>
    </row>
    <row r="79" spans="1:39" s="305" customFormat="1" ht="38.25">
      <c r="A79" s="821"/>
      <c r="B79" s="1210" t="s">
        <v>1758</v>
      </c>
      <c r="C79" s="1211" t="s">
        <v>1542</v>
      </c>
      <c r="D79" s="1232" t="s">
        <v>814</v>
      </c>
      <c r="E79" s="1213">
        <v>20</v>
      </c>
      <c r="F79" s="1214"/>
      <c r="G79" s="1204" t="s">
        <v>1759</v>
      </c>
      <c r="H79" s="1205">
        <v>1100</v>
      </c>
      <c r="I79" s="1206" t="s">
        <v>1760</v>
      </c>
      <c r="J79" s="1270">
        <v>1047</v>
      </c>
      <c r="K79" s="1208">
        <v>14.54</v>
      </c>
    </row>
    <row r="80" spans="1:39" s="305" customFormat="1" ht="38.25">
      <c r="A80" s="821"/>
      <c r="B80" s="1210" t="s">
        <v>1761</v>
      </c>
      <c r="C80" s="1211" t="s">
        <v>1542</v>
      </c>
      <c r="D80" s="1232" t="s">
        <v>814</v>
      </c>
      <c r="E80" s="1213">
        <v>20</v>
      </c>
      <c r="F80" s="1214"/>
      <c r="G80" s="1204" t="s">
        <v>1759</v>
      </c>
      <c r="H80" s="1205">
        <v>1100</v>
      </c>
      <c r="I80" s="1206" t="s">
        <v>1760</v>
      </c>
      <c r="J80" s="1270">
        <v>1047</v>
      </c>
      <c r="K80" s="1208">
        <v>14.54</v>
      </c>
    </row>
    <row r="81" spans="1:12" s="305" customFormat="1" ht="38.25">
      <c r="A81" s="1216"/>
      <c r="B81" s="1321" t="s">
        <v>1762</v>
      </c>
      <c r="C81" s="1220" t="s">
        <v>1763</v>
      </c>
      <c r="D81" s="1816" t="s">
        <v>1764</v>
      </c>
      <c r="E81" s="1230">
        <v>20</v>
      </c>
      <c r="F81" s="1223" t="s">
        <v>1765</v>
      </c>
      <c r="G81" s="1224" t="s">
        <v>1458</v>
      </c>
      <c r="H81" s="1225"/>
      <c r="I81" s="1008" t="s">
        <v>1766</v>
      </c>
      <c r="J81" s="878" t="s">
        <v>1767</v>
      </c>
      <c r="K81" s="1219">
        <v>14.94</v>
      </c>
    </row>
    <row r="82" spans="1:12" s="305" customFormat="1" ht="38.25">
      <c r="A82" s="1216"/>
      <c r="B82" s="1210"/>
      <c r="C82" s="1211"/>
      <c r="D82" s="1212"/>
      <c r="E82" s="1267"/>
      <c r="F82" s="1268"/>
      <c r="G82" s="1204"/>
      <c r="H82" s="1205"/>
      <c r="I82" s="1206"/>
      <c r="J82" s="1217"/>
      <c r="K82" s="1208"/>
    </row>
    <row r="83" spans="1:12" s="305" customFormat="1" ht="39" thickBot="1">
      <c r="A83" s="1216"/>
      <c r="B83" s="1269"/>
      <c r="C83" s="1211"/>
      <c r="D83" s="1212"/>
      <c r="E83" s="1267"/>
      <c r="F83" s="1268"/>
      <c r="G83" s="1204"/>
      <c r="H83" s="1205"/>
      <c r="I83" s="1206"/>
      <c r="J83" s="1217"/>
      <c r="K83" s="1208"/>
    </row>
    <row r="84" spans="1:12" s="305" customFormat="1" ht="38.25">
      <c r="A84" s="1244" t="s">
        <v>1768</v>
      </c>
      <c r="B84" s="1981"/>
      <c r="C84" s="819" t="s">
        <v>1769</v>
      </c>
      <c r="D84" s="1201"/>
      <c r="E84" s="1230"/>
      <c r="F84" s="1223"/>
      <c r="G84" s="1224"/>
      <c r="H84" s="1225"/>
      <c r="I84" s="1231"/>
      <c r="J84" s="1322"/>
      <c r="K84" s="1219"/>
    </row>
    <row r="85" spans="1:12" s="305" customFormat="1" ht="38.25">
      <c r="A85" s="2040"/>
      <c r="B85" s="1336" t="s">
        <v>1770</v>
      </c>
      <c r="C85" s="1220" t="s">
        <v>1771</v>
      </c>
      <c r="D85" s="1229" t="s">
        <v>1772</v>
      </c>
      <c r="E85" s="2014">
        <v>16</v>
      </c>
      <c r="F85" s="2015" t="s">
        <v>1773</v>
      </c>
      <c r="G85" s="1583" t="s">
        <v>1774</v>
      </c>
      <c r="H85" s="1317">
        <v>162.12</v>
      </c>
      <c r="I85" s="1254" t="s">
        <v>1775</v>
      </c>
      <c r="J85" s="1318">
        <v>164.79</v>
      </c>
      <c r="K85" s="1219">
        <v>13.73</v>
      </c>
    </row>
    <row r="86" spans="1:12" s="305" customFormat="1" ht="38.25">
      <c r="A86" s="2038"/>
      <c r="B86" s="1336" t="s">
        <v>1776</v>
      </c>
      <c r="C86" s="1220" t="s">
        <v>1771</v>
      </c>
      <c r="D86" s="1229" t="s">
        <v>1772</v>
      </c>
      <c r="E86" s="2014">
        <v>16</v>
      </c>
      <c r="F86" s="2015" t="s">
        <v>1773</v>
      </c>
      <c r="G86" s="1583" t="s">
        <v>1774</v>
      </c>
      <c r="H86" s="1317">
        <v>162.12</v>
      </c>
      <c r="I86" s="1254" t="s">
        <v>1775</v>
      </c>
      <c r="J86" s="1318">
        <v>164.79</v>
      </c>
      <c r="K86" s="1219">
        <v>13.73</v>
      </c>
    </row>
    <row r="87" spans="1:12" s="305" customFormat="1" ht="38.25">
      <c r="A87" s="2038"/>
      <c r="B87" s="1336" t="s">
        <v>1777</v>
      </c>
      <c r="C87" s="1220" t="s">
        <v>1771</v>
      </c>
      <c r="D87" s="1229" t="s">
        <v>1772</v>
      </c>
      <c r="E87" s="2014">
        <v>16</v>
      </c>
      <c r="F87" s="2015" t="s">
        <v>1773</v>
      </c>
      <c r="G87" s="1583" t="s">
        <v>1774</v>
      </c>
      <c r="H87" s="1317">
        <v>162.12</v>
      </c>
      <c r="I87" s="1254" t="s">
        <v>1775</v>
      </c>
      <c r="J87" s="1318">
        <v>164.79</v>
      </c>
      <c r="K87" s="1219">
        <v>13.73</v>
      </c>
    </row>
    <row r="88" spans="1:12" s="305" customFormat="1" ht="38.25">
      <c r="A88" s="2038"/>
      <c r="B88" s="406" t="s">
        <v>1778</v>
      </c>
      <c r="C88" s="1220" t="s">
        <v>1771</v>
      </c>
      <c r="D88" s="1229" t="s">
        <v>1772</v>
      </c>
      <c r="E88" s="2014">
        <v>16</v>
      </c>
      <c r="F88" s="2015" t="s">
        <v>1773</v>
      </c>
      <c r="G88" s="1583" t="s">
        <v>1774</v>
      </c>
      <c r="H88" s="1317">
        <v>162.12</v>
      </c>
      <c r="I88" s="1254" t="s">
        <v>1775</v>
      </c>
      <c r="J88" s="1318">
        <v>164.79</v>
      </c>
      <c r="K88" s="1219">
        <v>13.73</v>
      </c>
    </row>
    <row r="89" spans="1:12" s="305" customFormat="1" ht="38.25">
      <c r="A89" s="2038"/>
      <c r="B89" s="1336" t="s">
        <v>1779</v>
      </c>
      <c r="C89" s="1220" t="s">
        <v>1771</v>
      </c>
      <c r="D89" s="1229" t="s">
        <v>1772</v>
      </c>
      <c r="E89" s="2014">
        <v>16</v>
      </c>
      <c r="F89" s="2015" t="s">
        <v>1773</v>
      </c>
      <c r="G89" s="1583" t="s">
        <v>1780</v>
      </c>
      <c r="H89" s="1317">
        <v>162.12</v>
      </c>
      <c r="I89" s="1254" t="s">
        <v>1775</v>
      </c>
      <c r="J89" s="1318">
        <v>164.79</v>
      </c>
      <c r="K89" s="1219">
        <v>13.73</v>
      </c>
    </row>
    <row r="90" spans="1:12" s="305" customFormat="1" ht="38.25">
      <c r="A90" s="2038"/>
      <c r="B90" s="969" t="s">
        <v>1781</v>
      </c>
      <c r="C90" s="1220" t="s">
        <v>1771</v>
      </c>
      <c r="D90" s="1229" t="s">
        <v>1772</v>
      </c>
      <c r="E90" s="2014">
        <v>16</v>
      </c>
      <c r="F90" s="2015" t="s">
        <v>1773</v>
      </c>
      <c r="G90" s="1583" t="s">
        <v>1774</v>
      </c>
      <c r="H90" s="1317">
        <v>162.12</v>
      </c>
      <c r="I90" s="1254" t="s">
        <v>1775</v>
      </c>
      <c r="J90" s="1318">
        <v>164.79</v>
      </c>
      <c r="K90" s="1219">
        <v>13.73</v>
      </c>
    </row>
    <row r="91" spans="1:12" s="305" customFormat="1" ht="38.25">
      <c r="A91" s="2038"/>
      <c r="B91" s="742" t="s">
        <v>1782</v>
      </c>
      <c r="C91" s="1234" t="s">
        <v>1783</v>
      </c>
      <c r="D91" s="1275" t="s">
        <v>1772</v>
      </c>
      <c r="E91" s="2560">
        <v>17</v>
      </c>
      <c r="F91" s="2561" t="s">
        <v>1784</v>
      </c>
      <c r="G91" s="1236" t="s">
        <v>1785</v>
      </c>
      <c r="H91" s="1273">
        <v>171.6</v>
      </c>
      <c r="I91" s="1274" t="s">
        <v>1775</v>
      </c>
      <c r="J91" s="1239">
        <v>174.43</v>
      </c>
      <c r="K91" s="1240">
        <v>14.54</v>
      </c>
      <c r="L91" s="1219"/>
    </row>
    <row r="92" spans="1:12" s="305" customFormat="1" ht="38.25">
      <c r="A92" s="2038"/>
      <c r="B92" s="1233" t="s">
        <v>1786</v>
      </c>
      <c r="C92" s="1234" t="s">
        <v>1771</v>
      </c>
      <c r="D92" s="1275" t="s">
        <v>1772</v>
      </c>
      <c r="E92" s="2560">
        <v>17</v>
      </c>
      <c r="F92" s="2561">
        <v>190</v>
      </c>
      <c r="G92" s="1236" t="s">
        <v>1787</v>
      </c>
      <c r="H92" s="1273">
        <v>171.6</v>
      </c>
      <c r="I92" s="1274" t="s">
        <v>1775</v>
      </c>
      <c r="J92" s="1239">
        <v>174.43</v>
      </c>
      <c r="K92" s="1240">
        <v>14.54</v>
      </c>
      <c r="L92" s="1276">
        <f>377.9/12</f>
        <v>31.491666666666664</v>
      </c>
    </row>
    <row r="93" spans="1:12" s="305" customFormat="1" ht="38.25">
      <c r="A93" s="2038"/>
      <c r="B93" s="1233" t="s">
        <v>1788</v>
      </c>
      <c r="C93" s="1234" t="s">
        <v>1540</v>
      </c>
      <c r="D93" s="1275" t="s">
        <v>1772</v>
      </c>
      <c r="E93" s="2560">
        <v>17</v>
      </c>
      <c r="F93" s="2561">
        <v>190</v>
      </c>
      <c r="G93" s="1236" t="s">
        <v>1787</v>
      </c>
      <c r="H93" s="1273">
        <v>171.6</v>
      </c>
      <c r="I93" s="1274" t="s">
        <v>1775</v>
      </c>
      <c r="J93" s="1239">
        <v>174.43</v>
      </c>
      <c r="K93" s="1240">
        <v>14.54</v>
      </c>
      <c r="L93" s="1276">
        <f>377.9/12</f>
        <v>31.491666666666664</v>
      </c>
    </row>
    <row r="94" spans="1:12" s="305" customFormat="1" ht="38.25">
      <c r="A94" s="1982"/>
      <c r="B94" s="1233" t="s">
        <v>1789</v>
      </c>
      <c r="C94" s="1234" t="s">
        <v>1540</v>
      </c>
      <c r="D94" s="1275" t="s">
        <v>1772</v>
      </c>
      <c r="E94" s="2560">
        <v>18</v>
      </c>
      <c r="F94" s="2561" t="s">
        <v>1790</v>
      </c>
      <c r="G94" s="1583" t="s">
        <v>1780</v>
      </c>
      <c r="H94" s="1273">
        <v>181.2</v>
      </c>
      <c r="I94" s="1274" t="s">
        <v>1775</v>
      </c>
      <c r="J94" s="1239">
        <v>184.19</v>
      </c>
      <c r="K94" s="1240">
        <v>15.35</v>
      </c>
    </row>
    <row r="95" spans="1:12" s="305" customFormat="1" ht="38.25">
      <c r="A95" s="2038"/>
      <c r="B95" s="1233" t="s">
        <v>1791</v>
      </c>
      <c r="C95" s="1234" t="s">
        <v>1540</v>
      </c>
      <c r="D95" s="1275" t="s">
        <v>1772</v>
      </c>
      <c r="E95" s="2560">
        <v>18</v>
      </c>
      <c r="F95" s="2561" t="s">
        <v>1790</v>
      </c>
      <c r="G95" s="1583" t="s">
        <v>700</v>
      </c>
      <c r="H95" s="1273">
        <v>181.2</v>
      </c>
      <c r="I95" s="1274" t="s">
        <v>1775</v>
      </c>
      <c r="J95" s="1239">
        <v>184.19</v>
      </c>
      <c r="K95" s="1240">
        <v>15.35</v>
      </c>
    </row>
    <row r="96" spans="1:12" s="305" customFormat="1" ht="38.25">
      <c r="A96" s="2038"/>
      <c r="B96" s="1233" t="s">
        <v>1792</v>
      </c>
      <c r="C96" s="1234" t="s">
        <v>1771</v>
      </c>
      <c r="D96" s="1275" t="s">
        <v>1772</v>
      </c>
      <c r="E96" s="2560">
        <v>17</v>
      </c>
      <c r="F96" s="2562">
        <v>190</v>
      </c>
      <c r="G96" s="1236" t="s">
        <v>1787</v>
      </c>
      <c r="H96" s="1273">
        <v>171.6</v>
      </c>
      <c r="I96" s="1274" t="s">
        <v>1775</v>
      </c>
      <c r="J96" s="1239">
        <v>174.43</v>
      </c>
      <c r="K96" s="1240">
        <v>14.54</v>
      </c>
    </row>
    <row r="97" spans="1:11" s="305" customFormat="1" ht="39" thickBot="1">
      <c r="A97" s="1221"/>
      <c r="B97" s="1233" t="s">
        <v>1793</v>
      </c>
      <c r="C97" s="1234" t="s">
        <v>1794</v>
      </c>
      <c r="D97" s="1275" t="s">
        <v>1772</v>
      </c>
      <c r="E97" s="2560">
        <v>17</v>
      </c>
      <c r="F97" s="2561">
        <v>190</v>
      </c>
      <c r="G97" s="1236" t="s">
        <v>1787</v>
      </c>
      <c r="H97" s="1273">
        <v>171.6</v>
      </c>
      <c r="I97" s="1274" t="s">
        <v>1775</v>
      </c>
      <c r="J97" s="1239">
        <v>174.43</v>
      </c>
      <c r="K97" s="1240">
        <v>14.54</v>
      </c>
    </row>
    <row r="98" spans="1:11" s="305" customFormat="1" ht="38.25">
      <c r="A98" s="2041">
        <v>9632</v>
      </c>
      <c r="B98" s="742" t="s">
        <v>1795</v>
      </c>
      <c r="C98" s="1234" t="s">
        <v>1783</v>
      </c>
      <c r="D98" s="1275" t="s">
        <v>1772</v>
      </c>
      <c r="E98" s="2560">
        <v>18</v>
      </c>
      <c r="F98" s="2561" t="s">
        <v>1790</v>
      </c>
      <c r="G98" s="1583" t="s">
        <v>700</v>
      </c>
      <c r="H98" s="1273">
        <v>181.2</v>
      </c>
      <c r="I98" s="1274" t="s">
        <v>1775</v>
      </c>
      <c r="J98" s="1239">
        <v>184.19</v>
      </c>
      <c r="K98" s="1240">
        <v>15.35</v>
      </c>
    </row>
    <row r="99" spans="1:11" s="305" customFormat="1" ht="38.25">
      <c r="A99" s="2040">
        <v>112363</v>
      </c>
      <c r="B99" s="1882" t="s">
        <v>1796</v>
      </c>
      <c r="C99" s="1234" t="s">
        <v>1783</v>
      </c>
      <c r="D99" s="1275" t="s">
        <v>1772</v>
      </c>
      <c r="E99" s="2560">
        <v>18</v>
      </c>
      <c r="F99" s="2561" t="s">
        <v>1790</v>
      </c>
      <c r="G99" s="2788" t="s">
        <v>760</v>
      </c>
      <c r="H99" s="1273">
        <v>181.2</v>
      </c>
      <c r="I99" s="1274" t="s">
        <v>1775</v>
      </c>
      <c r="J99" s="1239">
        <v>184.19</v>
      </c>
      <c r="K99" s="1240">
        <v>15.35</v>
      </c>
    </row>
    <row r="100" spans="1:11" s="305" customFormat="1" ht="38.25">
      <c r="A100" s="2038"/>
      <c r="B100" s="1462" t="s">
        <v>1797</v>
      </c>
      <c r="C100" s="1234" t="s">
        <v>1783</v>
      </c>
      <c r="D100" s="1275" t="s">
        <v>1772</v>
      </c>
      <c r="E100" s="2560">
        <v>17</v>
      </c>
      <c r="F100" s="2562">
        <v>190</v>
      </c>
      <c r="G100" s="1236" t="s">
        <v>1787</v>
      </c>
      <c r="H100" s="1273">
        <v>171.6</v>
      </c>
      <c r="I100" s="1274" t="s">
        <v>1775</v>
      </c>
      <c r="J100" s="1239">
        <v>174.43</v>
      </c>
      <c r="K100" s="1240">
        <v>14.54</v>
      </c>
    </row>
    <row r="101" spans="1:11" s="305" customFormat="1" ht="38.25">
      <c r="A101" s="2038">
        <v>6648</v>
      </c>
      <c r="B101" s="1233" t="s">
        <v>1798</v>
      </c>
      <c r="C101" s="1234" t="s">
        <v>1771</v>
      </c>
      <c r="D101" s="1275" t="s">
        <v>1772</v>
      </c>
      <c r="E101" s="2560">
        <v>18</v>
      </c>
      <c r="F101" s="2561" t="s">
        <v>1790</v>
      </c>
      <c r="G101" s="2788" t="s">
        <v>760</v>
      </c>
      <c r="H101" s="1273">
        <v>181.2</v>
      </c>
      <c r="I101" s="1274" t="s">
        <v>1775</v>
      </c>
      <c r="J101" s="1239">
        <v>184.19</v>
      </c>
      <c r="K101" s="1240">
        <v>15.35</v>
      </c>
    </row>
    <row r="102" spans="1:11" s="305" customFormat="1" ht="39" thickBot="1">
      <c r="A102" s="1221"/>
      <c r="B102" s="1233" t="s">
        <v>1799</v>
      </c>
      <c r="C102" s="1234" t="s">
        <v>1771</v>
      </c>
      <c r="D102" s="1275" t="s">
        <v>1772</v>
      </c>
      <c r="E102" s="2560">
        <v>18</v>
      </c>
      <c r="F102" s="2561" t="s">
        <v>1790</v>
      </c>
      <c r="G102" s="1583" t="s">
        <v>1800</v>
      </c>
      <c r="H102" s="1273">
        <v>181.2</v>
      </c>
      <c r="I102" s="1274" t="s">
        <v>1775</v>
      </c>
      <c r="J102" s="1239">
        <v>184.19</v>
      </c>
      <c r="K102" s="1240">
        <v>15.35</v>
      </c>
    </row>
    <row r="103" spans="1:11" s="305" customFormat="1" ht="39" thickBot="1">
      <c r="A103" s="2041">
        <v>30391</v>
      </c>
      <c r="B103" s="1233" t="s">
        <v>1801</v>
      </c>
      <c r="C103" s="1234" t="s">
        <v>1771</v>
      </c>
      <c r="D103" s="1235" t="s">
        <v>1772</v>
      </c>
      <c r="E103" s="2560">
        <v>17</v>
      </c>
      <c r="F103" s="2561" t="s">
        <v>1784</v>
      </c>
      <c r="G103" s="1236" t="s">
        <v>1785</v>
      </c>
      <c r="H103" s="1273">
        <v>171.6</v>
      </c>
      <c r="I103" s="1274" t="s">
        <v>1775</v>
      </c>
      <c r="J103" s="1239">
        <v>174.43</v>
      </c>
      <c r="K103" s="1240">
        <v>14.54</v>
      </c>
    </row>
    <row r="104" spans="1:11" s="305" customFormat="1" ht="39" thickBot="1">
      <c r="A104" s="2041">
        <v>111762</v>
      </c>
      <c r="B104" s="1233" t="s">
        <v>1802</v>
      </c>
      <c r="C104" s="1234" t="s">
        <v>1601</v>
      </c>
      <c r="D104" s="1235" t="s">
        <v>1772</v>
      </c>
      <c r="E104" s="2560">
        <v>18</v>
      </c>
      <c r="F104" s="2561" t="s">
        <v>1790</v>
      </c>
      <c r="G104" s="1583" t="s">
        <v>700</v>
      </c>
      <c r="H104" s="1273">
        <v>181.2</v>
      </c>
      <c r="I104" s="1274" t="s">
        <v>1775</v>
      </c>
      <c r="J104" s="1239">
        <v>184.19</v>
      </c>
      <c r="K104" s="1240">
        <v>15.35</v>
      </c>
    </row>
    <row r="105" spans="1:11" s="305" customFormat="1" ht="39" thickBot="1">
      <c r="A105" s="2041">
        <v>7904</v>
      </c>
      <c r="B105" s="1462" t="s">
        <v>1803</v>
      </c>
      <c r="C105" s="1234" t="s">
        <v>1804</v>
      </c>
      <c r="D105" s="1235" t="s">
        <v>23</v>
      </c>
      <c r="E105" s="2560">
        <v>18</v>
      </c>
      <c r="F105" s="2561" t="s">
        <v>1790</v>
      </c>
      <c r="G105" s="1236" t="s">
        <v>700</v>
      </c>
      <c r="H105" s="1273">
        <v>181.2</v>
      </c>
      <c r="I105" s="1274" t="s">
        <v>1775</v>
      </c>
      <c r="J105" s="1239">
        <v>184.19</v>
      </c>
      <c r="K105" s="1240">
        <v>15.35</v>
      </c>
    </row>
    <row r="106" spans="1:11" s="305" customFormat="1" ht="38.25">
      <c r="A106" s="2041">
        <v>112349</v>
      </c>
      <c r="B106" s="742" t="s">
        <v>1805</v>
      </c>
      <c r="C106" s="1234" t="s">
        <v>1783</v>
      </c>
      <c r="D106" s="1275" t="s">
        <v>1772</v>
      </c>
      <c r="E106" s="2560">
        <v>18</v>
      </c>
      <c r="F106" s="2561" t="s">
        <v>1790</v>
      </c>
      <c r="G106" s="1583" t="s">
        <v>700</v>
      </c>
      <c r="H106" s="1273">
        <v>181.2</v>
      </c>
      <c r="I106" s="1274" t="s">
        <v>1775</v>
      </c>
      <c r="J106" s="1239">
        <v>184.19</v>
      </c>
      <c r="K106" s="1240">
        <v>15.35</v>
      </c>
    </row>
    <row r="107" spans="1:11" s="305" customFormat="1" ht="38.25">
      <c r="A107" s="303"/>
      <c r="B107" s="1163"/>
      <c r="C107" s="1165"/>
      <c r="D107" s="1165"/>
      <c r="E107" s="1165"/>
      <c r="F107" s="1165"/>
      <c r="G107" s="1165"/>
      <c r="H107" s="1165"/>
      <c r="I107" s="1165"/>
      <c r="J107" s="698"/>
      <c r="K107" s="1171"/>
    </row>
    <row r="108" spans="1:11" s="305" customFormat="1" ht="38.25">
      <c r="A108" s="303" t="s">
        <v>0</v>
      </c>
      <c r="B108" s="304"/>
      <c r="C108" s="848"/>
      <c r="D108" s="1172"/>
      <c r="E108" s="1173"/>
      <c r="F108" s="1165"/>
      <c r="G108" s="1174"/>
      <c r="I108" s="306"/>
      <c r="J108" s="1175"/>
      <c r="K108" s="1171"/>
    </row>
    <row r="109" spans="1:11" s="305" customFormat="1" ht="35.25" customHeight="1">
      <c r="A109" s="1176" t="s">
        <v>1510</v>
      </c>
      <c r="B109" s="1176"/>
      <c r="C109" s="303"/>
      <c r="D109" s="1177"/>
      <c r="E109" s="1173"/>
      <c r="F109" s="1165"/>
      <c r="G109" s="1174"/>
      <c r="I109" s="306"/>
      <c r="J109" s="1175"/>
      <c r="K109" s="1171"/>
    </row>
    <row r="110" spans="1:11" s="305" customFormat="1" ht="16.5" customHeight="1" thickBot="1">
      <c r="A110" s="1163"/>
      <c r="B110" s="1172"/>
      <c r="C110" s="614"/>
      <c r="D110" s="1172"/>
      <c r="E110" s="1173"/>
      <c r="F110" s="1165"/>
      <c r="G110" s="1174"/>
      <c r="I110" s="306"/>
      <c r="J110" s="1175"/>
      <c r="K110" s="1171"/>
    </row>
    <row r="111" spans="1:11" s="305" customFormat="1" ht="38.25">
      <c r="A111" s="3502" t="s">
        <v>2</v>
      </c>
      <c r="B111" s="3503"/>
      <c r="C111" s="1178" t="s">
        <v>3</v>
      </c>
      <c r="D111" s="1242" t="s">
        <v>4</v>
      </c>
      <c r="E111" s="1180" t="s">
        <v>5</v>
      </c>
      <c r="F111" s="1181" t="s">
        <v>5</v>
      </c>
      <c r="G111" s="1182" t="s">
        <v>6</v>
      </c>
      <c r="H111" s="1183" t="s">
        <v>7</v>
      </c>
      <c r="I111" s="1184" t="s">
        <v>1511</v>
      </c>
      <c r="J111" s="1185" t="s">
        <v>9</v>
      </c>
      <c r="K111" s="1186" t="s">
        <v>9</v>
      </c>
    </row>
    <row r="112" spans="1:11" s="305" customFormat="1" ht="39" thickBot="1">
      <c r="A112" s="1187"/>
      <c r="B112" s="1188"/>
      <c r="C112" s="1189"/>
      <c r="D112" s="1243" t="s">
        <v>10</v>
      </c>
      <c r="E112" s="1191" t="s">
        <v>11</v>
      </c>
      <c r="F112" s="1192" t="s">
        <v>12</v>
      </c>
      <c r="G112" s="1193"/>
      <c r="H112" s="1194" t="s">
        <v>13</v>
      </c>
      <c r="I112" s="1195" t="s">
        <v>1512</v>
      </c>
      <c r="J112" s="1196" t="s">
        <v>14</v>
      </c>
      <c r="K112" s="1197" t="s">
        <v>15</v>
      </c>
    </row>
    <row r="113" spans="1:19" s="305" customFormat="1" ht="38.25">
      <c r="A113" s="3506" t="s">
        <v>1768</v>
      </c>
      <c r="B113" s="3507"/>
      <c r="C113" s="819" t="s">
        <v>1769</v>
      </c>
      <c r="D113" s="1201"/>
      <c r="E113" s="1202"/>
      <c r="F113" s="1203"/>
      <c r="G113" s="1204"/>
      <c r="H113" s="1205"/>
      <c r="I113" s="1206"/>
      <c r="J113" s="1207"/>
      <c r="K113" s="1208"/>
    </row>
    <row r="114" spans="1:19" s="305" customFormat="1" ht="38.25">
      <c r="A114" s="1283"/>
      <c r="B114" s="1210" t="s">
        <v>1806</v>
      </c>
      <c r="C114" s="1211" t="s">
        <v>1601</v>
      </c>
      <c r="D114" s="1212" t="s">
        <v>1772</v>
      </c>
      <c r="E114" s="1267">
        <v>26</v>
      </c>
      <c r="F114" s="1268">
        <v>295</v>
      </c>
      <c r="G114" s="1204" t="s">
        <v>1807</v>
      </c>
      <c r="H114" s="1272">
        <v>267</v>
      </c>
      <c r="I114" s="1271" t="s">
        <v>1775</v>
      </c>
      <c r="J114" s="1215">
        <v>271.41000000000003</v>
      </c>
      <c r="K114" s="1208">
        <v>22.62</v>
      </c>
    </row>
    <row r="115" spans="1:19" s="305" customFormat="1" ht="38.25">
      <c r="A115" s="2039"/>
      <c r="B115" s="1210" t="s">
        <v>1808</v>
      </c>
      <c r="C115" s="1211" t="s">
        <v>1809</v>
      </c>
      <c r="D115" s="1221" t="s">
        <v>1810</v>
      </c>
      <c r="E115" s="2563">
        <v>26</v>
      </c>
      <c r="F115" s="1268">
        <v>295</v>
      </c>
      <c r="G115" s="1204" t="s">
        <v>1538</v>
      </c>
      <c r="H115" s="1272">
        <v>267</v>
      </c>
      <c r="I115" s="1271" t="s">
        <v>1775</v>
      </c>
      <c r="J115" s="1217">
        <v>271.41000000000003</v>
      </c>
      <c r="K115" s="1208">
        <v>22.62</v>
      </c>
    </row>
    <row r="116" spans="1:19" s="305" customFormat="1" ht="38.25">
      <c r="A116" s="2038">
        <v>212322</v>
      </c>
      <c r="B116" s="962" t="s">
        <v>1811</v>
      </c>
      <c r="C116" s="1220" t="s">
        <v>829</v>
      </c>
      <c r="D116" s="1229" t="s">
        <v>1810</v>
      </c>
      <c r="E116" s="2014">
        <v>28</v>
      </c>
      <c r="F116" s="2015">
        <v>315</v>
      </c>
      <c r="G116" s="1583" t="s">
        <v>1780</v>
      </c>
      <c r="H116" s="1317">
        <v>285.95999999999998</v>
      </c>
      <c r="I116" s="1254" t="s">
        <v>1775</v>
      </c>
      <c r="J116" s="1227">
        <v>290.68</v>
      </c>
      <c r="K116" s="1219">
        <v>24.22</v>
      </c>
    </row>
    <row r="117" spans="1:19" s="305" customFormat="1" ht="38.25">
      <c r="A117" s="2038">
        <v>111922</v>
      </c>
      <c r="B117" s="962" t="s">
        <v>1812</v>
      </c>
      <c r="C117" s="1220" t="s">
        <v>1804</v>
      </c>
      <c r="D117" s="1221" t="s">
        <v>1810</v>
      </c>
      <c r="E117" s="2014">
        <v>28</v>
      </c>
      <c r="F117" s="2015">
        <v>315</v>
      </c>
      <c r="G117" s="1583" t="s">
        <v>1780</v>
      </c>
      <c r="H117" s="1317">
        <v>285.95999999999998</v>
      </c>
      <c r="I117" s="1254" t="s">
        <v>1775</v>
      </c>
      <c r="J117" s="1227">
        <v>290.68</v>
      </c>
      <c r="K117" s="1219">
        <v>24.22</v>
      </c>
    </row>
    <row r="118" spans="1:19" s="305" customFormat="1" ht="38.25">
      <c r="A118" s="2038"/>
      <c r="B118" s="3343"/>
      <c r="C118" s="3344"/>
      <c r="D118" s="3345"/>
      <c r="E118" s="3346"/>
      <c r="F118" s="3347"/>
      <c r="G118" s="3322"/>
      <c r="H118" s="3352"/>
      <c r="I118" s="3351"/>
      <c r="J118" s="3353"/>
      <c r="K118" s="3354"/>
    </row>
    <row r="119" spans="1:19" s="305" customFormat="1" ht="38.25">
      <c r="A119" s="2038"/>
      <c r="B119" s="3343" t="s">
        <v>1813</v>
      </c>
      <c r="C119" s="3344" t="s">
        <v>1691</v>
      </c>
      <c r="D119" s="3345" t="s">
        <v>1810</v>
      </c>
      <c r="E119" s="3346">
        <v>28</v>
      </c>
      <c r="F119" s="3347">
        <v>295</v>
      </c>
      <c r="G119" s="3322" t="s">
        <v>1787</v>
      </c>
      <c r="H119" s="3352">
        <v>266.88</v>
      </c>
      <c r="I119" s="3351" t="s">
        <v>1775</v>
      </c>
      <c r="J119" s="3355">
        <v>271.27</v>
      </c>
      <c r="K119" s="3354">
        <v>22.6</v>
      </c>
    </row>
    <row r="120" spans="1:19" s="305" customFormat="1" ht="38.25">
      <c r="A120" s="2038">
        <v>210915</v>
      </c>
      <c r="B120" s="3343" t="s">
        <v>1814</v>
      </c>
      <c r="C120" s="3344" t="s">
        <v>1691</v>
      </c>
      <c r="D120" s="3345" t="s">
        <v>1810</v>
      </c>
      <c r="E120" s="2014">
        <v>28</v>
      </c>
      <c r="F120" s="2015">
        <v>315</v>
      </c>
      <c r="G120" s="1583" t="s">
        <v>1780</v>
      </c>
      <c r="H120" s="1317">
        <v>285.95999999999998</v>
      </c>
      <c r="I120" s="1254" t="s">
        <v>1775</v>
      </c>
      <c r="J120" s="1227">
        <v>290.68</v>
      </c>
      <c r="K120" s="1219">
        <v>24.22</v>
      </c>
    </row>
    <row r="121" spans="1:19" s="305" customFormat="1" ht="38.25">
      <c r="A121" s="2038"/>
      <c r="B121" s="3343" t="s">
        <v>1815</v>
      </c>
      <c r="C121" s="3344" t="s">
        <v>829</v>
      </c>
      <c r="D121" s="3350" t="s">
        <v>1810</v>
      </c>
      <c r="E121" s="3346">
        <v>28</v>
      </c>
      <c r="F121" s="3347">
        <v>295</v>
      </c>
      <c r="G121" s="3322" t="s">
        <v>1787</v>
      </c>
      <c r="H121" s="3352">
        <v>266.88</v>
      </c>
      <c r="I121" s="3351" t="s">
        <v>1775</v>
      </c>
      <c r="J121" s="3355">
        <v>271.27</v>
      </c>
      <c r="K121" s="3354">
        <v>22.6</v>
      </c>
    </row>
    <row r="122" spans="1:19" s="305" customFormat="1" ht="38.25">
      <c r="A122" s="2038"/>
      <c r="B122" s="3343" t="s">
        <v>1816</v>
      </c>
      <c r="C122" s="3344" t="s">
        <v>1771</v>
      </c>
      <c r="D122" s="3350" t="s">
        <v>1810</v>
      </c>
      <c r="E122" s="3346">
        <v>26</v>
      </c>
      <c r="F122" s="3347">
        <v>295</v>
      </c>
      <c r="G122" s="2788" t="s">
        <v>760</v>
      </c>
      <c r="H122" s="3352">
        <v>266.88</v>
      </c>
      <c r="I122" s="3351" t="s">
        <v>1775</v>
      </c>
      <c r="J122" s="3355">
        <v>271.27</v>
      </c>
      <c r="K122" s="3354">
        <v>22.6</v>
      </c>
    </row>
    <row r="123" spans="1:19" s="305" customFormat="1" ht="38.25">
      <c r="A123" s="2038">
        <v>110765</v>
      </c>
      <c r="B123" s="3343" t="s">
        <v>1817</v>
      </c>
      <c r="C123" s="3344" t="s">
        <v>829</v>
      </c>
      <c r="D123" s="3345" t="s">
        <v>1810</v>
      </c>
      <c r="E123" s="3348">
        <v>28</v>
      </c>
      <c r="F123" s="3349">
        <v>315</v>
      </c>
      <c r="G123" s="3322" t="s">
        <v>700</v>
      </c>
      <c r="H123" s="3352">
        <v>285.95999999999998</v>
      </c>
      <c r="I123" s="3351" t="s">
        <v>1775</v>
      </c>
      <c r="J123" s="3355">
        <v>290.68</v>
      </c>
      <c r="K123" s="3354">
        <v>24.22</v>
      </c>
    </row>
    <row r="124" spans="1:19" s="305" customFormat="1" ht="38.25">
      <c r="A124" s="2038">
        <v>112011</v>
      </c>
      <c r="B124" s="1984" t="s">
        <v>1818</v>
      </c>
      <c r="C124" s="1985" t="s">
        <v>1819</v>
      </c>
      <c r="D124" s="1986" t="s">
        <v>1810</v>
      </c>
      <c r="E124" s="1987">
        <v>30</v>
      </c>
      <c r="F124" s="1988" t="s">
        <v>1820</v>
      </c>
      <c r="G124" s="1583" t="s">
        <v>1821</v>
      </c>
      <c r="H124" s="1990">
        <v>305.04000000000002</v>
      </c>
      <c r="I124" s="1991" t="s">
        <v>1775</v>
      </c>
      <c r="J124" s="1992">
        <v>310.06</v>
      </c>
      <c r="K124" s="1993">
        <v>25.83</v>
      </c>
    </row>
    <row r="125" spans="1:19" s="305" customFormat="1" ht="38.25">
      <c r="A125" s="2038"/>
      <c r="B125" s="1984" t="s">
        <v>1822</v>
      </c>
      <c r="C125" s="1985" t="s">
        <v>1783</v>
      </c>
      <c r="D125" s="1986" t="s">
        <v>1772</v>
      </c>
      <c r="E125" s="1987">
        <v>26</v>
      </c>
      <c r="F125" s="1988">
        <v>295</v>
      </c>
      <c r="G125" s="1583" t="s">
        <v>760</v>
      </c>
      <c r="H125" s="1990">
        <v>266.88</v>
      </c>
      <c r="I125" s="1991" t="s">
        <v>1775</v>
      </c>
      <c r="J125" s="1992">
        <v>271.27999999999997</v>
      </c>
      <c r="K125" s="1993">
        <v>22.61</v>
      </c>
    </row>
    <row r="126" spans="1:19" s="305" customFormat="1" ht="38.25">
      <c r="A126" s="2038"/>
      <c r="B126" s="938" t="s">
        <v>1823</v>
      </c>
      <c r="C126" s="1985" t="s">
        <v>1824</v>
      </c>
      <c r="D126" s="1986" t="s">
        <v>1810</v>
      </c>
      <c r="E126" s="1987">
        <v>26</v>
      </c>
      <c r="F126" s="1988">
        <v>290</v>
      </c>
      <c r="G126" s="1989" t="s">
        <v>1787</v>
      </c>
      <c r="H126" s="1990">
        <v>266.88</v>
      </c>
      <c r="I126" s="1991" t="s">
        <v>1775</v>
      </c>
      <c r="J126" s="1992">
        <v>271.27999999999997</v>
      </c>
      <c r="K126" s="1993">
        <v>22.61</v>
      </c>
      <c r="L126" s="1208"/>
    </row>
    <row r="127" spans="1:19" s="305" customFormat="1" ht="38.25">
      <c r="A127" s="2038"/>
      <c r="B127" s="938" t="s">
        <v>1823</v>
      </c>
      <c r="C127" s="1985" t="s">
        <v>1824</v>
      </c>
      <c r="D127" s="1986" t="s">
        <v>1810</v>
      </c>
      <c r="E127" s="1987">
        <v>26</v>
      </c>
      <c r="F127" s="1988">
        <v>290</v>
      </c>
      <c r="G127" s="1989" t="s">
        <v>1787</v>
      </c>
      <c r="H127" s="1990">
        <v>266.88</v>
      </c>
      <c r="I127" s="1991" t="s">
        <v>1775</v>
      </c>
      <c r="J127" s="1992">
        <v>271.27999999999997</v>
      </c>
      <c r="K127" s="1993">
        <v>22.61</v>
      </c>
      <c r="L127" s="1208"/>
      <c r="M127" s="305">
        <v>1456</v>
      </c>
      <c r="P127" s="305">
        <f>M127-(M127*N127)</f>
        <v>1456</v>
      </c>
      <c r="Q127" s="305">
        <v>7.0000000000000007E-2</v>
      </c>
      <c r="R127" s="305">
        <f>(P127*Q127)+P127</f>
        <v>1557.92</v>
      </c>
      <c r="S127" s="305">
        <f>R127/2</f>
        <v>778.96</v>
      </c>
    </row>
    <row r="128" spans="1:19" s="305" customFormat="1" ht="38.25">
      <c r="A128" s="2038">
        <v>118211</v>
      </c>
      <c r="B128" s="962" t="s">
        <v>1825</v>
      </c>
      <c r="C128" s="341" t="s">
        <v>1826</v>
      </c>
      <c r="D128" s="1229" t="s">
        <v>18</v>
      </c>
      <c r="E128" s="1230">
        <v>55</v>
      </c>
      <c r="F128" s="1983"/>
      <c r="G128" s="1224" t="s">
        <v>1785</v>
      </c>
      <c r="H128" s="1317">
        <v>1124.8800000000001</v>
      </c>
      <c r="I128" s="1254" t="s">
        <v>757</v>
      </c>
      <c r="J128" s="1227">
        <v>1143.44</v>
      </c>
      <c r="K128" s="1219">
        <v>47.64</v>
      </c>
      <c r="L128" s="1208"/>
      <c r="M128" s="305">
        <v>6900</v>
      </c>
      <c r="P128" s="305">
        <f t="shared" ref="P128:P133" si="2">M128-(M128*N128)</f>
        <v>6900</v>
      </c>
      <c r="Q128" s="305">
        <v>7.0000000000000007E-2</v>
      </c>
      <c r="R128" s="305">
        <f t="shared" ref="R128:R133" si="3">(P128*Q128)+P128</f>
        <v>7383</v>
      </c>
      <c r="S128" s="305">
        <f t="shared" ref="S128:S133" si="4">R128</f>
        <v>7383</v>
      </c>
    </row>
    <row r="129" spans="1:19" s="305" customFormat="1" ht="38.25">
      <c r="A129" s="2038"/>
      <c r="B129" s="962" t="s">
        <v>1825</v>
      </c>
      <c r="C129" s="786" t="s">
        <v>1827</v>
      </c>
      <c r="D129" s="1229" t="s">
        <v>18</v>
      </c>
      <c r="E129" s="1230">
        <v>55</v>
      </c>
      <c r="F129" s="1983"/>
      <c r="G129" s="1224" t="s">
        <v>1785</v>
      </c>
      <c r="H129" s="1317">
        <v>1124.8800000000001</v>
      </c>
      <c r="I129" s="1254" t="s">
        <v>757</v>
      </c>
      <c r="J129" s="1227">
        <v>1143.44</v>
      </c>
      <c r="K129" s="1219">
        <v>47.64</v>
      </c>
      <c r="L129" s="1208"/>
      <c r="M129" s="305">
        <v>1392</v>
      </c>
      <c r="P129" s="305">
        <f t="shared" si="2"/>
        <v>1392</v>
      </c>
      <c r="Q129" s="305">
        <v>7.0000000000000007E-2</v>
      </c>
      <c r="R129" s="305">
        <f t="shared" si="3"/>
        <v>1489.44</v>
      </c>
      <c r="S129" s="305">
        <f>R129/3</f>
        <v>496.48</v>
      </c>
    </row>
    <row r="130" spans="1:19" s="305" customFormat="1" ht="38.25">
      <c r="A130" s="2038"/>
      <c r="B130" s="962" t="s">
        <v>1828</v>
      </c>
      <c r="C130" s="305" t="s">
        <v>1829</v>
      </c>
      <c r="D130" s="1229" t="s">
        <v>18</v>
      </c>
      <c r="E130" s="1230">
        <v>125</v>
      </c>
      <c r="F130" s="1223" t="s">
        <v>1830</v>
      </c>
      <c r="G130" s="1224" t="s">
        <v>1831</v>
      </c>
      <c r="H130" s="1317">
        <v>2640</v>
      </c>
      <c r="I130" s="1254" t="s">
        <v>757</v>
      </c>
      <c r="J130" s="1318">
        <v>2683.56</v>
      </c>
      <c r="K130" s="1219">
        <v>111.82</v>
      </c>
      <c r="L130" s="1208"/>
      <c r="M130" s="305">
        <v>371.76</v>
      </c>
      <c r="P130" s="305">
        <f t="shared" si="2"/>
        <v>371.76</v>
      </c>
      <c r="Q130" s="305">
        <v>7.0000000000000007E-2</v>
      </c>
      <c r="R130" s="305">
        <f t="shared" si="3"/>
        <v>397.78319999999997</v>
      </c>
      <c r="S130" s="305">
        <f t="shared" si="4"/>
        <v>397.78319999999997</v>
      </c>
    </row>
    <row r="131" spans="1:19" s="305" customFormat="1" ht="38.25">
      <c r="A131" s="2038"/>
      <c r="B131" s="406" t="s">
        <v>755</v>
      </c>
      <c r="C131" s="1220" t="s">
        <v>256</v>
      </c>
      <c r="D131" s="1229" t="s">
        <v>23</v>
      </c>
      <c r="E131" s="1230"/>
      <c r="F131" s="1223"/>
      <c r="G131" s="1224"/>
      <c r="H131" s="1317"/>
      <c r="I131" s="1254"/>
      <c r="J131" s="1318"/>
      <c r="K131" s="1219"/>
      <c r="L131" s="1208"/>
      <c r="M131" s="305">
        <v>371.76</v>
      </c>
      <c r="P131" s="305">
        <f t="shared" si="2"/>
        <v>371.76</v>
      </c>
      <c r="Q131" s="305">
        <v>7.0000000000000007E-2</v>
      </c>
      <c r="R131" s="305">
        <f t="shared" si="3"/>
        <v>397.78319999999997</v>
      </c>
      <c r="S131" s="305">
        <f t="shared" si="4"/>
        <v>397.78319999999997</v>
      </c>
    </row>
    <row r="132" spans="1:19" s="305" customFormat="1" ht="38.25">
      <c r="A132" s="2038"/>
      <c r="B132" s="406" t="s">
        <v>755</v>
      </c>
      <c r="C132" s="1220" t="s">
        <v>247</v>
      </c>
      <c r="D132" s="1229" t="s">
        <v>23</v>
      </c>
      <c r="E132" s="1230">
        <v>130</v>
      </c>
      <c r="F132" s="1223">
        <v>1425</v>
      </c>
      <c r="G132" s="1236" t="s">
        <v>1821</v>
      </c>
      <c r="H132" s="1317">
        <v>1818.72</v>
      </c>
      <c r="I132" s="2606" t="s">
        <v>1832</v>
      </c>
      <c r="J132" s="1318">
        <v>1357.53</v>
      </c>
      <c r="K132" s="1219">
        <v>113</v>
      </c>
      <c r="L132" s="1208"/>
      <c r="M132" s="305">
        <v>371.76</v>
      </c>
      <c r="P132" s="305">
        <f t="shared" si="2"/>
        <v>371.76</v>
      </c>
      <c r="Q132" s="305">
        <v>7.0000000000000007E-2</v>
      </c>
      <c r="R132" s="305">
        <f t="shared" si="3"/>
        <v>397.78319999999997</v>
      </c>
      <c r="S132" s="305">
        <f t="shared" si="4"/>
        <v>397.78319999999997</v>
      </c>
    </row>
    <row r="133" spans="1:19" s="305" customFormat="1" ht="38.25">
      <c r="A133" s="2038"/>
      <c r="B133" s="962" t="s">
        <v>1833</v>
      </c>
      <c r="C133" s="1220" t="s">
        <v>247</v>
      </c>
      <c r="D133" s="1229" t="s">
        <v>23</v>
      </c>
      <c r="E133" s="1230">
        <v>135</v>
      </c>
      <c r="F133" s="1223"/>
      <c r="G133" s="1236" t="s">
        <v>1834</v>
      </c>
      <c r="H133" s="1317">
        <v>1412.4</v>
      </c>
      <c r="I133" s="2564" t="s">
        <v>1835</v>
      </c>
      <c r="J133" s="1318">
        <v>1435.71</v>
      </c>
      <c r="K133" s="1219">
        <v>119.64</v>
      </c>
      <c r="L133" s="1208"/>
      <c r="M133" s="305">
        <v>371.76</v>
      </c>
      <c r="P133" s="305">
        <f t="shared" si="2"/>
        <v>371.76</v>
      </c>
      <c r="Q133" s="305">
        <v>7.0000000000000007E-2</v>
      </c>
      <c r="R133" s="305">
        <f t="shared" si="3"/>
        <v>397.78319999999997</v>
      </c>
      <c r="S133" s="305">
        <f t="shared" si="4"/>
        <v>397.78319999999997</v>
      </c>
    </row>
    <row r="134" spans="1:19" s="305" customFormat="1" ht="38.25">
      <c r="A134" s="2038"/>
      <c r="B134" s="962" t="s">
        <v>1836</v>
      </c>
      <c r="C134" s="1220" t="s">
        <v>767</v>
      </c>
      <c r="D134" s="1229" t="s">
        <v>23</v>
      </c>
      <c r="E134" s="1230">
        <v>95</v>
      </c>
      <c r="F134" s="1223"/>
      <c r="G134" s="1224" t="s">
        <v>1831</v>
      </c>
      <c r="H134" s="1317">
        <v>953.83</v>
      </c>
      <c r="I134" s="1254"/>
      <c r="J134" s="1318">
        <v>1000.17</v>
      </c>
      <c r="K134" s="1219">
        <v>83.35</v>
      </c>
    </row>
    <row r="135" spans="1:19" s="305" customFormat="1" ht="38.25">
      <c r="A135" s="1216"/>
      <c r="B135" s="962" t="s">
        <v>1836</v>
      </c>
      <c r="C135" s="1220" t="s">
        <v>769</v>
      </c>
      <c r="D135" s="1229" t="s">
        <v>108</v>
      </c>
      <c r="E135" s="1230">
        <v>165</v>
      </c>
      <c r="F135" s="1223"/>
      <c r="G135" s="1224" t="s">
        <v>1831</v>
      </c>
      <c r="H135" s="1317">
        <v>5150.6899999999996</v>
      </c>
      <c r="I135" s="1254"/>
      <c r="J135" s="1318">
        <v>5401.02</v>
      </c>
      <c r="K135" s="1219">
        <v>150.03</v>
      </c>
    </row>
    <row r="136" spans="1:19" s="305" customFormat="1" ht="38.25">
      <c r="A136" s="1216"/>
      <c r="B136" s="962" t="s">
        <v>1837</v>
      </c>
      <c r="C136" s="786" t="s">
        <v>1838</v>
      </c>
      <c r="D136" s="1229" t="s">
        <v>18</v>
      </c>
      <c r="E136" s="1230">
        <v>32</v>
      </c>
      <c r="F136" s="1983"/>
      <c r="G136" s="1224" t="s">
        <v>1831</v>
      </c>
      <c r="H136" s="1317">
        <v>629.04</v>
      </c>
      <c r="I136" s="1254"/>
      <c r="J136" s="1227">
        <v>652.88</v>
      </c>
      <c r="K136" s="1219">
        <v>27.2</v>
      </c>
    </row>
    <row r="137" spans="1:19" s="305" customFormat="1" ht="38.25">
      <c r="A137" s="1216"/>
      <c r="B137" s="962" t="s">
        <v>1839</v>
      </c>
      <c r="C137" s="305" t="s">
        <v>1838</v>
      </c>
      <c r="D137" s="1229" t="s">
        <v>18</v>
      </c>
      <c r="E137" s="1230">
        <v>32</v>
      </c>
      <c r="F137" s="1223"/>
      <c r="G137" s="1224" t="s">
        <v>1831</v>
      </c>
      <c r="H137" s="1317">
        <v>629.04</v>
      </c>
      <c r="I137" s="1254"/>
      <c r="J137" s="1227">
        <v>652.88</v>
      </c>
      <c r="K137" s="1219">
        <v>27.2</v>
      </c>
    </row>
    <row r="138" spans="1:19" s="305" customFormat="1" ht="38.25">
      <c r="A138" s="1216"/>
      <c r="B138" s="962" t="s">
        <v>1840</v>
      </c>
      <c r="C138" s="1220" t="s">
        <v>1838</v>
      </c>
      <c r="D138" s="1229" t="s">
        <v>18</v>
      </c>
      <c r="E138" s="1230">
        <v>30</v>
      </c>
      <c r="F138" s="1223"/>
      <c r="G138" s="1224" t="s">
        <v>1831</v>
      </c>
      <c r="H138" s="1317">
        <v>571.91999999999996</v>
      </c>
      <c r="I138" s="1254"/>
      <c r="J138" s="1318">
        <v>596.51</v>
      </c>
      <c r="K138" s="1219">
        <v>24.85</v>
      </c>
    </row>
    <row r="139" spans="1:19" s="305" customFormat="1" ht="38.25">
      <c r="A139" s="1216"/>
      <c r="B139" s="406"/>
      <c r="C139" s="1220"/>
      <c r="D139" s="1229"/>
      <c r="E139" s="1230"/>
      <c r="F139" s="1223"/>
      <c r="G139" s="1224"/>
      <c r="H139" s="1317"/>
      <c r="I139" s="1254"/>
      <c r="J139" s="1318"/>
      <c r="K139" s="1219"/>
    </row>
    <row r="140" spans="1:19" s="305" customFormat="1" ht="38.25">
      <c r="A140" s="1210"/>
      <c r="B140" s="1210" t="s">
        <v>1841</v>
      </c>
      <c r="C140" s="1211"/>
      <c r="D140" s="1232"/>
      <c r="E140" s="1213"/>
      <c r="F140" s="1214"/>
      <c r="G140" s="1204"/>
      <c r="H140" s="1205"/>
      <c r="I140" s="1206"/>
      <c r="J140" s="1217"/>
      <c r="K140" s="1208"/>
    </row>
    <row r="141" spans="1:19" s="305" customFormat="1" ht="38.25">
      <c r="A141" s="1210"/>
      <c r="B141" s="1210" t="s">
        <v>1842</v>
      </c>
      <c r="C141" s="1211" t="s">
        <v>1843</v>
      </c>
      <c r="D141" s="2385" t="s">
        <v>1844</v>
      </c>
      <c r="E141" s="1213">
        <v>10</v>
      </c>
      <c r="F141" s="1214" t="s">
        <v>1845</v>
      </c>
      <c r="G141" s="1204" t="s">
        <v>126</v>
      </c>
      <c r="H141" s="1205">
        <v>1345</v>
      </c>
      <c r="I141" s="1206"/>
      <c r="J141" s="1217" t="s">
        <v>1846</v>
      </c>
      <c r="K141" s="1208" t="s">
        <v>1847</v>
      </c>
    </row>
    <row r="142" spans="1:19" s="305" customFormat="1" ht="38.25">
      <c r="A142" s="1277"/>
      <c r="B142" s="962"/>
      <c r="C142" s="1220"/>
      <c r="D142" s="1229"/>
      <c r="E142" s="1230"/>
      <c r="F142" s="1223"/>
      <c r="G142" s="1224"/>
      <c r="H142" s="1317"/>
      <c r="I142" s="1254"/>
      <c r="J142" s="1318"/>
      <c r="K142" s="1219"/>
    </row>
    <row r="143" spans="1:19" s="305" customFormat="1" ht="38.25">
      <c r="A143" s="1216"/>
      <c r="B143" s="406"/>
      <c r="C143" s="1220"/>
      <c r="D143" s="1229"/>
      <c r="E143" s="1230"/>
      <c r="F143" s="1223"/>
      <c r="G143" s="1224"/>
      <c r="H143" s="1317"/>
      <c r="I143" s="1254"/>
      <c r="J143" s="1318"/>
      <c r="K143" s="1219"/>
    </row>
    <row r="144" spans="1:19" s="305" customFormat="1" ht="38.25">
      <c r="A144" s="303"/>
      <c r="B144" s="1163"/>
      <c r="C144" s="1163"/>
      <c r="D144" s="1163"/>
      <c r="E144" s="1163"/>
      <c r="F144" s="1163"/>
      <c r="G144" s="1163"/>
      <c r="H144" s="1163"/>
      <c r="I144" s="1170"/>
      <c r="J144" s="698"/>
      <c r="K144" s="1171"/>
    </row>
    <row r="145" spans="1:11" s="305" customFormat="1" ht="38.25">
      <c r="A145" s="303" t="s">
        <v>0</v>
      </c>
      <c r="B145" s="304"/>
      <c r="C145" s="848"/>
      <c r="D145" s="1172"/>
      <c r="E145" s="1173"/>
      <c r="F145" s="1165"/>
      <c r="G145" s="1174"/>
      <c r="I145" s="306"/>
      <c r="J145" s="1175"/>
      <c r="K145" s="1171"/>
    </row>
    <row r="146" spans="1:11" s="305" customFormat="1" ht="35.25" customHeight="1">
      <c r="A146" s="1176" t="s">
        <v>1510</v>
      </c>
      <c r="B146" s="1176"/>
      <c r="C146" s="303"/>
      <c r="D146" s="1177"/>
      <c r="E146" s="1173"/>
      <c r="F146" s="1165"/>
      <c r="G146" s="1174"/>
      <c r="I146" s="306"/>
      <c r="J146" s="1175"/>
      <c r="K146" s="1171"/>
    </row>
    <row r="147" spans="1:11" s="305" customFormat="1" ht="16.5" customHeight="1" thickBot="1">
      <c r="A147" s="1163"/>
      <c r="B147" s="1172"/>
      <c r="C147" s="614"/>
      <c r="D147" s="1172"/>
      <c r="E147" s="1173"/>
      <c r="F147" s="1165"/>
      <c r="G147" s="1174"/>
      <c r="I147" s="306"/>
      <c r="J147" s="1175"/>
      <c r="K147" s="1171"/>
    </row>
    <row r="148" spans="1:11" s="305" customFormat="1" ht="38.25">
      <c r="A148" s="3502" t="s">
        <v>2</v>
      </c>
      <c r="B148" s="3503"/>
      <c r="C148" s="1178" t="s">
        <v>3</v>
      </c>
      <c r="D148" s="1242" t="s">
        <v>4</v>
      </c>
      <c r="E148" s="1180" t="s">
        <v>5</v>
      </c>
      <c r="F148" s="1181" t="s">
        <v>5</v>
      </c>
      <c r="G148" s="1182" t="s">
        <v>6</v>
      </c>
      <c r="H148" s="1183" t="s">
        <v>7</v>
      </c>
      <c r="I148" s="1279" t="s">
        <v>1511</v>
      </c>
      <c r="J148" s="1280" t="s">
        <v>9</v>
      </c>
      <c r="K148" s="1186" t="s">
        <v>9</v>
      </c>
    </row>
    <row r="149" spans="1:11" s="305" customFormat="1" ht="39" thickBot="1">
      <c r="A149" s="1187"/>
      <c r="B149" s="1188"/>
      <c r="C149" s="1189"/>
      <c r="D149" s="1243" t="s">
        <v>10</v>
      </c>
      <c r="E149" s="1191" t="s">
        <v>11</v>
      </c>
      <c r="F149" s="1192" t="s">
        <v>12</v>
      </c>
      <c r="G149" s="1193"/>
      <c r="H149" s="1194" t="s">
        <v>13</v>
      </c>
      <c r="I149" s="1281" t="s">
        <v>1512</v>
      </c>
      <c r="J149" s="1282" t="s">
        <v>14</v>
      </c>
      <c r="K149" s="1197" t="s">
        <v>15</v>
      </c>
    </row>
    <row r="150" spans="1:11" s="305" customFormat="1" ht="38.25">
      <c r="A150" s="1927" t="s">
        <v>1848</v>
      </c>
      <c r="B150" s="965"/>
      <c r="C150" s="1012"/>
      <c r="D150" s="1313"/>
      <c r="E150" s="1314"/>
      <c r="F150" s="1315"/>
      <c r="G150" s="1224" t="s">
        <v>357</v>
      </c>
      <c r="H150" s="1225"/>
      <c r="I150" s="1231"/>
      <c r="J150" s="1316"/>
      <c r="K150" s="1219"/>
    </row>
    <row r="151" spans="1:11" s="305" customFormat="1" ht="38.25">
      <c r="A151" s="1230"/>
      <c r="B151" s="962" t="s">
        <v>1849</v>
      </c>
      <c r="C151" s="1220" t="s">
        <v>284</v>
      </c>
      <c r="D151" s="1229" t="s">
        <v>317</v>
      </c>
      <c r="E151" s="2014">
        <v>90</v>
      </c>
      <c r="F151" s="2015" t="s">
        <v>1850</v>
      </c>
      <c r="G151" s="1583" t="s">
        <v>1851</v>
      </c>
      <c r="H151" s="1317">
        <v>1530</v>
      </c>
      <c r="I151" s="1254" t="s">
        <v>393</v>
      </c>
      <c r="J151" s="1318">
        <v>1560</v>
      </c>
      <c r="K151" s="1219">
        <v>78</v>
      </c>
    </row>
    <row r="152" spans="1:11" s="305" customFormat="1" ht="38.25">
      <c r="A152" s="1319"/>
      <c r="B152" s="962" t="s">
        <v>1852</v>
      </c>
      <c r="C152" s="1220" t="s">
        <v>284</v>
      </c>
      <c r="D152" s="1229" t="s">
        <v>317</v>
      </c>
      <c r="E152" s="2014">
        <v>90</v>
      </c>
      <c r="F152" s="2015" t="s">
        <v>1850</v>
      </c>
      <c r="G152" s="3322" t="s">
        <v>1853</v>
      </c>
      <c r="H152" s="1317">
        <v>1500</v>
      </c>
      <c r="I152" s="1254" t="s">
        <v>393</v>
      </c>
      <c r="J152" s="1318">
        <v>1530</v>
      </c>
      <c r="K152" s="1219">
        <v>76.5</v>
      </c>
    </row>
    <row r="153" spans="1:11" s="305" customFormat="1" ht="38.25">
      <c r="A153" s="821"/>
      <c r="B153" s="1336" t="s">
        <v>1854</v>
      </c>
      <c r="C153" s="1220" t="s">
        <v>284</v>
      </c>
      <c r="D153" s="1229" t="s">
        <v>317</v>
      </c>
      <c r="E153" s="2014">
        <v>90</v>
      </c>
      <c r="F153" s="2015" t="s">
        <v>1850</v>
      </c>
      <c r="G153" s="3322" t="s">
        <v>1853</v>
      </c>
      <c r="H153" s="1317">
        <v>1500</v>
      </c>
      <c r="I153" s="1254" t="s">
        <v>393</v>
      </c>
      <c r="J153" s="1318">
        <v>1530</v>
      </c>
      <c r="K153" s="1219">
        <v>76.5</v>
      </c>
    </row>
    <row r="154" spans="1:11" s="305" customFormat="1" ht="38.25">
      <c r="A154" s="821"/>
      <c r="B154" s="1336" t="s">
        <v>1855</v>
      </c>
      <c r="C154" s="1220" t="s">
        <v>284</v>
      </c>
      <c r="D154" s="1229" t="s">
        <v>317</v>
      </c>
      <c r="E154" s="2014">
        <v>90</v>
      </c>
      <c r="F154" s="2015" t="s">
        <v>1850</v>
      </c>
      <c r="G154" s="3322" t="s">
        <v>1853</v>
      </c>
      <c r="H154" s="1317">
        <v>1500</v>
      </c>
      <c r="I154" s="1254" t="s">
        <v>393</v>
      </c>
      <c r="J154" s="1318">
        <v>1530</v>
      </c>
      <c r="K154" s="1219">
        <v>76.5</v>
      </c>
    </row>
    <row r="155" spans="1:11" s="305" customFormat="1" ht="38.25">
      <c r="A155" s="821"/>
      <c r="B155" s="962" t="s">
        <v>1856</v>
      </c>
      <c r="C155" s="1220" t="s">
        <v>284</v>
      </c>
      <c r="D155" s="1229" t="s">
        <v>317</v>
      </c>
      <c r="E155" s="2014">
        <v>90</v>
      </c>
      <c r="F155" s="2015" t="s">
        <v>1850</v>
      </c>
      <c r="G155" s="3322" t="s">
        <v>1857</v>
      </c>
      <c r="H155" s="1317">
        <v>1650</v>
      </c>
      <c r="I155" s="1254" t="s">
        <v>393</v>
      </c>
      <c r="J155" s="1318">
        <v>1680</v>
      </c>
      <c r="K155" s="1219">
        <v>84</v>
      </c>
    </row>
    <row r="156" spans="1:11" s="305" customFormat="1" ht="38.25">
      <c r="A156" s="821"/>
      <c r="B156" s="962" t="s">
        <v>1858</v>
      </c>
      <c r="C156" s="1220" t="s">
        <v>284</v>
      </c>
      <c r="D156" s="1229" t="s">
        <v>317</v>
      </c>
      <c r="E156" s="2014">
        <v>90</v>
      </c>
      <c r="F156" s="2015" t="s">
        <v>1850</v>
      </c>
      <c r="G156" s="3322" t="s">
        <v>1853</v>
      </c>
      <c r="H156" s="1317">
        <v>1500</v>
      </c>
      <c r="I156" s="1254" t="s">
        <v>393</v>
      </c>
      <c r="J156" s="1318">
        <v>1530</v>
      </c>
      <c r="K156" s="1219">
        <v>76.5</v>
      </c>
    </row>
    <row r="157" spans="1:11" s="305" customFormat="1" ht="38.25">
      <c r="A157" s="821"/>
      <c r="B157" s="962" t="s">
        <v>1859</v>
      </c>
      <c r="C157" s="1220" t="s">
        <v>284</v>
      </c>
      <c r="D157" s="1229" t="s">
        <v>317</v>
      </c>
      <c r="E157" s="2014">
        <v>90</v>
      </c>
      <c r="F157" s="2015" t="s">
        <v>1850</v>
      </c>
      <c r="G157" s="3322" t="s">
        <v>1853</v>
      </c>
      <c r="H157" s="1317">
        <v>1500</v>
      </c>
      <c r="I157" s="1254" t="s">
        <v>393</v>
      </c>
      <c r="J157" s="1318">
        <v>1530</v>
      </c>
      <c r="K157" s="1219">
        <v>76.5</v>
      </c>
    </row>
    <row r="158" spans="1:11" s="305" customFormat="1" ht="38.25">
      <c r="A158" s="821"/>
      <c r="B158" s="962" t="s">
        <v>1860</v>
      </c>
      <c r="C158" s="1220" t="s">
        <v>284</v>
      </c>
      <c r="D158" s="1229" t="s">
        <v>317</v>
      </c>
      <c r="E158" s="2014">
        <v>90</v>
      </c>
      <c r="F158" s="2015" t="s">
        <v>1850</v>
      </c>
      <c r="G158" s="1224" t="s">
        <v>1861</v>
      </c>
      <c r="H158" s="1317"/>
      <c r="I158" s="1254" t="s">
        <v>393</v>
      </c>
      <c r="J158" s="1318">
        <v>1650</v>
      </c>
      <c r="K158" s="1219">
        <v>82.5</v>
      </c>
    </row>
    <row r="159" spans="1:11" s="305" customFormat="1" ht="38.25">
      <c r="A159" s="821"/>
      <c r="B159" s="962" t="s">
        <v>1862</v>
      </c>
      <c r="C159" s="1220" t="s">
        <v>284</v>
      </c>
      <c r="D159" s="1229" t="s">
        <v>317</v>
      </c>
      <c r="E159" s="2014">
        <v>90</v>
      </c>
      <c r="F159" s="1223"/>
      <c r="G159" s="1224"/>
      <c r="H159" s="1317">
        <v>1500</v>
      </c>
      <c r="I159" s="1254" t="s">
        <v>393</v>
      </c>
      <c r="J159" s="1318">
        <v>1530</v>
      </c>
      <c r="K159" s="1219">
        <v>76.5</v>
      </c>
    </row>
    <row r="160" spans="1:11" s="305" customFormat="1" ht="38.25">
      <c r="A160" s="821"/>
      <c r="B160" s="962" t="s">
        <v>1863</v>
      </c>
      <c r="C160" s="1220" t="s">
        <v>284</v>
      </c>
      <c r="D160" s="1229"/>
      <c r="E160" s="2014">
        <v>50</v>
      </c>
      <c r="F160" s="1223"/>
      <c r="G160" s="1224" t="s">
        <v>1864</v>
      </c>
      <c r="H160" s="1317"/>
      <c r="I160" s="1254" t="s">
        <v>393</v>
      </c>
      <c r="J160" s="1227">
        <v>800</v>
      </c>
      <c r="K160" s="1219"/>
    </row>
    <row r="161" spans="1:11" s="305" customFormat="1" ht="38.25">
      <c r="A161" s="821"/>
      <c r="B161" s="962" t="s">
        <v>1865</v>
      </c>
      <c r="C161" s="1220" t="s">
        <v>284</v>
      </c>
      <c r="D161" s="1229" t="s">
        <v>1866</v>
      </c>
      <c r="E161" s="2014">
        <v>25</v>
      </c>
      <c r="F161" s="1223"/>
      <c r="G161" s="1224" t="s">
        <v>1864</v>
      </c>
      <c r="H161" s="1317"/>
      <c r="I161" s="1254" t="s">
        <v>393</v>
      </c>
      <c r="J161" s="1227">
        <v>700</v>
      </c>
      <c r="K161" s="1219">
        <v>17.5</v>
      </c>
    </row>
    <row r="162" spans="1:11" s="305" customFormat="1" ht="38.25">
      <c r="A162" s="821"/>
      <c r="B162" s="1002" t="s">
        <v>1867</v>
      </c>
      <c r="C162" s="1220"/>
      <c r="D162" s="1221"/>
      <c r="E162" s="1230"/>
      <c r="F162" s="1223"/>
      <c r="G162" s="1224" t="s">
        <v>1868</v>
      </c>
      <c r="H162" s="1317"/>
      <c r="I162" s="1254"/>
      <c r="J162" s="1227"/>
      <c r="K162" s="1219"/>
    </row>
    <row r="163" spans="1:11" s="305" customFormat="1" ht="38.25">
      <c r="A163" s="821"/>
      <c r="B163" s="406" t="s">
        <v>1869</v>
      </c>
      <c r="C163" s="1220" t="s">
        <v>284</v>
      </c>
      <c r="D163" s="1229" t="s">
        <v>957</v>
      </c>
      <c r="E163" s="2014">
        <v>90</v>
      </c>
      <c r="F163" s="2015" t="s">
        <v>1870</v>
      </c>
      <c r="G163" s="1224" t="s">
        <v>1871</v>
      </c>
      <c r="H163" s="1317" t="s">
        <v>1006</v>
      </c>
      <c r="I163" s="3387" t="s">
        <v>1872</v>
      </c>
      <c r="J163" s="3689">
        <v>3435</v>
      </c>
      <c r="K163" s="3690">
        <v>85.88</v>
      </c>
    </row>
    <row r="164" spans="1:11" s="305" customFormat="1" ht="38.25">
      <c r="A164" s="821"/>
      <c r="B164" s="962" t="s">
        <v>1852</v>
      </c>
      <c r="C164" s="1220" t="s">
        <v>284</v>
      </c>
      <c r="D164" s="1229" t="s">
        <v>317</v>
      </c>
      <c r="E164" s="2014">
        <v>90</v>
      </c>
      <c r="F164" s="2015" t="s">
        <v>1870</v>
      </c>
      <c r="G164" s="1224" t="s">
        <v>1871</v>
      </c>
      <c r="H164" s="1317" t="s">
        <v>1006</v>
      </c>
      <c r="I164" s="3387" t="s">
        <v>1872</v>
      </c>
      <c r="J164" s="3689">
        <v>3435</v>
      </c>
      <c r="K164" s="3690">
        <v>85.88</v>
      </c>
    </row>
    <row r="165" spans="1:11" s="305" customFormat="1" ht="38.25">
      <c r="A165" s="821"/>
      <c r="B165" s="1336" t="s">
        <v>1855</v>
      </c>
      <c r="C165" s="1220" t="s">
        <v>284</v>
      </c>
      <c r="D165" s="1229"/>
      <c r="E165" s="2014">
        <v>90</v>
      </c>
      <c r="F165" s="2015" t="s">
        <v>1870</v>
      </c>
      <c r="G165" s="1224" t="s">
        <v>1871</v>
      </c>
      <c r="H165" s="1317" t="s">
        <v>1006</v>
      </c>
      <c r="I165" s="3387" t="s">
        <v>1872</v>
      </c>
      <c r="J165" s="3689">
        <v>3435</v>
      </c>
      <c r="K165" s="3690">
        <v>85.88</v>
      </c>
    </row>
    <row r="166" spans="1:11" s="305" customFormat="1" ht="38.25">
      <c r="A166" s="821"/>
      <c r="B166" s="962" t="s">
        <v>1859</v>
      </c>
      <c r="C166" s="1220" t="s">
        <v>284</v>
      </c>
      <c r="D166" s="1229" t="s">
        <v>317</v>
      </c>
      <c r="E166" s="2014">
        <v>90</v>
      </c>
      <c r="F166" s="2015" t="s">
        <v>1870</v>
      </c>
      <c r="G166" s="1224" t="s">
        <v>1871</v>
      </c>
      <c r="H166" s="1317" t="s">
        <v>1006</v>
      </c>
      <c r="I166" s="3387" t="s">
        <v>1872</v>
      </c>
      <c r="J166" s="3689">
        <v>3435</v>
      </c>
      <c r="K166" s="3690">
        <v>85.88</v>
      </c>
    </row>
    <row r="167" spans="1:11" s="305" customFormat="1" ht="38.25">
      <c r="A167" s="821"/>
      <c r="B167" s="962" t="s">
        <v>1856</v>
      </c>
      <c r="C167" s="1220" t="s">
        <v>284</v>
      </c>
      <c r="D167" s="1229" t="s">
        <v>317</v>
      </c>
      <c r="E167" s="2014">
        <v>90</v>
      </c>
      <c r="F167" s="2015" t="s">
        <v>1870</v>
      </c>
      <c r="G167" s="1224" t="s">
        <v>1871</v>
      </c>
      <c r="H167" s="1317" t="s">
        <v>1006</v>
      </c>
      <c r="I167" s="3386" t="s">
        <v>1873</v>
      </c>
      <c r="J167" s="3689">
        <v>3435</v>
      </c>
      <c r="K167" s="3690">
        <v>85.88</v>
      </c>
    </row>
    <row r="168" spans="1:11" s="305" customFormat="1" ht="38.25">
      <c r="A168" s="821"/>
      <c r="B168" s="962" t="s">
        <v>1858</v>
      </c>
      <c r="C168" s="1220" t="s">
        <v>284</v>
      </c>
      <c r="D168" s="1229" t="s">
        <v>317</v>
      </c>
      <c r="E168" s="2014">
        <v>90</v>
      </c>
      <c r="F168" s="2015" t="s">
        <v>1870</v>
      </c>
      <c r="G168" s="1224" t="s">
        <v>1871</v>
      </c>
      <c r="H168" s="1317" t="s">
        <v>1006</v>
      </c>
      <c r="I168" s="3386" t="s">
        <v>1873</v>
      </c>
      <c r="J168" s="3689">
        <v>3435</v>
      </c>
      <c r="K168" s="3690">
        <v>85.88</v>
      </c>
    </row>
    <row r="169" spans="1:11" s="305" customFormat="1" ht="38.25">
      <c r="A169" s="821"/>
      <c r="B169" s="962" t="s">
        <v>1860</v>
      </c>
      <c r="C169" s="1220" t="s">
        <v>284</v>
      </c>
      <c r="D169" s="1229" t="s">
        <v>317</v>
      </c>
      <c r="E169" s="2014">
        <v>90</v>
      </c>
      <c r="F169" s="2015" t="s">
        <v>1870</v>
      </c>
      <c r="G169" s="1224" t="s">
        <v>1871</v>
      </c>
      <c r="H169" s="1317" t="s">
        <v>1006</v>
      </c>
      <c r="I169" s="3386" t="s">
        <v>1873</v>
      </c>
      <c r="J169" s="3689">
        <v>3435</v>
      </c>
      <c r="K169" s="3690">
        <v>85.88</v>
      </c>
    </row>
    <row r="170" spans="1:11" s="305" customFormat="1" ht="38.25">
      <c r="A170" s="821"/>
      <c r="B170" s="962" t="s">
        <v>1862</v>
      </c>
      <c r="C170" s="1220" t="s">
        <v>284</v>
      </c>
      <c r="D170" s="1229" t="s">
        <v>317</v>
      </c>
      <c r="E170" s="2014">
        <v>90</v>
      </c>
      <c r="F170" s="2015" t="s">
        <v>1870</v>
      </c>
      <c r="G170" s="1224" t="s">
        <v>1871</v>
      </c>
      <c r="H170" s="1317" t="s">
        <v>1006</v>
      </c>
      <c r="I170" s="3386" t="s">
        <v>1873</v>
      </c>
      <c r="J170" s="3689">
        <v>3435</v>
      </c>
      <c r="K170" s="3690">
        <v>85.88</v>
      </c>
    </row>
    <row r="171" spans="1:11" s="305" customFormat="1" ht="38.25">
      <c r="A171" s="821"/>
      <c r="B171" s="962" t="s">
        <v>1874</v>
      </c>
      <c r="C171" s="1220"/>
      <c r="D171" s="1229"/>
      <c r="E171" s="2014">
        <v>90</v>
      </c>
      <c r="F171" s="2015" t="s">
        <v>1870</v>
      </c>
      <c r="G171" s="1224" t="s">
        <v>1871</v>
      </c>
      <c r="H171" s="1317" t="s">
        <v>1006</v>
      </c>
      <c r="I171" s="3386" t="s">
        <v>1873</v>
      </c>
      <c r="J171" s="3689">
        <v>3435</v>
      </c>
      <c r="K171" s="3690">
        <v>85.88</v>
      </c>
    </row>
    <row r="172" spans="1:11" s="305" customFormat="1" ht="38.25">
      <c r="A172" s="821"/>
      <c r="B172" s="962" t="s">
        <v>1854</v>
      </c>
      <c r="C172" s="1220"/>
      <c r="D172" s="1229"/>
      <c r="E172" s="2014">
        <v>90</v>
      </c>
      <c r="F172" s="2015" t="s">
        <v>1870</v>
      </c>
      <c r="G172" s="1224" t="s">
        <v>1871</v>
      </c>
      <c r="H172" s="1317" t="s">
        <v>1006</v>
      </c>
      <c r="I172" s="3386" t="s">
        <v>1873</v>
      </c>
      <c r="J172" s="3689">
        <v>3435</v>
      </c>
      <c r="K172" s="3690">
        <v>85.88</v>
      </c>
    </row>
    <row r="173" spans="1:11" s="305" customFormat="1" ht="38.25">
      <c r="A173" s="821"/>
      <c r="B173" s="3388"/>
      <c r="C173" s="1220"/>
      <c r="D173" s="1229"/>
      <c r="E173" s="1230"/>
      <c r="F173" s="1223"/>
      <c r="G173" s="1224"/>
      <c r="H173" s="1317"/>
      <c r="I173" s="1254"/>
      <c r="J173" s="1318"/>
      <c r="K173" s="1219"/>
    </row>
    <row r="174" spans="1:11" s="305" customFormat="1" ht="38.25">
      <c r="A174" s="821"/>
      <c r="B174" s="1210" t="s">
        <v>1875</v>
      </c>
      <c r="C174" s="1220" t="s">
        <v>256</v>
      </c>
      <c r="D174" s="1229" t="s">
        <v>1876</v>
      </c>
      <c r="E174" s="2014">
        <v>42</v>
      </c>
      <c r="F174" s="1223"/>
      <c r="G174" s="1224" t="s">
        <v>1877</v>
      </c>
      <c r="H174" s="1317" t="s">
        <v>1878</v>
      </c>
      <c r="I174" s="1254" t="s">
        <v>1879</v>
      </c>
      <c r="J174" s="2306" t="s">
        <v>1880</v>
      </c>
      <c r="K174" s="2307">
        <v>40.4</v>
      </c>
    </row>
    <row r="175" spans="1:11" s="305" customFormat="1" ht="38.25">
      <c r="A175" s="821"/>
      <c r="B175" s="1210" t="s">
        <v>1881</v>
      </c>
      <c r="C175" s="1220" t="s">
        <v>256</v>
      </c>
      <c r="D175" s="1229" t="s">
        <v>1876</v>
      </c>
      <c r="E175" s="2014">
        <v>42</v>
      </c>
      <c r="F175" s="1223"/>
      <c r="G175" s="1224" t="s">
        <v>1877</v>
      </c>
      <c r="H175" s="1317" t="s">
        <v>1878</v>
      </c>
      <c r="I175" s="1254" t="s">
        <v>1879</v>
      </c>
      <c r="J175" s="2306" t="s">
        <v>1880</v>
      </c>
      <c r="K175" s="2307">
        <v>40.4</v>
      </c>
    </row>
    <row r="176" spans="1:11" s="305" customFormat="1" ht="38.25">
      <c r="A176" s="821"/>
      <c r="B176" s="962" t="s">
        <v>1859</v>
      </c>
      <c r="C176" s="1220" t="s">
        <v>256</v>
      </c>
      <c r="D176" s="1229" t="s">
        <v>1876</v>
      </c>
      <c r="E176" s="2014">
        <v>42</v>
      </c>
      <c r="F176" s="1223"/>
      <c r="G176" s="1224" t="s">
        <v>1877</v>
      </c>
      <c r="H176" s="1317" t="s">
        <v>1878</v>
      </c>
      <c r="I176" s="1254" t="s">
        <v>1879</v>
      </c>
      <c r="J176" s="2306" t="s">
        <v>1880</v>
      </c>
      <c r="K176" s="2307">
        <v>40.4</v>
      </c>
    </row>
    <row r="177" spans="1:11" s="305" customFormat="1" ht="38.25">
      <c r="A177" s="1253"/>
      <c r="B177" s="962" t="s">
        <v>1856</v>
      </c>
      <c r="C177" s="1220" t="s">
        <v>256</v>
      </c>
      <c r="D177" s="1229" t="s">
        <v>1876</v>
      </c>
      <c r="E177" s="2014">
        <v>42</v>
      </c>
      <c r="F177" s="1223"/>
      <c r="G177" s="1224" t="s">
        <v>1877</v>
      </c>
      <c r="H177" s="1317" t="s">
        <v>1878</v>
      </c>
      <c r="I177" s="1254" t="s">
        <v>1879</v>
      </c>
      <c r="J177" s="2306" t="s">
        <v>1880</v>
      </c>
      <c r="K177" s="2307">
        <v>40.4</v>
      </c>
    </row>
    <row r="178" spans="1:11" s="305" customFormat="1" ht="38.25">
      <c r="A178" s="1320"/>
      <c r="B178" s="1256" t="s">
        <v>1858</v>
      </c>
      <c r="C178" s="1220" t="s">
        <v>256</v>
      </c>
      <c r="D178" s="1229" t="s">
        <v>1876</v>
      </c>
      <c r="E178" s="2014">
        <v>42</v>
      </c>
      <c r="F178" s="1223"/>
      <c r="G178" s="1224" t="s">
        <v>1877</v>
      </c>
      <c r="H178" s="1317" t="s">
        <v>1878</v>
      </c>
      <c r="I178" s="1254" t="s">
        <v>1879</v>
      </c>
      <c r="J178" s="2306" t="s">
        <v>1880</v>
      </c>
      <c r="K178" s="2307">
        <v>40.4</v>
      </c>
    </row>
    <row r="179" spans="1:11" s="305" customFormat="1" ht="38.25">
      <c r="A179" s="1320"/>
      <c r="B179" s="1164"/>
      <c r="C179" s="2006"/>
      <c r="D179" s="2007"/>
      <c r="E179" s="1167"/>
      <c r="F179" s="1168"/>
      <c r="G179" s="2008"/>
      <c r="H179" s="2009"/>
      <c r="I179" s="2010"/>
      <c r="J179" s="2011"/>
      <c r="K179" s="2012"/>
    </row>
    <row r="180" spans="1:11" ht="38.25">
      <c r="A180" s="303" t="s">
        <v>0</v>
      </c>
      <c r="B180" s="304"/>
      <c r="C180" s="848"/>
      <c r="D180" s="1172"/>
      <c r="E180" s="1173"/>
      <c r="F180" s="1165"/>
      <c r="G180" s="1174"/>
      <c r="H180" s="305"/>
      <c r="I180" s="306"/>
      <c r="J180" s="1175"/>
      <c r="K180" s="1171"/>
    </row>
    <row r="181" spans="1:11" ht="38.25">
      <c r="A181" s="1176" t="s">
        <v>1510</v>
      </c>
      <c r="B181" s="1176"/>
      <c r="C181" s="303"/>
      <c r="D181" s="1177"/>
      <c r="E181" s="1173"/>
      <c r="F181" s="1165"/>
      <c r="G181" s="1174"/>
      <c r="H181" s="305"/>
      <c r="I181" s="306"/>
      <c r="J181" s="1175"/>
      <c r="K181" s="1171"/>
    </row>
    <row r="182" spans="1:11" ht="39" thickBot="1">
      <c r="A182" s="1163"/>
      <c r="B182" s="1172"/>
      <c r="C182" s="614"/>
      <c r="D182" s="1172"/>
      <c r="E182" s="1173"/>
      <c r="F182" s="1165"/>
      <c r="G182" s="1174"/>
      <c r="H182" s="305"/>
      <c r="I182" s="306"/>
      <c r="J182" s="1175"/>
      <c r="K182" s="1171"/>
    </row>
    <row r="183" spans="1:11" ht="38.25">
      <c r="A183" s="3502" t="s">
        <v>2</v>
      </c>
      <c r="B183" s="3503"/>
      <c r="C183" s="1178" t="s">
        <v>3</v>
      </c>
      <c r="D183" s="1242" t="s">
        <v>4</v>
      </c>
      <c r="E183" s="1180" t="s">
        <v>5</v>
      </c>
      <c r="F183" s="1181" t="s">
        <v>5</v>
      </c>
      <c r="G183" s="1182" t="s">
        <v>6</v>
      </c>
      <c r="H183" s="1183" t="s">
        <v>7</v>
      </c>
      <c r="I183" s="1184" t="s">
        <v>1511</v>
      </c>
      <c r="J183" s="1185" t="s">
        <v>9</v>
      </c>
      <c r="K183" s="1186" t="s">
        <v>9</v>
      </c>
    </row>
    <row r="184" spans="1:11" ht="39" thickBot="1">
      <c r="A184" s="1187"/>
      <c r="B184" s="1188"/>
      <c r="C184" s="1189"/>
      <c r="D184" s="1243" t="s">
        <v>10</v>
      </c>
      <c r="E184" s="1191" t="s">
        <v>11</v>
      </c>
      <c r="F184" s="1192" t="s">
        <v>12</v>
      </c>
      <c r="G184" s="1193"/>
      <c r="H184" s="1194" t="s">
        <v>13</v>
      </c>
      <c r="I184" s="1195" t="s">
        <v>1512</v>
      </c>
      <c r="J184" s="1196" t="s">
        <v>14</v>
      </c>
      <c r="K184" s="1197" t="s">
        <v>15</v>
      </c>
    </row>
    <row r="185" spans="1:11" ht="38.25">
      <c r="A185" s="1252"/>
      <c r="B185" s="1284" t="s">
        <v>1882</v>
      </c>
      <c r="C185" s="1285"/>
      <c r="D185" s="1286"/>
      <c r="E185" s="1287"/>
      <c r="F185" s="1288"/>
      <c r="G185" s="1289"/>
      <c r="H185" s="1290"/>
      <c r="I185" s="1291"/>
      <c r="J185" s="1297"/>
      <c r="K185" s="1298"/>
    </row>
    <row r="186" spans="1:11" ht="37.5">
      <c r="A186" s="1292"/>
      <c r="B186" s="1292" t="s">
        <v>1883</v>
      </c>
      <c r="C186" s="1211" t="s">
        <v>284</v>
      </c>
      <c r="D186" s="959" t="s">
        <v>317</v>
      </c>
      <c r="E186" s="2486">
        <v>95</v>
      </c>
      <c r="F186" s="2487" t="s">
        <v>1884</v>
      </c>
      <c r="G186" s="1294" t="s">
        <v>615</v>
      </c>
      <c r="H186" s="1296">
        <v>1540</v>
      </c>
      <c r="I186" s="1296"/>
      <c r="J186" s="1045">
        <v>1540</v>
      </c>
      <c r="K186" s="369">
        <v>77</v>
      </c>
    </row>
    <row r="187" spans="1:11" ht="38.25">
      <c r="A187" s="1292"/>
      <c r="B187" s="1292"/>
      <c r="C187" s="1293"/>
      <c r="D187" s="1246"/>
      <c r="E187" s="1301"/>
      <c r="F187" s="1299"/>
      <c r="G187" s="1294"/>
      <c r="H187" s="1300"/>
      <c r="I187" s="1296"/>
      <c r="J187" s="1045"/>
      <c r="K187" s="1298"/>
    </row>
    <row r="188" spans="1:11" ht="38.25">
      <c r="A188" s="1292"/>
      <c r="B188" s="1292"/>
      <c r="C188" s="1211"/>
      <c r="D188" s="959"/>
      <c r="E188" s="1301"/>
      <c r="F188" s="1299"/>
      <c r="G188" s="1294"/>
      <c r="H188" s="1300"/>
      <c r="I188" s="1296"/>
      <c r="J188" s="1045"/>
      <c r="K188" s="369"/>
    </row>
    <row r="189" spans="1:11" ht="38.25">
      <c r="A189" s="1292"/>
      <c r="B189" s="1292"/>
      <c r="C189" s="1211"/>
      <c r="D189" s="1246"/>
      <c r="E189" s="1301"/>
      <c r="F189" s="1299"/>
      <c r="G189" s="1302"/>
      <c r="H189" s="1300"/>
      <c r="I189" s="1205"/>
      <c r="J189" s="1045"/>
      <c r="K189" s="1298"/>
    </row>
    <row r="190" spans="1:11" ht="38.25">
      <c r="A190" s="1210"/>
      <c r="B190" s="1210"/>
      <c r="C190" s="1211"/>
      <c r="D190" s="959"/>
      <c r="E190" s="1774"/>
      <c r="F190" s="1299"/>
      <c r="G190" s="1302"/>
      <c r="H190" s="1300"/>
      <c r="I190" s="1205"/>
      <c r="J190" s="1045"/>
      <c r="K190" s="1298"/>
    </row>
    <row r="191" spans="1:11" ht="38.25">
      <c r="A191" s="1292"/>
      <c r="B191" s="1292"/>
      <c r="C191" s="1211"/>
      <c r="D191" s="1246"/>
      <c r="E191" s="1301"/>
      <c r="F191" s="1299"/>
      <c r="G191" s="1302"/>
      <c r="H191" s="1300"/>
      <c r="I191" s="1205"/>
      <c r="J191" s="1045"/>
      <c r="K191" s="1303"/>
    </row>
    <row r="192" spans="1:11" ht="38.25">
      <c r="A192" s="1205"/>
      <c r="B192" s="1205"/>
      <c r="C192" s="1211"/>
      <c r="D192" s="1211"/>
      <c r="E192" s="2811"/>
      <c r="F192" s="1299"/>
      <c r="G192" s="1302"/>
      <c r="H192" s="1300"/>
      <c r="I192" s="1205"/>
      <c r="J192" s="1045"/>
      <c r="K192" s="1298"/>
    </row>
    <row r="193" spans="1:11" ht="38.25">
      <c r="A193" s="1205"/>
      <c r="B193" s="2816" t="s">
        <v>1885</v>
      </c>
      <c r="C193" s="1211"/>
      <c r="D193" s="101"/>
      <c r="E193" s="2811"/>
      <c r="F193" s="1299"/>
      <c r="G193" s="1391"/>
      <c r="H193" s="1295"/>
      <c r="I193" s="1296"/>
      <c r="J193" s="1297"/>
      <c r="K193" s="1305"/>
    </row>
    <row r="194" spans="1:11" ht="38.25">
      <c r="A194" s="1210"/>
      <c r="B194" s="1210" t="s">
        <v>1886</v>
      </c>
      <c r="C194" s="1211" t="s">
        <v>1736</v>
      </c>
      <c r="D194" s="1251" t="s">
        <v>1887</v>
      </c>
      <c r="E194" s="1301"/>
      <c r="F194" s="1299"/>
      <c r="G194" s="1302" t="s">
        <v>1888</v>
      </c>
      <c r="H194" s="1300" t="s">
        <v>1889</v>
      </c>
      <c r="I194" s="115" t="s">
        <v>1890</v>
      </c>
      <c r="J194" s="2812" t="s">
        <v>1891</v>
      </c>
      <c r="K194" s="2813">
        <v>20.94</v>
      </c>
    </row>
    <row r="195" spans="1:11" ht="38.25">
      <c r="A195" s="1210"/>
      <c r="B195" s="1210" t="s">
        <v>1892</v>
      </c>
      <c r="C195" s="1211" t="s">
        <v>1736</v>
      </c>
      <c r="D195" s="1251" t="s">
        <v>1887</v>
      </c>
      <c r="E195" s="1301"/>
      <c r="F195" s="1299"/>
      <c r="G195" s="1302" t="s">
        <v>1888</v>
      </c>
      <c r="H195" s="1300" t="s">
        <v>1893</v>
      </c>
      <c r="I195" s="115" t="s">
        <v>1894</v>
      </c>
      <c r="J195" s="2814" t="s">
        <v>1895</v>
      </c>
      <c r="K195" s="2813">
        <v>18.940000000000001</v>
      </c>
    </row>
    <row r="196" spans="1:11" ht="38.25">
      <c r="A196" s="1210"/>
      <c r="B196" s="1210" t="s">
        <v>1896</v>
      </c>
      <c r="C196" s="1211" t="s">
        <v>1736</v>
      </c>
      <c r="D196" s="1251" t="s">
        <v>1887</v>
      </c>
      <c r="E196" s="1301"/>
      <c r="F196" s="1299"/>
      <c r="G196" s="1302"/>
      <c r="H196" s="1300"/>
      <c r="I196" s="115" t="s">
        <v>1897</v>
      </c>
      <c r="J196" s="2815"/>
      <c r="K196" s="2813"/>
    </row>
    <row r="197" spans="1:11" ht="38.25">
      <c r="A197" s="1210"/>
      <c r="B197" s="1210"/>
      <c r="C197" s="1211"/>
      <c r="D197" s="1251"/>
      <c r="E197" s="1301"/>
      <c r="F197" s="1299"/>
      <c r="G197" s="1302"/>
      <c r="H197" s="1300"/>
      <c r="I197" s="1205"/>
      <c r="J197" s="1045"/>
      <c r="K197" s="1298"/>
    </row>
    <row r="198" spans="1:11" ht="38.25">
      <c r="A198" s="1210"/>
      <c r="B198" s="1210"/>
      <c r="C198" s="1211"/>
      <c r="D198" s="1251"/>
      <c r="E198" s="1301"/>
      <c r="F198" s="1299"/>
      <c r="G198" s="1302"/>
      <c r="H198" s="1300"/>
      <c r="I198" s="1205"/>
      <c r="J198" s="1045"/>
      <c r="K198" s="1298"/>
    </row>
    <row r="199" spans="1:11" ht="38.25">
      <c r="A199" s="1306"/>
      <c r="B199" s="1210"/>
      <c r="C199" s="1211"/>
      <c r="D199" s="1246"/>
      <c r="E199" s="1301"/>
      <c r="F199" s="1299"/>
      <c r="G199" s="1302"/>
      <c r="H199" s="1300"/>
      <c r="I199" s="1205"/>
      <c r="J199" s="1045"/>
      <c r="K199" s="1298"/>
    </row>
    <row r="200" spans="1:11" ht="38.25">
      <c r="A200" s="1306"/>
      <c r="B200" s="1306"/>
      <c r="C200" s="1211"/>
      <c r="D200" s="1246"/>
      <c r="E200" s="1301"/>
      <c r="F200" s="1299"/>
      <c r="G200" s="1302"/>
      <c r="H200" s="1300"/>
      <c r="I200" s="1205"/>
      <c r="J200" s="1045"/>
      <c r="K200" s="1298"/>
    </row>
    <row r="201" spans="1:11" ht="38.25">
      <c r="A201" s="1306"/>
      <c r="B201" s="1306"/>
      <c r="C201" s="1211"/>
      <c r="D201" s="1246"/>
      <c r="E201" s="1301"/>
      <c r="F201" s="1299"/>
      <c r="G201" s="1302"/>
      <c r="H201" s="1300"/>
      <c r="I201" s="1205"/>
      <c r="J201" s="1045"/>
      <c r="K201" s="1298"/>
    </row>
    <row r="202" spans="1:11" ht="38.25">
      <c r="A202" s="1306"/>
      <c r="B202" s="1306"/>
      <c r="C202" s="1211"/>
      <c r="D202" s="1246"/>
      <c r="E202" s="1301"/>
      <c r="F202" s="1299"/>
      <c r="G202" s="1302"/>
      <c r="H202" s="1300"/>
      <c r="I202" s="1205"/>
      <c r="J202" s="1045"/>
      <c r="K202" s="1298"/>
    </row>
    <row r="203" spans="1:11" ht="38.25">
      <c r="A203" s="1586"/>
      <c r="B203" s="1586"/>
      <c r="C203" s="1248"/>
      <c r="D203" s="1251"/>
      <c r="E203" s="1308"/>
      <c r="F203" s="1214"/>
      <c r="G203" s="1204"/>
      <c r="H203" s="1310"/>
      <c r="I203" s="1310"/>
      <c r="J203" s="1211"/>
      <c r="K203" s="1251"/>
    </row>
    <row r="204" spans="1:11" ht="38.25">
      <c r="A204" s="1586"/>
      <c r="B204" s="1586"/>
      <c r="C204" s="1211"/>
      <c r="D204" s="3457"/>
      <c r="E204" s="728"/>
      <c r="F204" s="1214"/>
      <c r="G204" s="1204"/>
      <c r="H204" s="1205"/>
      <c r="I204" s="1205"/>
      <c r="J204" s="1211"/>
      <c r="K204" s="59"/>
    </row>
    <row r="205" spans="1:11" ht="38.25">
      <c r="A205" s="1586"/>
      <c r="B205" s="1586"/>
      <c r="C205" s="1248"/>
      <c r="D205" s="1251"/>
      <c r="E205" s="1308"/>
      <c r="F205" s="1214"/>
      <c r="G205" s="1204"/>
      <c r="H205" s="1310"/>
      <c r="I205" s="1310"/>
      <c r="J205" s="1211"/>
      <c r="K205" s="1251"/>
    </row>
    <row r="206" spans="1:11" ht="38.25">
      <c r="A206" s="1307"/>
      <c r="B206" s="1307"/>
      <c r="C206" s="1211"/>
      <c r="D206" s="3457"/>
      <c r="E206" s="60"/>
      <c r="F206" s="1214"/>
      <c r="G206" s="1204"/>
      <c r="H206" s="1205"/>
      <c r="I206" s="1205"/>
      <c r="J206" s="1211"/>
      <c r="K206" s="59"/>
    </row>
    <row r="207" spans="1:11" ht="38.25">
      <c r="A207" s="821"/>
      <c r="B207" s="962"/>
      <c r="C207" s="1220"/>
      <c r="D207" s="1229"/>
      <c r="E207" s="1230"/>
      <c r="F207" s="1223"/>
      <c r="G207" s="1224"/>
      <c r="H207" s="1317"/>
      <c r="I207" s="1254"/>
      <c r="J207" s="1318"/>
      <c r="K207" s="1219"/>
    </row>
    <row r="208" spans="1:11" ht="38.25">
      <c r="A208" s="821"/>
      <c r="B208" s="962"/>
      <c r="C208" s="1220"/>
      <c r="D208" s="1229"/>
      <c r="E208" s="1230"/>
      <c r="F208" s="1223"/>
      <c r="G208" s="1224"/>
      <c r="H208" s="1317"/>
      <c r="I208" s="1254"/>
      <c r="J208" s="1318"/>
      <c r="K208" s="1219"/>
    </row>
    <row r="209" spans="1:11" ht="38.25">
      <c r="A209" s="821"/>
      <c r="B209" s="399"/>
      <c r="C209" s="1220"/>
      <c r="D209" s="1229"/>
      <c r="E209" s="1230"/>
      <c r="F209" s="1223"/>
      <c r="G209" s="1224"/>
      <c r="H209" s="1317"/>
      <c r="I209" s="1254"/>
      <c r="J209" s="1318"/>
      <c r="K209" s="1219"/>
    </row>
    <row r="210" spans="1:11" ht="38.25">
      <c r="A210" s="821"/>
      <c r="B210" s="1210"/>
      <c r="C210" s="1220"/>
      <c r="D210" s="1229"/>
      <c r="E210" s="1230"/>
      <c r="F210" s="1223"/>
      <c r="G210" s="1224"/>
      <c r="H210" s="1317"/>
      <c r="I210" s="1254"/>
      <c r="J210" s="1318"/>
      <c r="K210" s="1219"/>
    </row>
    <row r="211" spans="1:11" ht="38.25">
      <c r="A211" s="821"/>
      <c r="B211" s="1210"/>
      <c r="C211" s="1220"/>
      <c r="D211" s="1229"/>
      <c r="E211" s="1230"/>
      <c r="F211" s="1223"/>
      <c r="G211" s="1224"/>
      <c r="H211" s="1317"/>
      <c r="I211" s="1254"/>
      <c r="J211" s="1318"/>
      <c r="K211" s="1219"/>
    </row>
    <row r="212" spans="1:11" ht="38.25">
      <c r="A212" s="821"/>
      <c r="B212" s="962"/>
      <c r="C212" s="1220"/>
      <c r="D212" s="1221"/>
      <c r="E212" s="1259"/>
      <c r="F212" s="1223"/>
      <c r="G212" s="1224"/>
      <c r="H212" s="1225"/>
      <c r="I212" s="1254"/>
      <c r="J212" s="1227"/>
      <c r="K212" s="1255"/>
    </row>
    <row r="213" spans="1:11" ht="38.25">
      <c r="A213" s="1253"/>
      <c r="B213" s="962"/>
      <c r="C213" s="1220"/>
      <c r="D213" s="1221"/>
      <c r="E213" s="1230"/>
      <c r="F213" s="1223"/>
      <c r="G213" s="1224"/>
      <c r="H213" s="1225"/>
      <c r="I213" s="1254"/>
      <c r="J213" s="1227"/>
      <c r="K213" s="1255"/>
    </row>
    <row r="214" spans="1:11" ht="38.25">
      <c r="A214" s="1320"/>
      <c r="B214" s="962"/>
      <c r="C214" s="1257"/>
      <c r="D214" s="1258"/>
      <c r="E214" s="1259"/>
      <c r="F214" s="1260"/>
      <c r="G214" s="1261"/>
      <c r="H214" s="1262"/>
      <c r="I214" s="1254"/>
      <c r="J214" s="1263"/>
      <c r="K214" s="1255"/>
    </row>
    <row r="215" spans="1:11" ht="38.25">
      <c r="A215" s="303"/>
      <c r="B215" s="1163"/>
      <c r="C215" s="1163"/>
      <c r="D215" s="1163"/>
      <c r="E215" s="1163"/>
      <c r="F215" s="1163"/>
      <c r="G215" s="1163"/>
      <c r="H215" s="1163"/>
      <c r="I215" s="1177"/>
      <c r="J215" s="1241"/>
      <c r="K215" s="1171"/>
    </row>
    <row r="216" spans="1:11" ht="38.25">
      <c r="A216" s="303" t="s">
        <v>0</v>
      </c>
      <c r="B216" s="304"/>
      <c r="C216" s="848"/>
      <c r="D216" s="1172"/>
      <c r="E216" s="1173"/>
      <c r="F216" s="1165"/>
      <c r="G216" s="1174"/>
      <c r="H216" s="305"/>
      <c r="I216" s="306"/>
      <c r="J216" s="1175"/>
      <c r="K216" s="1171"/>
    </row>
    <row r="217" spans="1:11" ht="38.25">
      <c r="A217" s="1176" t="s">
        <v>1510</v>
      </c>
      <c r="B217" s="1176"/>
      <c r="C217" s="303"/>
      <c r="D217" s="1177"/>
      <c r="E217" s="1173"/>
      <c r="F217" s="1165"/>
      <c r="G217" s="1174"/>
      <c r="H217" s="305"/>
      <c r="I217" s="306"/>
      <c r="J217" s="1175"/>
      <c r="K217" s="1171"/>
    </row>
    <row r="218" spans="1:11" ht="39" thickBot="1">
      <c r="A218" s="1163"/>
      <c r="B218" s="1172"/>
      <c r="C218" s="614"/>
      <c r="D218" s="1172"/>
      <c r="E218" s="1173"/>
      <c r="F218" s="1165"/>
      <c r="G218" s="1174"/>
      <c r="H218" s="305"/>
      <c r="I218" s="306"/>
      <c r="J218" s="1175"/>
      <c r="K218" s="1171"/>
    </row>
    <row r="219" spans="1:11" ht="38.25">
      <c r="A219" s="3502" t="s">
        <v>2</v>
      </c>
      <c r="B219" s="3503"/>
      <c r="C219" s="1178" t="s">
        <v>3</v>
      </c>
      <c r="D219" s="1242" t="s">
        <v>4</v>
      </c>
      <c r="E219" s="1180" t="s">
        <v>5</v>
      </c>
      <c r="F219" s="1181" t="s">
        <v>5</v>
      </c>
      <c r="G219" s="1182" t="s">
        <v>6</v>
      </c>
      <c r="H219" s="1183" t="s">
        <v>7</v>
      </c>
      <c r="I219" s="1184" t="s">
        <v>1511</v>
      </c>
      <c r="J219" s="1185" t="s">
        <v>9</v>
      </c>
      <c r="K219" s="1186" t="s">
        <v>9</v>
      </c>
    </row>
    <row r="220" spans="1:11" ht="39" thickBot="1">
      <c r="A220" s="1187"/>
      <c r="B220" s="1188"/>
      <c r="C220" s="1189"/>
      <c r="D220" s="1243" t="s">
        <v>10</v>
      </c>
      <c r="E220" s="1191" t="s">
        <v>11</v>
      </c>
      <c r="F220" s="1192" t="s">
        <v>12</v>
      </c>
      <c r="G220" s="1193"/>
      <c r="H220" s="1194" t="s">
        <v>13</v>
      </c>
      <c r="I220" s="1195" t="s">
        <v>1512</v>
      </c>
      <c r="J220" s="1196" t="s">
        <v>14</v>
      </c>
      <c r="K220" s="1197" t="s">
        <v>15</v>
      </c>
    </row>
    <row r="221" spans="1:11" ht="36.75">
      <c r="B221" s="1994" t="s">
        <v>1898</v>
      </c>
      <c r="C221" s="103"/>
      <c r="D221" s="1784"/>
      <c r="E221" s="1774"/>
      <c r="F221" s="1995"/>
      <c r="G221" s="1391" t="s">
        <v>1899</v>
      </c>
      <c r="H221" s="638"/>
      <c r="I221" s="82" t="s">
        <v>1900</v>
      </c>
      <c r="J221" s="1996" t="s">
        <v>1901</v>
      </c>
      <c r="K221" s="369"/>
    </row>
    <row r="222" spans="1:11" ht="36.75">
      <c r="B222" s="55" t="s">
        <v>1902</v>
      </c>
      <c r="C222" s="103" t="s">
        <v>284</v>
      </c>
      <c r="D222" s="1784" t="s">
        <v>314</v>
      </c>
      <c r="E222" s="1997">
        <v>25</v>
      </c>
      <c r="F222" s="1998"/>
      <c r="G222" s="318" t="s">
        <v>1903</v>
      </c>
      <c r="H222" s="638"/>
      <c r="I222" s="82"/>
      <c r="J222" s="638">
        <v>950</v>
      </c>
      <c r="K222" s="369">
        <f>J222/50</f>
        <v>19</v>
      </c>
    </row>
    <row r="223" spans="1:11" ht="36.75">
      <c r="B223" s="55" t="s">
        <v>1904</v>
      </c>
      <c r="C223" s="103" t="s">
        <v>1905</v>
      </c>
      <c r="D223" s="1784" t="s">
        <v>314</v>
      </c>
      <c r="E223" s="1998">
        <v>85</v>
      </c>
      <c r="F223" s="1998"/>
      <c r="G223" s="318" t="s">
        <v>1906</v>
      </c>
      <c r="H223" s="638">
        <v>3250</v>
      </c>
      <c r="I223" s="82"/>
      <c r="J223" s="638">
        <v>3250</v>
      </c>
      <c r="K223" s="369">
        <f>J223/50</f>
        <v>65</v>
      </c>
    </row>
    <row r="224" spans="1:11" ht="36.75">
      <c r="B224" s="55" t="s">
        <v>1907</v>
      </c>
      <c r="C224" s="101" t="s">
        <v>1119</v>
      </c>
      <c r="D224" s="1784" t="s">
        <v>1908</v>
      </c>
      <c r="E224" s="1998">
        <v>120</v>
      </c>
      <c r="F224" s="1998"/>
      <c r="G224" s="248" t="s">
        <v>1909</v>
      </c>
      <c r="H224" s="150"/>
      <c r="I224" s="74"/>
      <c r="J224" s="150">
        <v>2375</v>
      </c>
      <c r="K224" s="369">
        <v>95</v>
      </c>
    </row>
    <row r="225" spans="2:11" ht="36.75">
      <c r="B225" s="55" t="s">
        <v>1910</v>
      </c>
      <c r="C225" s="103" t="s">
        <v>1911</v>
      </c>
      <c r="D225" s="1784" t="s">
        <v>1912</v>
      </c>
      <c r="E225" s="1999"/>
      <c r="F225" s="960"/>
      <c r="G225" s="483" t="s">
        <v>1913</v>
      </c>
      <c r="H225" s="150"/>
      <c r="I225" s="74"/>
      <c r="J225" s="150" t="s">
        <v>1914</v>
      </c>
      <c r="K225" s="369" t="s">
        <v>1915</v>
      </c>
    </row>
    <row r="226" spans="2:11" ht="36.75">
      <c r="B226" s="55" t="s">
        <v>1910</v>
      </c>
      <c r="C226" s="101" t="s">
        <v>352</v>
      </c>
      <c r="D226" s="1784" t="s">
        <v>625</v>
      </c>
      <c r="E226" s="1999">
        <v>20</v>
      </c>
      <c r="F226" s="960"/>
      <c r="G226" s="248" t="s">
        <v>866</v>
      </c>
      <c r="H226" s="74"/>
      <c r="I226" s="74"/>
      <c r="J226" s="150">
        <v>840</v>
      </c>
      <c r="K226" s="369">
        <v>14</v>
      </c>
    </row>
    <row r="227" spans="2:11" ht="36.75">
      <c r="B227" s="62" t="s">
        <v>1916</v>
      </c>
      <c r="C227" s="101" t="s">
        <v>352</v>
      </c>
      <c r="D227" s="1784" t="s">
        <v>1917</v>
      </c>
      <c r="E227" s="1999">
        <v>35</v>
      </c>
      <c r="F227" s="960"/>
      <c r="G227" s="248" t="s">
        <v>866</v>
      </c>
      <c r="H227" s="74"/>
      <c r="I227" s="74"/>
      <c r="J227" s="150">
        <v>825</v>
      </c>
      <c r="K227" s="369">
        <v>27.5</v>
      </c>
    </row>
    <row r="228" spans="2:11" ht="36.75">
      <c r="B228" s="62" t="s">
        <v>1918</v>
      </c>
      <c r="C228" s="101" t="s">
        <v>565</v>
      </c>
      <c r="D228" s="1784" t="s">
        <v>1051</v>
      </c>
      <c r="E228" s="1999">
        <v>120</v>
      </c>
      <c r="F228" s="960"/>
      <c r="G228" s="2320" t="s">
        <v>1919</v>
      </c>
      <c r="H228" s="74" t="s">
        <v>1920</v>
      </c>
      <c r="I228" s="74" t="s">
        <v>393</v>
      </c>
      <c r="J228" s="150">
        <v>2280</v>
      </c>
      <c r="K228" s="369">
        <v>91.2</v>
      </c>
    </row>
    <row r="229" spans="2:11" ht="36.75">
      <c r="B229" s="62" t="s">
        <v>1921</v>
      </c>
      <c r="C229" s="101" t="s">
        <v>352</v>
      </c>
      <c r="D229" s="1784" t="s">
        <v>314</v>
      </c>
      <c r="E229" s="1999"/>
      <c r="F229" s="960"/>
      <c r="G229" s="483" t="s">
        <v>1922</v>
      </c>
      <c r="H229" s="74"/>
      <c r="I229" s="74"/>
      <c r="J229" s="150">
        <v>4000</v>
      </c>
      <c r="K229" s="369">
        <f>J229/50</f>
        <v>80</v>
      </c>
    </row>
    <row r="230" spans="2:11" ht="36.75">
      <c r="B230" s="55" t="s">
        <v>1923</v>
      </c>
      <c r="C230" s="101" t="s">
        <v>352</v>
      </c>
      <c r="D230" s="1784" t="s">
        <v>1912</v>
      </c>
      <c r="E230" s="1999">
        <v>50</v>
      </c>
      <c r="F230" s="960"/>
      <c r="G230" s="483" t="s">
        <v>1924</v>
      </c>
      <c r="H230" s="74"/>
      <c r="I230" s="74"/>
      <c r="J230" s="150">
        <v>2100</v>
      </c>
      <c r="K230" s="369">
        <f>J230/60</f>
        <v>35</v>
      </c>
    </row>
    <row r="231" spans="2:11" ht="36.75">
      <c r="B231" s="2000" t="s">
        <v>1925</v>
      </c>
      <c r="C231" s="101" t="s">
        <v>352</v>
      </c>
      <c r="D231" s="1784" t="s">
        <v>1912</v>
      </c>
      <c r="E231" s="1999">
        <v>20</v>
      </c>
      <c r="F231" s="960"/>
      <c r="G231" s="248" t="s">
        <v>1903</v>
      </c>
      <c r="H231" s="74"/>
      <c r="I231" s="74"/>
      <c r="J231" s="150">
        <v>810</v>
      </c>
      <c r="K231" s="369">
        <f>J231/60</f>
        <v>13.5</v>
      </c>
    </row>
    <row r="232" spans="2:11" ht="36.75">
      <c r="B232" s="62" t="s">
        <v>1926</v>
      </c>
      <c r="C232" s="101" t="s">
        <v>284</v>
      </c>
      <c r="D232" s="1784" t="s">
        <v>1912</v>
      </c>
      <c r="E232" s="2001">
        <v>50</v>
      </c>
      <c r="F232" s="960"/>
      <c r="G232" s="151" t="s">
        <v>1906</v>
      </c>
      <c r="H232" s="74">
        <v>2220</v>
      </c>
      <c r="I232" s="74"/>
      <c r="J232" s="150">
        <v>2220</v>
      </c>
      <c r="K232" s="369">
        <f>J232/60</f>
        <v>37</v>
      </c>
    </row>
    <row r="233" spans="2:11" ht="36.75">
      <c r="B233" s="62" t="s">
        <v>1927</v>
      </c>
      <c r="C233" s="101" t="s">
        <v>284</v>
      </c>
      <c r="D233" s="1784" t="s">
        <v>309</v>
      </c>
      <c r="E233" s="2001"/>
      <c r="F233" s="960"/>
      <c r="G233" s="151" t="s">
        <v>1928</v>
      </c>
      <c r="H233" s="74"/>
      <c r="I233" s="74"/>
      <c r="J233" s="150">
        <v>900</v>
      </c>
      <c r="K233" s="369">
        <f>J233/10</f>
        <v>90</v>
      </c>
    </row>
    <row r="234" spans="2:11" ht="36.75">
      <c r="B234" s="62" t="s">
        <v>1929</v>
      </c>
      <c r="C234" s="101" t="s">
        <v>284</v>
      </c>
      <c r="D234" s="1784" t="s">
        <v>1912</v>
      </c>
      <c r="E234" s="2001">
        <v>25</v>
      </c>
      <c r="F234" s="960"/>
      <c r="G234" s="151" t="s">
        <v>866</v>
      </c>
      <c r="H234" s="74"/>
      <c r="I234" s="74"/>
      <c r="J234" s="150">
        <v>675</v>
      </c>
      <c r="K234" s="369">
        <f>J234/60</f>
        <v>11.25</v>
      </c>
    </row>
    <row r="235" spans="2:11" ht="36.75">
      <c r="B235" s="62" t="s">
        <v>1930</v>
      </c>
      <c r="C235" s="101" t="s">
        <v>284</v>
      </c>
      <c r="D235" s="1784" t="s">
        <v>1912</v>
      </c>
      <c r="E235" s="1999">
        <v>30</v>
      </c>
      <c r="F235" s="960"/>
      <c r="G235" s="1391" t="s">
        <v>1924</v>
      </c>
      <c r="H235" s="82"/>
      <c r="I235" s="82"/>
      <c r="J235" s="638">
        <v>850</v>
      </c>
      <c r="K235" s="369">
        <f>J235/60</f>
        <v>14.166666666666666</v>
      </c>
    </row>
    <row r="236" spans="2:11" ht="36.75">
      <c r="B236" s="55" t="s">
        <v>191</v>
      </c>
      <c r="C236" s="103" t="s">
        <v>192</v>
      </c>
      <c r="D236" s="1784" t="s">
        <v>317</v>
      </c>
      <c r="E236" s="1999"/>
      <c r="F236" s="960"/>
      <c r="G236" s="318" t="s">
        <v>1931</v>
      </c>
      <c r="H236" s="82"/>
      <c r="I236" s="82"/>
      <c r="J236" s="638">
        <v>600</v>
      </c>
      <c r="K236" s="369">
        <f>J236/20</f>
        <v>30</v>
      </c>
    </row>
    <row r="237" spans="2:11" ht="36.75">
      <c r="B237" s="62" t="s">
        <v>1932</v>
      </c>
      <c r="C237" s="101"/>
      <c r="D237" s="1784"/>
      <c r="E237" s="1999"/>
      <c r="F237" s="960"/>
      <c r="G237" s="483" t="s">
        <v>1933</v>
      </c>
      <c r="H237" s="74"/>
      <c r="I237" s="74"/>
      <c r="J237" s="150">
        <v>215</v>
      </c>
      <c r="K237" s="369"/>
    </row>
    <row r="238" spans="2:11" ht="36.75">
      <c r="B238" s="55" t="s">
        <v>1934</v>
      </c>
      <c r="C238" s="101" t="s">
        <v>192</v>
      </c>
      <c r="D238" s="1784" t="s">
        <v>317</v>
      </c>
      <c r="E238" s="1999"/>
      <c r="F238" s="960"/>
      <c r="G238" s="483" t="s">
        <v>1935</v>
      </c>
      <c r="H238" s="74"/>
      <c r="I238" s="74"/>
      <c r="J238" s="150">
        <v>740</v>
      </c>
      <c r="K238" s="369">
        <f>J238/20</f>
        <v>37</v>
      </c>
    </row>
    <row r="239" spans="2:11" ht="36.75">
      <c r="B239" s="62" t="s">
        <v>1936</v>
      </c>
      <c r="C239" s="101" t="s">
        <v>192</v>
      </c>
      <c r="D239" s="1784" t="s">
        <v>1908</v>
      </c>
      <c r="E239" s="1999"/>
      <c r="F239" s="960"/>
      <c r="G239" s="483" t="s">
        <v>1937</v>
      </c>
      <c r="H239" s="74"/>
      <c r="I239" s="105"/>
      <c r="J239" s="150">
        <v>1475</v>
      </c>
      <c r="K239" s="369">
        <f>J239/25</f>
        <v>59</v>
      </c>
    </row>
    <row r="240" spans="2:11" ht="36.75">
      <c r="B240" s="154" t="s">
        <v>1938</v>
      </c>
      <c r="C240" s="101"/>
      <c r="D240" s="1784" t="s">
        <v>40</v>
      </c>
      <c r="E240" s="1999"/>
      <c r="F240" s="960">
        <v>30</v>
      </c>
      <c r="G240" s="483" t="s">
        <v>1939</v>
      </c>
      <c r="H240" s="74"/>
      <c r="I240" s="74"/>
      <c r="J240" s="150">
        <v>130</v>
      </c>
      <c r="K240" s="369">
        <f>J240/6</f>
        <v>21.666666666666668</v>
      </c>
    </row>
    <row r="241" spans="1:12" ht="36.75">
      <c r="B241" s="62"/>
      <c r="C241" s="101"/>
      <c r="D241" s="959"/>
      <c r="E241" s="1999"/>
      <c r="F241" s="960"/>
      <c r="G241" s="310"/>
      <c r="H241" s="74"/>
      <c r="I241" s="74"/>
      <c r="J241" s="150"/>
      <c r="K241" s="550"/>
    </row>
    <row r="242" spans="1:12" ht="36.75">
      <c r="B242" s="62"/>
      <c r="C242" s="101"/>
      <c r="D242" s="1784"/>
      <c r="E242" s="1999"/>
      <c r="F242" s="960"/>
      <c r="G242" s="310"/>
      <c r="H242" s="74"/>
      <c r="I242" s="74"/>
      <c r="J242" s="150"/>
      <c r="K242" s="961"/>
    </row>
    <row r="243" spans="1:12" ht="38.25">
      <c r="A243" s="303"/>
      <c r="B243" s="1163"/>
      <c r="C243" s="1163"/>
      <c r="D243" s="1163"/>
      <c r="E243" s="1163"/>
      <c r="F243" s="1163"/>
      <c r="G243" s="1163"/>
      <c r="H243" s="1163"/>
      <c r="I243" s="1170"/>
      <c r="J243" s="698"/>
      <c r="K243" s="1171"/>
      <c r="L243" s="1171"/>
    </row>
    <row r="244" spans="1:12" ht="38.25">
      <c r="A244" s="303" t="s">
        <v>0</v>
      </c>
      <c r="B244" s="304"/>
      <c r="C244" s="848"/>
      <c r="D244" s="1172"/>
      <c r="E244" s="1173"/>
      <c r="F244" s="1165"/>
      <c r="G244" s="1174"/>
      <c r="H244" s="305"/>
      <c r="I244" s="306"/>
      <c r="J244" s="1175"/>
      <c r="K244" s="1171"/>
      <c r="L244" s="1171"/>
    </row>
    <row r="245" spans="1:12" ht="38.25">
      <c r="A245" s="1176" t="s">
        <v>1510</v>
      </c>
      <c r="B245" s="1176"/>
      <c r="C245" s="303"/>
      <c r="D245" s="1177"/>
      <c r="E245" s="1173"/>
      <c r="F245" s="1165"/>
      <c r="G245" s="1174"/>
      <c r="H245" s="305"/>
      <c r="I245" s="306"/>
      <c r="J245" s="1175"/>
      <c r="K245" s="1171"/>
      <c r="L245" s="1171"/>
    </row>
    <row r="246" spans="1:12" ht="39" thickBot="1">
      <c r="A246" s="1163"/>
      <c r="B246" s="1172"/>
      <c r="C246" s="614"/>
      <c r="D246" s="1172"/>
      <c r="E246" s="1173"/>
      <c r="F246" s="1165"/>
      <c r="G246" s="1174"/>
      <c r="H246" s="305"/>
      <c r="I246" s="306"/>
      <c r="J246" s="1175"/>
      <c r="K246" s="1171"/>
      <c r="L246" s="1171"/>
    </row>
    <row r="247" spans="1:12" ht="38.25">
      <c r="A247" s="3502" t="s">
        <v>2</v>
      </c>
      <c r="B247" s="3503"/>
      <c r="C247" s="1178" t="s">
        <v>3</v>
      </c>
      <c r="D247" s="1242" t="s">
        <v>4</v>
      </c>
      <c r="E247" s="1180" t="s">
        <v>5</v>
      </c>
      <c r="F247" s="1181" t="s">
        <v>5</v>
      </c>
      <c r="G247" s="1182" t="s">
        <v>6</v>
      </c>
      <c r="H247" s="1183" t="s">
        <v>7</v>
      </c>
      <c r="I247" s="1279" t="s">
        <v>1511</v>
      </c>
      <c r="J247" s="1280" t="s">
        <v>9</v>
      </c>
      <c r="K247" s="1186" t="s">
        <v>9</v>
      </c>
      <c r="L247" s="2002"/>
    </row>
    <row r="248" spans="1:12" ht="39" thickBot="1">
      <c r="A248" s="1187"/>
      <c r="B248" s="1188"/>
      <c r="C248" s="1189"/>
      <c r="D248" s="1243" t="s">
        <v>10</v>
      </c>
      <c r="E248" s="1191" t="s">
        <v>11</v>
      </c>
      <c r="F248" s="1192" t="s">
        <v>12</v>
      </c>
      <c r="G248" s="1193"/>
      <c r="H248" s="1194" t="s">
        <v>13</v>
      </c>
      <c r="I248" s="1281" t="s">
        <v>1512</v>
      </c>
      <c r="J248" s="1282" t="s">
        <v>14</v>
      </c>
      <c r="K248" s="1197" t="s">
        <v>15</v>
      </c>
      <c r="L248" s="2002"/>
    </row>
    <row r="249" spans="1:12" ht="38.25">
      <c r="A249" s="1284"/>
      <c r="B249" s="1284" t="s">
        <v>1940</v>
      </c>
      <c r="C249" s="1285"/>
      <c r="D249" s="1286"/>
      <c r="E249" s="1287"/>
      <c r="F249" s="1288"/>
      <c r="G249" s="1289" t="s">
        <v>1941</v>
      </c>
      <c r="H249" s="1290"/>
      <c r="I249" s="1291"/>
      <c r="J249" s="1297"/>
      <c r="K249" s="1298"/>
      <c r="L249" s="373"/>
    </row>
    <row r="250" spans="1:12" ht="38.25">
      <c r="A250" s="1292"/>
      <c r="B250" s="1292" t="s">
        <v>1942</v>
      </c>
      <c r="C250" s="1211" t="s">
        <v>957</v>
      </c>
      <c r="D250" s="959" t="s">
        <v>1943</v>
      </c>
      <c r="E250" s="1774" t="s">
        <v>1944</v>
      </c>
      <c r="F250" s="1299"/>
      <c r="G250" s="1294" t="s">
        <v>1945</v>
      </c>
      <c r="H250" s="1296" t="s">
        <v>1610</v>
      </c>
      <c r="I250" s="1296"/>
      <c r="J250" s="1045" t="s">
        <v>1946</v>
      </c>
      <c r="K250" s="369" t="s">
        <v>1947</v>
      </c>
      <c r="L250" s="373"/>
    </row>
    <row r="251" spans="1:12" ht="38.25">
      <c r="A251" s="1292"/>
      <c r="B251" s="1292" t="s">
        <v>1948</v>
      </c>
      <c r="C251" s="1293" t="s">
        <v>1119</v>
      </c>
      <c r="D251" s="1246" t="s">
        <v>1949</v>
      </c>
      <c r="E251" s="1301" t="s">
        <v>1950</v>
      </c>
      <c r="F251" s="1299"/>
      <c r="G251" s="1294" t="s">
        <v>1951</v>
      </c>
      <c r="H251" s="1300" t="s">
        <v>1952</v>
      </c>
      <c r="I251" s="1296"/>
      <c r="J251" s="1045" t="s">
        <v>1953</v>
      </c>
      <c r="K251" s="1298" t="s">
        <v>1954</v>
      </c>
      <c r="L251" s="366"/>
    </row>
    <row r="252" spans="1:12" ht="38.25">
      <c r="A252" s="1292"/>
      <c r="B252" s="1292" t="s">
        <v>1955</v>
      </c>
      <c r="C252" s="1211" t="s">
        <v>957</v>
      </c>
      <c r="D252" s="959" t="s">
        <v>1943</v>
      </c>
      <c r="E252" s="1301">
        <v>90</v>
      </c>
      <c r="F252" s="1299">
        <v>90</v>
      </c>
      <c r="G252" s="1294" t="s">
        <v>1956</v>
      </c>
      <c r="H252" s="1300"/>
      <c r="I252" s="1296" t="s">
        <v>1957</v>
      </c>
      <c r="J252" s="1045" t="s">
        <v>1958</v>
      </c>
      <c r="K252" s="369" t="s">
        <v>1959</v>
      </c>
      <c r="L252" s="373"/>
    </row>
    <row r="253" spans="1:12" ht="38.25">
      <c r="A253" s="1292"/>
      <c r="B253" s="1292" t="s">
        <v>1960</v>
      </c>
      <c r="C253" s="1211" t="s">
        <v>1961</v>
      </c>
      <c r="D253" s="1246" t="s">
        <v>1949</v>
      </c>
      <c r="E253" s="1301" t="s">
        <v>1962</v>
      </c>
      <c r="F253" s="1299"/>
      <c r="G253" s="1302" t="s">
        <v>1963</v>
      </c>
      <c r="H253" s="1300"/>
      <c r="I253" s="1205"/>
      <c r="J253" s="1045" t="s">
        <v>1964</v>
      </c>
      <c r="K253" s="1298" t="s">
        <v>1965</v>
      </c>
      <c r="L253" s="366"/>
    </row>
    <row r="254" spans="1:12" ht="38.25">
      <c r="A254" s="1210"/>
      <c r="B254" s="1210" t="s">
        <v>1966</v>
      </c>
      <c r="C254" s="1211" t="s">
        <v>957</v>
      </c>
      <c r="D254" s="959" t="s">
        <v>1943</v>
      </c>
      <c r="E254" s="1774" t="s">
        <v>1944</v>
      </c>
      <c r="F254" s="1299"/>
      <c r="G254" s="1302" t="s">
        <v>1945</v>
      </c>
      <c r="H254" s="1300"/>
      <c r="I254" s="1205"/>
      <c r="J254" s="1045" t="s">
        <v>841</v>
      </c>
      <c r="K254" s="1298" t="s">
        <v>1967</v>
      </c>
      <c r="L254" s="373"/>
    </row>
    <row r="255" spans="1:12" ht="38.25">
      <c r="A255" s="1292"/>
      <c r="B255" s="1292" t="s">
        <v>1966</v>
      </c>
      <c r="C255" s="1211" t="s">
        <v>280</v>
      </c>
      <c r="D255" s="1246"/>
      <c r="E255" s="1301"/>
      <c r="F255" s="1299">
        <v>60</v>
      </c>
      <c r="G255" s="1302" t="s">
        <v>1968</v>
      </c>
      <c r="H255" s="1300"/>
      <c r="I255" s="1205"/>
      <c r="J255" s="1045"/>
      <c r="K255" s="1303" t="s">
        <v>1969</v>
      </c>
      <c r="L255" s="373"/>
    </row>
    <row r="256" spans="1:12" ht="38.25">
      <c r="A256" s="1304"/>
      <c r="B256" s="1304" t="s">
        <v>1970</v>
      </c>
      <c r="C256" s="1211" t="s">
        <v>769</v>
      </c>
      <c r="D256" s="1246"/>
      <c r="E256" s="1301"/>
      <c r="F256" s="1299"/>
      <c r="G256" s="1302" t="s">
        <v>1971</v>
      </c>
      <c r="H256" s="1300">
        <v>125</v>
      </c>
      <c r="I256" s="1205" t="s">
        <v>1972</v>
      </c>
      <c r="J256" s="1045"/>
      <c r="K256" s="1298" t="s">
        <v>1973</v>
      </c>
      <c r="L256" s="2003"/>
    </row>
    <row r="257" spans="1:12" ht="38.25">
      <c r="A257" s="1292"/>
      <c r="B257" s="1292" t="s">
        <v>1974</v>
      </c>
      <c r="C257" s="1293"/>
      <c r="D257" s="1784" t="s">
        <v>1975</v>
      </c>
      <c r="E257" s="1301"/>
      <c r="F257" s="1299"/>
      <c r="G257" s="1391" t="s">
        <v>1963</v>
      </c>
      <c r="H257" s="1295"/>
      <c r="I257" s="1296" t="s">
        <v>1976</v>
      </c>
      <c r="J257" s="1297" t="s">
        <v>1977</v>
      </c>
      <c r="K257" s="1305">
        <v>5.67</v>
      </c>
      <c r="L257" s="373"/>
    </row>
    <row r="258" spans="1:12" ht="38.25">
      <c r="A258" s="1210"/>
      <c r="B258" s="1210" t="s">
        <v>1978</v>
      </c>
      <c r="C258" s="1211" t="s">
        <v>1740</v>
      </c>
      <c r="D258" s="1251" t="s">
        <v>23</v>
      </c>
      <c r="E258" s="1301">
        <v>30</v>
      </c>
      <c r="F258" s="1299"/>
      <c r="G258" s="1302" t="s">
        <v>1945</v>
      </c>
      <c r="H258" s="1300"/>
      <c r="I258" s="1205"/>
      <c r="J258" s="1045" t="s">
        <v>1979</v>
      </c>
      <c r="K258" s="1298">
        <v>27.08</v>
      </c>
      <c r="L258" s="2004"/>
    </row>
    <row r="259" spans="1:12" ht="38.25">
      <c r="A259" s="1210"/>
      <c r="B259" s="1210" t="s">
        <v>1978</v>
      </c>
      <c r="C259" s="1211" t="s">
        <v>320</v>
      </c>
      <c r="D259" s="1251" t="s">
        <v>23</v>
      </c>
      <c r="E259" s="1301">
        <v>145</v>
      </c>
      <c r="F259" s="1299"/>
      <c r="G259" s="1302" t="s">
        <v>1971</v>
      </c>
      <c r="H259" s="1300" t="s">
        <v>1980</v>
      </c>
      <c r="I259" s="1205"/>
      <c r="J259" s="1300" t="s">
        <v>1980</v>
      </c>
      <c r="K259" s="1298" t="s">
        <v>1981</v>
      </c>
      <c r="L259" s="373"/>
    </row>
    <row r="260" spans="1:12" ht="38.25">
      <c r="A260" s="1210"/>
      <c r="B260" s="1210" t="s">
        <v>1982</v>
      </c>
      <c r="C260" s="1211"/>
      <c r="D260" s="1251" t="s">
        <v>137</v>
      </c>
      <c r="E260" s="1301">
        <v>15</v>
      </c>
      <c r="F260" s="1299" t="s">
        <v>1983</v>
      </c>
      <c r="G260" s="1302" t="s">
        <v>1913</v>
      </c>
      <c r="H260" s="1300"/>
      <c r="I260" s="1205" t="s">
        <v>1984</v>
      </c>
      <c r="J260" s="547" t="s">
        <v>1985</v>
      </c>
      <c r="K260" s="1298">
        <v>8.02</v>
      </c>
      <c r="L260" s="373"/>
    </row>
    <row r="261" spans="1:12" ht="38.25">
      <c r="A261" s="1210"/>
      <c r="B261" s="1210" t="s">
        <v>1986</v>
      </c>
      <c r="C261" s="1211"/>
      <c r="D261" s="1251" t="s">
        <v>23</v>
      </c>
      <c r="E261" s="1301"/>
      <c r="F261" s="1299">
        <v>20</v>
      </c>
      <c r="G261" s="1302" t="s">
        <v>1987</v>
      </c>
      <c r="H261" s="1300"/>
      <c r="I261" s="1205"/>
      <c r="J261" s="1045"/>
      <c r="K261" s="1298">
        <v>14.16</v>
      </c>
      <c r="L261" s="373"/>
    </row>
    <row r="262" spans="1:12" ht="38.25">
      <c r="A262" s="1210"/>
      <c r="B262" s="1210" t="s">
        <v>1988</v>
      </c>
      <c r="C262" s="1211" t="s">
        <v>1989</v>
      </c>
      <c r="D262" s="1251"/>
      <c r="E262" s="1301"/>
      <c r="F262" s="1299"/>
      <c r="G262" s="1302" t="s">
        <v>1987</v>
      </c>
      <c r="H262" s="1300"/>
      <c r="I262" s="1205"/>
      <c r="J262" s="1045">
        <v>850</v>
      </c>
      <c r="K262" s="1298"/>
      <c r="L262" s="373"/>
    </row>
    <row r="263" spans="1:12" ht="38.25">
      <c r="A263" s="1306"/>
      <c r="B263" s="1306" t="s">
        <v>1990</v>
      </c>
      <c r="C263" s="1211" t="s">
        <v>280</v>
      </c>
      <c r="D263" s="1246"/>
      <c r="E263" s="1301"/>
      <c r="F263" s="1299"/>
      <c r="G263" s="1302" t="s">
        <v>1991</v>
      </c>
      <c r="H263" s="1300"/>
      <c r="I263" s="1205"/>
      <c r="J263" s="1045"/>
      <c r="K263" s="1298">
        <v>36</v>
      </c>
      <c r="L263" s="373"/>
    </row>
    <row r="264" spans="1:12" ht="38.25">
      <c r="A264" s="1306"/>
      <c r="B264" s="1306" t="s">
        <v>1992</v>
      </c>
      <c r="C264" s="1211"/>
      <c r="D264" s="1246" t="s">
        <v>317</v>
      </c>
      <c r="E264" s="1301"/>
      <c r="F264" s="1299"/>
      <c r="G264" s="1302" t="s">
        <v>1993</v>
      </c>
      <c r="H264" s="1300"/>
      <c r="I264" s="1205"/>
      <c r="J264" s="1045">
        <v>68</v>
      </c>
      <c r="K264" s="1298">
        <v>3.4</v>
      </c>
      <c r="L264" s="373"/>
    </row>
    <row r="265" spans="1:12" ht="38.25">
      <c r="A265" s="1306"/>
      <c r="B265" s="1306" t="s">
        <v>1994</v>
      </c>
      <c r="C265" s="1211"/>
      <c r="D265" s="1246"/>
      <c r="E265" s="1301"/>
      <c r="F265" s="1299"/>
      <c r="G265" s="1302"/>
      <c r="H265" s="1300"/>
      <c r="I265" s="1205"/>
      <c r="J265" s="1045"/>
      <c r="K265" s="1298"/>
      <c r="L265" s="373"/>
    </row>
    <row r="266" spans="1:12" ht="38.25">
      <c r="A266" s="1306"/>
      <c r="B266" s="1306" t="s">
        <v>1995</v>
      </c>
      <c r="C266" s="1211"/>
      <c r="D266" s="1246"/>
      <c r="E266" s="1301"/>
      <c r="F266" s="1299"/>
      <c r="G266" s="1302"/>
      <c r="H266" s="1300"/>
      <c r="I266" s="1205"/>
      <c r="J266" s="1045"/>
      <c r="K266" s="1298"/>
      <c r="L266" s="373"/>
    </row>
    <row r="267" spans="1:12" ht="38.25">
      <c r="A267" s="1586"/>
      <c r="B267" s="1586" t="s">
        <v>191</v>
      </c>
      <c r="C267" s="1248"/>
      <c r="D267" s="1251" t="s">
        <v>1063</v>
      </c>
      <c r="E267" s="1308"/>
      <c r="F267" s="1214"/>
      <c r="G267" s="1204" t="s">
        <v>1996</v>
      </c>
      <c r="H267" s="1310"/>
      <c r="I267" s="1310"/>
      <c r="J267" s="1211">
        <v>620</v>
      </c>
      <c r="K267" s="1251">
        <v>31</v>
      </c>
      <c r="L267" s="373"/>
    </row>
    <row r="268" spans="1:12" ht="38.25">
      <c r="A268" s="1586"/>
      <c r="B268" s="1586" t="s">
        <v>1997</v>
      </c>
      <c r="C268" s="1211" t="s">
        <v>18</v>
      </c>
      <c r="D268" s="3457" t="s">
        <v>1998</v>
      </c>
      <c r="E268" s="728" t="s">
        <v>1999</v>
      </c>
      <c r="F268" s="1214"/>
      <c r="G268" s="1204" t="s">
        <v>1945</v>
      </c>
      <c r="H268" s="1205"/>
      <c r="I268" s="1205"/>
      <c r="J268" s="1211" t="s">
        <v>2000</v>
      </c>
      <c r="K268" s="59" t="s">
        <v>2001</v>
      </c>
      <c r="L268" s="848"/>
    </row>
    <row r="269" spans="1:12" ht="38.25">
      <c r="A269" s="1209"/>
      <c r="B269" s="1586"/>
      <c r="C269" s="1211"/>
      <c r="D269" s="3457"/>
      <c r="E269" s="728"/>
      <c r="F269" s="1214"/>
      <c r="G269" s="1204"/>
      <c r="H269" s="1205"/>
      <c r="I269" s="1205"/>
      <c r="J269" s="1211"/>
      <c r="K269" s="59"/>
      <c r="L269" s="68"/>
    </row>
    <row r="270" spans="1:12" ht="38.25">
      <c r="A270" s="1216"/>
      <c r="B270" s="1586"/>
      <c r="C270" s="1248"/>
      <c r="D270" s="1251"/>
      <c r="E270" s="1308"/>
      <c r="F270" s="1214"/>
      <c r="G270" s="1204"/>
      <c r="H270" s="1310"/>
      <c r="I270" s="1310"/>
      <c r="J270" s="1211"/>
      <c r="K270" s="1251"/>
      <c r="L270" s="848"/>
    </row>
    <row r="271" spans="1:12" ht="38.25">
      <c r="A271" s="1216"/>
      <c r="B271" s="1307"/>
      <c r="C271" s="1211"/>
      <c r="D271" s="3457"/>
      <c r="E271" s="60"/>
      <c r="F271" s="1214"/>
      <c r="G271" s="1204"/>
      <c r="H271" s="1205"/>
      <c r="I271" s="1205"/>
      <c r="J271" s="1211"/>
      <c r="K271" s="59"/>
      <c r="L271" s="68"/>
    </row>
    <row r="272" spans="1:12" ht="38.25">
      <c r="A272" s="1216"/>
      <c r="B272" s="1307"/>
      <c r="C272" s="1248"/>
      <c r="D272" s="1228"/>
      <c r="E272" s="1308"/>
      <c r="F272" s="1214"/>
      <c r="G272" s="1309"/>
      <c r="H272" s="1248"/>
      <c r="I272" s="1248"/>
      <c r="J272" s="1248"/>
      <c r="K272" s="1228"/>
      <c r="L272" s="1165"/>
    </row>
    <row r="273" spans="1:12" ht="38.25">
      <c r="A273" s="1216"/>
      <c r="B273" s="1210"/>
      <c r="C273" s="1211"/>
      <c r="D273" s="1251"/>
      <c r="E273" s="1301"/>
      <c r="F273" s="1299"/>
      <c r="G273" s="1302"/>
      <c r="H273" s="1300"/>
      <c r="I273" s="1205"/>
      <c r="J273" s="1045"/>
      <c r="K273" s="1298"/>
      <c r="L273" s="373"/>
    </row>
    <row r="274" spans="1:12" ht="38.25">
      <c r="A274" s="1216"/>
      <c r="B274" s="1210"/>
      <c r="C274" s="1211"/>
      <c r="D274" s="1251"/>
      <c r="E274" s="1301"/>
      <c r="F274" s="1299"/>
      <c r="G274" s="1302"/>
      <c r="H274" s="1300"/>
      <c r="I274" s="1205"/>
      <c r="J274" s="1300"/>
      <c r="K274" s="1298"/>
      <c r="L274" s="373"/>
    </row>
    <row r="275" spans="1:12" ht="38.25">
      <c r="A275" s="1216"/>
      <c r="B275" s="1210"/>
      <c r="C275" s="1211"/>
      <c r="D275" s="1251"/>
      <c r="E275" s="1301"/>
      <c r="F275" s="1299"/>
      <c r="G275" s="1302"/>
      <c r="H275" s="1300"/>
      <c r="I275" s="1205"/>
      <c r="J275" s="547"/>
      <c r="K275" s="1298"/>
      <c r="L275" s="373"/>
    </row>
    <row r="276" spans="1:12" ht="38.25">
      <c r="A276" s="1216"/>
      <c r="B276" s="1210"/>
      <c r="C276" s="1211"/>
      <c r="D276" s="1251"/>
      <c r="E276" s="1301"/>
      <c r="F276" s="1299"/>
      <c r="G276" s="1302"/>
      <c r="H276" s="1300"/>
      <c r="I276" s="1205"/>
      <c r="J276" s="1045"/>
      <c r="K276" s="1298"/>
      <c r="L276" s="373"/>
    </row>
    <row r="277" spans="1:12" ht="38.25">
      <c r="A277" s="1216"/>
      <c r="B277" s="1210"/>
      <c r="C277" s="1248"/>
      <c r="D277" s="1278"/>
      <c r="E277" s="1213"/>
      <c r="F277" s="1214"/>
      <c r="G277" s="1204"/>
      <c r="H277" s="1205"/>
      <c r="I277" s="1206"/>
      <c r="J277" s="1217"/>
      <c r="K277" s="1208"/>
      <c r="L277" s="1171"/>
    </row>
    <row r="278" spans="1:12" ht="38.25">
      <c r="A278" s="1216"/>
      <c r="B278" s="1210"/>
      <c r="C278" s="1248"/>
      <c r="D278" s="1278"/>
      <c r="E278" s="1213"/>
      <c r="F278" s="1214"/>
      <c r="G278" s="1204"/>
      <c r="H278" s="1205"/>
      <c r="I278" s="1206"/>
      <c r="J278" s="1217"/>
      <c r="K278" s="1208"/>
      <c r="L278" s="2005"/>
    </row>
  </sheetData>
  <mergeCells count="11">
    <mergeCell ref="A5:B5"/>
    <mergeCell ref="A40:B40"/>
    <mergeCell ref="A76:B76"/>
    <mergeCell ref="A111:B111"/>
    <mergeCell ref="A113:B113"/>
    <mergeCell ref="B78:C78"/>
    <mergeCell ref="A219:B219"/>
    <mergeCell ref="A247:B247"/>
    <mergeCell ref="A183:B183"/>
    <mergeCell ref="A148:B148"/>
    <mergeCell ref="A27:B27"/>
  </mergeCells>
  <phoneticPr fontId="6" type="noConversion"/>
  <pageMargins left="0.44" right="0.14000000000000001" top="0.14000000000000001" bottom="0.13" header="0.14000000000000001" footer="0.15"/>
  <pageSetup paperSize="9" scale="60" orientation="portrait" r:id="rId1"/>
  <headerFooter alignWithMargins="0"/>
  <rowBreaks count="6" manualBreakCount="6">
    <brk id="35" max="18" man="1"/>
    <brk id="71" max="18" man="1"/>
    <brk id="106" max="18" man="1"/>
    <brk id="143" max="18" man="1"/>
    <brk id="178" max="18" man="1"/>
    <brk id="242" max="1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893E-C500-43DD-8C32-21F595A3011D}">
  <dimension ref="A1:P504"/>
  <sheetViews>
    <sheetView workbookViewId="0">
      <selection activeCell="J2" sqref="J2"/>
    </sheetView>
  </sheetViews>
  <sheetFormatPr defaultRowHeight="34.5"/>
  <cols>
    <col min="1" max="1" width="7.5703125" style="75" customWidth="1"/>
    <col min="2" max="2" width="28.140625" style="76" customWidth="1"/>
    <col min="3" max="3" width="10.85546875" style="102" customWidth="1"/>
    <col min="4" max="4" width="13.140625" style="335" customWidth="1"/>
    <col min="5" max="5" width="9.28515625" style="335" customWidth="1"/>
    <col min="6" max="6" width="12" style="863" customWidth="1"/>
    <col min="7" max="7" width="13.28515625" style="210" customWidth="1"/>
    <col min="8" max="8" width="13.85546875" style="76" customWidth="1"/>
    <col min="9" max="9" width="22" style="555" customWidth="1"/>
    <col min="10" max="10" width="13.140625" style="540" customWidth="1"/>
    <col min="11" max="11" width="11.7109375" style="366" customWidth="1"/>
    <col min="12" max="12" width="24.28515625" style="76" customWidth="1"/>
    <col min="13" max="16384" width="9.140625" style="76"/>
  </cols>
  <sheetData>
    <row r="1" spans="1:12" ht="29.25" customHeight="1">
      <c r="F1" s="104"/>
      <c r="K1" s="537">
        <v>1</v>
      </c>
    </row>
    <row r="2" spans="1:12" s="45" customFormat="1">
      <c r="A2" s="45" t="s">
        <v>0</v>
      </c>
      <c r="C2" s="68"/>
      <c r="D2" s="612"/>
      <c r="E2" s="335"/>
      <c r="F2" s="104"/>
      <c r="G2" s="210"/>
      <c r="I2" s="556"/>
      <c r="J2" s="540"/>
      <c r="K2" s="366"/>
    </row>
    <row r="3" spans="1:12" s="45" customFormat="1">
      <c r="A3" s="3480" t="s">
        <v>1</v>
      </c>
      <c r="B3" s="3480"/>
      <c r="C3" s="46"/>
      <c r="D3" s="124"/>
      <c r="E3" s="335"/>
      <c r="F3" s="104"/>
      <c r="G3" s="210"/>
      <c r="I3" s="556"/>
      <c r="J3" s="540"/>
      <c r="K3" s="366"/>
    </row>
    <row r="4" spans="1:12" ht="18" customHeight="1" thickBot="1">
      <c r="F4" s="104"/>
    </row>
    <row r="5" spans="1:12" s="46" customFormat="1">
      <c r="A5" s="3445"/>
      <c r="B5" s="3446" t="s">
        <v>2</v>
      </c>
      <c r="C5" s="48" t="s">
        <v>3</v>
      </c>
      <c r="D5" s="436" t="s">
        <v>4</v>
      </c>
      <c r="E5" s="868" t="s">
        <v>5</v>
      </c>
      <c r="F5" s="849" t="s">
        <v>5</v>
      </c>
      <c r="G5" s="219" t="s">
        <v>6</v>
      </c>
      <c r="H5" s="48" t="s">
        <v>7</v>
      </c>
      <c r="I5" s="557" t="s">
        <v>8</v>
      </c>
      <c r="J5" s="541" t="s">
        <v>9</v>
      </c>
      <c r="K5" s="346" t="s">
        <v>9</v>
      </c>
    </row>
    <row r="6" spans="1:12" s="46" customFormat="1" ht="35.25" thickBot="1">
      <c r="A6" s="51"/>
      <c r="B6" s="72"/>
      <c r="C6" s="50"/>
      <c r="D6" s="437" t="s">
        <v>10</v>
      </c>
      <c r="E6" s="869" t="s">
        <v>11</v>
      </c>
      <c r="F6" s="850" t="s">
        <v>12</v>
      </c>
      <c r="G6" s="212"/>
      <c r="H6" s="50" t="s">
        <v>13</v>
      </c>
      <c r="I6" s="558"/>
      <c r="J6" s="542" t="s">
        <v>14</v>
      </c>
      <c r="K6" s="347" t="s">
        <v>15</v>
      </c>
    </row>
    <row r="7" spans="1:12" s="46" customFormat="1">
      <c r="A7" s="329" t="s">
        <v>2002</v>
      </c>
      <c r="B7" s="329"/>
      <c r="C7" s="207"/>
      <c r="D7" s="322"/>
      <c r="E7" s="833"/>
      <c r="F7" s="855"/>
      <c r="G7" s="248"/>
      <c r="H7" s="207"/>
      <c r="I7" s="431"/>
      <c r="J7" s="586"/>
      <c r="K7" s="365"/>
    </row>
    <row r="8" spans="1:12">
      <c r="A8" s="1507" t="s">
        <v>2003</v>
      </c>
      <c r="B8" s="775"/>
      <c r="C8" s="207"/>
      <c r="D8" s="322"/>
      <c r="E8" s="728"/>
      <c r="F8" s="767"/>
      <c r="G8" s="318"/>
      <c r="H8" s="207"/>
      <c r="I8" s="431"/>
      <c r="J8" s="586"/>
      <c r="K8" s="365"/>
    </row>
    <row r="9" spans="1:12">
      <c r="A9" s="315"/>
      <c r="B9" s="43" t="s">
        <v>2004</v>
      </c>
      <c r="C9" s="207" t="s">
        <v>2005</v>
      </c>
      <c r="D9" s="322" t="s">
        <v>23</v>
      </c>
      <c r="E9" s="728">
        <v>47</v>
      </c>
      <c r="F9" s="767" t="s">
        <v>2006</v>
      </c>
      <c r="G9" s="2786" t="s">
        <v>2007</v>
      </c>
      <c r="H9" s="207">
        <v>520</v>
      </c>
      <c r="I9" s="474" t="s">
        <v>942</v>
      </c>
      <c r="J9" s="586">
        <v>540</v>
      </c>
      <c r="K9" s="365" t="s">
        <v>2008</v>
      </c>
    </row>
    <row r="10" spans="1:12">
      <c r="A10" s="315"/>
      <c r="B10" s="43" t="s">
        <v>2009</v>
      </c>
      <c r="C10" s="207" t="s">
        <v>2005</v>
      </c>
      <c r="D10" s="322" t="s">
        <v>2010</v>
      </c>
      <c r="E10" s="728">
        <v>46</v>
      </c>
      <c r="F10" s="767" t="s">
        <v>2011</v>
      </c>
      <c r="G10" s="2786" t="s">
        <v>2007</v>
      </c>
      <c r="H10" s="207">
        <v>520</v>
      </c>
      <c r="I10" s="1587" t="s">
        <v>2012</v>
      </c>
      <c r="J10" s="586">
        <v>540</v>
      </c>
      <c r="K10" s="365" t="s">
        <v>2013</v>
      </c>
    </row>
    <row r="11" spans="1:12">
      <c r="A11" s="315"/>
      <c r="B11" s="362" t="s">
        <v>2014</v>
      </c>
      <c r="C11" s="207" t="s">
        <v>2005</v>
      </c>
      <c r="D11" s="322" t="s">
        <v>2010</v>
      </c>
      <c r="E11" s="728">
        <v>66</v>
      </c>
      <c r="F11" s="767" t="s">
        <v>299</v>
      </c>
      <c r="G11" s="2785" t="s">
        <v>2007</v>
      </c>
      <c r="H11" s="341">
        <v>740</v>
      </c>
      <c r="I11" s="1587" t="s">
        <v>2015</v>
      </c>
      <c r="J11" s="586" t="s">
        <v>2016</v>
      </c>
      <c r="K11" s="365" t="s">
        <v>2017</v>
      </c>
    </row>
    <row r="12" spans="1:12">
      <c r="A12" s="768"/>
      <c r="B12" s="43" t="s">
        <v>2018</v>
      </c>
      <c r="C12" s="207" t="s">
        <v>2019</v>
      </c>
      <c r="D12" s="322" t="s">
        <v>2020</v>
      </c>
      <c r="E12" s="728">
        <v>600</v>
      </c>
      <c r="F12" s="767"/>
      <c r="G12" s="248" t="s">
        <v>2021</v>
      </c>
      <c r="H12" s="207">
        <v>560</v>
      </c>
      <c r="I12" s="764" t="s">
        <v>942</v>
      </c>
      <c r="J12" s="586" t="s">
        <v>2022</v>
      </c>
      <c r="K12" s="365"/>
    </row>
    <row r="13" spans="1:12">
      <c r="A13" s="438"/>
      <c r="B13" s="43" t="s">
        <v>2018</v>
      </c>
      <c r="C13" s="207" t="s">
        <v>2019</v>
      </c>
      <c r="D13" s="322" t="s">
        <v>2020</v>
      </c>
      <c r="E13" s="728">
        <v>600</v>
      </c>
      <c r="F13" s="767"/>
      <c r="G13" s="248" t="s">
        <v>2021</v>
      </c>
      <c r="H13" s="207">
        <v>560</v>
      </c>
      <c r="I13" s="764" t="s">
        <v>942</v>
      </c>
      <c r="J13" s="586" t="s">
        <v>2022</v>
      </c>
      <c r="K13" s="365"/>
    </row>
    <row r="14" spans="1:12" ht="35.25" thickBot="1">
      <c r="A14" s="768"/>
      <c r="B14" s="406" t="s">
        <v>2023</v>
      </c>
      <c r="C14" s="341" t="s">
        <v>2019</v>
      </c>
      <c r="D14" s="413" t="s">
        <v>2024</v>
      </c>
      <c r="E14" s="729"/>
      <c r="F14" s="857"/>
      <c r="G14" s="2793"/>
      <c r="H14" s="877"/>
      <c r="I14" s="505"/>
      <c r="J14" s="1508">
        <v>440</v>
      </c>
      <c r="K14" s="365"/>
    </row>
    <row r="15" spans="1:12">
      <c r="A15" s="1416"/>
      <c r="B15" s="2796"/>
      <c r="C15" s="2796"/>
      <c r="D15" s="207"/>
      <c r="E15" s="833"/>
      <c r="F15" s="2792"/>
      <c r="G15" s="2794"/>
      <c r="H15" s="2795"/>
      <c r="I15" s="207"/>
      <c r="J15" s="431"/>
      <c r="K15" s="586"/>
      <c r="L15" s="365"/>
    </row>
    <row r="16" spans="1:12">
      <c r="A16" s="401" t="s">
        <v>2025</v>
      </c>
      <c r="B16" s="382"/>
      <c r="C16" s="207"/>
      <c r="D16" s="322"/>
      <c r="E16" s="728"/>
      <c r="F16" s="767"/>
      <c r="G16" s="248"/>
      <c r="H16" s="207"/>
      <c r="I16" s="431"/>
      <c r="J16" s="586"/>
      <c r="K16" s="365"/>
      <c r="L16" s="365"/>
    </row>
    <row r="17" spans="1:16">
      <c r="A17" s="315"/>
      <c r="B17" s="43" t="s">
        <v>2026</v>
      </c>
      <c r="C17" s="207" t="s">
        <v>2005</v>
      </c>
      <c r="D17" s="322" t="s">
        <v>2010</v>
      </c>
      <c r="E17" s="728">
        <v>56</v>
      </c>
      <c r="F17" s="861" t="s">
        <v>2027</v>
      </c>
      <c r="G17" s="2559" t="s">
        <v>2028</v>
      </c>
      <c r="H17" s="207">
        <v>543.92999999999995</v>
      </c>
      <c r="I17" s="431"/>
      <c r="J17" s="586">
        <v>583</v>
      </c>
      <c r="K17" s="365">
        <v>48.56</v>
      </c>
      <c r="L17" s="365"/>
    </row>
    <row r="18" spans="1:16">
      <c r="A18" s="315"/>
      <c r="B18" s="43" t="s">
        <v>2029</v>
      </c>
      <c r="C18" s="207" t="s">
        <v>2030</v>
      </c>
      <c r="D18" s="322" t="s">
        <v>2031</v>
      </c>
      <c r="E18" s="728">
        <v>15</v>
      </c>
      <c r="F18" s="767"/>
      <c r="G18" s="248" t="s">
        <v>2032</v>
      </c>
      <c r="H18" s="207"/>
      <c r="I18" s="431"/>
      <c r="J18" s="586">
        <v>542.88</v>
      </c>
      <c r="K18" s="365">
        <f>J18/4</f>
        <v>135.72</v>
      </c>
      <c r="L18" s="365"/>
    </row>
    <row r="19" spans="1:16">
      <c r="A19" s="315"/>
      <c r="B19" s="43" t="s">
        <v>2033</v>
      </c>
      <c r="C19" s="207" t="s">
        <v>2005</v>
      </c>
      <c r="D19" s="322" t="s">
        <v>2010</v>
      </c>
      <c r="E19" s="728">
        <v>56</v>
      </c>
      <c r="F19" s="861" t="s">
        <v>2027</v>
      </c>
      <c r="G19" s="2559" t="s">
        <v>2028</v>
      </c>
      <c r="H19" s="207">
        <v>532.71</v>
      </c>
      <c r="I19" s="431" t="s">
        <v>2034</v>
      </c>
      <c r="J19" s="586">
        <v>577</v>
      </c>
      <c r="K19" s="365">
        <f>J19/12</f>
        <v>48.083333333333336</v>
      </c>
      <c r="L19" s="365"/>
    </row>
    <row r="20" spans="1:16">
      <c r="A20" s="315"/>
      <c r="B20" s="43" t="s">
        <v>2029</v>
      </c>
      <c r="C20" s="207" t="s">
        <v>2019</v>
      </c>
      <c r="D20" s="322" t="s">
        <v>2020</v>
      </c>
      <c r="E20" s="728"/>
      <c r="F20" s="767"/>
      <c r="G20" s="248" t="s">
        <v>2035</v>
      </c>
      <c r="H20" s="117"/>
      <c r="I20" s="431" t="s">
        <v>2036</v>
      </c>
      <c r="J20" s="702">
        <v>601</v>
      </c>
      <c r="K20" s="365"/>
      <c r="L20" s="365"/>
    </row>
    <row r="21" spans="1:16">
      <c r="A21" s="315"/>
      <c r="B21" s="43" t="s">
        <v>2037</v>
      </c>
      <c r="C21" s="207" t="s">
        <v>2005</v>
      </c>
      <c r="D21" s="322" t="s">
        <v>2010</v>
      </c>
      <c r="E21" s="728">
        <v>40</v>
      </c>
      <c r="F21" s="767">
        <v>450</v>
      </c>
      <c r="G21" s="318"/>
      <c r="H21" s="207"/>
      <c r="I21" s="431"/>
      <c r="J21" s="586"/>
      <c r="K21" s="365"/>
      <c r="L21" s="365"/>
    </row>
    <row r="22" spans="1:16">
      <c r="A22" s="315"/>
      <c r="B22" s="43" t="s">
        <v>2029</v>
      </c>
      <c r="C22" s="207" t="s">
        <v>2038</v>
      </c>
      <c r="D22" s="322"/>
      <c r="E22" s="728"/>
      <c r="F22" s="767"/>
      <c r="G22" s="318" t="s">
        <v>2032</v>
      </c>
      <c r="H22" s="207"/>
      <c r="I22" s="431"/>
      <c r="J22" s="586">
        <v>527.88</v>
      </c>
      <c r="K22" s="365"/>
      <c r="L22" s="365"/>
    </row>
    <row r="23" spans="1:16">
      <c r="A23" s="74"/>
      <c r="B23" s="74"/>
      <c r="C23" s="207"/>
      <c r="D23" s="342"/>
      <c r="E23" s="871"/>
      <c r="F23" s="767"/>
      <c r="G23" s="206"/>
      <c r="H23" s="74"/>
      <c r="I23" s="730"/>
      <c r="J23" s="546"/>
      <c r="K23" s="365"/>
    </row>
    <row r="24" spans="1:16">
      <c r="A24" s="401" t="s">
        <v>2039</v>
      </c>
      <c r="B24" s="382"/>
      <c r="C24" s="207"/>
      <c r="D24" s="322"/>
      <c r="E24" s="728"/>
      <c r="F24" s="767"/>
      <c r="G24" s="248"/>
      <c r="H24" s="207"/>
      <c r="I24" s="431"/>
      <c r="J24" s="586"/>
      <c r="K24" s="365"/>
    </row>
    <row r="25" spans="1:16">
      <c r="A25" s="315"/>
      <c r="B25" s="43" t="s">
        <v>2040</v>
      </c>
      <c r="C25" s="207" t="s">
        <v>2005</v>
      </c>
      <c r="D25" s="322" t="s">
        <v>2010</v>
      </c>
      <c r="E25" s="728">
        <v>52</v>
      </c>
      <c r="F25" s="767"/>
      <c r="G25" s="248" t="s">
        <v>2041</v>
      </c>
      <c r="H25" s="207"/>
      <c r="I25" s="431"/>
      <c r="J25" s="586">
        <v>622.09</v>
      </c>
      <c r="K25" s="365">
        <f>J25/12</f>
        <v>51.840833333333336</v>
      </c>
    </row>
    <row r="26" spans="1:16">
      <c r="A26" s="315"/>
      <c r="B26" s="62"/>
      <c r="C26" s="207"/>
      <c r="D26" s="322"/>
      <c r="E26" s="728"/>
      <c r="F26" s="767"/>
      <c r="G26" s="248"/>
      <c r="H26" s="207"/>
      <c r="I26" s="431" t="s">
        <v>2042</v>
      </c>
      <c r="J26" s="586"/>
      <c r="K26" s="365"/>
    </row>
    <row r="27" spans="1:16">
      <c r="A27" s="401" t="s">
        <v>2043</v>
      </c>
      <c r="B27" s="382"/>
      <c r="C27" s="207"/>
      <c r="D27" s="322"/>
      <c r="E27" s="728"/>
      <c r="F27" s="767"/>
      <c r="G27" s="248"/>
      <c r="H27" s="207"/>
      <c r="I27" s="431"/>
      <c r="J27" s="586"/>
      <c r="K27" s="365"/>
    </row>
    <row r="28" spans="1:16">
      <c r="A28" s="315"/>
      <c r="B28" s="43" t="s">
        <v>2044</v>
      </c>
      <c r="C28" s="207" t="s">
        <v>2005</v>
      </c>
      <c r="D28" s="322" t="s">
        <v>2010</v>
      </c>
      <c r="E28" s="728">
        <v>40</v>
      </c>
      <c r="F28" s="767">
        <v>450</v>
      </c>
      <c r="G28" s="248" t="s">
        <v>2045</v>
      </c>
      <c r="H28" s="207"/>
      <c r="I28" s="431" t="s">
        <v>2046</v>
      </c>
      <c r="J28" s="365">
        <v>438</v>
      </c>
      <c r="K28" s="365">
        <f>J28/12</f>
        <v>36.5</v>
      </c>
      <c r="L28" s="575"/>
      <c r="M28" s="188"/>
      <c r="N28" s="188"/>
      <c r="O28" s="189"/>
      <c r="P28" s="170"/>
    </row>
    <row r="29" spans="1:16">
      <c r="A29" s="315"/>
      <c r="B29" s="89" t="s">
        <v>2047</v>
      </c>
      <c r="C29" s="521" t="s">
        <v>2019</v>
      </c>
      <c r="D29" s="410" t="s">
        <v>2020</v>
      </c>
      <c r="E29" s="729"/>
      <c r="F29" s="857"/>
      <c r="G29" s="318" t="s">
        <v>245</v>
      </c>
      <c r="H29" s="117">
        <v>443</v>
      </c>
      <c r="I29" s="1034" t="s">
        <v>2048</v>
      </c>
      <c r="J29" s="370">
        <v>434.31</v>
      </c>
      <c r="K29" s="369"/>
      <c r="L29" s="575"/>
      <c r="M29" s="188"/>
      <c r="N29" s="188"/>
      <c r="O29" s="189"/>
      <c r="P29" s="170"/>
    </row>
    <row r="30" spans="1:16">
      <c r="A30" s="58"/>
      <c r="B30" s="74"/>
      <c r="C30" s="101"/>
      <c r="D30" s="342"/>
      <c r="E30" s="871"/>
      <c r="F30" s="767"/>
      <c r="G30" s="206"/>
      <c r="H30" s="74"/>
      <c r="I30" s="560"/>
      <c r="J30" s="547"/>
      <c r="K30" s="365"/>
      <c r="L30" s="575"/>
      <c r="M30" s="188"/>
      <c r="N30" s="188"/>
      <c r="O30" s="189"/>
      <c r="P30" s="170"/>
    </row>
    <row r="31" spans="1:16">
      <c r="A31" s="401" t="s">
        <v>2049</v>
      </c>
      <c r="B31" s="382"/>
      <c r="C31" s="207"/>
      <c r="D31" s="322"/>
      <c r="E31" s="728"/>
      <c r="F31" s="767"/>
      <c r="G31" s="318"/>
      <c r="H31" s="117"/>
      <c r="I31" s="432"/>
      <c r="J31" s="702"/>
      <c r="K31" s="369"/>
      <c r="L31" s="575"/>
      <c r="M31" s="188"/>
      <c r="N31" s="188"/>
      <c r="O31" s="189"/>
      <c r="P31" s="170"/>
    </row>
    <row r="32" spans="1:16">
      <c r="A32" s="315"/>
      <c r="B32" s="43" t="s">
        <v>2050</v>
      </c>
      <c r="C32" s="207"/>
      <c r="D32" s="322"/>
      <c r="E32" s="728" t="s">
        <v>1950</v>
      </c>
      <c r="F32" s="767" t="s">
        <v>2051</v>
      </c>
      <c r="G32" s="318" t="s">
        <v>2052</v>
      </c>
      <c r="H32" s="117">
        <v>880</v>
      </c>
      <c r="I32" s="432" t="s">
        <v>393</v>
      </c>
      <c r="J32" s="702" t="s">
        <v>2053</v>
      </c>
      <c r="K32" s="961">
        <v>860</v>
      </c>
    </row>
    <row r="33" spans="1:12" ht="35.25" thickBot="1">
      <c r="A33" s="285"/>
      <c r="B33" s="286" t="s">
        <v>2054</v>
      </c>
      <c r="C33" s="207" t="s">
        <v>2005</v>
      </c>
      <c r="D33" s="322" t="s">
        <v>23</v>
      </c>
      <c r="E33" s="257"/>
      <c r="F33" s="258"/>
      <c r="G33" s="220" t="s">
        <v>2055</v>
      </c>
      <c r="H33" s="288"/>
      <c r="I33" s="289"/>
      <c r="J33" s="290" t="s">
        <v>2056</v>
      </c>
      <c r="K33" s="291">
        <v>45.83</v>
      </c>
    </row>
    <row r="34" spans="1:12">
      <c r="A34" s="63"/>
      <c r="B34" s="1139" t="s">
        <v>2057</v>
      </c>
      <c r="C34" s="1413"/>
      <c r="D34" s="1574"/>
      <c r="E34" s="143"/>
      <c r="F34" s="69"/>
      <c r="G34" s="206"/>
      <c r="H34" s="74"/>
      <c r="I34" s="182"/>
      <c r="J34" s="685"/>
      <c r="K34" s="367"/>
    </row>
    <row r="35" spans="1:12">
      <c r="A35" s="74"/>
      <c r="B35" s="115" t="s">
        <v>2058</v>
      </c>
      <c r="C35" s="207" t="s">
        <v>2059</v>
      </c>
      <c r="D35" s="421" t="s">
        <v>1141</v>
      </c>
      <c r="E35" s="145">
        <v>120</v>
      </c>
      <c r="F35" s="61"/>
      <c r="G35" s="206" t="s">
        <v>2060</v>
      </c>
      <c r="H35" s="74"/>
      <c r="I35" s="182"/>
      <c r="J35" s="685" t="s">
        <v>2061</v>
      </c>
      <c r="K35" s="756" t="s">
        <v>2062</v>
      </c>
    </row>
    <row r="36" spans="1:12">
      <c r="A36" s="74"/>
      <c r="B36" s="115" t="s">
        <v>2058</v>
      </c>
      <c r="C36" s="207" t="s">
        <v>2063</v>
      </c>
      <c r="D36" s="421" t="s">
        <v>1141</v>
      </c>
      <c r="E36" s="145">
        <v>50</v>
      </c>
      <c r="F36" s="61"/>
      <c r="G36" s="206" t="s">
        <v>1121</v>
      </c>
      <c r="H36" s="74" t="s">
        <v>641</v>
      </c>
      <c r="I36" s="182"/>
      <c r="J36" s="685" t="s">
        <v>2064</v>
      </c>
      <c r="K36" s="756" t="s">
        <v>2065</v>
      </c>
    </row>
    <row r="37" spans="1:12">
      <c r="B37" s="75"/>
      <c r="C37" s="104"/>
      <c r="D37" s="167"/>
      <c r="E37" s="167"/>
      <c r="F37" s="167"/>
      <c r="G37" s="167"/>
      <c r="H37" s="75"/>
      <c r="I37" s="561"/>
      <c r="J37" s="545"/>
    </row>
    <row r="38" spans="1:12">
      <c r="A38" s="45" t="s">
        <v>0</v>
      </c>
      <c r="B38" s="45"/>
      <c r="C38" s="68"/>
      <c r="D38" s="612"/>
      <c r="F38" s="104"/>
      <c r="H38" s="45"/>
      <c r="I38" s="556"/>
      <c r="K38" s="492">
        <v>2</v>
      </c>
      <c r="L38" s="45"/>
    </row>
    <row r="39" spans="1:12" s="45" customFormat="1">
      <c r="A39" s="3480" t="s">
        <v>1</v>
      </c>
      <c r="B39" s="3480"/>
      <c r="C39" s="46"/>
      <c r="D39" s="124"/>
      <c r="E39" s="335"/>
      <c r="F39" s="104"/>
      <c r="G39" s="210"/>
      <c r="I39" s="556"/>
      <c r="J39" s="611"/>
      <c r="K39" s="366"/>
    </row>
    <row r="40" spans="1:12" ht="15.75" customHeight="1" thickBot="1">
      <c r="F40" s="104"/>
    </row>
    <row r="41" spans="1:12">
      <c r="A41" s="3445"/>
      <c r="B41" s="3446" t="s">
        <v>2</v>
      </c>
      <c r="C41" s="48" t="s">
        <v>3</v>
      </c>
      <c r="D41" s="436" t="s">
        <v>4</v>
      </c>
      <c r="E41" s="868" t="s">
        <v>5</v>
      </c>
      <c r="F41" s="849" t="s">
        <v>5</v>
      </c>
      <c r="G41" s="219" t="s">
        <v>6</v>
      </c>
      <c r="H41" s="48" t="s">
        <v>7</v>
      </c>
      <c r="I41" s="557" t="s">
        <v>8</v>
      </c>
      <c r="J41" s="541" t="s">
        <v>9</v>
      </c>
      <c r="K41" s="346" t="s">
        <v>9</v>
      </c>
      <c r="L41" s="46"/>
    </row>
    <row r="42" spans="1:12" ht="35.25" thickBot="1">
      <c r="A42" s="51"/>
      <c r="B42" s="72"/>
      <c r="C42" s="50"/>
      <c r="D42" s="437" t="s">
        <v>10</v>
      </c>
      <c r="E42" s="869" t="s">
        <v>11</v>
      </c>
      <c r="F42" s="850" t="s">
        <v>12</v>
      </c>
      <c r="G42" s="301"/>
      <c r="H42" s="50" t="s">
        <v>13</v>
      </c>
      <c r="I42" s="558"/>
      <c r="J42" s="542" t="s">
        <v>14</v>
      </c>
      <c r="K42" s="347" t="s">
        <v>15</v>
      </c>
      <c r="L42" s="46"/>
    </row>
    <row r="43" spans="1:12">
      <c r="A43" s="428" t="s">
        <v>2066</v>
      </c>
      <c r="B43" s="333"/>
      <c r="C43" s="117"/>
      <c r="D43" s="412"/>
      <c r="E43" s="832"/>
      <c r="F43" s="767"/>
      <c r="G43" s="318"/>
      <c r="H43" s="117"/>
      <c r="I43" s="432"/>
      <c r="J43" s="702"/>
      <c r="K43" s="369"/>
    </row>
    <row r="44" spans="1:12">
      <c r="A44" s="768"/>
      <c r="B44" s="1138" t="s">
        <v>2067</v>
      </c>
      <c r="C44" s="63"/>
      <c r="D44" s="196"/>
      <c r="E44" s="249"/>
      <c r="F44" s="121"/>
      <c r="G44" s="206"/>
      <c r="H44" s="115"/>
      <c r="I44" s="185"/>
      <c r="J44" s="175"/>
      <c r="K44" s="197"/>
    </row>
    <row r="45" spans="1:12">
      <c r="A45" s="315"/>
      <c r="B45" s="139" t="s">
        <v>2068</v>
      </c>
      <c r="C45" s="101" t="s">
        <v>980</v>
      </c>
      <c r="D45" s="462" t="s">
        <v>23</v>
      </c>
      <c r="E45" s="249"/>
      <c r="F45" s="121"/>
      <c r="G45" s="206" t="s">
        <v>2069</v>
      </c>
      <c r="H45" s="115">
        <v>170</v>
      </c>
      <c r="I45" s="185"/>
      <c r="J45" s="1383" t="s">
        <v>2070</v>
      </c>
      <c r="K45" s="195" t="s">
        <v>2071</v>
      </c>
    </row>
    <row r="46" spans="1:12">
      <c r="A46" s="315"/>
      <c r="B46" s="139" t="s">
        <v>2068</v>
      </c>
      <c r="C46" s="207" t="s">
        <v>320</v>
      </c>
      <c r="D46" s="322" t="s">
        <v>30</v>
      </c>
      <c r="E46" s="249"/>
      <c r="F46" s="121"/>
      <c r="G46" s="206"/>
      <c r="H46" s="115"/>
      <c r="I46" s="185"/>
      <c r="J46" s="175"/>
      <c r="K46" s="197"/>
    </row>
    <row r="47" spans="1:12">
      <c r="A47" s="315"/>
      <c r="B47" s="43" t="s">
        <v>2072</v>
      </c>
      <c r="C47" s="207"/>
      <c r="D47" s="322"/>
      <c r="E47" s="728"/>
      <c r="F47" s="767"/>
      <c r="G47" s="310"/>
      <c r="H47" s="207"/>
      <c r="I47" s="431"/>
      <c r="J47" s="604"/>
      <c r="K47" s="365"/>
    </row>
    <row r="48" spans="1:12">
      <c r="A48" s="315"/>
      <c r="B48" s="43" t="s">
        <v>2073</v>
      </c>
      <c r="C48" s="207" t="s">
        <v>2074</v>
      </c>
      <c r="D48" s="769" t="s">
        <v>23</v>
      </c>
      <c r="E48" s="728">
        <v>35</v>
      </c>
      <c r="F48" s="861" t="s">
        <v>647</v>
      </c>
      <c r="G48" s="2727" t="s">
        <v>1877</v>
      </c>
      <c r="H48" s="207">
        <v>341</v>
      </c>
      <c r="I48" s="431"/>
      <c r="J48" s="586" t="s">
        <v>2075</v>
      </c>
      <c r="K48" s="365" t="s">
        <v>2076</v>
      </c>
    </row>
    <row r="49" spans="1:12">
      <c r="A49" s="315"/>
      <c r="B49" s="43" t="s">
        <v>1883</v>
      </c>
      <c r="C49" s="207" t="s">
        <v>284</v>
      </c>
      <c r="D49" s="322" t="s">
        <v>353</v>
      </c>
      <c r="E49" s="728">
        <v>100</v>
      </c>
      <c r="F49" s="767" t="s">
        <v>2077</v>
      </c>
      <c r="G49" s="2727" t="s">
        <v>2007</v>
      </c>
      <c r="H49" s="207" t="s">
        <v>2078</v>
      </c>
      <c r="I49" s="431" t="s">
        <v>2079</v>
      </c>
      <c r="J49" s="604" t="s">
        <v>2078</v>
      </c>
      <c r="K49" s="365" t="s">
        <v>2080</v>
      </c>
    </row>
    <row r="50" spans="1:12">
      <c r="A50" s="83"/>
      <c r="B50" s="43"/>
      <c r="C50" s="207"/>
      <c r="D50" s="421"/>
      <c r="E50" s="839"/>
      <c r="F50" s="767"/>
      <c r="G50" s="2727"/>
      <c r="H50" s="207"/>
      <c r="I50" s="431"/>
      <c r="J50" s="586"/>
      <c r="K50" s="365"/>
    </row>
    <row r="51" spans="1:12">
      <c r="A51" s="1416"/>
      <c r="B51" s="43"/>
      <c r="C51" s="207"/>
      <c r="D51" s="322"/>
      <c r="E51" s="728"/>
      <c r="F51" s="859"/>
      <c r="G51" s="310"/>
      <c r="H51" s="207"/>
      <c r="I51" s="431"/>
      <c r="J51" s="707"/>
      <c r="K51" s="365"/>
    </row>
    <row r="52" spans="1:12">
      <c r="A52" s="428"/>
      <c r="B52" s="333"/>
      <c r="C52" s="117"/>
      <c r="D52" s="412"/>
      <c r="E52" s="832"/>
      <c r="F52" s="767"/>
      <c r="G52" s="318"/>
      <c r="H52" s="117"/>
      <c r="I52" s="432"/>
      <c r="J52" s="702"/>
      <c r="K52" s="369"/>
    </row>
    <row r="53" spans="1:12">
      <c r="A53" s="768"/>
      <c r="B53" s="1138"/>
      <c r="C53" s="63"/>
      <c r="D53" s="196"/>
      <c r="E53" s="249"/>
      <c r="F53" s="121"/>
      <c r="G53" s="206"/>
      <c r="H53" s="115"/>
      <c r="I53" s="185"/>
      <c r="J53" s="175"/>
      <c r="K53" s="197"/>
    </row>
    <row r="54" spans="1:12">
      <c r="A54" s="315"/>
      <c r="B54" s="139"/>
      <c r="C54" s="101"/>
      <c r="D54" s="462"/>
      <c r="E54" s="249"/>
      <c r="F54" s="121"/>
      <c r="G54" s="206"/>
      <c r="H54" s="115"/>
      <c r="I54" s="185"/>
      <c r="J54" s="1383"/>
      <c r="K54" s="195"/>
    </row>
    <row r="55" spans="1:12">
      <c r="A55" s="315"/>
      <c r="B55" s="139"/>
      <c r="C55" s="207"/>
      <c r="D55" s="322"/>
      <c r="E55" s="249"/>
      <c r="F55" s="121"/>
      <c r="G55" s="206"/>
      <c r="H55" s="115"/>
      <c r="I55" s="185"/>
      <c r="J55" s="175"/>
      <c r="K55" s="197"/>
    </row>
    <row r="56" spans="1:12">
      <c r="A56" s="315"/>
      <c r="B56" s="43"/>
      <c r="C56" s="207"/>
      <c r="D56" s="322"/>
      <c r="E56" s="728"/>
      <c r="F56" s="767"/>
      <c r="G56" s="310"/>
      <c r="H56" s="207"/>
      <c r="I56" s="431"/>
      <c r="J56" s="604"/>
      <c r="K56" s="365"/>
    </row>
    <row r="57" spans="1:12">
      <c r="A57" s="315"/>
      <c r="B57" s="43"/>
      <c r="C57" s="207"/>
      <c r="D57" s="769"/>
      <c r="E57" s="728"/>
      <c r="F57" s="861"/>
      <c r="G57" s="2797"/>
      <c r="H57" s="207"/>
      <c r="I57" s="431"/>
      <c r="J57" s="586"/>
      <c r="K57" s="365"/>
    </row>
    <row r="58" spans="1:12">
      <c r="A58" s="315"/>
      <c r="B58" s="43"/>
      <c r="C58" s="207"/>
      <c r="D58" s="322"/>
      <c r="E58" s="728"/>
      <c r="F58" s="767"/>
      <c r="G58" s="2797"/>
      <c r="H58" s="207"/>
      <c r="I58" s="431"/>
      <c r="J58" s="604"/>
      <c r="K58" s="365"/>
    </row>
    <row r="59" spans="1:12">
      <c r="A59" s="254"/>
      <c r="B59" s="139"/>
      <c r="C59" s="101"/>
      <c r="D59" s="462"/>
      <c r="E59" s="728"/>
      <c r="F59" s="861"/>
      <c r="G59" s="310"/>
      <c r="H59" s="207"/>
      <c r="I59" s="431"/>
      <c r="J59" s="707"/>
      <c r="K59" s="365"/>
      <c r="L59" s="75"/>
    </row>
    <row r="60" spans="1:12">
      <c r="A60" s="768"/>
      <c r="B60" s="139"/>
      <c r="C60" s="207"/>
      <c r="D60" s="322"/>
      <c r="E60" s="728"/>
      <c r="F60" s="767"/>
      <c r="G60" s="310"/>
      <c r="H60" s="207"/>
      <c r="I60" s="431"/>
      <c r="J60" s="591"/>
      <c r="K60" s="365"/>
      <c r="L60" s="366"/>
    </row>
    <row r="61" spans="1:12">
      <c r="A61" s="315"/>
      <c r="B61" s="770"/>
      <c r="C61" s="207"/>
      <c r="D61" s="322"/>
      <c r="E61" s="728"/>
      <c r="F61" s="767"/>
      <c r="G61" s="310"/>
      <c r="H61" s="207"/>
      <c r="I61" s="431"/>
      <c r="J61" s="591"/>
      <c r="K61" s="365"/>
      <c r="L61" s="771"/>
    </row>
    <row r="62" spans="1:12">
      <c r="A62" s="315"/>
      <c r="B62" s="770"/>
      <c r="C62" s="207"/>
      <c r="D62" s="322"/>
      <c r="E62" s="728"/>
      <c r="F62" s="767"/>
      <c r="G62" s="310"/>
      <c r="H62" s="207"/>
      <c r="I62" s="431"/>
      <c r="J62" s="591"/>
      <c r="K62" s="365"/>
      <c r="L62" s="75"/>
    </row>
    <row r="63" spans="1:12">
      <c r="A63" s="401" t="s">
        <v>2081</v>
      </c>
      <c r="B63" s="996"/>
      <c r="C63" s="207"/>
      <c r="D63" s="322"/>
      <c r="E63" s="728"/>
      <c r="F63" s="767"/>
      <c r="G63" s="310"/>
      <c r="H63" s="207"/>
      <c r="I63" s="431"/>
      <c r="J63" s="586"/>
      <c r="K63" s="365"/>
    </row>
    <row r="64" spans="1:12">
      <c r="A64" s="315"/>
      <c r="B64" s="43" t="s">
        <v>2082</v>
      </c>
      <c r="C64" s="207" t="s">
        <v>2063</v>
      </c>
      <c r="D64" s="322" t="s">
        <v>2083</v>
      </c>
      <c r="E64" s="728">
        <v>20</v>
      </c>
      <c r="F64" s="767" t="s">
        <v>2084</v>
      </c>
      <c r="G64" s="310" t="s">
        <v>2085</v>
      </c>
      <c r="H64" s="207"/>
      <c r="I64" s="431"/>
      <c r="J64" s="591">
        <v>390</v>
      </c>
      <c r="K64" s="365">
        <v>16.25</v>
      </c>
    </row>
    <row r="65" spans="1:12">
      <c r="A65" s="315"/>
      <c r="B65" s="43" t="s">
        <v>2082</v>
      </c>
      <c r="C65" s="207" t="s">
        <v>2086</v>
      </c>
      <c r="D65" s="322" t="s">
        <v>2010</v>
      </c>
      <c r="E65" s="728"/>
      <c r="F65" s="767">
        <v>320</v>
      </c>
      <c r="G65" s="248" t="s">
        <v>2087</v>
      </c>
      <c r="H65" s="207">
        <v>325</v>
      </c>
      <c r="I65" s="431" t="s">
        <v>2088</v>
      </c>
      <c r="J65" s="712">
        <v>275</v>
      </c>
      <c r="K65" s="365">
        <v>22.92</v>
      </c>
    </row>
    <row r="66" spans="1:12">
      <c r="A66" s="315"/>
      <c r="B66" s="43" t="s">
        <v>2082</v>
      </c>
      <c r="C66" s="207" t="s">
        <v>2089</v>
      </c>
      <c r="D66" s="322" t="s">
        <v>2010</v>
      </c>
      <c r="E66" s="728">
        <v>42</v>
      </c>
      <c r="F66" s="767">
        <v>460</v>
      </c>
      <c r="G66" s="248"/>
      <c r="H66" s="207"/>
      <c r="I66" s="431"/>
      <c r="J66" s="712">
        <v>440</v>
      </c>
      <c r="K66" s="365">
        <v>36.67</v>
      </c>
    </row>
    <row r="67" spans="1:12">
      <c r="A67" s="438"/>
      <c r="B67" s="766"/>
      <c r="C67" s="101"/>
      <c r="D67" s="342"/>
      <c r="E67" s="873"/>
      <c r="F67" s="767"/>
      <c r="G67" s="206"/>
      <c r="H67" s="74"/>
      <c r="I67" s="560"/>
      <c r="J67" s="544"/>
      <c r="K67" s="365"/>
    </row>
    <row r="68" spans="1:12" ht="38.25">
      <c r="A68" s="438"/>
      <c r="B68" s="1269"/>
      <c r="C68" s="320"/>
      <c r="D68" s="624"/>
      <c r="E68" s="871"/>
      <c r="F68" s="767"/>
      <c r="G68" s="206"/>
      <c r="H68" s="74"/>
      <c r="I68" s="560"/>
      <c r="J68" s="547"/>
      <c r="K68" s="550"/>
    </row>
    <row r="69" spans="1:12">
      <c r="A69" s="315"/>
      <c r="B69" s="43"/>
      <c r="C69" s="101"/>
      <c r="D69" s="342"/>
      <c r="E69" s="871"/>
      <c r="F69" s="767"/>
      <c r="G69" s="223"/>
      <c r="H69" s="74"/>
      <c r="I69" s="560"/>
      <c r="J69" s="547"/>
      <c r="K69" s="365"/>
    </row>
    <row r="70" spans="1:12">
      <c r="A70" s="59"/>
      <c r="B70" s="43"/>
      <c r="C70" s="101"/>
      <c r="D70" s="342"/>
      <c r="E70" s="871"/>
      <c r="F70" s="767"/>
      <c r="G70" s="223"/>
      <c r="H70" s="74"/>
      <c r="I70" s="560"/>
      <c r="J70" s="547"/>
      <c r="K70" s="365"/>
    </row>
    <row r="71" spans="1:12" s="114" customFormat="1">
      <c r="A71" s="83"/>
      <c r="B71" s="43"/>
      <c r="C71" s="101"/>
      <c r="D71" s="342"/>
      <c r="E71" s="767"/>
      <c r="F71" s="767"/>
      <c r="G71" s="223"/>
      <c r="H71" s="74"/>
      <c r="I71" s="560"/>
      <c r="J71" s="544"/>
      <c r="K71" s="365"/>
    </row>
    <row r="72" spans="1:12" ht="29.25" customHeight="1">
      <c r="A72" s="83"/>
      <c r="B72" s="43"/>
      <c r="C72" s="101"/>
      <c r="D72" s="342"/>
      <c r="E72" s="767"/>
      <c r="F72" s="767"/>
      <c r="G72" s="206"/>
      <c r="H72" s="74"/>
      <c r="I72" s="560"/>
      <c r="J72" s="544"/>
      <c r="K72" s="365"/>
    </row>
    <row r="73" spans="1:12" ht="29.25" customHeight="1">
      <c r="A73" s="44"/>
      <c r="B73" s="45"/>
      <c r="C73" s="46"/>
      <c r="D73" s="124"/>
      <c r="F73" s="104"/>
      <c r="H73" s="45"/>
      <c r="I73" s="556"/>
      <c r="K73" s="537">
        <v>3</v>
      </c>
    </row>
    <row r="74" spans="1:12">
      <c r="A74" s="45" t="s">
        <v>0</v>
      </c>
      <c r="B74" s="45"/>
      <c r="C74" s="68"/>
      <c r="D74" s="612"/>
      <c r="F74" s="104"/>
      <c r="H74" s="45"/>
      <c r="I74" s="556"/>
      <c r="L74" s="45"/>
    </row>
    <row r="75" spans="1:12" s="45" customFormat="1">
      <c r="A75" s="3480" t="s">
        <v>1</v>
      </c>
      <c r="B75" s="3480"/>
      <c r="C75" s="46"/>
      <c r="D75" s="124"/>
      <c r="E75" s="335"/>
      <c r="F75" s="104"/>
      <c r="G75" s="210"/>
      <c r="I75" s="556"/>
      <c r="J75" s="540"/>
      <c r="K75" s="366"/>
    </row>
    <row r="76" spans="1:12" ht="27" customHeight="1" thickBot="1">
      <c r="F76" s="104"/>
    </row>
    <row r="77" spans="1:12">
      <c r="A77" s="3481" t="s">
        <v>2</v>
      </c>
      <c r="B77" s="3482"/>
      <c r="C77" s="48" t="s">
        <v>3</v>
      </c>
      <c r="D77" s="436" t="s">
        <v>4</v>
      </c>
      <c r="E77" s="868" t="s">
        <v>5</v>
      </c>
      <c r="F77" s="849" t="s">
        <v>5</v>
      </c>
      <c r="G77" s="219" t="s">
        <v>6</v>
      </c>
      <c r="H77" s="48" t="s">
        <v>7</v>
      </c>
      <c r="I77" s="557" t="s">
        <v>8</v>
      </c>
      <c r="J77" s="541" t="s">
        <v>9</v>
      </c>
      <c r="K77" s="346" t="s">
        <v>9</v>
      </c>
      <c r="L77" s="46"/>
    </row>
    <row r="78" spans="1:12" ht="35.25" thickBot="1">
      <c r="A78" s="51"/>
      <c r="B78" s="72"/>
      <c r="C78" s="50"/>
      <c r="D78" s="437" t="s">
        <v>10</v>
      </c>
      <c r="E78" s="869" t="s">
        <v>12</v>
      </c>
      <c r="F78" s="850" t="s">
        <v>11</v>
      </c>
      <c r="G78" s="301"/>
      <c r="H78" s="50" t="s">
        <v>13</v>
      </c>
      <c r="I78" s="558"/>
      <c r="J78" s="542" t="s">
        <v>14</v>
      </c>
      <c r="K78" s="347" t="s">
        <v>15</v>
      </c>
      <c r="L78" s="46"/>
    </row>
    <row r="79" spans="1:12">
      <c r="A79" s="2467"/>
      <c r="B79" s="1033" t="s">
        <v>2090</v>
      </c>
      <c r="C79" s="207"/>
      <c r="D79" s="322"/>
      <c r="E79" s="728"/>
      <c r="F79" s="767"/>
      <c r="G79" s="310"/>
      <c r="H79" s="207"/>
      <c r="I79" s="431"/>
      <c r="J79" s="365"/>
      <c r="K79" s="365"/>
    </row>
    <row r="80" spans="1:12">
      <c r="A80" s="83"/>
      <c r="B80" s="81" t="s">
        <v>2091</v>
      </c>
      <c r="C80" s="207" t="s">
        <v>1275</v>
      </c>
      <c r="D80" s="322" t="s">
        <v>18</v>
      </c>
      <c r="E80" s="728">
        <v>12</v>
      </c>
      <c r="F80" s="767" t="s">
        <v>2092</v>
      </c>
      <c r="G80" s="310" t="s">
        <v>1108</v>
      </c>
      <c r="H80" s="207">
        <v>240</v>
      </c>
      <c r="I80" s="431" t="s">
        <v>2093</v>
      </c>
      <c r="J80" s="2016" t="s">
        <v>2094</v>
      </c>
      <c r="K80" s="2016">
        <v>10.029999999999999</v>
      </c>
    </row>
    <row r="81" spans="1:15">
      <c r="A81" s="83"/>
      <c r="B81" s="433" t="s">
        <v>2095</v>
      </c>
      <c r="C81" s="207" t="s">
        <v>2096</v>
      </c>
      <c r="D81" s="411" t="s">
        <v>23</v>
      </c>
      <c r="E81" s="837">
        <v>22</v>
      </c>
      <c r="F81" s="767">
        <v>230</v>
      </c>
      <c r="G81" s="310" t="s">
        <v>2097</v>
      </c>
      <c r="H81" s="207">
        <v>212</v>
      </c>
      <c r="I81" s="431" t="s">
        <v>2098</v>
      </c>
      <c r="J81" s="586">
        <v>210.79</v>
      </c>
      <c r="K81" s="365">
        <v>17.559999999999999</v>
      </c>
    </row>
    <row r="82" spans="1:15">
      <c r="A82" s="83"/>
      <c r="B82" s="2713"/>
      <c r="C82" s="207"/>
      <c r="D82" s="411"/>
      <c r="E82" s="837"/>
      <c r="F82" s="767"/>
      <c r="G82" s="310"/>
      <c r="H82" s="207"/>
      <c r="I82" s="431"/>
      <c r="J82" s="586"/>
      <c r="K82" s="365"/>
    </row>
    <row r="83" spans="1:15">
      <c r="A83" s="83"/>
      <c r="B83" s="1447" t="s">
        <v>2099</v>
      </c>
      <c r="C83" s="207"/>
      <c r="D83" s="322"/>
      <c r="E83" s="728"/>
      <c r="F83" s="767"/>
      <c r="G83" s="312"/>
      <c r="H83" s="877"/>
      <c r="I83" s="506"/>
      <c r="J83" s="403"/>
      <c r="K83" s="403"/>
    </row>
    <row r="84" spans="1:15">
      <c r="A84" s="83"/>
      <c r="B84" s="43" t="s">
        <v>2100</v>
      </c>
      <c r="C84" s="207" t="s">
        <v>2101</v>
      </c>
      <c r="D84" s="322" t="s">
        <v>18</v>
      </c>
      <c r="E84" s="728">
        <v>32</v>
      </c>
      <c r="F84" s="767" t="s">
        <v>2102</v>
      </c>
      <c r="G84" s="312" t="s">
        <v>126</v>
      </c>
      <c r="H84" s="877" t="s">
        <v>2103</v>
      </c>
      <c r="I84" s="506"/>
      <c r="J84" s="2252" t="s">
        <v>2104</v>
      </c>
      <c r="K84" s="2253">
        <v>26.81</v>
      </c>
    </row>
    <row r="85" spans="1:15">
      <c r="A85" s="83"/>
      <c r="B85" s="383" t="s">
        <v>2105</v>
      </c>
      <c r="C85" s="207" t="s">
        <v>2106</v>
      </c>
      <c r="D85" s="322" t="s">
        <v>18</v>
      </c>
      <c r="E85" s="728">
        <v>32</v>
      </c>
      <c r="F85" s="767" t="s">
        <v>2102</v>
      </c>
      <c r="G85" s="312" t="s">
        <v>126</v>
      </c>
      <c r="H85" s="877" t="s">
        <v>2103</v>
      </c>
      <c r="I85" s="506"/>
      <c r="J85" s="2252" t="s">
        <v>2104</v>
      </c>
      <c r="K85" s="2253">
        <v>26.81</v>
      </c>
      <c r="O85" s="743"/>
    </row>
    <row r="86" spans="1:15">
      <c r="A86" s="83"/>
      <c r="B86" s="1763" t="s">
        <v>2107</v>
      </c>
      <c r="C86" s="390" t="s">
        <v>2108</v>
      </c>
      <c r="D86" s="207" t="s">
        <v>18</v>
      </c>
      <c r="E86" s="767">
        <v>26</v>
      </c>
      <c r="F86" s="767" t="s">
        <v>2109</v>
      </c>
      <c r="G86" s="248" t="s">
        <v>2110</v>
      </c>
      <c r="H86" s="150" t="s">
        <v>2111</v>
      </c>
      <c r="I86" s="560"/>
      <c r="J86" s="2715" t="s">
        <v>2112</v>
      </c>
      <c r="K86" s="2714" t="s">
        <v>2113</v>
      </c>
    </row>
    <row r="87" spans="1:15">
      <c r="A87" s="1416"/>
      <c r="B87" s="465"/>
      <c r="C87" s="390"/>
      <c r="D87" s="207"/>
      <c r="E87" s="838"/>
      <c r="F87" s="767"/>
      <c r="G87" s="248"/>
      <c r="H87" s="150"/>
      <c r="I87" s="560"/>
      <c r="J87" s="544"/>
      <c r="K87" s="365"/>
    </row>
    <row r="88" spans="1:15">
      <c r="A88" s="74"/>
      <c r="B88" s="775" t="s">
        <v>721</v>
      </c>
      <c r="C88" s="207"/>
      <c r="D88" s="322"/>
      <c r="E88" s="728"/>
      <c r="F88" s="767"/>
      <c r="G88" s="312"/>
      <c r="H88" s="877"/>
      <c r="I88" s="506"/>
      <c r="J88" s="403"/>
      <c r="K88" s="403"/>
    </row>
    <row r="89" spans="1:15">
      <c r="A89" s="196"/>
      <c r="B89" s="43" t="s">
        <v>2114</v>
      </c>
      <c r="C89" s="207" t="s">
        <v>2115</v>
      </c>
      <c r="D89" s="322" t="s">
        <v>23</v>
      </c>
      <c r="E89" s="728">
        <v>22</v>
      </c>
      <c r="F89" s="767" t="s">
        <v>2116</v>
      </c>
      <c r="G89" s="2405" t="s">
        <v>2117</v>
      </c>
      <c r="H89" s="877">
        <v>205</v>
      </c>
      <c r="I89" s="506" t="s">
        <v>724</v>
      </c>
      <c r="J89" s="2252" t="s">
        <v>2118</v>
      </c>
      <c r="K89" s="2253">
        <v>18.75</v>
      </c>
    </row>
    <row r="90" spans="1:15">
      <c r="A90" s="782"/>
      <c r="B90" s="43" t="s">
        <v>2114</v>
      </c>
      <c r="C90" s="207"/>
      <c r="D90" s="322"/>
      <c r="E90" s="728"/>
      <c r="F90" s="767"/>
      <c r="G90" s="310"/>
      <c r="H90" s="207"/>
      <c r="I90" s="431"/>
      <c r="J90" s="365"/>
      <c r="K90" s="365"/>
    </row>
    <row r="91" spans="1:15">
      <c r="A91" s="254"/>
      <c r="B91" s="43" t="s">
        <v>2119</v>
      </c>
      <c r="C91" s="207" t="s">
        <v>320</v>
      </c>
      <c r="D91" s="322" t="s">
        <v>30</v>
      </c>
      <c r="E91" s="728"/>
      <c r="F91" s="767"/>
      <c r="G91" s="312" t="s">
        <v>2120</v>
      </c>
      <c r="H91" s="877">
        <v>170</v>
      </c>
      <c r="I91" s="506" t="s">
        <v>2121</v>
      </c>
      <c r="J91" s="2253" t="s">
        <v>2122</v>
      </c>
      <c r="K91" s="2253">
        <v>48.75</v>
      </c>
    </row>
    <row r="92" spans="1:15">
      <c r="A92" s="83"/>
      <c r="B92" s="43" t="s">
        <v>2119</v>
      </c>
      <c r="C92" s="207"/>
      <c r="D92" s="322"/>
      <c r="E92" s="728"/>
      <c r="F92" s="767"/>
      <c r="G92" s="310"/>
      <c r="H92" s="521"/>
      <c r="I92" s="456"/>
      <c r="J92" s="379"/>
      <c r="K92" s="379"/>
    </row>
    <row r="93" spans="1:15">
      <c r="A93" s="83"/>
      <c r="B93" s="43"/>
      <c r="C93" s="101"/>
      <c r="D93" s="342"/>
      <c r="E93" s="871"/>
      <c r="F93" s="767"/>
      <c r="G93" s="206"/>
      <c r="H93" s="74"/>
      <c r="I93" s="562"/>
      <c r="J93" s="546"/>
      <c r="K93" s="365"/>
    </row>
    <row r="94" spans="1:15">
      <c r="A94" s="254"/>
      <c r="B94" s="1161"/>
      <c r="C94" s="1460"/>
      <c r="D94" s="1461"/>
      <c r="E94" s="871"/>
      <c r="F94" s="767"/>
      <c r="G94" s="206"/>
      <c r="H94" s="74"/>
      <c r="I94" s="385"/>
      <c r="J94" s="544"/>
      <c r="K94" s="365"/>
    </row>
    <row r="95" spans="1:15">
      <c r="A95" s="83"/>
      <c r="B95" s="43"/>
      <c r="C95" s="207"/>
      <c r="D95" s="342"/>
      <c r="E95" s="871"/>
      <c r="F95" s="767"/>
      <c r="G95" s="206"/>
      <c r="H95" s="74"/>
      <c r="I95" s="730"/>
      <c r="J95" s="546"/>
      <c r="K95" s="365"/>
    </row>
    <row r="96" spans="1:15">
      <c r="A96" s="83"/>
      <c r="B96" s="43"/>
      <c r="C96" s="101"/>
      <c r="D96" s="342"/>
      <c r="E96" s="871"/>
      <c r="F96" s="767"/>
      <c r="G96" s="206"/>
      <c r="H96" s="74"/>
      <c r="I96" s="562"/>
      <c r="J96" s="546"/>
      <c r="K96" s="365"/>
    </row>
    <row r="97" spans="1:12">
      <c r="A97" s="83"/>
      <c r="B97" s="233"/>
      <c r="C97" s="103"/>
      <c r="D97" s="613"/>
      <c r="E97" s="873"/>
      <c r="F97" s="767"/>
      <c r="G97" s="214"/>
      <c r="H97" s="103"/>
      <c r="I97" s="733"/>
      <c r="J97" s="543"/>
      <c r="K97" s="735"/>
    </row>
    <row r="98" spans="1:12">
      <c r="A98" s="83"/>
      <c r="B98" s="43"/>
      <c r="C98" s="101"/>
      <c r="D98" s="342"/>
      <c r="E98" s="871"/>
      <c r="F98" s="767"/>
      <c r="G98" s="206"/>
      <c r="H98" s="74"/>
      <c r="I98" s="562"/>
      <c r="J98" s="544"/>
      <c r="K98" s="365"/>
    </row>
    <row r="99" spans="1:12">
      <c r="A99" s="83"/>
      <c r="B99" s="43"/>
      <c r="C99" s="101"/>
      <c r="D99" s="342"/>
      <c r="E99" s="871"/>
      <c r="F99" s="767"/>
      <c r="G99" s="206"/>
      <c r="H99" s="74"/>
      <c r="I99" s="562"/>
      <c r="J99" s="544"/>
      <c r="K99" s="365"/>
    </row>
    <row r="100" spans="1:12" ht="38.25">
      <c r="A100" s="83"/>
      <c r="B100" s="1269"/>
      <c r="C100" s="101"/>
      <c r="D100" s="342"/>
      <c r="E100" s="871"/>
      <c r="F100" s="767"/>
      <c r="G100" s="206"/>
      <c r="H100" s="74"/>
      <c r="I100" s="560"/>
      <c r="J100" s="547"/>
      <c r="K100" s="550"/>
    </row>
    <row r="101" spans="1:12">
      <c r="A101" s="772"/>
      <c r="B101" s="43"/>
      <c r="C101" s="101"/>
      <c r="D101" s="342"/>
      <c r="E101" s="871"/>
      <c r="F101" s="767"/>
      <c r="G101" s="206"/>
      <c r="H101" s="74"/>
      <c r="I101" s="560"/>
      <c r="J101" s="547"/>
      <c r="K101" s="365"/>
    </row>
    <row r="102" spans="1:12">
      <c r="A102" s="315"/>
      <c r="B102" s="43"/>
      <c r="C102" s="101"/>
      <c r="D102" s="342"/>
      <c r="E102" s="871"/>
      <c r="F102" s="767"/>
      <c r="G102" s="206"/>
      <c r="H102" s="74"/>
      <c r="I102" s="560"/>
      <c r="J102" s="547"/>
      <c r="K102" s="365"/>
    </row>
    <row r="103" spans="1:12">
      <c r="A103" s="438"/>
      <c r="B103" s="766"/>
      <c r="C103" s="101"/>
      <c r="D103" s="342"/>
      <c r="E103" s="873"/>
      <c r="F103" s="767"/>
      <c r="G103" s="206"/>
      <c r="H103" s="74"/>
      <c r="I103" s="560"/>
      <c r="J103" s="544"/>
      <c r="K103" s="365"/>
    </row>
    <row r="104" spans="1:12" ht="38.25">
      <c r="A104" s="438"/>
      <c r="B104" s="1269"/>
      <c r="C104" s="320"/>
      <c r="D104" s="624"/>
      <c r="E104" s="871"/>
      <c r="F104" s="767"/>
      <c r="G104" s="206"/>
      <c r="H104" s="74"/>
      <c r="I104" s="560"/>
      <c r="J104" s="547"/>
      <c r="K104" s="550"/>
    </row>
    <row r="105" spans="1:12">
      <c r="A105" s="315"/>
      <c r="B105" s="43"/>
      <c r="C105" s="101"/>
      <c r="D105" s="342"/>
      <c r="E105" s="871"/>
      <c r="F105" s="767"/>
      <c r="G105" s="223"/>
      <c r="H105" s="74"/>
      <c r="I105" s="560"/>
      <c r="J105" s="547"/>
      <c r="K105" s="365"/>
    </row>
    <row r="106" spans="1:12">
      <c r="A106" s="59"/>
      <c r="B106" s="43"/>
      <c r="C106" s="101"/>
      <c r="D106" s="342"/>
      <c r="E106" s="871"/>
      <c r="F106" s="767"/>
      <c r="G106" s="223"/>
      <c r="H106" s="74"/>
      <c r="I106" s="560"/>
      <c r="J106" s="547"/>
      <c r="K106" s="365"/>
    </row>
    <row r="107" spans="1:12">
      <c r="A107" s="83"/>
      <c r="B107" s="43"/>
      <c r="C107" s="101"/>
      <c r="D107" s="342"/>
      <c r="E107" s="767"/>
      <c r="F107" s="767"/>
      <c r="G107" s="223"/>
      <c r="H107" s="74"/>
      <c r="I107" s="560"/>
      <c r="J107" s="544"/>
      <c r="K107" s="365"/>
    </row>
    <row r="108" spans="1:12">
      <c r="A108" s="83"/>
      <c r="B108" s="43"/>
      <c r="C108" s="101"/>
      <c r="D108" s="342"/>
      <c r="E108" s="767"/>
      <c r="F108" s="767"/>
      <c r="G108" s="206"/>
      <c r="H108" s="74"/>
      <c r="I108" s="560"/>
      <c r="J108" s="544"/>
      <c r="K108" s="365"/>
    </row>
    <row r="109" spans="1:12">
      <c r="A109" s="44"/>
      <c r="B109" s="45"/>
      <c r="C109" s="46"/>
      <c r="D109" s="124"/>
      <c r="F109" s="104"/>
      <c r="H109" s="45"/>
      <c r="I109" s="556"/>
      <c r="K109" s="537">
        <v>4</v>
      </c>
    </row>
    <row r="110" spans="1:12">
      <c r="A110" s="45" t="s">
        <v>0</v>
      </c>
      <c r="B110" s="45"/>
      <c r="C110" s="68"/>
      <c r="D110" s="612"/>
      <c r="F110" s="104"/>
      <c r="H110" s="45"/>
      <c r="I110" s="556"/>
      <c r="L110" s="45"/>
    </row>
    <row r="111" spans="1:12" s="45" customFormat="1">
      <c r="A111" s="3480" t="s">
        <v>1</v>
      </c>
      <c r="B111" s="3480"/>
      <c r="C111" s="46"/>
      <c r="D111" s="124"/>
      <c r="E111" s="335"/>
      <c r="F111" s="104"/>
      <c r="G111" s="210"/>
      <c r="I111" s="556"/>
      <c r="J111" s="540"/>
      <c r="K111" s="366"/>
    </row>
    <row r="112" spans="1:12" ht="24" customHeight="1" thickBot="1">
      <c r="F112" s="104"/>
    </row>
    <row r="113" spans="1:12">
      <c r="A113" s="3481" t="s">
        <v>2</v>
      </c>
      <c r="B113" s="3482"/>
      <c r="C113" s="48" t="s">
        <v>3</v>
      </c>
      <c r="D113" s="436" t="s">
        <v>4</v>
      </c>
      <c r="E113" s="868" t="s">
        <v>5</v>
      </c>
      <c r="F113" s="849" t="s">
        <v>5</v>
      </c>
      <c r="G113" s="211" t="s">
        <v>6</v>
      </c>
      <c r="H113" s="48" t="s">
        <v>7</v>
      </c>
      <c r="I113" s="557" t="s">
        <v>8</v>
      </c>
      <c r="J113" s="541" t="s">
        <v>9</v>
      </c>
      <c r="K113" s="346" t="s">
        <v>9</v>
      </c>
      <c r="L113" s="46"/>
    </row>
    <row r="114" spans="1:12" ht="35.25" thickBot="1">
      <c r="A114" s="51"/>
      <c r="B114" s="72"/>
      <c r="C114" s="50"/>
      <c r="D114" s="437" t="s">
        <v>10</v>
      </c>
      <c r="E114" s="869" t="s">
        <v>12</v>
      </c>
      <c r="F114" s="850" t="s">
        <v>11</v>
      </c>
      <c r="G114" s="212"/>
      <c r="H114" s="50" t="s">
        <v>13</v>
      </c>
      <c r="I114" s="558"/>
      <c r="J114" s="542" t="s">
        <v>14</v>
      </c>
      <c r="K114" s="347" t="s">
        <v>15</v>
      </c>
      <c r="L114" s="46"/>
    </row>
    <row r="115" spans="1:12">
      <c r="A115" s="1469"/>
      <c r="B115" s="1572" t="s">
        <v>2123</v>
      </c>
      <c r="C115" s="522"/>
      <c r="D115" s="418"/>
      <c r="E115" s="841"/>
      <c r="F115" s="862"/>
      <c r="G115" s="455"/>
      <c r="H115" s="522"/>
      <c r="I115" s="511"/>
      <c r="J115" s="713"/>
      <c r="K115" s="371"/>
    </row>
    <row r="116" spans="1:12" ht="35.25" thickBot="1">
      <c r="A116" s="83"/>
      <c r="B116" s="43" t="s">
        <v>2123</v>
      </c>
      <c r="C116" s="207" t="s">
        <v>2124</v>
      </c>
      <c r="D116" s="322" t="s">
        <v>137</v>
      </c>
      <c r="E116" s="728">
        <v>20</v>
      </c>
      <c r="F116" s="859"/>
      <c r="G116" s="310" t="s">
        <v>2125</v>
      </c>
      <c r="H116" s="207"/>
      <c r="I116" s="1155" t="s">
        <v>2126</v>
      </c>
      <c r="J116" s="1155" t="s">
        <v>2127</v>
      </c>
      <c r="K116" s="365">
        <v>18</v>
      </c>
    </row>
    <row r="117" spans="1:12" ht="35.25" thickBot="1">
      <c r="A117" s="406"/>
      <c r="B117" s="362" t="s">
        <v>2128</v>
      </c>
      <c r="C117" s="207" t="s">
        <v>2129</v>
      </c>
      <c r="D117" s="322" t="s">
        <v>18</v>
      </c>
      <c r="E117" s="728">
        <v>36</v>
      </c>
      <c r="F117" s="859" t="s">
        <v>2130</v>
      </c>
      <c r="G117" s="2727" t="s">
        <v>2007</v>
      </c>
      <c r="H117" s="207">
        <v>744</v>
      </c>
      <c r="I117" s="431" t="s">
        <v>204</v>
      </c>
      <c r="J117" s="704" t="s">
        <v>2131</v>
      </c>
      <c r="K117" s="365">
        <v>31.63</v>
      </c>
    </row>
    <row r="118" spans="1:12">
      <c r="A118" s="406"/>
      <c r="B118" s="383" t="s">
        <v>2132</v>
      </c>
      <c r="C118" s="207" t="s">
        <v>2129</v>
      </c>
      <c r="D118" s="322" t="s">
        <v>18</v>
      </c>
      <c r="E118" s="728">
        <v>35</v>
      </c>
      <c r="F118" s="859"/>
      <c r="G118" s="310" t="s">
        <v>2133</v>
      </c>
      <c r="H118" s="207"/>
      <c r="I118" s="431"/>
      <c r="J118" s="704" t="s">
        <v>2134</v>
      </c>
      <c r="K118" s="365">
        <v>28</v>
      </c>
    </row>
    <row r="119" spans="1:12">
      <c r="A119" s="406"/>
      <c r="B119" s="43" t="s">
        <v>2123</v>
      </c>
      <c r="C119" s="207" t="s">
        <v>2135</v>
      </c>
      <c r="D119" s="322" t="s">
        <v>18</v>
      </c>
      <c r="E119" s="728">
        <v>60</v>
      </c>
      <c r="F119" s="859" t="s">
        <v>2136</v>
      </c>
      <c r="G119" s="2727" t="s">
        <v>2007</v>
      </c>
      <c r="H119" s="207">
        <v>1272</v>
      </c>
      <c r="I119" s="431" t="s">
        <v>953</v>
      </c>
      <c r="J119" s="586" t="s">
        <v>2137</v>
      </c>
      <c r="K119" s="365">
        <v>53.63</v>
      </c>
    </row>
    <row r="120" spans="1:12">
      <c r="A120" s="406"/>
      <c r="B120" s="362" t="s">
        <v>2123</v>
      </c>
      <c r="C120" s="207" t="s">
        <v>2138</v>
      </c>
      <c r="D120" s="322" t="s">
        <v>18</v>
      </c>
      <c r="E120" s="728">
        <v>115</v>
      </c>
      <c r="F120" s="859" t="s">
        <v>2139</v>
      </c>
      <c r="G120" s="2727" t="s">
        <v>2007</v>
      </c>
      <c r="H120" s="207">
        <v>1260</v>
      </c>
      <c r="I120" s="431" t="s">
        <v>953</v>
      </c>
      <c r="J120" s="586" t="s">
        <v>2140</v>
      </c>
      <c r="K120" s="365">
        <v>106.25</v>
      </c>
    </row>
    <row r="121" spans="1:12">
      <c r="A121" s="406"/>
      <c r="B121" s="43" t="s">
        <v>2141</v>
      </c>
      <c r="C121" s="207" t="s">
        <v>1334</v>
      </c>
      <c r="D121" s="322" t="s">
        <v>18</v>
      </c>
      <c r="E121" s="728">
        <v>25</v>
      </c>
      <c r="F121" s="859" t="s">
        <v>374</v>
      </c>
      <c r="G121" s="2727" t="s">
        <v>2142</v>
      </c>
      <c r="H121" s="207">
        <v>600</v>
      </c>
      <c r="I121" s="431" t="s">
        <v>953</v>
      </c>
      <c r="J121" s="707" t="s">
        <v>2143</v>
      </c>
      <c r="K121" s="365">
        <v>25.63</v>
      </c>
    </row>
    <row r="122" spans="1:12" ht="38.25">
      <c r="A122" s="2026"/>
      <c r="B122" s="43" t="s">
        <v>2141</v>
      </c>
      <c r="C122" s="207" t="s">
        <v>2144</v>
      </c>
      <c r="D122" s="421" t="s">
        <v>23</v>
      </c>
      <c r="E122" s="839">
        <v>69</v>
      </c>
      <c r="F122" s="767" t="s">
        <v>2145</v>
      </c>
      <c r="G122" s="2727" t="s">
        <v>2142</v>
      </c>
      <c r="H122" s="207">
        <v>708</v>
      </c>
      <c r="I122" s="431" t="s">
        <v>393</v>
      </c>
      <c r="J122" s="586" t="s">
        <v>2146</v>
      </c>
      <c r="K122" s="365">
        <v>61.5</v>
      </c>
    </row>
    <row r="123" spans="1:12">
      <c r="A123" s="1918"/>
      <c r="B123" s="43" t="s">
        <v>2147</v>
      </c>
      <c r="C123" s="207" t="s">
        <v>1334</v>
      </c>
      <c r="D123" s="322" t="s">
        <v>18</v>
      </c>
      <c r="E123" s="728">
        <v>25</v>
      </c>
      <c r="F123" s="859"/>
      <c r="G123" s="310" t="s">
        <v>2148</v>
      </c>
      <c r="H123" s="207"/>
      <c r="I123" s="431"/>
      <c r="J123" s="707" t="s">
        <v>2149</v>
      </c>
      <c r="K123" s="365">
        <v>22</v>
      </c>
    </row>
    <row r="124" spans="1:12">
      <c r="A124" s="1384"/>
      <c r="B124" s="2780"/>
      <c r="C124" s="207"/>
      <c r="D124" s="421"/>
      <c r="E124" s="332"/>
      <c r="F124" s="1497"/>
      <c r="G124" s="310"/>
      <c r="H124" s="639"/>
      <c r="I124" s="431"/>
      <c r="J124" s="586"/>
      <c r="K124" s="365"/>
    </row>
    <row r="125" spans="1:12">
      <c r="A125" s="3450"/>
      <c r="B125" s="43"/>
      <c r="C125" s="787"/>
      <c r="D125" s="623"/>
      <c r="E125" s="3039"/>
      <c r="F125" s="3041"/>
      <c r="G125" s="2737"/>
      <c r="H125" s="74"/>
      <c r="I125" s="182"/>
      <c r="J125" s="685"/>
      <c r="K125" s="363"/>
    </row>
    <row r="126" spans="1:12">
      <c r="A126" s="81"/>
      <c r="B126" s="43"/>
      <c r="C126" s="207"/>
      <c r="D126" s="421"/>
      <c r="E126" s="3039"/>
      <c r="F126" s="3041"/>
      <c r="G126" s="2737"/>
      <c r="H126" s="74"/>
      <c r="I126" s="182"/>
      <c r="J126" s="685"/>
      <c r="K126" s="3047"/>
    </row>
    <row r="127" spans="1:12">
      <c r="A127" s="43"/>
      <c r="B127" s="3439" t="s">
        <v>1605</v>
      </c>
      <c r="C127" s="207"/>
      <c r="D127" s="421"/>
      <c r="E127" s="332"/>
      <c r="F127" s="1497"/>
      <c r="G127" s="310"/>
      <c r="H127" s="639"/>
      <c r="I127" s="431"/>
      <c r="J127" s="586"/>
      <c r="K127" s="365"/>
    </row>
    <row r="128" spans="1:12">
      <c r="A128" s="43"/>
      <c r="B128" s="43" t="s">
        <v>2150</v>
      </c>
      <c r="C128" s="787" t="s">
        <v>2151</v>
      </c>
      <c r="D128" s="623" t="s">
        <v>1141</v>
      </c>
      <c r="E128" s="3039" t="s">
        <v>2152</v>
      </c>
      <c r="F128" s="3041" t="s">
        <v>2153</v>
      </c>
      <c r="G128" s="2737" t="s">
        <v>194</v>
      </c>
      <c r="H128" s="74">
        <v>890</v>
      </c>
      <c r="I128" s="182" t="s">
        <v>368</v>
      </c>
      <c r="J128" s="685" t="s">
        <v>2154</v>
      </c>
      <c r="K128" s="363" t="s">
        <v>2155</v>
      </c>
    </row>
    <row r="129" spans="1:12">
      <c r="A129" s="398"/>
      <c r="B129" s="43" t="s">
        <v>2156</v>
      </c>
      <c r="C129" s="207" t="s">
        <v>2157</v>
      </c>
      <c r="D129" s="421" t="s">
        <v>40</v>
      </c>
      <c r="E129" s="3039" t="s">
        <v>2158</v>
      </c>
      <c r="F129" s="3041" t="s">
        <v>2159</v>
      </c>
      <c r="G129" s="2737" t="s">
        <v>1638</v>
      </c>
      <c r="H129" s="74">
        <v>1600</v>
      </c>
      <c r="I129" s="182" t="s">
        <v>368</v>
      </c>
      <c r="J129" s="685" t="s">
        <v>2160</v>
      </c>
      <c r="K129" s="3047" t="s">
        <v>2161</v>
      </c>
    </row>
    <row r="130" spans="1:12" ht="35.25" thickBot="1">
      <c r="A130" s="1782"/>
      <c r="B130" s="43" t="s">
        <v>2156</v>
      </c>
      <c r="C130" s="207" t="s">
        <v>2162</v>
      </c>
      <c r="D130" s="422" t="s">
        <v>23</v>
      </c>
      <c r="E130" s="3039">
        <v>110</v>
      </c>
      <c r="F130" s="3041" t="s">
        <v>2163</v>
      </c>
      <c r="G130" s="2737" t="s">
        <v>2164</v>
      </c>
      <c r="H130" s="224">
        <v>1165</v>
      </c>
      <c r="I130" s="182" t="s">
        <v>361</v>
      </c>
      <c r="J130" s="686" t="s">
        <v>2165</v>
      </c>
      <c r="K130" s="378" t="s">
        <v>2166</v>
      </c>
    </row>
    <row r="131" spans="1:12">
      <c r="A131" s="1019"/>
      <c r="B131" s="43" t="s">
        <v>2156</v>
      </c>
      <c r="C131" s="207" t="s">
        <v>2167</v>
      </c>
      <c r="D131" s="421" t="s">
        <v>23</v>
      </c>
      <c r="E131" s="3039">
        <v>65</v>
      </c>
      <c r="F131" s="3041" t="s">
        <v>2168</v>
      </c>
      <c r="G131" s="2737" t="s">
        <v>1677</v>
      </c>
      <c r="H131" s="74">
        <v>660</v>
      </c>
      <c r="I131" s="182" t="s">
        <v>361</v>
      </c>
      <c r="J131" s="686" t="s">
        <v>2169</v>
      </c>
      <c r="K131" s="365" t="s">
        <v>2170</v>
      </c>
    </row>
    <row r="132" spans="1:12">
      <c r="A132" s="995"/>
      <c r="B132" s="362" t="s">
        <v>2171</v>
      </c>
      <c r="C132" s="207" t="s">
        <v>2172</v>
      </c>
      <c r="D132" s="421" t="s">
        <v>18</v>
      </c>
      <c r="E132" s="3039">
        <v>55</v>
      </c>
      <c r="F132" s="3040"/>
      <c r="G132" s="206" t="s">
        <v>764</v>
      </c>
      <c r="H132" s="74"/>
      <c r="I132" s="182"/>
      <c r="J132" s="685" t="s">
        <v>2173</v>
      </c>
      <c r="K132" s="363" t="s">
        <v>2174</v>
      </c>
    </row>
    <row r="133" spans="1:12">
      <c r="A133" s="254"/>
      <c r="B133" s="383" t="s">
        <v>2175</v>
      </c>
      <c r="C133" s="207" t="s">
        <v>2176</v>
      </c>
      <c r="D133" s="422" t="s">
        <v>390</v>
      </c>
      <c r="E133" s="3440" t="s">
        <v>1002</v>
      </c>
      <c r="F133" s="3043" t="s">
        <v>2177</v>
      </c>
      <c r="G133" s="2737" t="s">
        <v>2178</v>
      </c>
      <c r="H133" s="2729" t="s">
        <v>2179</v>
      </c>
      <c r="I133" s="2782" t="s">
        <v>381</v>
      </c>
      <c r="J133" s="2783" t="s">
        <v>2180</v>
      </c>
      <c r="K133" s="3413" t="s">
        <v>2181</v>
      </c>
    </row>
    <row r="134" spans="1:12">
      <c r="A134" s="398"/>
      <c r="B134" s="791" t="s">
        <v>2182</v>
      </c>
      <c r="C134" s="207" t="s">
        <v>2167</v>
      </c>
      <c r="D134" s="421" t="s">
        <v>390</v>
      </c>
      <c r="E134" s="3042" t="s">
        <v>2183</v>
      </c>
      <c r="F134" s="3043" t="s">
        <v>591</v>
      </c>
      <c r="G134" s="2737" t="s">
        <v>1669</v>
      </c>
      <c r="H134" s="2729" t="s">
        <v>2184</v>
      </c>
      <c r="I134" s="2782" t="s">
        <v>2185</v>
      </c>
      <c r="J134" s="2783" t="s">
        <v>2186</v>
      </c>
      <c r="K134" s="2734" t="s">
        <v>2187</v>
      </c>
    </row>
    <row r="135" spans="1:12">
      <c r="A135" s="782"/>
      <c r="B135" s="2780"/>
      <c r="C135" s="2781"/>
      <c r="D135" s="3456"/>
      <c r="E135" s="3441"/>
      <c r="F135" s="3442"/>
      <c r="G135" s="2731"/>
      <c r="H135" s="2729"/>
      <c r="I135" s="2782"/>
      <c r="J135" s="2783"/>
      <c r="K135" s="2734"/>
    </row>
    <row r="136" spans="1:12">
      <c r="A136" s="663"/>
      <c r="B136" s="2705"/>
      <c r="C136" s="2781"/>
      <c r="D136" s="3456"/>
      <c r="E136" s="3441"/>
      <c r="F136" s="3442"/>
      <c r="G136" s="2731"/>
      <c r="H136" s="2729"/>
      <c r="I136" s="2782"/>
      <c r="J136" s="2783"/>
      <c r="K136" s="2734"/>
    </row>
    <row r="137" spans="1:12" ht="35.25" thickBot="1">
      <c r="A137" s="766"/>
      <c r="B137" s="2705"/>
      <c r="C137" s="2781"/>
      <c r="D137" s="3456"/>
      <c r="E137" s="3441"/>
      <c r="F137" s="3442"/>
      <c r="G137" s="2731"/>
      <c r="H137" s="2729"/>
      <c r="I137" s="2782"/>
      <c r="J137" s="2783"/>
      <c r="K137" s="2734"/>
    </row>
    <row r="138" spans="1:12">
      <c r="A138" s="406"/>
      <c r="B138" s="74" t="s">
        <v>2188</v>
      </c>
      <c r="C138" s="207" t="s">
        <v>2024</v>
      </c>
      <c r="D138" s="421" t="s">
        <v>40</v>
      </c>
      <c r="E138" s="3044">
        <v>690</v>
      </c>
      <c r="F138" s="3045" t="s">
        <v>2189</v>
      </c>
      <c r="G138" s="2737" t="s">
        <v>1677</v>
      </c>
      <c r="H138" s="74">
        <v>3700</v>
      </c>
      <c r="I138" s="182" t="s">
        <v>2190</v>
      </c>
      <c r="J138" s="685">
        <v>3737</v>
      </c>
      <c r="K138" s="367">
        <v>622.83000000000004</v>
      </c>
    </row>
    <row r="139" spans="1:12">
      <c r="A139" s="406"/>
      <c r="B139" s="74" t="s">
        <v>2188</v>
      </c>
      <c r="C139" s="207" t="s">
        <v>2191</v>
      </c>
      <c r="D139" s="421" t="s">
        <v>23</v>
      </c>
      <c r="E139" s="2324">
        <v>160</v>
      </c>
      <c r="F139" s="1497" t="s">
        <v>2192</v>
      </c>
      <c r="G139" s="2737" t="s">
        <v>1677</v>
      </c>
      <c r="H139" s="74">
        <v>1560</v>
      </c>
      <c r="I139" s="182" t="s">
        <v>381</v>
      </c>
      <c r="J139" s="685" t="s">
        <v>2193</v>
      </c>
      <c r="K139" s="365">
        <v>132.91999999999999</v>
      </c>
    </row>
    <row r="140" spans="1:12">
      <c r="A140" s="406"/>
      <c r="B140" s="74" t="s">
        <v>2194</v>
      </c>
      <c r="C140" s="207" t="s">
        <v>2191</v>
      </c>
      <c r="D140" s="421" t="s">
        <v>2195</v>
      </c>
      <c r="E140" s="2324">
        <v>45</v>
      </c>
      <c r="F140" s="861" t="s">
        <v>2196</v>
      </c>
      <c r="G140" s="3038" t="s">
        <v>2197</v>
      </c>
      <c r="H140" s="341" t="s">
        <v>2198</v>
      </c>
      <c r="I140" s="182" t="s">
        <v>2199</v>
      </c>
      <c r="J140" s="604" t="s">
        <v>2200</v>
      </c>
      <c r="K140" s="378">
        <v>35.380000000000003</v>
      </c>
    </row>
    <row r="141" spans="1:12">
      <c r="A141" s="2774"/>
      <c r="B141" s="1462" t="s">
        <v>2201</v>
      </c>
      <c r="C141" s="1422"/>
      <c r="D141" s="1423" t="s">
        <v>30</v>
      </c>
      <c r="E141" s="208">
        <v>220</v>
      </c>
      <c r="F141" s="798"/>
      <c r="G141" s="799" t="s">
        <v>2202</v>
      </c>
      <c r="H141" s="1424"/>
      <c r="I141" s="1425"/>
      <c r="J141" s="1426">
        <v>800</v>
      </c>
      <c r="K141" s="1427">
        <f>J141/4</f>
        <v>200</v>
      </c>
    </row>
    <row r="142" spans="1:12">
      <c r="A142" s="254"/>
      <c r="B142" s="742" t="s">
        <v>2203</v>
      </c>
      <c r="C142" s="1422"/>
      <c r="D142" s="1423" t="s">
        <v>18</v>
      </c>
      <c r="E142" s="208">
        <v>30</v>
      </c>
      <c r="F142" s="798"/>
      <c r="G142" s="799" t="s">
        <v>2204</v>
      </c>
      <c r="H142" s="1424"/>
      <c r="I142" s="1425"/>
      <c r="J142" s="1426">
        <v>560</v>
      </c>
      <c r="K142" s="1427">
        <v>23.33</v>
      </c>
      <c r="L142" s="75"/>
    </row>
    <row r="143" spans="1:12">
      <c r="A143" s="83"/>
      <c r="B143" s="742" t="s">
        <v>2205</v>
      </c>
      <c r="C143" s="1422"/>
      <c r="D143" s="1423" t="s">
        <v>23</v>
      </c>
      <c r="E143" s="208">
        <v>50</v>
      </c>
      <c r="F143" s="798"/>
      <c r="G143" s="799" t="s">
        <v>2206</v>
      </c>
      <c r="H143" s="1424"/>
      <c r="I143" s="1425"/>
      <c r="J143" s="1426">
        <v>540</v>
      </c>
      <c r="K143" s="1427">
        <v>45</v>
      </c>
      <c r="L143" s="75"/>
    </row>
    <row r="144" spans="1:12">
      <c r="A144" s="83"/>
      <c r="B144" s="43"/>
      <c r="C144" s="101"/>
      <c r="D144" s="322"/>
      <c r="E144" s="838"/>
      <c r="F144" s="767"/>
      <c r="G144" s="206"/>
      <c r="H144" s="74"/>
      <c r="I144" s="562"/>
      <c r="J144" s="547"/>
      <c r="K144" s="550"/>
    </row>
    <row r="145" spans="1:12" ht="32.25" customHeight="1">
      <c r="A145" s="44"/>
      <c r="B145" s="45"/>
      <c r="C145" s="46"/>
      <c r="D145" s="124"/>
      <c r="F145" s="104"/>
      <c r="H145" s="45"/>
      <c r="I145" s="556"/>
      <c r="K145" s="537">
        <v>5</v>
      </c>
    </row>
    <row r="146" spans="1:12">
      <c r="A146" s="45" t="s">
        <v>0</v>
      </c>
      <c r="B146" s="45"/>
      <c r="C146" s="68"/>
      <c r="D146" s="612"/>
      <c r="F146" s="104"/>
      <c r="H146" s="45"/>
      <c r="I146" s="556"/>
      <c r="L146" s="45"/>
    </row>
    <row r="147" spans="1:12" s="45" customFormat="1">
      <c r="A147" s="3480" t="s">
        <v>1</v>
      </c>
      <c r="B147" s="3480"/>
      <c r="C147" s="46"/>
      <c r="D147" s="124"/>
      <c r="E147" s="335"/>
      <c r="F147" s="104"/>
      <c r="G147" s="210"/>
      <c r="I147" s="556"/>
      <c r="J147" s="540"/>
      <c r="K147" s="366"/>
    </row>
    <row r="148" spans="1:12" ht="18.75" customHeight="1" thickBot="1">
      <c r="F148" s="104"/>
    </row>
    <row r="149" spans="1:12">
      <c r="A149" s="3481" t="s">
        <v>2</v>
      </c>
      <c r="B149" s="3482"/>
      <c r="C149" s="48" t="s">
        <v>3</v>
      </c>
      <c r="D149" s="436" t="s">
        <v>4</v>
      </c>
      <c r="E149" s="849" t="s">
        <v>5</v>
      </c>
      <c r="F149" s="849" t="s">
        <v>5</v>
      </c>
      <c r="G149" s="211" t="s">
        <v>6</v>
      </c>
      <c r="H149" s="48" t="s">
        <v>7</v>
      </c>
      <c r="I149" s="557" t="s">
        <v>8</v>
      </c>
      <c r="J149" s="541" t="s">
        <v>9</v>
      </c>
      <c r="K149" s="346" t="s">
        <v>9</v>
      </c>
      <c r="L149" s="46"/>
    </row>
    <row r="150" spans="1:12" ht="35.25" thickBot="1">
      <c r="A150" s="51"/>
      <c r="B150" s="72"/>
      <c r="C150" s="50"/>
      <c r="D150" s="437" t="s">
        <v>10</v>
      </c>
      <c r="E150" s="850" t="s">
        <v>11</v>
      </c>
      <c r="F150" s="850" t="s">
        <v>12</v>
      </c>
      <c r="G150" s="212"/>
      <c r="H150" s="50" t="s">
        <v>13</v>
      </c>
      <c r="I150" s="558"/>
      <c r="J150" s="542" t="s">
        <v>14</v>
      </c>
      <c r="K150" s="347" t="s">
        <v>15</v>
      </c>
      <c r="L150" s="46"/>
    </row>
    <row r="151" spans="1:12">
      <c r="A151" s="389"/>
      <c r="B151" s="781" t="s">
        <v>2207</v>
      </c>
      <c r="C151" s="207" t="s">
        <v>1357</v>
      </c>
      <c r="D151" s="322"/>
      <c r="E151" s="728"/>
      <c r="F151" s="767"/>
      <c r="G151" s="1044" t="s">
        <v>2208</v>
      </c>
      <c r="H151" s="117"/>
      <c r="I151" s="432"/>
      <c r="J151" s="702"/>
      <c r="K151" s="369"/>
    </row>
    <row r="152" spans="1:12">
      <c r="A152" s="315"/>
      <c r="B152" s="43" t="s">
        <v>2209</v>
      </c>
      <c r="C152" s="207" t="s">
        <v>1291</v>
      </c>
      <c r="D152" s="322" t="s">
        <v>2210</v>
      </c>
      <c r="E152" s="728">
        <v>22</v>
      </c>
      <c r="F152" s="767"/>
      <c r="G152" s="310" t="s">
        <v>1026</v>
      </c>
      <c r="H152" s="365">
        <v>383.1</v>
      </c>
      <c r="I152" s="431"/>
      <c r="J152" s="365">
        <v>409.92</v>
      </c>
      <c r="K152" s="365">
        <v>17.07</v>
      </c>
    </row>
    <row r="153" spans="1:12">
      <c r="A153" s="315"/>
      <c r="B153" s="43" t="s">
        <v>2209</v>
      </c>
      <c r="C153" s="207" t="s">
        <v>2096</v>
      </c>
      <c r="D153" s="322" t="s">
        <v>23</v>
      </c>
      <c r="E153" s="728">
        <v>40</v>
      </c>
      <c r="F153" s="861" t="s">
        <v>2211</v>
      </c>
      <c r="G153" s="310" t="s">
        <v>1026</v>
      </c>
      <c r="H153" s="365">
        <v>355.1</v>
      </c>
      <c r="I153" s="431"/>
      <c r="J153" s="365">
        <v>380</v>
      </c>
      <c r="K153" s="365">
        <v>31.66</v>
      </c>
    </row>
    <row r="154" spans="1:12">
      <c r="A154" s="438"/>
      <c r="B154" s="43" t="s">
        <v>2212</v>
      </c>
      <c r="C154" s="207" t="s">
        <v>2213</v>
      </c>
      <c r="D154" s="322" t="s">
        <v>2214</v>
      </c>
      <c r="E154" s="728">
        <v>22</v>
      </c>
      <c r="F154" s="767">
        <v>220</v>
      </c>
      <c r="G154" s="310"/>
      <c r="H154" s="207"/>
      <c r="I154" s="431"/>
      <c r="J154" s="365"/>
      <c r="K154" s="365"/>
    </row>
    <row r="155" spans="1:12">
      <c r="A155" s="445"/>
      <c r="B155" s="43" t="s">
        <v>2215</v>
      </c>
      <c r="C155" s="207" t="s">
        <v>1291</v>
      </c>
      <c r="D155" s="322" t="s">
        <v>2210</v>
      </c>
      <c r="E155" s="728">
        <v>26</v>
      </c>
      <c r="F155" s="767">
        <v>540</v>
      </c>
      <c r="G155" s="206"/>
      <c r="H155" s="115"/>
      <c r="I155" s="185"/>
      <c r="J155" s="175"/>
      <c r="K155" s="197"/>
    </row>
    <row r="156" spans="1:12">
      <c r="A156" s="445"/>
      <c r="B156" s="43" t="s">
        <v>2215</v>
      </c>
      <c r="C156" s="207" t="s">
        <v>2096</v>
      </c>
      <c r="D156" s="322" t="s">
        <v>2214</v>
      </c>
      <c r="E156" s="728">
        <v>46</v>
      </c>
      <c r="F156" s="767">
        <v>500</v>
      </c>
      <c r="G156" s="206"/>
      <c r="H156" s="115"/>
      <c r="I156" s="185"/>
      <c r="J156" s="175"/>
      <c r="K156" s="197"/>
    </row>
    <row r="157" spans="1:12">
      <c r="A157" s="315"/>
      <c r="B157" s="1000"/>
      <c r="C157" s="207"/>
      <c r="D157" s="322"/>
      <c r="E157" s="728"/>
      <c r="F157" s="767"/>
      <c r="G157" s="310"/>
      <c r="H157" s="207"/>
      <c r="I157" s="586"/>
      <c r="J157" s="789"/>
      <c r="K157" s="365"/>
    </row>
    <row r="158" spans="1:12">
      <c r="A158" s="445"/>
      <c r="B158" s="781" t="s">
        <v>2216</v>
      </c>
      <c r="C158" s="63"/>
      <c r="D158" s="196"/>
      <c r="E158" s="249"/>
      <c r="F158" s="121"/>
      <c r="G158" s="206"/>
      <c r="H158" s="115"/>
      <c r="I158" s="185"/>
      <c r="J158" s="175"/>
      <c r="K158" s="197"/>
    </row>
    <row r="159" spans="1:12">
      <c r="A159" s="441"/>
      <c r="B159" s="1000" t="s">
        <v>2217</v>
      </c>
      <c r="C159" s="207" t="s">
        <v>2218</v>
      </c>
      <c r="D159" s="322" t="s">
        <v>23</v>
      </c>
      <c r="E159" s="728" t="s">
        <v>2219</v>
      </c>
      <c r="F159" s="767" t="s">
        <v>1298</v>
      </c>
      <c r="G159" s="310" t="s">
        <v>2220</v>
      </c>
      <c r="H159" s="207">
        <v>370</v>
      </c>
      <c r="I159" s="586" t="s">
        <v>2221</v>
      </c>
      <c r="J159" s="789" t="s">
        <v>2222</v>
      </c>
      <c r="K159" s="365" t="s">
        <v>2223</v>
      </c>
    </row>
    <row r="160" spans="1:12">
      <c r="A160" s="315"/>
      <c r="B160" s="2016" t="s">
        <v>2224</v>
      </c>
      <c r="C160" s="207" t="s">
        <v>2225</v>
      </c>
      <c r="D160" s="322" t="s">
        <v>23</v>
      </c>
      <c r="E160" s="728" t="s">
        <v>2226</v>
      </c>
      <c r="F160" s="767"/>
      <c r="G160" s="483" t="s">
        <v>2227</v>
      </c>
      <c r="H160" s="207">
        <v>150</v>
      </c>
      <c r="I160" s="431"/>
      <c r="J160" s="707" t="s">
        <v>2228</v>
      </c>
      <c r="K160" s="365" t="s">
        <v>2229</v>
      </c>
    </row>
    <row r="161" spans="1:11">
      <c r="A161" s="315"/>
      <c r="B161" s="131" t="s">
        <v>2230</v>
      </c>
      <c r="C161" s="101" t="s">
        <v>2231</v>
      </c>
      <c r="D161" s="462" t="s">
        <v>23</v>
      </c>
      <c r="E161" s="142">
        <v>20</v>
      </c>
      <c r="F161" s="61"/>
      <c r="G161" s="206" t="s">
        <v>2227</v>
      </c>
      <c r="H161" s="74">
        <v>185</v>
      </c>
      <c r="I161" s="183"/>
      <c r="J161" s="2075" t="s">
        <v>2232</v>
      </c>
      <c r="K161" s="1408">
        <v>16.579999999999998</v>
      </c>
    </row>
    <row r="162" spans="1:11">
      <c r="A162" s="315"/>
      <c r="B162" s="81"/>
      <c r="C162" s="207"/>
      <c r="D162" s="322"/>
      <c r="E162" s="728"/>
      <c r="F162" s="767"/>
      <c r="G162" s="310"/>
      <c r="H162" s="207"/>
      <c r="I162" s="431"/>
      <c r="J162" s="365"/>
      <c r="K162" s="365"/>
    </row>
    <row r="163" spans="1:11">
      <c r="A163" s="315"/>
      <c r="B163" s="996" t="s">
        <v>2233</v>
      </c>
      <c r="C163" s="207"/>
      <c r="D163" s="322"/>
      <c r="E163" s="728"/>
      <c r="F163" s="767"/>
      <c r="G163" s="310"/>
      <c r="H163" s="207"/>
      <c r="I163" s="431"/>
      <c r="J163" s="586"/>
      <c r="K163" s="365"/>
    </row>
    <row r="164" spans="1:11">
      <c r="A164" s="315"/>
      <c r="B164" s="43" t="s">
        <v>2234</v>
      </c>
      <c r="C164" s="207" t="s">
        <v>2096</v>
      </c>
      <c r="D164" s="322" t="s">
        <v>23</v>
      </c>
      <c r="E164" s="728"/>
      <c r="F164" s="767"/>
      <c r="G164" s="310" t="s">
        <v>2235</v>
      </c>
      <c r="H164" s="207">
        <v>490.65</v>
      </c>
      <c r="I164" s="431" t="s">
        <v>2236</v>
      </c>
      <c r="J164" s="365">
        <v>514.49</v>
      </c>
      <c r="K164" s="365">
        <f>J164/12</f>
        <v>42.874166666666667</v>
      </c>
    </row>
    <row r="165" spans="1:11">
      <c r="A165" s="315"/>
      <c r="B165" s="811" t="s">
        <v>2237</v>
      </c>
      <c r="C165" s="812" t="s">
        <v>2096</v>
      </c>
      <c r="D165" s="813" t="s">
        <v>23</v>
      </c>
      <c r="E165" s="728"/>
      <c r="F165" s="767"/>
      <c r="G165" s="814" t="s">
        <v>2238</v>
      </c>
      <c r="H165" s="812">
        <v>490.65</v>
      </c>
      <c r="I165" s="1730" t="s">
        <v>2239</v>
      </c>
      <c r="J165" s="816">
        <v>524.99</v>
      </c>
      <c r="K165" s="720">
        <v>43.75</v>
      </c>
    </row>
    <row r="166" spans="1:11">
      <c r="A166" s="315"/>
      <c r="B166" s="811"/>
      <c r="C166" s="812"/>
      <c r="D166" s="813"/>
      <c r="E166" s="728"/>
      <c r="F166" s="767"/>
      <c r="G166" s="814" t="s">
        <v>2238</v>
      </c>
      <c r="H166" s="812">
        <v>490.65</v>
      </c>
      <c r="I166" s="1730" t="s">
        <v>2239</v>
      </c>
      <c r="J166" s="816">
        <v>524.99</v>
      </c>
      <c r="K166" s="720">
        <v>43.75</v>
      </c>
    </row>
    <row r="167" spans="1:11">
      <c r="A167" s="74"/>
      <c r="B167" s="817" t="s">
        <v>2240</v>
      </c>
      <c r="C167" s="1414"/>
      <c r="D167" s="813" t="s">
        <v>2241</v>
      </c>
      <c r="E167" s="728"/>
      <c r="F167" s="767"/>
      <c r="G167" s="814" t="s">
        <v>1971</v>
      </c>
      <c r="H167" s="812">
        <v>327.10000000000002</v>
      </c>
      <c r="I167" s="815" t="s">
        <v>2242</v>
      </c>
      <c r="J167" s="818">
        <v>279.99</v>
      </c>
      <c r="K167" s="720">
        <v>69.989999999999995</v>
      </c>
    </row>
    <row r="168" spans="1:11">
      <c r="A168" s="1945"/>
      <c r="B168" s="43" t="s">
        <v>2243</v>
      </c>
      <c r="C168" s="207" t="s">
        <v>2244</v>
      </c>
      <c r="D168" s="322" t="s">
        <v>23</v>
      </c>
      <c r="E168" s="728">
        <v>22</v>
      </c>
      <c r="F168" s="767"/>
      <c r="G168" s="310" t="s">
        <v>2245</v>
      </c>
      <c r="H168" s="207"/>
      <c r="I168" s="431"/>
      <c r="J168" s="365">
        <v>214.67</v>
      </c>
      <c r="K168" s="365">
        <f>J168/12</f>
        <v>17.889166666666664</v>
      </c>
    </row>
    <row r="169" spans="1:11">
      <c r="A169" s="157"/>
      <c r="B169" s="43" t="s">
        <v>2246</v>
      </c>
      <c r="C169" s="207" t="s">
        <v>180</v>
      </c>
      <c r="D169" s="322" t="s">
        <v>23</v>
      </c>
      <c r="E169" s="728">
        <v>29</v>
      </c>
      <c r="F169" s="1497" t="s">
        <v>2247</v>
      </c>
      <c r="G169" s="310" t="s">
        <v>2248</v>
      </c>
      <c r="H169" s="207">
        <v>359.93</v>
      </c>
      <c r="I169" s="431" t="s">
        <v>2249</v>
      </c>
      <c r="J169" s="365">
        <v>288.12</v>
      </c>
      <c r="K169" s="365">
        <v>24.01</v>
      </c>
    </row>
    <row r="170" spans="1:11">
      <c r="A170" s="157"/>
      <c r="B170" s="43" t="s">
        <v>2250</v>
      </c>
      <c r="C170" s="207" t="s">
        <v>2251</v>
      </c>
      <c r="D170" s="322" t="s">
        <v>23</v>
      </c>
      <c r="E170" s="728">
        <v>25</v>
      </c>
      <c r="F170" s="1497" t="s">
        <v>2252</v>
      </c>
      <c r="G170" s="310" t="s">
        <v>2253</v>
      </c>
      <c r="H170" s="207">
        <v>252.34</v>
      </c>
      <c r="I170" s="431" t="s">
        <v>2236</v>
      </c>
      <c r="J170" s="365">
        <v>264.60000000000002</v>
      </c>
      <c r="K170" s="365">
        <v>22.05</v>
      </c>
    </row>
    <row r="171" spans="1:11">
      <c r="A171" s="157"/>
      <c r="B171" s="43" t="s">
        <v>2254</v>
      </c>
      <c r="C171" s="207" t="s">
        <v>1291</v>
      </c>
      <c r="D171" s="322" t="s">
        <v>18</v>
      </c>
      <c r="E171" s="728">
        <v>30</v>
      </c>
      <c r="F171" s="767">
        <v>645</v>
      </c>
      <c r="G171" s="310" t="s">
        <v>2060</v>
      </c>
      <c r="H171" s="207">
        <v>583.17999999999995</v>
      </c>
      <c r="I171" s="431" t="s">
        <v>2236</v>
      </c>
      <c r="J171" s="365">
        <v>611.52</v>
      </c>
      <c r="K171" s="365">
        <v>25.48</v>
      </c>
    </row>
    <row r="172" spans="1:11">
      <c r="A172" s="158"/>
      <c r="B172" s="43" t="s">
        <v>2255</v>
      </c>
      <c r="C172" s="207" t="s">
        <v>180</v>
      </c>
      <c r="D172" s="322" t="s">
        <v>23</v>
      </c>
      <c r="E172" s="728">
        <v>52</v>
      </c>
      <c r="F172" s="767">
        <v>570</v>
      </c>
      <c r="G172" s="310" t="s">
        <v>2253</v>
      </c>
      <c r="H172" s="207">
        <v>252.34</v>
      </c>
      <c r="I172" s="431" t="s">
        <v>2236</v>
      </c>
      <c r="J172" s="365">
        <v>543.20000000000005</v>
      </c>
      <c r="K172" s="365">
        <v>45.26</v>
      </c>
    </row>
    <row r="173" spans="1:11">
      <c r="A173" s="200"/>
      <c r="B173" s="81" t="s">
        <v>2256</v>
      </c>
      <c r="C173" s="207" t="s">
        <v>2257</v>
      </c>
      <c r="D173" s="322" t="s">
        <v>18</v>
      </c>
      <c r="E173" s="728">
        <v>28</v>
      </c>
      <c r="F173" s="767"/>
      <c r="G173" s="310" t="s">
        <v>2258</v>
      </c>
      <c r="H173" s="207">
        <v>540.19000000000005</v>
      </c>
      <c r="I173" s="431"/>
      <c r="J173" s="365">
        <v>578</v>
      </c>
      <c r="K173" s="365">
        <v>24</v>
      </c>
    </row>
    <row r="174" spans="1:11">
      <c r="A174" s="157"/>
      <c r="B174" s="81" t="s">
        <v>2256</v>
      </c>
      <c r="C174" s="207" t="s">
        <v>2257</v>
      </c>
      <c r="D174" s="322" t="s">
        <v>18</v>
      </c>
      <c r="E174" s="728">
        <v>28</v>
      </c>
      <c r="F174" s="767"/>
      <c r="G174" s="310" t="s">
        <v>2258</v>
      </c>
      <c r="H174" s="207">
        <v>540.19000000000005</v>
      </c>
      <c r="I174" s="431"/>
      <c r="J174" s="365">
        <v>578</v>
      </c>
      <c r="K174" s="365">
        <v>24</v>
      </c>
    </row>
    <row r="175" spans="1:11">
      <c r="A175" s="157"/>
      <c r="B175" s="81" t="s">
        <v>2259</v>
      </c>
      <c r="C175" s="207" t="s">
        <v>2260</v>
      </c>
      <c r="D175" s="322" t="s">
        <v>23</v>
      </c>
      <c r="E175" s="728">
        <v>26</v>
      </c>
      <c r="F175" s="767"/>
      <c r="G175" s="310" t="s">
        <v>2060</v>
      </c>
      <c r="H175" s="207">
        <v>270.08999999999997</v>
      </c>
      <c r="I175" s="474" t="s">
        <v>2261</v>
      </c>
      <c r="J175" s="810">
        <v>269.72000000000003</v>
      </c>
      <c r="K175" s="365">
        <v>22.47</v>
      </c>
    </row>
    <row r="176" spans="1:11">
      <c r="A176" s="83"/>
      <c r="B176" s="1032"/>
      <c r="C176" s="57"/>
      <c r="D176" s="613"/>
      <c r="E176" s="872"/>
      <c r="F176" s="853"/>
      <c r="G176" s="206"/>
      <c r="H176" s="320"/>
      <c r="I176" s="1473"/>
      <c r="J176" s="609"/>
      <c r="K176" s="378"/>
    </row>
    <row r="177" spans="1:12">
      <c r="A177" s="315"/>
      <c r="B177" s="233"/>
      <c r="C177" s="103"/>
      <c r="D177" s="342"/>
      <c r="E177" s="844"/>
      <c r="F177" s="853"/>
      <c r="G177" s="206"/>
      <c r="H177" s="320"/>
      <c r="I177" s="1473"/>
      <c r="J177" s="609"/>
      <c r="K177" s="378"/>
    </row>
    <row r="178" spans="1:12">
      <c r="A178" s="315"/>
      <c r="B178" s="1396"/>
      <c r="C178" s="57"/>
      <c r="D178" s="342"/>
      <c r="E178" s="872"/>
      <c r="F178" s="853"/>
      <c r="G178" s="206"/>
      <c r="H178" s="320"/>
      <c r="I178" s="1473"/>
      <c r="J178" s="609"/>
      <c r="K178" s="378"/>
    </row>
    <row r="179" spans="1:12" ht="35.25" thickBot="1">
      <c r="A179" s="70"/>
      <c r="B179" s="1399"/>
      <c r="C179" s="1386"/>
      <c r="D179" s="1783"/>
      <c r="E179" s="1790"/>
      <c r="F179" s="1388"/>
      <c r="G179" s="206"/>
      <c r="H179" s="1105"/>
      <c r="I179" s="1791"/>
      <c r="J179" s="1792"/>
      <c r="K179" s="1725"/>
    </row>
    <row r="180" spans="1:12">
      <c r="A180" s="772"/>
      <c r="B180" s="1396"/>
      <c r="C180" s="117"/>
      <c r="D180" s="613"/>
      <c r="E180" s="872"/>
      <c r="F180" s="853"/>
      <c r="G180" s="982"/>
      <c r="H180" s="1106"/>
      <c r="I180" s="1785"/>
      <c r="J180" s="1786"/>
      <c r="K180" s="983"/>
    </row>
    <row r="181" spans="1:12" ht="26.25" customHeight="1">
      <c r="A181" s="44"/>
      <c r="B181" s="45"/>
      <c r="C181" s="46"/>
      <c r="D181" s="124"/>
      <c r="F181" s="104"/>
      <c r="H181" s="45"/>
      <c r="I181" s="556"/>
      <c r="K181" s="492"/>
    </row>
    <row r="182" spans="1:12">
      <c r="A182" s="45" t="s">
        <v>0</v>
      </c>
      <c r="B182" s="45"/>
      <c r="C182" s="68"/>
      <c r="D182" s="612"/>
      <c r="F182" s="104"/>
      <c r="H182" s="45"/>
      <c r="I182" s="556"/>
      <c r="L182" s="45"/>
    </row>
    <row r="183" spans="1:12" s="45" customFormat="1">
      <c r="A183" s="3480" t="s">
        <v>1</v>
      </c>
      <c r="B183" s="3480"/>
      <c r="C183" s="46"/>
      <c r="D183" s="124"/>
      <c r="E183" s="335"/>
      <c r="F183" s="104"/>
      <c r="G183" s="210"/>
      <c r="I183" s="556"/>
      <c r="J183" s="540"/>
      <c r="K183" s="366"/>
    </row>
    <row r="184" spans="1:12" ht="12.75" customHeight="1" thickBot="1">
      <c r="F184" s="104"/>
    </row>
    <row r="185" spans="1:12">
      <c r="A185" s="3481" t="s">
        <v>2</v>
      </c>
      <c r="B185" s="3482"/>
      <c r="C185" s="48" t="s">
        <v>3</v>
      </c>
      <c r="D185" s="436" t="s">
        <v>4</v>
      </c>
      <c r="E185" s="849" t="s">
        <v>5</v>
      </c>
      <c r="F185" s="849" t="s">
        <v>5</v>
      </c>
      <c r="G185" s="211" t="s">
        <v>6</v>
      </c>
      <c r="H185" s="48" t="s">
        <v>7</v>
      </c>
      <c r="I185" s="557" t="s">
        <v>8</v>
      </c>
      <c r="J185" s="541" t="s">
        <v>9</v>
      </c>
      <c r="K185" s="346" t="s">
        <v>9</v>
      </c>
      <c r="L185" s="46"/>
    </row>
    <row r="186" spans="1:12" ht="35.25" thickBot="1">
      <c r="A186" s="51"/>
      <c r="B186" s="72"/>
      <c r="C186" s="50"/>
      <c r="D186" s="437" t="s">
        <v>10</v>
      </c>
      <c r="E186" s="850" t="s">
        <v>11</v>
      </c>
      <c r="F186" s="850" t="s">
        <v>12</v>
      </c>
      <c r="G186" s="212"/>
      <c r="H186" s="50" t="s">
        <v>13</v>
      </c>
      <c r="I186" s="558"/>
      <c r="J186" s="542" t="s">
        <v>14</v>
      </c>
      <c r="K186" s="347" t="s">
        <v>15</v>
      </c>
      <c r="L186" s="46"/>
    </row>
    <row r="187" spans="1:12">
      <c r="A187" s="774"/>
      <c r="B187" s="382" t="s">
        <v>2262</v>
      </c>
      <c r="C187" s="207"/>
      <c r="D187" s="322"/>
      <c r="E187" s="728"/>
      <c r="F187" s="767"/>
      <c r="G187" s="310"/>
      <c r="H187" s="207"/>
      <c r="I187" s="431"/>
      <c r="J187" s="586"/>
      <c r="K187" s="365"/>
    </row>
    <row r="188" spans="1:12">
      <c r="A188" s="315"/>
      <c r="B188" s="43" t="s">
        <v>2263</v>
      </c>
      <c r="C188" s="207"/>
      <c r="D188" s="320" t="s">
        <v>23</v>
      </c>
      <c r="E188" s="728">
        <v>275</v>
      </c>
      <c r="F188" s="767">
        <v>25</v>
      </c>
      <c r="G188" s="310" t="s">
        <v>795</v>
      </c>
      <c r="H188" s="207"/>
      <c r="I188" s="431"/>
      <c r="J188" s="2016">
        <v>270</v>
      </c>
      <c r="K188" s="2016">
        <f>J188/12</f>
        <v>22.5</v>
      </c>
    </row>
    <row r="189" spans="1:12">
      <c r="A189" s="315"/>
      <c r="B189" s="43" t="s">
        <v>2264</v>
      </c>
      <c r="C189" s="207"/>
      <c r="D189" s="320" t="s">
        <v>23</v>
      </c>
      <c r="E189" s="728"/>
      <c r="F189" s="767"/>
      <c r="G189" s="310" t="s">
        <v>2265</v>
      </c>
      <c r="H189" s="207">
        <v>257</v>
      </c>
      <c r="I189" s="431" t="s">
        <v>2266</v>
      </c>
      <c r="J189" s="2016">
        <v>255</v>
      </c>
      <c r="K189" s="2016">
        <v>21.25</v>
      </c>
    </row>
    <row r="190" spans="1:12">
      <c r="A190" s="398"/>
      <c r="B190" s="43" t="s">
        <v>2267</v>
      </c>
      <c r="C190" s="207" t="s">
        <v>2268</v>
      </c>
      <c r="D190" s="322" t="s">
        <v>2010</v>
      </c>
      <c r="E190" s="728">
        <v>28</v>
      </c>
      <c r="F190" s="767">
        <v>320</v>
      </c>
      <c r="G190" s="310" t="s">
        <v>2269</v>
      </c>
      <c r="H190" s="2017">
        <v>320</v>
      </c>
      <c r="I190" s="431" t="s">
        <v>2270</v>
      </c>
      <c r="J190" s="2016">
        <v>300</v>
      </c>
      <c r="K190" s="2016">
        <v>25</v>
      </c>
    </row>
    <row r="191" spans="1:12">
      <c r="A191" s="438"/>
      <c r="B191" s="43" t="s">
        <v>2271</v>
      </c>
      <c r="C191" s="207" t="s">
        <v>2268</v>
      </c>
      <c r="D191" s="322" t="s">
        <v>2010</v>
      </c>
      <c r="E191" s="728">
        <v>32</v>
      </c>
      <c r="F191" s="767">
        <v>345</v>
      </c>
      <c r="G191" s="310" t="s">
        <v>2272</v>
      </c>
      <c r="H191" s="2017">
        <v>330</v>
      </c>
      <c r="I191" s="431"/>
      <c r="J191" s="2016">
        <v>330</v>
      </c>
      <c r="K191" s="2016">
        <f>J191/12</f>
        <v>27.5</v>
      </c>
    </row>
    <row r="192" spans="1:12">
      <c r="A192" s="438"/>
      <c r="B192" s="43" t="s">
        <v>2273</v>
      </c>
      <c r="C192" s="207" t="s">
        <v>2274</v>
      </c>
      <c r="D192" s="322" t="s">
        <v>23</v>
      </c>
      <c r="E192" s="728">
        <v>23</v>
      </c>
      <c r="F192" s="767">
        <v>220</v>
      </c>
      <c r="G192" s="310" t="s">
        <v>2272</v>
      </c>
      <c r="H192" s="3691">
        <v>210</v>
      </c>
      <c r="I192" s="3692"/>
      <c r="J192" s="3670">
        <v>210</v>
      </c>
      <c r="K192" s="3670">
        <v>17.5</v>
      </c>
    </row>
    <row r="193" spans="1:11">
      <c r="A193" s="438"/>
      <c r="B193" s="43" t="s">
        <v>2275</v>
      </c>
      <c r="C193" s="207" t="s">
        <v>2274</v>
      </c>
      <c r="D193" s="322" t="s">
        <v>23</v>
      </c>
      <c r="E193" s="728">
        <v>33</v>
      </c>
      <c r="F193" s="767">
        <v>350</v>
      </c>
      <c r="G193" s="310" t="s">
        <v>2272</v>
      </c>
      <c r="H193" s="207">
        <v>340</v>
      </c>
      <c r="I193" s="431" t="s">
        <v>2276</v>
      </c>
      <c r="J193" s="3670">
        <v>335</v>
      </c>
      <c r="K193" s="3670">
        <v>27.92</v>
      </c>
    </row>
    <row r="194" spans="1:11">
      <c r="A194" s="83"/>
      <c r="B194" s="43"/>
      <c r="C194" s="101"/>
      <c r="D194" s="342"/>
      <c r="E194" s="767"/>
      <c r="F194" s="767"/>
      <c r="G194" s="206"/>
      <c r="H194" s="74"/>
      <c r="I194" s="560"/>
      <c r="J194" s="544"/>
      <c r="K194" s="365"/>
    </row>
    <row r="195" spans="1:11">
      <c r="A195" s="3447"/>
      <c r="B195" s="43" t="s">
        <v>2277</v>
      </c>
      <c r="C195" s="207" t="s">
        <v>2213</v>
      </c>
      <c r="D195" s="339"/>
      <c r="E195" s="84">
        <v>35</v>
      </c>
      <c r="F195" s="767" t="s">
        <v>2278</v>
      </c>
      <c r="G195" s="477" t="s">
        <v>2279</v>
      </c>
      <c r="H195" s="115">
        <v>365</v>
      </c>
      <c r="I195" s="431"/>
      <c r="J195" s="590">
        <v>359.84</v>
      </c>
      <c r="K195" s="526">
        <v>29.98</v>
      </c>
    </row>
    <row r="196" spans="1:11">
      <c r="A196" s="83"/>
      <c r="B196" s="43" t="s">
        <v>2277</v>
      </c>
      <c r="C196" s="207" t="s">
        <v>2280</v>
      </c>
      <c r="D196" s="322"/>
      <c r="E196" s="728">
        <v>25</v>
      </c>
      <c r="F196" s="767" t="s">
        <v>2281</v>
      </c>
      <c r="G196" s="310" t="s">
        <v>2282</v>
      </c>
      <c r="H196" s="707">
        <v>255</v>
      </c>
      <c r="I196" s="431"/>
      <c r="J196" s="586">
        <v>262.14999999999998</v>
      </c>
      <c r="K196" s="365">
        <v>21.84</v>
      </c>
    </row>
    <row r="197" spans="1:11">
      <c r="A197" s="398"/>
      <c r="B197" s="43"/>
      <c r="C197" s="207"/>
      <c r="D197" s="322"/>
      <c r="E197" s="728"/>
      <c r="F197" s="767"/>
      <c r="G197" s="310"/>
      <c r="H197" s="707"/>
      <c r="I197" s="431"/>
      <c r="J197" s="586"/>
      <c r="K197" s="365"/>
    </row>
    <row r="198" spans="1:11">
      <c r="A198" s="1469"/>
      <c r="B198" s="775" t="s">
        <v>2283</v>
      </c>
      <c r="C198" s="986"/>
      <c r="D198" s="322"/>
      <c r="E198" s="728"/>
      <c r="F198" s="767"/>
      <c r="G198" s="310"/>
      <c r="H198" s="707"/>
      <c r="I198" s="431"/>
      <c r="J198" s="586"/>
      <c r="K198" s="365"/>
    </row>
    <row r="199" spans="1:11">
      <c r="A199" s="398"/>
      <c r="B199" s="43" t="s">
        <v>2284</v>
      </c>
      <c r="C199" s="207" t="s">
        <v>2285</v>
      </c>
      <c r="D199" s="322" t="s">
        <v>23</v>
      </c>
      <c r="E199" s="728">
        <v>26</v>
      </c>
      <c r="F199" s="767">
        <v>290</v>
      </c>
      <c r="G199" s="312" t="s">
        <v>2286</v>
      </c>
      <c r="H199" s="878">
        <v>441</v>
      </c>
      <c r="I199" s="764" t="s">
        <v>2287</v>
      </c>
      <c r="J199" s="604">
        <v>267.39</v>
      </c>
      <c r="K199" s="365">
        <v>22.28</v>
      </c>
    </row>
    <row r="200" spans="1:11">
      <c r="A200" s="438"/>
      <c r="B200" s="362" t="s">
        <v>2288</v>
      </c>
      <c r="C200" s="207" t="s">
        <v>2289</v>
      </c>
      <c r="D200" s="322" t="s">
        <v>23</v>
      </c>
      <c r="E200" s="728">
        <v>23</v>
      </c>
      <c r="F200" s="3693" t="s">
        <v>2290</v>
      </c>
      <c r="G200" s="310" t="s">
        <v>2291</v>
      </c>
      <c r="H200" s="707">
        <v>272</v>
      </c>
      <c r="I200" s="431"/>
      <c r="J200" s="586">
        <v>235.01</v>
      </c>
      <c r="K200" s="365">
        <v>19.579999999999998</v>
      </c>
    </row>
    <row r="201" spans="1:11">
      <c r="A201" s="398"/>
      <c r="B201" s="433"/>
      <c r="C201" s="207"/>
      <c r="D201" s="421"/>
      <c r="E201" s="839"/>
      <c r="F201" s="767"/>
      <c r="G201" s="310"/>
      <c r="H201" s="707"/>
      <c r="I201" s="431"/>
      <c r="J201" s="586"/>
      <c r="K201" s="365"/>
    </row>
    <row r="202" spans="1:11">
      <c r="A202" s="438"/>
      <c r="B202" s="3694" t="s">
        <v>2039</v>
      </c>
      <c r="C202" s="207"/>
      <c r="D202" s="321"/>
      <c r="E202" s="728"/>
      <c r="F202" s="767"/>
      <c r="G202" s="310"/>
      <c r="H202" s="207"/>
      <c r="I202" s="431"/>
      <c r="J202" s="586"/>
      <c r="K202" s="365"/>
    </row>
    <row r="203" spans="1:11">
      <c r="A203" s="438"/>
      <c r="B203" s="43" t="s">
        <v>2292</v>
      </c>
      <c r="C203" s="207" t="s">
        <v>2293</v>
      </c>
      <c r="D203" s="322" t="s">
        <v>2214</v>
      </c>
      <c r="E203" s="728">
        <v>38</v>
      </c>
      <c r="F203" s="767" t="s">
        <v>2294</v>
      </c>
      <c r="G203" s="310" t="s">
        <v>2295</v>
      </c>
      <c r="H203" s="207">
        <v>498.46</v>
      </c>
      <c r="I203" s="431" t="s">
        <v>2296</v>
      </c>
      <c r="J203" s="586">
        <v>394</v>
      </c>
      <c r="K203" s="365">
        <v>32.83</v>
      </c>
    </row>
    <row r="204" spans="1:11" ht="35.25" thickBot="1">
      <c r="A204" s="2042"/>
      <c r="B204" s="162"/>
      <c r="C204" s="523"/>
      <c r="D204" s="425"/>
      <c r="E204" s="728"/>
      <c r="F204" s="860"/>
      <c r="G204" s="426"/>
      <c r="H204" s="523"/>
      <c r="I204" s="509"/>
      <c r="J204" s="710"/>
      <c r="K204" s="983"/>
    </row>
    <row r="205" spans="1:11">
      <c r="A205" s="1019"/>
      <c r="B205" s="781" t="s">
        <v>1040</v>
      </c>
      <c r="C205" s="341"/>
      <c r="D205" s="413"/>
      <c r="E205" s="728"/>
      <c r="F205" s="767"/>
      <c r="G205" s="312"/>
      <c r="H205" s="341"/>
      <c r="I205" s="505"/>
      <c r="J205" s="604"/>
      <c r="K205" s="378"/>
    </row>
    <row r="206" spans="1:11">
      <c r="A206" s="438"/>
      <c r="B206" s="406" t="s">
        <v>1886</v>
      </c>
      <c r="C206" s="341" t="s">
        <v>309</v>
      </c>
      <c r="D206" s="3469" t="s">
        <v>2297</v>
      </c>
      <c r="E206" s="84" t="s">
        <v>2298</v>
      </c>
      <c r="F206" s="767" t="s">
        <v>2299</v>
      </c>
      <c r="G206" s="2765" t="s">
        <v>2300</v>
      </c>
      <c r="H206" s="925">
        <v>205</v>
      </c>
      <c r="I206" s="505" t="s">
        <v>411</v>
      </c>
      <c r="J206" s="591">
        <v>215</v>
      </c>
      <c r="K206" s="527">
        <v>21.5</v>
      </c>
    </row>
    <row r="207" spans="1:11">
      <c r="A207" s="254"/>
      <c r="B207" s="406" t="s">
        <v>2301</v>
      </c>
      <c r="C207" s="341" t="s">
        <v>309</v>
      </c>
      <c r="D207" s="3469" t="s">
        <v>2297</v>
      </c>
      <c r="E207" s="120"/>
      <c r="F207" s="121"/>
      <c r="G207" s="310" t="s">
        <v>2302</v>
      </c>
      <c r="H207" s="207">
        <v>170</v>
      </c>
      <c r="I207" s="505" t="s">
        <v>411</v>
      </c>
      <c r="J207" s="586">
        <v>180</v>
      </c>
      <c r="K207" s="365">
        <v>18</v>
      </c>
    </row>
    <row r="208" spans="1:11">
      <c r="A208" s="398"/>
      <c r="B208" s="406" t="s">
        <v>1896</v>
      </c>
      <c r="C208" s="341" t="s">
        <v>309</v>
      </c>
      <c r="D208" s="3469" t="s">
        <v>2297</v>
      </c>
      <c r="E208" s="84"/>
      <c r="F208" s="767"/>
      <c r="G208" s="477"/>
      <c r="H208" s="115"/>
      <c r="I208" s="505" t="s">
        <v>411</v>
      </c>
      <c r="J208" s="590"/>
      <c r="K208" s="526"/>
    </row>
    <row r="209" spans="1:12">
      <c r="A209" s="265"/>
      <c r="B209" s="268"/>
      <c r="C209" s="101"/>
      <c r="D209" s="462"/>
      <c r="E209" s="120"/>
      <c r="F209" s="121"/>
      <c r="G209" s="206"/>
      <c r="H209" s="115"/>
      <c r="I209" s="185"/>
      <c r="J209" s="3695"/>
      <c r="K209" s="1501"/>
    </row>
    <row r="210" spans="1:12">
      <c r="A210" s="254"/>
      <c r="B210" s="781" t="s">
        <v>2303</v>
      </c>
      <c r="C210" s="207"/>
      <c r="D210" s="339"/>
      <c r="E210" s="84"/>
      <c r="F210" s="767"/>
      <c r="G210" s="477"/>
      <c r="H210" s="115"/>
      <c r="I210" s="431"/>
      <c r="J210" s="590"/>
      <c r="K210" s="526"/>
    </row>
    <row r="211" spans="1:12">
      <c r="A211" s="398"/>
      <c r="B211" s="268" t="s">
        <v>2304</v>
      </c>
      <c r="C211" s="101" t="s">
        <v>100</v>
      </c>
      <c r="D211" s="462" t="s">
        <v>495</v>
      </c>
      <c r="E211" s="120"/>
      <c r="F211" s="121"/>
      <c r="G211" s="206" t="s">
        <v>2097</v>
      </c>
      <c r="H211" s="115">
        <v>230</v>
      </c>
      <c r="I211" s="185"/>
      <c r="J211" s="3695">
        <v>246.1</v>
      </c>
      <c r="K211" s="1501">
        <v>10.25</v>
      </c>
    </row>
    <row r="212" spans="1:12">
      <c r="A212" s="782"/>
      <c r="B212" s="268" t="s">
        <v>2304</v>
      </c>
      <c r="C212" s="101" t="s">
        <v>284</v>
      </c>
      <c r="D212" s="462" t="s">
        <v>618</v>
      </c>
      <c r="E212" s="249">
        <v>8</v>
      </c>
      <c r="F212" s="121" t="s">
        <v>2305</v>
      </c>
      <c r="G212" s="206" t="s">
        <v>2306</v>
      </c>
      <c r="H212" s="115">
        <v>270</v>
      </c>
      <c r="I212" s="185"/>
      <c r="J212" s="3695">
        <v>288.89999999999998</v>
      </c>
      <c r="K212" s="1501">
        <v>6.01</v>
      </c>
    </row>
    <row r="213" spans="1:12">
      <c r="A213" s="2784"/>
      <c r="B213" s="3431" t="s">
        <v>2307</v>
      </c>
      <c r="C213" s="2794" t="s">
        <v>2225</v>
      </c>
      <c r="D213" s="342" t="s">
        <v>23</v>
      </c>
      <c r="E213" s="843">
        <v>22</v>
      </c>
      <c r="F213" s="853" t="s">
        <v>2308</v>
      </c>
      <c r="G213" s="206" t="s">
        <v>2309</v>
      </c>
      <c r="H213" s="74">
        <v>212</v>
      </c>
      <c r="I213" s="560"/>
      <c r="J213" s="644">
        <v>210.79</v>
      </c>
      <c r="K213" s="2016">
        <v>17.559999999999999</v>
      </c>
    </row>
    <row r="214" spans="1:12">
      <c r="A214" s="83"/>
      <c r="B214" s="362"/>
      <c r="C214" s="101"/>
      <c r="D214" s="342"/>
      <c r="E214" s="871"/>
      <c r="F214" s="767"/>
      <c r="G214" s="206"/>
      <c r="H214" s="74"/>
      <c r="I214" s="562"/>
      <c r="J214" s="547"/>
      <c r="K214" s="550"/>
    </row>
    <row r="215" spans="1:12">
      <c r="A215" s="83"/>
      <c r="B215" s="362"/>
      <c r="C215" s="101"/>
      <c r="D215" s="342"/>
      <c r="E215" s="871"/>
      <c r="F215" s="767"/>
      <c r="G215" s="206"/>
      <c r="H215" s="74"/>
      <c r="I215" s="562"/>
      <c r="J215" s="547"/>
      <c r="K215" s="550"/>
    </row>
    <row r="216" spans="1:12">
      <c r="A216" s="83"/>
      <c r="B216" s="1462"/>
      <c r="C216" s="661"/>
      <c r="D216" s="1463"/>
      <c r="E216" s="1464"/>
      <c r="F216" s="1465"/>
      <c r="G216" s="799"/>
      <c r="H216" s="1424"/>
      <c r="I216" s="1466"/>
      <c r="J216" s="1467"/>
      <c r="K216" s="1468"/>
    </row>
    <row r="217" spans="1:12" ht="33" customHeight="1">
      <c r="A217" s="44"/>
      <c r="B217" s="45"/>
      <c r="C217" s="46"/>
      <c r="D217" s="124"/>
      <c r="F217" s="104"/>
      <c r="H217" s="45"/>
      <c r="I217" s="556"/>
    </row>
    <row r="218" spans="1:12">
      <c r="A218" s="45"/>
      <c r="B218" s="45"/>
      <c r="C218" s="68"/>
      <c r="D218" s="612"/>
      <c r="F218" s="104"/>
      <c r="H218" s="45"/>
      <c r="I218" s="556"/>
      <c r="K218" s="537"/>
      <c r="L218" s="45"/>
    </row>
    <row r="219" spans="1:12" s="45" customFormat="1">
      <c r="A219" s="3480"/>
      <c r="B219" s="3480"/>
      <c r="C219" s="46"/>
      <c r="D219" s="124"/>
      <c r="E219" s="335"/>
      <c r="F219" s="104"/>
      <c r="G219" s="210"/>
      <c r="I219" s="556"/>
      <c r="J219" s="540"/>
      <c r="K219" s="366"/>
    </row>
    <row r="220" spans="1:12" ht="22.5" customHeight="1" thickBot="1">
      <c r="F220" s="104"/>
      <c r="K220" s="732"/>
    </row>
    <row r="221" spans="1:12">
      <c r="A221" s="3445"/>
      <c r="B221" s="3446"/>
      <c r="C221" s="48"/>
      <c r="D221" s="436"/>
      <c r="E221" s="868"/>
      <c r="F221" s="849"/>
      <c r="G221" s="211"/>
      <c r="H221" s="48"/>
      <c r="I221" s="557"/>
      <c r="J221" s="573"/>
      <c r="K221" s="346"/>
      <c r="L221" s="46"/>
    </row>
    <row r="222" spans="1:12" ht="35.25" thickBot="1">
      <c r="A222" s="152"/>
      <c r="B222" s="930"/>
      <c r="C222" s="50"/>
      <c r="D222" s="437"/>
      <c r="E222" s="869"/>
      <c r="F222" s="850"/>
      <c r="G222" s="212"/>
      <c r="H222" s="50"/>
      <c r="I222" s="558"/>
      <c r="J222" s="574"/>
      <c r="K222" s="347"/>
      <c r="L222" s="46"/>
    </row>
    <row r="223" spans="1:12" ht="35.25" thickBot="1">
      <c r="A223" s="2784"/>
      <c r="B223" s="2784"/>
      <c r="C223" s="63"/>
      <c r="D223" s="342"/>
      <c r="E223" s="838"/>
      <c r="F223" s="767"/>
      <c r="G223" s="206"/>
      <c r="H223" s="74"/>
      <c r="I223" s="560"/>
      <c r="J223" s="547"/>
      <c r="K223" s="365"/>
    </row>
    <row r="224" spans="1:12">
      <c r="A224" s="87"/>
      <c r="B224" s="3452" t="s">
        <v>2310</v>
      </c>
      <c r="C224" s="207"/>
      <c r="D224" s="411"/>
      <c r="E224" s="833"/>
      <c r="F224" s="858"/>
      <c r="G224" s="310"/>
      <c r="H224" s="207"/>
      <c r="I224" s="431"/>
      <c r="J224" s="704"/>
      <c r="K224" s="365"/>
    </row>
    <row r="225" spans="1:11">
      <c r="A225" s="3447"/>
      <c r="B225" s="43" t="s">
        <v>2311</v>
      </c>
      <c r="C225" s="207" t="s">
        <v>1286</v>
      </c>
      <c r="D225" s="322" t="s">
        <v>2083</v>
      </c>
      <c r="E225" s="728">
        <v>48</v>
      </c>
      <c r="F225" s="859" t="s">
        <v>2312</v>
      </c>
      <c r="G225" s="3466" t="s">
        <v>2313</v>
      </c>
      <c r="H225" s="207">
        <v>977</v>
      </c>
      <c r="I225" s="2019" t="s">
        <v>2314</v>
      </c>
      <c r="J225" s="707">
        <v>983.32</v>
      </c>
      <c r="K225" s="365">
        <v>40.97</v>
      </c>
    </row>
    <row r="226" spans="1:11">
      <c r="A226" s="398"/>
      <c r="B226" s="43" t="s">
        <v>2311</v>
      </c>
      <c r="C226" s="207" t="s">
        <v>2315</v>
      </c>
      <c r="D226" s="410" t="s">
        <v>2010</v>
      </c>
      <c r="E226" s="728">
        <v>89</v>
      </c>
      <c r="F226" s="2020" t="s">
        <v>2316</v>
      </c>
      <c r="G226" s="3466" t="s">
        <v>2313</v>
      </c>
      <c r="H226" s="207">
        <v>925</v>
      </c>
      <c r="I226" s="764" t="s">
        <v>2317</v>
      </c>
      <c r="J226" s="586">
        <v>931.33</v>
      </c>
      <c r="K226" s="365">
        <v>77.61</v>
      </c>
    </row>
    <row r="227" spans="1:11">
      <c r="A227" s="398"/>
      <c r="B227" s="43" t="s">
        <v>2318</v>
      </c>
      <c r="C227" s="207" t="s">
        <v>1286</v>
      </c>
      <c r="D227" s="322" t="s">
        <v>2083</v>
      </c>
      <c r="E227" s="728">
        <v>43</v>
      </c>
      <c r="F227" s="859" t="s">
        <v>2319</v>
      </c>
      <c r="G227" s="3466" t="s">
        <v>2313</v>
      </c>
      <c r="H227" s="207">
        <v>853</v>
      </c>
      <c r="I227" s="764" t="s">
        <v>2320</v>
      </c>
      <c r="J227" s="586">
        <v>860</v>
      </c>
      <c r="K227" s="365">
        <v>35.79</v>
      </c>
    </row>
    <row r="228" spans="1:11">
      <c r="A228" s="83"/>
      <c r="B228" s="43" t="s">
        <v>2318</v>
      </c>
      <c r="C228" s="207" t="s">
        <v>2321</v>
      </c>
      <c r="D228" s="410" t="s">
        <v>2010</v>
      </c>
      <c r="E228" s="728">
        <v>79</v>
      </c>
      <c r="F228" s="859" t="s">
        <v>2322</v>
      </c>
      <c r="G228" s="3466" t="s">
        <v>2313</v>
      </c>
      <c r="H228" s="207">
        <v>812</v>
      </c>
      <c r="I228" s="764" t="s">
        <v>2323</v>
      </c>
      <c r="J228" s="586">
        <v>818</v>
      </c>
      <c r="K228" s="365">
        <v>68.14</v>
      </c>
    </row>
    <row r="229" spans="1:11">
      <c r="A229" s="398"/>
      <c r="B229" s="43" t="s">
        <v>2324</v>
      </c>
      <c r="C229" s="207" t="s">
        <v>2325</v>
      </c>
      <c r="D229" s="410" t="s">
        <v>18</v>
      </c>
      <c r="E229" s="728">
        <v>24</v>
      </c>
      <c r="F229" s="859"/>
      <c r="G229" s="3466" t="s">
        <v>1486</v>
      </c>
      <c r="H229" s="207">
        <v>499.3</v>
      </c>
      <c r="I229" s="431"/>
      <c r="J229" s="586">
        <v>496.85</v>
      </c>
      <c r="K229" s="365">
        <v>20.7</v>
      </c>
    </row>
    <row r="230" spans="1:11">
      <c r="A230" s="398"/>
      <c r="B230" s="43" t="s">
        <v>2326</v>
      </c>
      <c r="C230" s="207" t="s">
        <v>2325</v>
      </c>
      <c r="D230" s="410" t="s">
        <v>18</v>
      </c>
      <c r="E230" s="837">
        <v>25</v>
      </c>
      <c r="F230" s="859"/>
      <c r="G230" s="3466" t="s">
        <v>1486</v>
      </c>
      <c r="H230" s="207">
        <v>524.77</v>
      </c>
      <c r="I230" s="431"/>
      <c r="J230" s="586">
        <v>522.19000000000005</v>
      </c>
      <c r="K230" s="365">
        <v>21.76</v>
      </c>
    </row>
    <row r="231" spans="1:11">
      <c r="A231" s="398"/>
      <c r="B231" s="43"/>
      <c r="C231" s="101"/>
      <c r="D231" s="322"/>
      <c r="E231" s="843"/>
      <c r="F231" s="853"/>
      <c r="G231" s="2731"/>
      <c r="H231" s="74"/>
      <c r="I231" s="2489"/>
      <c r="J231" s="644"/>
      <c r="K231" s="2016"/>
    </row>
    <row r="232" spans="1:11">
      <c r="A232" s="398"/>
      <c r="B232" s="2807" t="s">
        <v>2327</v>
      </c>
      <c r="C232" s="2808"/>
      <c r="D232" s="322"/>
      <c r="E232" s="728"/>
      <c r="F232" s="767"/>
      <c r="G232" s="310"/>
      <c r="H232" s="207"/>
      <c r="I232" s="431"/>
      <c r="J232" s="365"/>
      <c r="K232" s="365"/>
    </row>
    <row r="233" spans="1:11">
      <c r="A233" s="83"/>
      <c r="B233" s="3341" t="s">
        <v>2328</v>
      </c>
      <c r="C233" s="787" t="s">
        <v>2329</v>
      </c>
      <c r="D233" s="322" t="s">
        <v>18</v>
      </c>
      <c r="E233" s="728">
        <v>62</v>
      </c>
      <c r="F233" s="767" t="s">
        <v>2330</v>
      </c>
      <c r="G233" s="310" t="s">
        <v>700</v>
      </c>
      <c r="H233" s="207">
        <v>1315.5</v>
      </c>
      <c r="I233" s="431"/>
      <c r="J233" s="2017" t="s">
        <v>2331</v>
      </c>
      <c r="K233" s="2358" t="s">
        <v>2332</v>
      </c>
    </row>
    <row r="234" spans="1:11">
      <c r="A234" s="83"/>
      <c r="B234" s="2809" t="s">
        <v>2333</v>
      </c>
      <c r="C234" s="207" t="s">
        <v>2329</v>
      </c>
      <c r="D234" s="322" t="s">
        <v>18</v>
      </c>
      <c r="E234" s="728">
        <v>57</v>
      </c>
      <c r="F234" s="767" t="s">
        <v>2334</v>
      </c>
      <c r="G234" s="310" t="s">
        <v>700</v>
      </c>
      <c r="H234" s="207">
        <v>1239.3599999999999</v>
      </c>
      <c r="I234" s="2798"/>
      <c r="J234" s="2358" t="s">
        <v>2335</v>
      </c>
      <c r="K234" s="2358" t="s">
        <v>2336</v>
      </c>
    </row>
    <row r="235" spans="1:11">
      <c r="A235" s="83"/>
      <c r="B235" s="2809" t="s">
        <v>2333</v>
      </c>
      <c r="C235" s="2781"/>
      <c r="D235" s="3455" t="s">
        <v>23</v>
      </c>
      <c r="E235" s="728"/>
      <c r="F235" s="767"/>
      <c r="G235" s="2797"/>
      <c r="H235" s="2781"/>
      <c r="I235" s="2798"/>
      <c r="J235" s="2810"/>
      <c r="K235" s="2810"/>
    </row>
    <row r="236" spans="1:11">
      <c r="A236" s="83"/>
      <c r="B236" s="2809"/>
      <c r="C236" s="2781"/>
      <c r="D236" s="3455"/>
      <c r="E236" s="728"/>
      <c r="F236" s="767"/>
      <c r="G236" s="2797"/>
      <c r="H236" s="2781"/>
      <c r="I236" s="2798"/>
      <c r="J236" s="2810"/>
      <c r="K236" s="2810"/>
    </row>
    <row r="237" spans="1:11">
      <c r="A237" s="83"/>
      <c r="B237" s="43"/>
      <c r="C237" s="207"/>
      <c r="D237" s="322"/>
      <c r="E237" s="728"/>
      <c r="F237" s="767"/>
      <c r="G237" s="310"/>
      <c r="H237" s="207"/>
      <c r="I237" s="431"/>
      <c r="J237" s="365"/>
      <c r="K237" s="365"/>
    </row>
    <row r="238" spans="1:11">
      <c r="A238" s="782"/>
      <c r="B238" s="1443" t="s">
        <v>2337</v>
      </c>
      <c r="C238" s="340"/>
      <c r="D238" s="1443" t="s">
        <v>2338</v>
      </c>
      <c r="E238" s="90"/>
      <c r="F238" s="61"/>
      <c r="G238" s="206"/>
      <c r="H238" s="74"/>
      <c r="I238" s="182"/>
      <c r="J238" s="685"/>
      <c r="K238" s="365"/>
    </row>
    <row r="239" spans="1:11">
      <c r="A239" s="224"/>
      <c r="B239" s="928" t="s">
        <v>2339</v>
      </c>
      <c r="C239" s="101" t="s">
        <v>2321</v>
      </c>
      <c r="D239" s="105" t="s">
        <v>23</v>
      </c>
      <c r="E239" s="2311">
        <v>35</v>
      </c>
      <c r="F239" s="861" t="s">
        <v>2340</v>
      </c>
      <c r="G239" s="799" t="s">
        <v>2341</v>
      </c>
      <c r="H239" s="74">
        <v>380</v>
      </c>
      <c r="I239" s="182" t="s">
        <v>2342</v>
      </c>
      <c r="J239" s="1407">
        <v>365.94</v>
      </c>
      <c r="K239" s="1408">
        <v>30.49</v>
      </c>
    </row>
    <row r="240" spans="1:11">
      <c r="A240" s="224"/>
      <c r="B240" s="74" t="s">
        <v>2343</v>
      </c>
      <c r="C240" s="101" t="s">
        <v>2344</v>
      </c>
      <c r="D240" s="105" t="s">
        <v>23</v>
      </c>
      <c r="E240" s="2311">
        <v>27</v>
      </c>
      <c r="F240" s="767" t="s">
        <v>2345</v>
      </c>
      <c r="G240" s="206" t="s">
        <v>2346</v>
      </c>
      <c r="H240" s="74">
        <v>260</v>
      </c>
      <c r="I240" s="182"/>
      <c r="J240" s="1407">
        <v>278.2</v>
      </c>
      <c r="K240" s="1408">
        <v>23.18</v>
      </c>
    </row>
    <row r="241" spans="1:11">
      <c r="A241" s="224"/>
      <c r="B241" s="74" t="s">
        <v>2343</v>
      </c>
      <c r="C241" s="207" t="s">
        <v>2347</v>
      </c>
      <c r="D241" s="105" t="s">
        <v>23</v>
      </c>
      <c r="E241" s="145"/>
      <c r="F241" s="61"/>
      <c r="G241" s="206" t="s">
        <v>2206</v>
      </c>
      <c r="H241" s="74">
        <v>325</v>
      </c>
      <c r="I241" s="182" t="s">
        <v>2342</v>
      </c>
      <c r="J241" s="1407">
        <v>312.97000000000003</v>
      </c>
      <c r="K241" s="1408">
        <v>26.08</v>
      </c>
    </row>
    <row r="242" spans="1:11">
      <c r="A242" s="2784"/>
      <c r="B242" s="74" t="s">
        <v>2348</v>
      </c>
      <c r="C242" s="101" t="s">
        <v>2349</v>
      </c>
      <c r="D242" s="105" t="s">
        <v>23</v>
      </c>
      <c r="E242" s="2312">
        <v>20</v>
      </c>
      <c r="F242" s="1497" t="s">
        <v>2308</v>
      </c>
      <c r="G242" s="206" t="s">
        <v>2350</v>
      </c>
      <c r="H242" s="115">
        <v>210</v>
      </c>
      <c r="I242" s="217" t="s">
        <v>2351</v>
      </c>
      <c r="J242" s="1407">
        <v>213.47</v>
      </c>
      <c r="K242" s="1408">
        <v>17.79</v>
      </c>
    </row>
    <row r="243" spans="1:11">
      <c r="A243" s="2806"/>
      <c r="B243" s="74" t="s">
        <v>2352</v>
      </c>
      <c r="C243" s="101" t="s">
        <v>2353</v>
      </c>
      <c r="D243" s="105" t="s">
        <v>18</v>
      </c>
      <c r="E243" s="1943">
        <v>32</v>
      </c>
      <c r="F243" s="861" t="s">
        <v>647</v>
      </c>
      <c r="G243" s="206" t="s">
        <v>2354</v>
      </c>
      <c r="H243" s="115">
        <v>678</v>
      </c>
      <c r="I243" s="182" t="s">
        <v>2355</v>
      </c>
      <c r="J243" s="1407">
        <v>674.67</v>
      </c>
      <c r="K243" s="1408">
        <v>28.11</v>
      </c>
    </row>
    <row r="244" spans="1:11">
      <c r="A244" s="83"/>
      <c r="B244" s="74" t="s">
        <v>2147</v>
      </c>
      <c r="C244" s="101" t="s">
        <v>107</v>
      </c>
      <c r="D244" s="105" t="s">
        <v>18</v>
      </c>
      <c r="E244" s="1943">
        <v>30</v>
      </c>
      <c r="F244" s="861" t="s">
        <v>2356</v>
      </c>
      <c r="G244" s="979" t="s">
        <v>2357</v>
      </c>
      <c r="H244" s="115">
        <v>548</v>
      </c>
      <c r="I244" s="182" t="s">
        <v>554</v>
      </c>
      <c r="J244" s="1407">
        <v>586.36</v>
      </c>
      <c r="K244" s="1408">
        <v>24.44</v>
      </c>
    </row>
    <row r="245" spans="1:11">
      <c r="A245" s="83"/>
      <c r="B245" s="74" t="s">
        <v>2147</v>
      </c>
      <c r="C245" s="207" t="s">
        <v>2358</v>
      </c>
      <c r="D245" s="105" t="s">
        <v>23</v>
      </c>
      <c r="E245" s="2312">
        <v>49</v>
      </c>
      <c r="F245" s="861" t="s">
        <v>2312</v>
      </c>
      <c r="G245" s="979" t="s">
        <v>2164</v>
      </c>
      <c r="H245" s="115">
        <v>480</v>
      </c>
      <c r="I245" s="182"/>
      <c r="J245" s="1407">
        <v>513.6</v>
      </c>
      <c r="K245" s="1408">
        <v>42.8</v>
      </c>
    </row>
    <row r="246" spans="1:11">
      <c r="A246" s="83"/>
      <c r="B246" s="74" t="s">
        <v>2359</v>
      </c>
      <c r="C246" s="101" t="s">
        <v>26</v>
      </c>
      <c r="D246" s="105" t="s">
        <v>23</v>
      </c>
      <c r="E246" s="2312">
        <v>37</v>
      </c>
      <c r="F246" s="861" t="s">
        <v>2360</v>
      </c>
      <c r="G246" s="206" t="s">
        <v>2361</v>
      </c>
      <c r="H246" s="115">
        <v>400</v>
      </c>
      <c r="I246" s="182" t="s">
        <v>2362</v>
      </c>
      <c r="J246" s="1407">
        <v>411</v>
      </c>
      <c r="K246" s="1408">
        <v>34.24</v>
      </c>
    </row>
    <row r="247" spans="1:11">
      <c r="A247" s="83"/>
      <c r="B247" s="74" t="s">
        <v>2363</v>
      </c>
      <c r="C247" s="101" t="s">
        <v>2364</v>
      </c>
      <c r="D247" s="105" t="s">
        <v>23</v>
      </c>
      <c r="E247" s="2312">
        <v>44</v>
      </c>
      <c r="F247" s="861" t="s">
        <v>2365</v>
      </c>
      <c r="G247" s="979" t="s">
        <v>2341</v>
      </c>
      <c r="H247" s="115">
        <v>432</v>
      </c>
      <c r="I247" s="182"/>
      <c r="J247" s="1407">
        <v>462.24</v>
      </c>
      <c r="K247" s="1408">
        <v>38.520000000000003</v>
      </c>
    </row>
    <row r="248" spans="1:11">
      <c r="A248" s="83"/>
      <c r="B248" s="74" t="s">
        <v>2363</v>
      </c>
      <c r="C248" s="101" t="s">
        <v>2366</v>
      </c>
      <c r="D248" s="105" t="s">
        <v>18</v>
      </c>
      <c r="E248" s="1943">
        <v>25</v>
      </c>
      <c r="F248" s="861" t="s">
        <v>2367</v>
      </c>
      <c r="G248" s="979" t="s">
        <v>2368</v>
      </c>
      <c r="H248" s="115">
        <v>488</v>
      </c>
      <c r="I248" s="182"/>
      <c r="J248" s="1407">
        <v>522.16</v>
      </c>
      <c r="K248" s="1408">
        <v>21.76</v>
      </c>
    </row>
    <row r="249" spans="1:11">
      <c r="A249" s="83"/>
      <c r="B249" s="74" t="s">
        <v>2369</v>
      </c>
      <c r="C249" s="101" t="s">
        <v>2370</v>
      </c>
      <c r="D249" s="105" t="s">
        <v>18</v>
      </c>
      <c r="E249" s="728">
        <v>32</v>
      </c>
      <c r="F249" s="767" t="s">
        <v>2371</v>
      </c>
      <c r="G249" s="2797" t="s">
        <v>422</v>
      </c>
      <c r="H249" s="2781">
        <v>324</v>
      </c>
      <c r="I249" s="2798" t="s">
        <v>2362</v>
      </c>
      <c r="J249" s="2810" t="s">
        <v>2372</v>
      </c>
      <c r="K249" s="2810" t="s">
        <v>2373</v>
      </c>
    </row>
    <row r="250" spans="1:11">
      <c r="A250" s="995"/>
      <c r="B250" s="2809" t="s">
        <v>2374</v>
      </c>
      <c r="C250" s="787"/>
      <c r="D250" s="322"/>
      <c r="E250" s="728"/>
      <c r="F250" s="767"/>
      <c r="G250" s="310"/>
      <c r="H250" s="207"/>
      <c r="I250" s="431"/>
      <c r="J250" s="586"/>
      <c r="K250" s="365"/>
    </row>
    <row r="251" spans="1:11">
      <c r="A251" s="87"/>
      <c r="B251" s="2809" t="s">
        <v>2374</v>
      </c>
      <c r="C251" s="207" t="s">
        <v>2375</v>
      </c>
      <c r="D251" s="322" t="s">
        <v>23</v>
      </c>
      <c r="E251" s="728">
        <v>65</v>
      </c>
      <c r="F251" s="767" t="s">
        <v>2376</v>
      </c>
      <c r="G251" s="310" t="s">
        <v>2377</v>
      </c>
      <c r="H251" s="207">
        <v>660</v>
      </c>
      <c r="I251" s="2798" t="s">
        <v>1760</v>
      </c>
      <c r="J251" s="2358" t="s">
        <v>2378</v>
      </c>
      <c r="K251" s="2358" t="s">
        <v>2379</v>
      </c>
    </row>
    <row r="252" spans="1:11">
      <c r="A252" s="254"/>
      <c r="B252" s="2809"/>
      <c r="C252" s="2781"/>
      <c r="D252" s="3455"/>
      <c r="E252" s="728"/>
      <c r="F252" s="767"/>
      <c r="G252" s="2797"/>
      <c r="H252" s="2781"/>
      <c r="I252" s="2798"/>
      <c r="J252" s="2810"/>
      <c r="K252" s="2810"/>
    </row>
    <row r="253" spans="1:11">
      <c r="F253" s="104"/>
      <c r="K253" s="537">
        <v>8</v>
      </c>
    </row>
    <row r="254" spans="1:11">
      <c r="A254" s="45" t="s">
        <v>0</v>
      </c>
      <c r="B254" s="45"/>
      <c r="C254" s="68"/>
      <c r="D254" s="612"/>
      <c r="F254" s="104"/>
      <c r="H254" s="45"/>
      <c r="I254" s="556"/>
    </row>
    <row r="255" spans="1:11">
      <c r="A255" s="3480" t="s">
        <v>1</v>
      </c>
      <c r="B255" s="3480"/>
      <c r="C255" s="46"/>
      <c r="D255" s="124"/>
      <c r="F255" s="104"/>
      <c r="H255" s="45"/>
      <c r="I255" s="556"/>
    </row>
    <row r="256" spans="1:11" ht="35.25" thickBot="1">
      <c r="F256" s="104"/>
    </row>
    <row r="257" spans="1:11">
      <c r="A257" s="3445"/>
      <c r="B257" s="3446" t="s">
        <v>2</v>
      </c>
      <c r="C257" s="48" t="s">
        <v>3</v>
      </c>
      <c r="D257" s="436" t="s">
        <v>4</v>
      </c>
      <c r="E257" s="849" t="s">
        <v>5</v>
      </c>
      <c r="F257" s="849" t="s">
        <v>5</v>
      </c>
      <c r="G257" s="219" t="s">
        <v>6</v>
      </c>
      <c r="H257" s="48" t="s">
        <v>7</v>
      </c>
      <c r="I257" s="557" t="s">
        <v>8</v>
      </c>
      <c r="J257" s="541" t="s">
        <v>9</v>
      </c>
      <c r="K257" s="346" t="s">
        <v>9</v>
      </c>
    </row>
    <row r="258" spans="1:11" ht="35.25" thickBot="1">
      <c r="A258" s="51"/>
      <c r="B258" s="72"/>
      <c r="C258" s="50"/>
      <c r="D258" s="437" t="s">
        <v>10</v>
      </c>
      <c r="E258" s="850" t="s">
        <v>11</v>
      </c>
      <c r="F258" s="850" t="s">
        <v>12</v>
      </c>
      <c r="G258" s="212"/>
      <c r="H258" s="50" t="s">
        <v>13</v>
      </c>
      <c r="I258" s="558"/>
      <c r="J258" s="542" t="s">
        <v>14</v>
      </c>
      <c r="K258" s="347" t="s">
        <v>15</v>
      </c>
    </row>
    <row r="259" spans="1:11">
      <c r="A259" s="3491"/>
      <c r="B259" s="3492"/>
      <c r="C259" s="101"/>
      <c r="D259" s="322"/>
      <c r="E259" s="838"/>
      <c r="F259" s="767"/>
      <c r="G259" s="206"/>
      <c r="H259" s="74"/>
      <c r="I259" s="560"/>
      <c r="J259" s="544"/>
      <c r="K259" s="365"/>
    </row>
    <row r="260" spans="1:11">
      <c r="A260" s="83"/>
      <c r="B260" s="1470" t="s">
        <v>2380</v>
      </c>
      <c r="C260" s="207"/>
      <c r="D260" s="413" t="s">
        <v>2381</v>
      </c>
      <c r="E260" s="728"/>
      <c r="F260" s="767"/>
      <c r="G260" s="248"/>
      <c r="H260" s="207"/>
      <c r="I260" s="431"/>
      <c r="J260" s="586"/>
      <c r="K260" s="365"/>
    </row>
    <row r="261" spans="1:11">
      <c r="A261" s="766"/>
      <c r="B261" s="43" t="s">
        <v>2382</v>
      </c>
      <c r="C261" s="207" t="s">
        <v>1683</v>
      </c>
      <c r="D261" s="322" t="s">
        <v>2383</v>
      </c>
      <c r="E261" s="838" t="s">
        <v>2384</v>
      </c>
      <c r="F261" s="767" t="s">
        <v>2385</v>
      </c>
      <c r="G261" s="2407" t="s">
        <v>2386</v>
      </c>
      <c r="H261" s="207"/>
      <c r="I261" s="431" t="s">
        <v>2387</v>
      </c>
      <c r="J261" s="707" t="s">
        <v>2388</v>
      </c>
      <c r="K261" s="365">
        <v>18.399999999999999</v>
      </c>
    </row>
    <row r="262" spans="1:11">
      <c r="A262" s="782"/>
      <c r="B262" s="43" t="s">
        <v>2389</v>
      </c>
      <c r="C262" s="207" t="s">
        <v>2390</v>
      </c>
      <c r="D262" s="322" t="s">
        <v>2391</v>
      </c>
      <c r="E262" s="2461" t="s">
        <v>2392</v>
      </c>
      <c r="F262" s="767" t="s">
        <v>2179</v>
      </c>
      <c r="G262" s="2407" t="s">
        <v>2386</v>
      </c>
      <c r="H262" s="207"/>
      <c r="I262" s="474" t="s">
        <v>2393</v>
      </c>
      <c r="J262" s="586" t="s">
        <v>2394</v>
      </c>
      <c r="K262" s="365">
        <v>22.71</v>
      </c>
    </row>
    <row r="263" spans="1:11">
      <c r="A263" s="83"/>
      <c r="B263" s="43" t="s">
        <v>2395</v>
      </c>
      <c r="C263" s="207" t="s">
        <v>1683</v>
      </c>
      <c r="D263" s="322" t="s">
        <v>2383</v>
      </c>
      <c r="E263" s="728" t="s">
        <v>2396</v>
      </c>
      <c r="F263" s="767" t="s">
        <v>2330</v>
      </c>
      <c r="G263" s="248" t="s">
        <v>2397</v>
      </c>
      <c r="H263" s="207"/>
      <c r="I263" s="431"/>
      <c r="J263" s="707">
        <v>1284</v>
      </c>
      <c r="K263" s="365" t="s">
        <v>2398</v>
      </c>
    </row>
    <row r="264" spans="1:11">
      <c r="A264" s="766"/>
      <c r="B264" s="362" t="s">
        <v>2399</v>
      </c>
      <c r="C264" s="207" t="s">
        <v>2400</v>
      </c>
      <c r="D264" s="2050" t="s">
        <v>2401</v>
      </c>
      <c r="E264" s="836" t="s">
        <v>2402</v>
      </c>
      <c r="F264" s="767" t="s">
        <v>2403</v>
      </c>
      <c r="G264" s="2407" t="s">
        <v>2404</v>
      </c>
      <c r="H264" s="207" t="s">
        <v>2405</v>
      </c>
      <c r="I264" s="431" t="s">
        <v>2406</v>
      </c>
      <c r="J264" s="707" t="s">
        <v>2407</v>
      </c>
      <c r="K264" s="2608" t="s">
        <v>2408</v>
      </c>
    </row>
    <row r="265" spans="1:11">
      <c r="A265" s="775"/>
      <c r="B265" s="362" t="s">
        <v>2409</v>
      </c>
      <c r="C265" s="207" t="s">
        <v>2400</v>
      </c>
      <c r="D265" s="2050" t="s">
        <v>2401</v>
      </c>
      <c r="E265" s="836" t="s">
        <v>2402</v>
      </c>
      <c r="F265" s="767" t="s">
        <v>2403</v>
      </c>
      <c r="G265" s="2407" t="s">
        <v>2404</v>
      </c>
      <c r="H265" s="207" t="s">
        <v>2405</v>
      </c>
      <c r="I265" s="431" t="s">
        <v>2406</v>
      </c>
      <c r="J265" s="707" t="s">
        <v>2407</v>
      </c>
      <c r="K265" s="2608" t="s">
        <v>2408</v>
      </c>
    </row>
    <row r="266" spans="1:11">
      <c r="A266" s="43"/>
      <c r="B266" s="362" t="s">
        <v>2410</v>
      </c>
      <c r="C266" s="207" t="s">
        <v>2400</v>
      </c>
      <c r="D266" s="2050" t="s">
        <v>2401</v>
      </c>
      <c r="E266" s="836" t="s">
        <v>2402</v>
      </c>
      <c r="F266" s="767" t="s">
        <v>2403</v>
      </c>
      <c r="G266" s="2407" t="s">
        <v>2404</v>
      </c>
      <c r="H266" s="207" t="s">
        <v>2405</v>
      </c>
      <c r="I266" s="431" t="s">
        <v>2406</v>
      </c>
      <c r="J266" s="707" t="s">
        <v>2407</v>
      </c>
      <c r="K266" s="2608" t="s">
        <v>2408</v>
      </c>
    </row>
    <row r="267" spans="1:11">
      <c r="A267" s="43"/>
      <c r="B267" s="43" t="s">
        <v>2411</v>
      </c>
      <c r="C267" s="207" t="s">
        <v>2390</v>
      </c>
      <c r="D267" s="322" t="s">
        <v>70</v>
      </c>
      <c r="E267" s="728"/>
      <c r="F267" s="767"/>
      <c r="G267" s="248"/>
      <c r="H267" s="207"/>
      <c r="I267" s="431"/>
      <c r="J267" s="881"/>
      <c r="K267" s="1029"/>
    </row>
    <row r="268" spans="1:11">
      <c r="A268" s="43"/>
      <c r="B268" s="43" t="s">
        <v>2412</v>
      </c>
      <c r="C268" s="207" t="s">
        <v>2390</v>
      </c>
      <c r="D268" s="322" t="s">
        <v>70</v>
      </c>
      <c r="E268" s="728"/>
      <c r="F268" s="767"/>
      <c r="G268" s="248" t="s">
        <v>2413</v>
      </c>
      <c r="H268" s="207"/>
      <c r="I268" s="431" t="s">
        <v>2414</v>
      </c>
      <c r="J268" s="586"/>
      <c r="K268" s="365"/>
    </row>
    <row r="269" spans="1:11">
      <c r="A269" s="362"/>
      <c r="B269" s="43"/>
      <c r="C269" s="101"/>
      <c r="D269" s="342"/>
      <c r="E269" s="871"/>
      <c r="F269" s="767"/>
      <c r="G269" s="206"/>
      <c r="H269" s="74"/>
      <c r="I269" s="563"/>
      <c r="J269" s="544"/>
      <c r="K269" s="365"/>
    </row>
    <row r="270" spans="1:11">
      <c r="A270" s="362"/>
      <c r="B270" s="43" t="s">
        <v>2382</v>
      </c>
      <c r="C270" s="207" t="s">
        <v>1683</v>
      </c>
      <c r="D270" s="322" t="s">
        <v>2383</v>
      </c>
      <c r="E270" s="838" t="s">
        <v>2415</v>
      </c>
      <c r="F270" s="767" t="s">
        <v>2416</v>
      </c>
      <c r="G270" s="248" t="s">
        <v>2417</v>
      </c>
      <c r="H270" s="207"/>
      <c r="I270" s="431" t="s">
        <v>260</v>
      </c>
      <c r="J270" s="2017" t="s">
        <v>2418</v>
      </c>
      <c r="K270" s="2016">
        <v>15.2</v>
      </c>
    </row>
    <row r="271" spans="1:11">
      <c r="A271" s="362"/>
      <c r="B271" s="43" t="s">
        <v>2389</v>
      </c>
      <c r="C271" s="207" t="s">
        <v>2390</v>
      </c>
      <c r="D271" s="322" t="s">
        <v>2391</v>
      </c>
      <c r="E271" s="838" t="s">
        <v>2419</v>
      </c>
      <c r="F271" s="767" t="s">
        <v>2420</v>
      </c>
      <c r="G271" s="248" t="s">
        <v>2421</v>
      </c>
      <c r="H271" s="207"/>
      <c r="I271" s="151" t="s">
        <v>2422</v>
      </c>
      <c r="J271" s="2017" t="s">
        <v>2423</v>
      </c>
      <c r="K271" s="2016">
        <v>19.89</v>
      </c>
    </row>
    <row r="272" spans="1:11">
      <c r="A272" s="83"/>
      <c r="B272" s="362"/>
      <c r="C272" s="101"/>
      <c r="D272" s="342"/>
      <c r="E272" s="871"/>
      <c r="F272" s="767"/>
      <c r="G272" s="206"/>
      <c r="H272" s="74"/>
      <c r="I272" s="563"/>
      <c r="J272" s="544"/>
      <c r="K272" s="365"/>
    </row>
    <row r="273" spans="1:11">
      <c r="A273" s="3483"/>
      <c r="B273" s="3484"/>
      <c r="C273" s="101"/>
      <c r="D273" s="322"/>
      <c r="E273" s="838"/>
      <c r="F273" s="767"/>
      <c r="G273" s="206"/>
      <c r="H273" s="74"/>
      <c r="I273" s="560"/>
      <c r="J273" s="544"/>
      <c r="K273" s="365"/>
    </row>
    <row r="274" spans="1:11">
      <c r="A274" s="389"/>
      <c r="B274" s="382"/>
      <c r="C274" s="101"/>
      <c r="D274" s="342"/>
      <c r="E274" s="871"/>
      <c r="F274" s="767"/>
      <c r="G274" s="206"/>
      <c r="H274" s="74"/>
      <c r="I274" s="560"/>
      <c r="J274" s="547"/>
      <c r="K274" s="616"/>
    </row>
    <row r="275" spans="1:11">
      <c r="A275" s="87"/>
      <c r="B275" s="43" t="s">
        <v>2424</v>
      </c>
      <c r="C275" s="207"/>
      <c r="D275" s="322" t="s">
        <v>2425</v>
      </c>
      <c r="E275" s="834" t="s">
        <v>2426</v>
      </c>
      <c r="F275" s="856"/>
      <c r="G275" s="248" t="s">
        <v>2427</v>
      </c>
      <c r="H275" s="207">
        <v>465</v>
      </c>
      <c r="I275" s="431" t="s">
        <v>2088</v>
      </c>
      <c r="J275" s="586">
        <v>460</v>
      </c>
      <c r="K275" s="1494" t="s">
        <v>2428</v>
      </c>
    </row>
    <row r="276" spans="1:11">
      <c r="A276" s="438"/>
      <c r="B276" s="43" t="s">
        <v>2429</v>
      </c>
      <c r="C276" s="207"/>
      <c r="D276" s="322" t="s">
        <v>2425</v>
      </c>
      <c r="E276" s="834" t="s">
        <v>2430</v>
      </c>
      <c r="F276" s="856" t="s">
        <v>2431</v>
      </c>
      <c r="G276" s="248" t="s">
        <v>1310</v>
      </c>
      <c r="H276" s="207">
        <v>610</v>
      </c>
      <c r="I276" s="553"/>
      <c r="J276" s="707" t="s">
        <v>1423</v>
      </c>
      <c r="K276" s="365">
        <v>13.54</v>
      </c>
    </row>
    <row r="277" spans="1:11">
      <c r="A277" s="3451"/>
      <c r="B277" s="43" t="s">
        <v>2432</v>
      </c>
      <c r="C277" s="207"/>
      <c r="D277" s="322" t="s">
        <v>2425</v>
      </c>
      <c r="E277" s="834" t="s">
        <v>2430</v>
      </c>
      <c r="F277" s="856">
        <v>640</v>
      </c>
      <c r="G277" s="248" t="s">
        <v>2433</v>
      </c>
      <c r="H277" s="207">
        <v>660</v>
      </c>
      <c r="I277" s="431" t="s">
        <v>2434</v>
      </c>
      <c r="J277" s="707" t="s">
        <v>2435</v>
      </c>
      <c r="K277" s="365"/>
    </row>
    <row r="278" spans="1:11">
      <c r="A278" s="83"/>
      <c r="B278" s="2799"/>
      <c r="C278" s="2781"/>
      <c r="D278" s="3455"/>
      <c r="E278" s="2800"/>
      <c r="F278" s="767"/>
      <c r="G278" s="206"/>
      <c r="H278" s="74"/>
      <c r="I278" s="562"/>
      <c r="J278" s="544"/>
      <c r="K278" s="365"/>
    </row>
    <row r="279" spans="1:11">
      <c r="A279" s="766"/>
      <c r="B279" s="791" t="s">
        <v>2436</v>
      </c>
      <c r="C279" s="207" t="s">
        <v>2437</v>
      </c>
      <c r="D279" s="391" t="s">
        <v>2438</v>
      </c>
      <c r="E279" s="728">
        <v>15</v>
      </c>
      <c r="F279" s="767" t="s">
        <v>2439</v>
      </c>
      <c r="G279" s="248" t="s">
        <v>2440</v>
      </c>
      <c r="H279" s="207">
        <v>1165</v>
      </c>
      <c r="I279" s="553" t="s">
        <v>2441</v>
      </c>
      <c r="J279" s="394" t="s">
        <v>2442</v>
      </c>
      <c r="K279" s="792">
        <v>12.27</v>
      </c>
    </row>
    <row r="280" spans="1:11">
      <c r="A280" s="265"/>
      <c r="B280" s="43" t="s">
        <v>2443</v>
      </c>
      <c r="C280" s="207" t="s">
        <v>2437</v>
      </c>
      <c r="D280" s="391" t="s">
        <v>2438</v>
      </c>
      <c r="E280" s="728">
        <v>22</v>
      </c>
      <c r="F280" s="767" t="s">
        <v>2444</v>
      </c>
      <c r="G280" s="248" t="s">
        <v>2445</v>
      </c>
      <c r="H280" s="207">
        <v>1750</v>
      </c>
      <c r="I280" s="431" t="s">
        <v>2446</v>
      </c>
      <c r="J280" s="394" t="s">
        <v>2447</v>
      </c>
      <c r="K280" s="792">
        <v>18.350000000000001</v>
      </c>
    </row>
    <row r="281" spans="1:11">
      <c r="A281" s="254"/>
      <c r="B281" s="788" t="s">
        <v>2448</v>
      </c>
      <c r="C281" s="207" t="s">
        <v>2437</v>
      </c>
      <c r="D281" s="391" t="s">
        <v>2438</v>
      </c>
      <c r="E281" s="835">
        <v>17</v>
      </c>
      <c r="F281" s="767" t="s">
        <v>2449</v>
      </c>
      <c r="G281" s="248" t="s">
        <v>2206</v>
      </c>
      <c r="H281" s="207">
        <v>1375</v>
      </c>
      <c r="I281" s="431" t="s">
        <v>2450</v>
      </c>
      <c r="J281" s="790" t="s">
        <v>2451</v>
      </c>
      <c r="K281" s="365">
        <v>14.41</v>
      </c>
    </row>
    <row r="282" spans="1:11">
      <c r="A282" s="265"/>
      <c r="B282" s="43" t="s">
        <v>2452</v>
      </c>
      <c r="C282" s="207" t="s">
        <v>2437</v>
      </c>
      <c r="D282" s="391" t="s">
        <v>2438</v>
      </c>
      <c r="E282" s="728">
        <v>22</v>
      </c>
      <c r="F282" s="767" t="s">
        <v>2453</v>
      </c>
      <c r="G282" s="248" t="s">
        <v>2454</v>
      </c>
      <c r="H282" s="207">
        <v>1750</v>
      </c>
      <c r="I282" s="431" t="s">
        <v>2455</v>
      </c>
      <c r="J282" s="1494" t="s">
        <v>2456</v>
      </c>
      <c r="K282" s="792">
        <v>18.72</v>
      </c>
    </row>
    <row r="283" spans="1:11">
      <c r="A283" s="3478" t="s">
        <v>2457</v>
      </c>
      <c r="B283" s="3510"/>
      <c r="C283" s="207" t="s">
        <v>2437</v>
      </c>
      <c r="D283" s="391" t="s">
        <v>2438</v>
      </c>
      <c r="E283" s="728">
        <v>24</v>
      </c>
      <c r="F283" s="767" t="s">
        <v>2458</v>
      </c>
      <c r="G283" s="248" t="s">
        <v>1037</v>
      </c>
      <c r="H283" s="207">
        <v>2050</v>
      </c>
      <c r="I283" s="553" t="s">
        <v>2459</v>
      </c>
      <c r="J283" s="1494" t="s">
        <v>2460</v>
      </c>
      <c r="K283" s="792">
        <v>21.3</v>
      </c>
    </row>
    <row r="284" spans="1:11">
      <c r="A284" s="2801"/>
      <c r="B284" s="2799"/>
      <c r="C284" s="101"/>
      <c r="D284" s="322"/>
      <c r="E284" s="838"/>
      <c r="F284" s="767"/>
      <c r="G284" s="206"/>
      <c r="H284" s="74"/>
      <c r="I284" s="560"/>
      <c r="J284" s="544"/>
      <c r="K284" s="365"/>
    </row>
    <row r="285" spans="1:11">
      <c r="A285" s="83"/>
      <c r="B285" s="43"/>
      <c r="C285" s="101"/>
      <c r="D285" s="322"/>
      <c r="E285" s="838"/>
      <c r="F285" s="767"/>
      <c r="G285" s="206"/>
      <c r="H285" s="74"/>
      <c r="I285" s="562"/>
      <c r="J285" s="544"/>
      <c r="K285" s="365"/>
    </row>
    <row r="286" spans="1:11" ht="37.5">
      <c r="A286" s="766"/>
      <c r="B286" s="880"/>
      <c r="C286" s="1765"/>
      <c r="D286" s="831"/>
      <c r="E286" s="624"/>
      <c r="F286" s="223"/>
      <c r="G286" s="1767"/>
      <c r="H286" s="778"/>
      <c r="I286" s="609"/>
      <c r="J286" s="1766"/>
      <c r="K286" s="780"/>
    </row>
    <row r="287" spans="1:11">
      <c r="A287" s="775"/>
      <c r="B287" s="406"/>
      <c r="C287" s="101"/>
      <c r="D287" s="322"/>
      <c r="E287" s="838"/>
      <c r="F287" s="767"/>
      <c r="G287" s="206"/>
      <c r="H287" s="74"/>
      <c r="I287" s="560"/>
      <c r="J287" s="547"/>
      <c r="K287" s="363"/>
    </row>
    <row r="288" spans="1:11">
      <c r="A288" s="83"/>
      <c r="B288" s="362"/>
      <c r="C288" s="101"/>
      <c r="D288" s="342"/>
      <c r="E288" s="838"/>
      <c r="F288" s="876"/>
      <c r="G288" s="206"/>
      <c r="H288" s="74"/>
      <c r="I288" s="562"/>
      <c r="J288" s="547"/>
      <c r="K288" s="550"/>
    </row>
    <row r="289" spans="1:11">
      <c r="B289" s="75"/>
      <c r="C289" s="104"/>
      <c r="D289" s="167"/>
      <c r="E289" s="167"/>
      <c r="F289" s="167"/>
      <c r="G289" s="167"/>
      <c r="H289" s="75"/>
      <c r="I289" s="561"/>
      <c r="J289" s="545"/>
    </row>
    <row r="290" spans="1:11">
      <c r="A290" s="45" t="s">
        <v>0</v>
      </c>
      <c r="B290" s="45"/>
      <c r="C290" s="68"/>
      <c r="D290" s="612"/>
      <c r="F290" s="104"/>
      <c r="H290" s="45"/>
      <c r="I290" s="556"/>
      <c r="K290" s="492">
        <v>9</v>
      </c>
    </row>
    <row r="291" spans="1:11">
      <c r="A291" s="3480" t="s">
        <v>1</v>
      </c>
      <c r="B291" s="3480"/>
      <c r="C291" s="46"/>
      <c r="D291" s="124"/>
      <c r="F291" s="104"/>
      <c r="H291" s="45"/>
      <c r="I291" s="556"/>
      <c r="J291" s="611"/>
    </row>
    <row r="292" spans="1:11" ht="35.25" thickBot="1">
      <c r="F292" s="104"/>
    </row>
    <row r="293" spans="1:11">
      <c r="A293" s="3445"/>
      <c r="B293" s="3446" t="s">
        <v>2</v>
      </c>
      <c r="C293" s="48" t="s">
        <v>3</v>
      </c>
      <c r="D293" s="436" t="s">
        <v>4</v>
      </c>
      <c r="E293" s="868" t="s">
        <v>5</v>
      </c>
      <c r="F293" s="849" t="s">
        <v>5</v>
      </c>
      <c r="G293" s="219" t="s">
        <v>6</v>
      </c>
      <c r="H293" s="48" t="s">
        <v>7</v>
      </c>
      <c r="I293" s="557" t="s">
        <v>8</v>
      </c>
      <c r="J293" s="541" t="s">
        <v>9</v>
      </c>
      <c r="K293" s="346" t="s">
        <v>9</v>
      </c>
    </row>
    <row r="294" spans="1:11" ht="35.25" thickBot="1">
      <c r="A294" s="152"/>
      <c r="B294" s="930"/>
      <c r="C294" s="50"/>
      <c r="D294" s="437" t="s">
        <v>10</v>
      </c>
      <c r="E294" s="869" t="s">
        <v>11</v>
      </c>
      <c r="F294" s="850" t="s">
        <v>12</v>
      </c>
      <c r="G294" s="301"/>
      <c r="H294" s="50" t="s">
        <v>13</v>
      </c>
      <c r="I294" s="558"/>
      <c r="J294" s="542" t="s">
        <v>14</v>
      </c>
      <c r="K294" s="347" t="s">
        <v>15</v>
      </c>
    </row>
    <row r="295" spans="1:11">
      <c r="A295" s="2784"/>
      <c r="B295" s="2817" t="s">
        <v>2461</v>
      </c>
      <c r="C295" s="2756"/>
      <c r="D295" s="2818" t="s">
        <v>2462</v>
      </c>
      <c r="E295" s="838"/>
      <c r="F295" s="767"/>
      <c r="G295" s="206"/>
      <c r="H295" s="74"/>
      <c r="I295" s="560"/>
      <c r="J295" s="544"/>
      <c r="K295" s="365"/>
    </row>
    <row r="296" spans="1:11">
      <c r="A296" s="83"/>
      <c r="B296" s="43" t="s">
        <v>2463</v>
      </c>
      <c r="C296" s="207" t="s">
        <v>2464</v>
      </c>
      <c r="D296" s="322" t="s">
        <v>2083</v>
      </c>
      <c r="E296" s="728">
        <v>50</v>
      </c>
      <c r="F296" s="767" t="s">
        <v>2465</v>
      </c>
      <c r="G296" s="2785" t="s">
        <v>2466</v>
      </c>
      <c r="H296" s="207">
        <v>1050</v>
      </c>
      <c r="I296" s="431" t="s">
        <v>2467</v>
      </c>
      <c r="J296" s="586">
        <v>1020</v>
      </c>
      <c r="K296" s="365">
        <v>42.5</v>
      </c>
    </row>
    <row r="297" spans="1:11">
      <c r="A297" s="766"/>
      <c r="B297" s="43" t="s">
        <v>2468</v>
      </c>
      <c r="C297" s="207" t="s">
        <v>2464</v>
      </c>
      <c r="D297" s="322" t="s">
        <v>2083</v>
      </c>
      <c r="E297" s="728">
        <v>45</v>
      </c>
      <c r="F297" s="767"/>
      <c r="G297" s="248" t="s">
        <v>2469</v>
      </c>
      <c r="H297" s="207">
        <v>820</v>
      </c>
      <c r="I297" s="431"/>
      <c r="J297" s="586">
        <v>820</v>
      </c>
      <c r="K297" s="365">
        <v>34.159999999999997</v>
      </c>
    </row>
    <row r="298" spans="1:11">
      <c r="A298" s="265"/>
      <c r="B298" s="81" t="s">
        <v>2470</v>
      </c>
      <c r="C298" s="207" t="s">
        <v>2464</v>
      </c>
      <c r="D298" s="322" t="s">
        <v>2083</v>
      </c>
      <c r="E298" s="728">
        <v>48</v>
      </c>
      <c r="F298" s="767"/>
      <c r="G298" s="248" t="s">
        <v>2471</v>
      </c>
      <c r="H298" s="117"/>
      <c r="I298" s="431" t="s">
        <v>2472</v>
      </c>
      <c r="J298" s="702">
        <v>790</v>
      </c>
      <c r="K298" s="369">
        <v>32.92</v>
      </c>
    </row>
    <row r="299" spans="1:11" ht="38.25">
      <c r="A299" s="3459"/>
      <c r="B299" s="43" t="s">
        <v>2473</v>
      </c>
      <c r="C299" s="207" t="s">
        <v>2464</v>
      </c>
      <c r="D299" s="322" t="s">
        <v>2083</v>
      </c>
      <c r="E299" s="728">
        <v>48</v>
      </c>
      <c r="F299" s="767"/>
      <c r="G299" s="318" t="s">
        <v>2469</v>
      </c>
      <c r="H299" s="207">
        <v>800</v>
      </c>
      <c r="I299" s="431"/>
      <c r="J299" s="586">
        <v>800</v>
      </c>
      <c r="K299" s="365">
        <f>J299/24</f>
        <v>33.333333333333336</v>
      </c>
    </row>
    <row r="300" spans="1:11">
      <c r="A300" s="2802"/>
      <c r="B300" s="43" t="s">
        <v>2474</v>
      </c>
      <c r="C300" s="207" t="s">
        <v>2475</v>
      </c>
      <c r="D300" s="322" t="s">
        <v>2083</v>
      </c>
      <c r="E300" s="728">
        <v>50</v>
      </c>
      <c r="F300" s="767" t="s">
        <v>2420</v>
      </c>
      <c r="G300" s="2786" t="s">
        <v>2466</v>
      </c>
      <c r="H300" s="117">
        <v>900</v>
      </c>
      <c r="I300" s="432" t="s">
        <v>724</v>
      </c>
      <c r="J300" s="702">
        <v>920</v>
      </c>
      <c r="K300" s="369">
        <v>38.75</v>
      </c>
    </row>
    <row r="301" spans="1:11">
      <c r="A301" s="2803"/>
      <c r="B301" s="43" t="s">
        <v>2476</v>
      </c>
      <c r="C301" s="207" t="s">
        <v>2464</v>
      </c>
      <c r="D301" s="322" t="s">
        <v>2083</v>
      </c>
      <c r="E301" s="728">
        <v>50</v>
      </c>
      <c r="F301" s="767"/>
      <c r="G301" s="2786" t="s">
        <v>2466</v>
      </c>
      <c r="H301" s="117">
        <v>1000</v>
      </c>
      <c r="I301" s="432" t="s">
        <v>724</v>
      </c>
      <c r="J301" s="702">
        <v>1020</v>
      </c>
      <c r="K301" s="369">
        <v>42.5</v>
      </c>
    </row>
    <row r="302" spans="1:11">
      <c r="A302" s="2728"/>
      <c r="B302" s="43" t="s">
        <v>2477</v>
      </c>
      <c r="C302" s="207" t="s">
        <v>2464</v>
      </c>
      <c r="D302" s="322" t="s">
        <v>2083</v>
      </c>
      <c r="E302" s="728">
        <v>60</v>
      </c>
      <c r="F302" s="767"/>
      <c r="G302" s="318" t="s">
        <v>2478</v>
      </c>
      <c r="H302" s="207">
        <v>1200</v>
      </c>
      <c r="I302" s="431"/>
      <c r="J302" s="810">
        <v>1260</v>
      </c>
      <c r="K302" s="365">
        <f>J302/24</f>
        <v>52.5</v>
      </c>
    </row>
    <row r="303" spans="1:11">
      <c r="A303" s="2705"/>
      <c r="B303" s="43" t="s">
        <v>2479</v>
      </c>
      <c r="C303" s="207"/>
      <c r="D303" s="322" t="s">
        <v>2031</v>
      </c>
      <c r="E303" s="728">
        <v>32</v>
      </c>
      <c r="F303" s="767"/>
      <c r="G303" s="318" t="s">
        <v>2469</v>
      </c>
      <c r="H303" s="207">
        <v>1200</v>
      </c>
      <c r="I303" s="431"/>
      <c r="J303" s="810">
        <v>1200</v>
      </c>
      <c r="K303" s="365">
        <v>25</v>
      </c>
    </row>
    <row r="304" spans="1:11">
      <c r="A304" s="2780"/>
      <c r="B304" s="43" t="s">
        <v>2480</v>
      </c>
      <c r="C304" s="207" t="s">
        <v>2475</v>
      </c>
      <c r="D304" s="322" t="s">
        <v>2083</v>
      </c>
      <c r="E304" s="728">
        <v>20</v>
      </c>
      <c r="F304" s="767"/>
      <c r="G304" s="248" t="s">
        <v>2481</v>
      </c>
      <c r="H304" s="207"/>
      <c r="I304" s="431"/>
      <c r="J304" s="586">
        <v>380</v>
      </c>
      <c r="K304" s="365">
        <v>15.84</v>
      </c>
    </row>
    <row r="305" spans="1:12" ht="37.5">
      <c r="A305" s="3450"/>
      <c r="B305" s="1292" t="s">
        <v>2482</v>
      </c>
      <c r="C305" s="207" t="s">
        <v>2475</v>
      </c>
      <c r="D305" s="322" t="s">
        <v>2083</v>
      </c>
      <c r="E305" s="728">
        <v>42</v>
      </c>
      <c r="F305" s="767"/>
      <c r="G305" s="318" t="s">
        <v>2481</v>
      </c>
      <c r="H305" s="207"/>
      <c r="I305" s="431"/>
      <c r="J305" s="586">
        <v>860</v>
      </c>
      <c r="K305" s="365">
        <v>35.83</v>
      </c>
    </row>
    <row r="306" spans="1:12">
      <c r="A306" s="81"/>
      <c r="B306" s="43"/>
      <c r="C306" s="207"/>
      <c r="D306" s="322"/>
      <c r="E306" s="728"/>
      <c r="F306" s="767"/>
      <c r="G306" s="318"/>
      <c r="H306" s="207"/>
      <c r="I306" s="431"/>
      <c r="J306" s="810"/>
      <c r="K306" s="365"/>
      <c r="L306" s="365"/>
    </row>
    <row r="307" spans="1:12">
      <c r="A307" s="43"/>
      <c r="B307" s="43"/>
      <c r="C307" s="207"/>
      <c r="D307" s="322"/>
      <c r="E307" s="728"/>
      <c r="F307" s="767"/>
      <c r="G307" s="248"/>
      <c r="H307" s="207"/>
      <c r="I307" s="431"/>
      <c r="J307" s="586"/>
      <c r="K307" s="365"/>
      <c r="L307" s="365">
        <v>111.78</v>
      </c>
    </row>
    <row r="308" spans="1:12" ht="37.5">
      <c r="A308" s="43"/>
      <c r="B308" s="1292"/>
      <c r="C308" s="207"/>
      <c r="D308" s="322"/>
      <c r="E308" s="728"/>
      <c r="F308" s="767"/>
      <c r="G308" s="318"/>
      <c r="H308" s="207"/>
      <c r="I308" s="431"/>
      <c r="J308" s="586"/>
      <c r="K308" s="365"/>
    </row>
    <row r="309" spans="1:12">
      <c r="A309" s="224"/>
      <c r="B309" s="224"/>
      <c r="C309" s="320"/>
      <c r="D309" s="624"/>
      <c r="E309" s="420"/>
      <c r="F309" s="852"/>
      <c r="G309" s="979"/>
      <c r="H309" s="224"/>
      <c r="I309" s="778"/>
      <c r="J309" s="609"/>
      <c r="K309" s="780"/>
    </row>
    <row r="310" spans="1:12" ht="35.25" thickBot="1">
      <c r="A310" s="2805"/>
      <c r="B310" s="1033" t="s">
        <v>1605</v>
      </c>
      <c r="C310" s="986"/>
      <c r="D310" s="1327"/>
      <c r="E310" s="837"/>
      <c r="F310" s="767"/>
      <c r="G310" s="310"/>
      <c r="H310" s="207"/>
      <c r="I310" s="431"/>
      <c r="J310" s="586"/>
      <c r="K310" s="365"/>
    </row>
    <row r="311" spans="1:12">
      <c r="A311" s="1006"/>
      <c r="B311" s="552" t="s">
        <v>2483</v>
      </c>
      <c r="C311" s="1520"/>
      <c r="D311" s="1521" t="s">
        <v>18</v>
      </c>
      <c r="E311" s="1522"/>
      <c r="F311" s="1102"/>
      <c r="G311" s="1523" t="s">
        <v>2484</v>
      </c>
      <c r="H311" s="1524"/>
      <c r="I311" s="1525"/>
      <c r="J311" s="1526">
        <v>780</v>
      </c>
      <c r="K311" s="1527">
        <f>J311/24</f>
        <v>32.5</v>
      </c>
    </row>
    <row r="312" spans="1:12">
      <c r="A312" s="1006"/>
      <c r="B312" s="770" t="s">
        <v>2470</v>
      </c>
      <c r="C312" s="1528"/>
      <c r="D312" s="1358" t="s">
        <v>18</v>
      </c>
      <c r="E312" s="1529"/>
      <c r="F312" s="1530"/>
      <c r="G312" s="1531" t="s">
        <v>2485</v>
      </c>
      <c r="H312" s="1532"/>
      <c r="I312" s="1533"/>
      <c r="J312" s="1534">
        <v>850</v>
      </c>
      <c r="K312" s="1364">
        <f>J312/24</f>
        <v>35.416666666666664</v>
      </c>
    </row>
    <row r="313" spans="1:12">
      <c r="A313" s="89"/>
      <c r="B313" s="406" t="s">
        <v>2473</v>
      </c>
      <c r="C313" s="1459"/>
      <c r="D313" s="413"/>
      <c r="E313" s="1014"/>
      <c r="F313" s="981"/>
      <c r="G313" s="223"/>
      <c r="H313" s="925"/>
      <c r="I313" s="1535"/>
      <c r="J313" s="686"/>
      <c r="K313" s="378"/>
    </row>
    <row r="314" spans="1:12">
      <c r="A314" s="766"/>
      <c r="B314" s="1006" t="s">
        <v>2480</v>
      </c>
      <c r="C314" s="1459"/>
      <c r="D314" s="413"/>
      <c r="E314" s="221"/>
      <c r="F314" s="777"/>
      <c r="G314" s="223"/>
      <c r="H314" s="224"/>
      <c r="I314" s="620"/>
      <c r="J314" s="686"/>
      <c r="K314" s="378"/>
    </row>
    <row r="315" spans="1:12">
      <c r="A315" s="3450"/>
      <c r="B315" s="406" t="s">
        <v>2482</v>
      </c>
      <c r="C315" s="341"/>
      <c r="D315" s="413"/>
      <c r="E315" s="221"/>
      <c r="F315" s="777"/>
      <c r="G315" s="223"/>
      <c r="H315" s="224"/>
      <c r="I315" s="620"/>
      <c r="J315" s="686"/>
      <c r="K315" s="378"/>
    </row>
    <row r="316" spans="1:12">
      <c r="A316" s="81"/>
      <c r="B316" s="770" t="s">
        <v>2486</v>
      </c>
      <c r="C316" s="341" t="s">
        <v>980</v>
      </c>
      <c r="D316" s="413" t="s">
        <v>70</v>
      </c>
      <c r="E316" s="221"/>
      <c r="F316" s="936"/>
      <c r="G316" s="223" t="s">
        <v>2487</v>
      </c>
      <c r="H316" s="224"/>
      <c r="I316" s="620"/>
      <c r="J316" s="686" t="s">
        <v>2330</v>
      </c>
      <c r="K316" s="378">
        <v>29.17</v>
      </c>
    </row>
    <row r="317" spans="1:12">
      <c r="A317" s="43"/>
      <c r="B317" s="770" t="s">
        <v>2486</v>
      </c>
      <c r="C317" s="341" t="s">
        <v>320</v>
      </c>
      <c r="D317" s="413"/>
      <c r="E317" s="221"/>
      <c r="F317" s="936"/>
      <c r="G317" s="223"/>
      <c r="H317" s="224"/>
      <c r="I317" s="620"/>
      <c r="J317" s="686"/>
      <c r="K317" s="378"/>
    </row>
    <row r="318" spans="1:12">
      <c r="A318" s="43"/>
      <c r="B318" s="406" t="s">
        <v>2488</v>
      </c>
      <c r="C318" s="1459"/>
      <c r="D318" s="413" t="s">
        <v>18</v>
      </c>
      <c r="E318" s="1719" t="s">
        <v>2489</v>
      </c>
      <c r="F318" s="981"/>
      <c r="G318" s="223" t="s">
        <v>2487</v>
      </c>
      <c r="H318" s="925" t="s">
        <v>2490</v>
      </c>
      <c r="I318" s="1535" t="s">
        <v>361</v>
      </c>
      <c r="J318" s="686" t="s">
        <v>2491</v>
      </c>
      <c r="K318" s="378">
        <v>209.17</v>
      </c>
    </row>
    <row r="319" spans="1:12" ht="38.25">
      <c r="A319" s="2462"/>
      <c r="B319" s="406" t="s">
        <v>2492</v>
      </c>
      <c r="C319" s="341"/>
      <c r="D319" s="341"/>
      <c r="E319" s="1719"/>
      <c r="F319" s="981"/>
      <c r="G319" s="1535" t="s">
        <v>2493</v>
      </c>
      <c r="H319" s="224"/>
      <c r="I319" s="620"/>
      <c r="J319" s="686">
        <v>900</v>
      </c>
      <c r="K319" s="378"/>
    </row>
    <row r="320" spans="1:12" ht="38.25">
      <c r="A320" s="3459"/>
      <c r="B320" s="3459"/>
      <c r="C320" s="2804"/>
      <c r="D320" s="2774"/>
      <c r="E320" s="2028"/>
      <c r="F320" s="960"/>
      <c r="G320" s="248"/>
      <c r="H320" s="398"/>
      <c r="I320" s="2029"/>
      <c r="J320" s="74"/>
      <c r="K320" s="526"/>
    </row>
    <row r="321" spans="1:11">
      <c r="A321" s="1918"/>
      <c r="B321" s="1918"/>
      <c r="C321" s="101"/>
      <c r="D321" s="2030"/>
      <c r="E321" s="3662"/>
      <c r="F321" s="3663"/>
      <c r="G321" s="3664"/>
      <c r="H321" s="3665"/>
      <c r="I321" s="3666"/>
      <c r="J321" s="3665"/>
      <c r="K321" s="3667"/>
    </row>
    <row r="322" spans="1:11">
      <c r="A322" s="83"/>
      <c r="B322" s="43"/>
      <c r="C322" s="101"/>
      <c r="D322" s="342"/>
      <c r="E322" s="871"/>
      <c r="F322" s="767"/>
      <c r="G322" s="206"/>
      <c r="H322" s="74"/>
      <c r="I322" s="560"/>
      <c r="J322" s="544"/>
      <c r="K322" s="365"/>
    </row>
    <row r="323" spans="1:11">
      <c r="A323" s="83"/>
      <c r="B323" s="43"/>
      <c r="C323" s="101"/>
      <c r="D323" s="342"/>
      <c r="E323" s="871"/>
      <c r="F323" s="767"/>
      <c r="G323" s="206"/>
      <c r="H323" s="74"/>
      <c r="I323" s="560"/>
      <c r="J323" s="547"/>
      <c r="K323" s="550"/>
    </row>
    <row r="324" spans="1:11">
      <c r="A324" s="70"/>
      <c r="B324" s="56"/>
      <c r="C324" s="57"/>
      <c r="D324" s="613"/>
      <c r="E324" s="872"/>
      <c r="F324" s="853"/>
      <c r="G324" s="214"/>
      <c r="H324" s="103"/>
      <c r="I324" s="733"/>
      <c r="J324" s="543"/>
      <c r="K324" s="734"/>
    </row>
    <row r="325" spans="1:11">
      <c r="A325" s="44"/>
      <c r="B325" s="45"/>
      <c r="C325" s="46"/>
      <c r="D325" s="124"/>
      <c r="F325" s="104"/>
      <c r="H325" s="45"/>
      <c r="I325" s="556"/>
      <c r="K325" s="537">
        <v>10</v>
      </c>
    </row>
    <row r="326" spans="1:11">
      <c r="A326" s="45" t="s">
        <v>0</v>
      </c>
      <c r="B326" s="45"/>
      <c r="C326" s="68"/>
      <c r="D326" s="612"/>
      <c r="F326" s="104"/>
      <c r="H326" s="45"/>
      <c r="I326" s="556"/>
    </row>
    <row r="327" spans="1:11">
      <c r="A327" s="3480" t="s">
        <v>1</v>
      </c>
      <c r="B327" s="3480"/>
      <c r="C327" s="46"/>
      <c r="D327" s="124"/>
      <c r="F327" s="104"/>
      <c r="H327" s="45"/>
      <c r="I327" s="556"/>
    </row>
    <row r="328" spans="1:11" ht="35.25" thickBot="1">
      <c r="F328" s="104"/>
    </row>
    <row r="329" spans="1:11">
      <c r="A329" s="3481" t="s">
        <v>2</v>
      </c>
      <c r="B329" s="3482"/>
      <c r="C329" s="48" t="s">
        <v>3</v>
      </c>
      <c r="D329" s="436" t="s">
        <v>4</v>
      </c>
      <c r="E329" s="868" t="s">
        <v>5</v>
      </c>
      <c r="F329" s="849" t="s">
        <v>5</v>
      </c>
      <c r="G329" s="219" t="s">
        <v>6</v>
      </c>
      <c r="H329" s="48" t="s">
        <v>7</v>
      </c>
      <c r="I329" s="557" t="s">
        <v>8</v>
      </c>
      <c r="J329" s="541" t="s">
        <v>9</v>
      </c>
      <c r="K329" s="346" t="s">
        <v>9</v>
      </c>
    </row>
    <row r="330" spans="1:11" ht="35.25" thickBot="1">
      <c r="A330" s="51"/>
      <c r="B330" s="72"/>
      <c r="C330" s="50"/>
      <c r="D330" s="437" t="s">
        <v>10</v>
      </c>
      <c r="E330" s="869" t="s">
        <v>12</v>
      </c>
      <c r="F330" s="850" t="s">
        <v>11</v>
      </c>
      <c r="G330" s="301"/>
      <c r="H330" s="50" t="s">
        <v>13</v>
      </c>
      <c r="I330" s="558"/>
      <c r="J330" s="542" t="s">
        <v>14</v>
      </c>
      <c r="K330" s="347" t="s">
        <v>15</v>
      </c>
    </row>
    <row r="331" spans="1:11">
      <c r="A331" s="782"/>
      <c r="B331" s="1814"/>
      <c r="C331" s="877"/>
      <c r="D331" s="1619"/>
      <c r="E331" s="142"/>
      <c r="F331" s="381"/>
      <c r="G331" s="1616"/>
      <c r="H331" s="971"/>
      <c r="I331" s="506"/>
      <c r="J331" s="1620"/>
      <c r="K331" s="1618"/>
    </row>
    <row r="332" spans="1:11">
      <c r="A332" s="663"/>
      <c r="B332" s="1006"/>
      <c r="C332" s="877"/>
      <c r="D332" s="1619"/>
      <c r="E332" s="142"/>
      <c r="F332" s="381"/>
      <c r="G332" s="2412"/>
      <c r="H332" s="971"/>
      <c r="I332" s="506"/>
      <c r="J332" s="1620"/>
      <c r="K332" s="2384"/>
    </row>
    <row r="333" spans="1:11">
      <c r="A333" s="766"/>
      <c r="B333" s="1006"/>
      <c r="C333" s="877"/>
      <c r="D333" s="1619"/>
      <c r="E333" s="142"/>
      <c r="F333" s="381"/>
      <c r="G333" s="2412"/>
      <c r="H333" s="971"/>
      <c r="I333" s="506"/>
      <c r="J333" s="1620"/>
      <c r="K333" s="2384"/>
    </row>
    <row r="334" spans="1:11">
      <c r="A334" s="406"/>
      <c r="B334" s="406"/>
      <c r="C334" s="320"/>
      <c r="D334" s="624"/>
      <c r="E334" s="420"/>
      <c r="F334" s="852"/>
      <c r="G334" s="979"/>
      <c r="H334" s="224"/>
      <c r="I334" s="778"/>
      <c r="J334" s="609"/>
      <c r="K334" s="780"/>
    </row>
    <row r="335" spans="1:11">
      <c r="A335" s="406"/>
      <c r="B335" s="406"/>
      <c r="C335" s="320"/>
      <c r="D335" s="413"/>
      <c r="E335" s="875"/>
      <c r="F335" s="852"/>
      <c r="G335" s="223"/>
      <c r="H335" s="224"/>
      <c r="I335" s="1456"/>
      <c r="J335" s="603"/>
      <c r="K335" s="779"/>
    </row>
    <row r="336" spans="1:11">
      <c r="A336" s="406"/>
      <c r="B336" s="406"/>
      <c r="C336" s="320"/>
      <c r="D336" s="413"/>
      <c r="E336" s="875"/>
      <c r="F336" s="852"/>
      <c r="G336" s="223"/>
      <c r="H336" s="224"/>
      <c r="I336" s="1456"/>
      <c r="J336" s="1457"/>
      <c r="K336" s="378"/>
    </row>
    <row r="337" spans="1:11">
      <c r="A337" s="995"/>
      <c r="B337" s="775"/>
      <c r="C337" s="101"/>
      <c r="D337" s="342"/>
      <c r="E337" s="871"/>
      <c r="F337" s="767"/>
      <c r="G337" s="206"/>
      <c r="H337" s="74"/>
      <c r="I337" s="560"/>
      <c r="J337" s="603"/>
      <c r="K337" s="378"/>
    </row>
    <row r="338" spans="1:11">
      <c r="A338" s="254"/>
      <c r="B338" s="43"/>
      <c r="C338" s="101"/>
      <c r="D338" s="342"/>
      <c r="E338" s="871"/>
      <c r="F338" s="767"/>
      <c r="G338" s="206"/>
      <c r="H338" s="74"/>
      <c r="I338" s="560"/>
      <c r="J338" s="603"/>
      <c r="K338" s="378"/>
    </row>
    <row r="339" spans="1:11">
      <c r="A339" s="1336"/>
      <c r="B339" s="1336"/>
      <c r="C339" s="320"/>
      <c r="D339" s="624"/>
      <c r="E339" s="420"/>
      <c r="F339" s="852"/>
      <c r="G339" s="223"/>
      <c r="H339" s="224"/>
      <c r="I339" s="1456"/>
      <c r="J339" s="603"/>
      <c r="K339" s="378"/>
    </row>
    <row r="340" spans="1:11">
      <c r="A340" s="1336"/>
      <c r="B340" s="1336"/>
      <c r="C340" s="320"/>
      <c r="D340" s="624"/>
      <c r="E340" s="420"/>
      <c r="F340" s="852"/>
      <c r="G340" s="223"/>
      <c r="H340" s="224"/>
      <c r="I340" s="1456"/>
      <c r="J340" s="603"/>
      <c r="K340" s="378"/>
    </row>
    <row r="341" spans="1:11">
      <c r="A341" s="398"/>
      <c r="B341" s="1336"/>
      <c r="C341" s="320"/>
      <c r="D341" s="624"/>
      <c r="E341" s="420"/>
      <c r="F341" s="852"/>
      <c r="G341" s="223"/>
      <c r="H341" s="224"/>
      <c r="I341" s="1456"/>
      <c r="J341" s="603"/>
      <c r="K341" s="378"/>
    </row>
    <row r="342" spans="1:11">
      <c r="A342" s="782"/>
      <c r="B342" s="783"/>
      <c r="C342" s="320"/>
      <c r="D342" s="624"/>
      <c r="E342" s="420"/>
      <c r="F342" s="852"/>
      <c r="G342" s="223"/>
      <c r="H342" s="224"/>
      <c r="I342" s="778"/>
      <c r="J342" s="603"/>
      <c r="K342" s="378"/>
    </row>
    <row r="343" spans="1:11">
      <c r="A343" s="398"/>
      <c r="B343" s="406"/>
      <c r="C343" s="320"/>
      <c r="D343" s="624"/>
      <c r="E343" s="420"/>
      <c r="F343" s="852"/>
      <c r="G343" s="223"/>
      <c r="H343" s="224"/>
      <c r="I343" s="778"/>
      <c r="J343" s="603"/>
      <c r="K343" s="378"/>
    </row>
    <row r="344" spans="1:11">
      <c r="A344" s="438"/>
      <c r="B344" s="766"/>
      <c r="C344" s="320"/>
      <c r="D344" s="624"/>
      <c r="E344" s="420"/>
      <c r="F344" s="852"/>
      <c r="G344" s="223"/>
      <c r="H344" s="224"/>
      <c r="I344" s="778"/>
      <c r="J344" s="609"/>
      <c r="K344" s="1458"/>
    </row>
    <row r="345" spans="1:11">
      <c r="A345" s="1022"/>
      <c r="B345" s="406"/>
      <c r="C345" s="320"/>
      <c r="D345" s="624"/>
      <c r="E345" s="420"/>
      <c r="F345" s="852"/>
      <c r="G345" s="223"/>
      <c r="H345" s="224"/>
      <c r="I345" s="778"/>
      <c r="J345" s="609"/>
      <c r="K345" s="780"/>
    </row>
    <row r="346" spans="1:11">
      <c r="A346" s="398"/>
      <c r="B346" s="406"/>
      <c r="C346" s="320"/>
      <c r="D346" s="624"/>
      <c r="E346" s="420"/>
      <c r="F346" s="852"/>
      <c r="G346" s="223"/>
      <c r="H346" s="224"/>
      <c r="I346" s="778"/>
      <c r="J346" s="603"/>
      <c r="K346" s="378"/>
    </row>
    <row r="347" spans="1:11">
      <c r="A347" s="398"/>
      <c r="B347" s="1336"/>
      <c r="C347" s="320"/>
      <c r="D347" s="624"/>
      <c r="E347" s="1459"/>
      <c r="F347" s="852"/>
      <c r="G347" s="223"/>
      <c r="H347" s="224"/>
      <c r="I347" s="778"/>
      <c r="J347" s="603"/>
      <c r="K347" s="378"/>
    </row>
    <row r="348" spans="1:11">
      <c r="A348" s="3483"/>
      <c r="B348" s="3484"/>
      <c r="C348" s="320"/>
      <c r="D348" s="413"/>
      <c r="E348" s="875"/>
      <c r="F348" s="852"/>
      <c r="G348" s="223"/>
      <c r="H348" s="224"/>
      <c r="I348" s="778"/>
      <c r="J348" s="603"/>
      <c r="K348" s="378"/>
    </row>
    <row r="349" spans="1:11">
      <c r="A349" s="398"/>
      <c r="B349" s="969"/>
      <c r="C349" s="786"/>
      <c r="D349" s="413"/>
      <c r="E349" s="875"/>
      <c r="F349" s="852"/>
      <c r="G349" s="223"/>
      <c r="H349" s="224"/>
      <c r="I349" s="784"/>
      <c r="J349" s="603"/>
      <c r="K349" s="378"/>
    </row>
    <row r="350" spans="1:11">
      <c r="A350" s="766"/>
      <c r="B350" s="1384"/>
      <c r="C350" s="786"/>
      <c r="D350" s="413"/>
      <c r="E350" s="875"/>
      <c r="F350" s="852"/>
      <c r="G350" s="223"/>
      <c r="H350" s="224"/>
      <c r="I350" s="784"/>
      <c r="J350" s="603"/>
      <c r="K350" s="378"/>
    </row>
    <row r="351" spans="1:11">
      <c r="A351" s="398"/>
      <c r="B351" s="1336"/>
      <c r="C351" s="320"/>
      <c r="D351" s="413"/>
      <c r="E351" s="875"/>
      <c r="F351" s="852"/>
      <c r="G351" s="223"/>
      <c r="H351" s="224"/>
      <c r="I351" s="784"/>
      <c r="J351" s="609"/>
      <c r="K351" s="780"/>
    </row>
    <row r="352" spans="1:11">
      <c r="A352" s="83"/>
      <c r="B352" s="43"/>
      <c r="C352" s="101"/>
      <c r="D352" s="322"/>
      <c r="E352" s="838"/>
      <c r="F352" s="767"/>
      <c r="G352" s="206"/>
      <c r="H352" s="74"/>
      <c r="I352" s="562"/>
      <c r="J352" s="547"/>
      <c r="K352" s="550"/>
    </row>
    <row r="353" spans="1:11">
      <c r="A353" s="83"/>
      <c r="B353" s="43"/>
      <c r="C353" s="101"/>
      <c r="D353" s="322"/>
      <c r="E353" s="838"/>
      <c r="F353" s="767"/>
      <c r="G353" s="206"/>
      <c r="H353" s="74"/>
      <c r="I353" s="562"/>
      <c r="J353" s="547"/>
      <c r="K353" s="550"/>
    </row>
    <row r="354" spans="1:11">
      <c r="A354" s="3483"/>
      <c r="B354" s="3484"/>
      <c r="C354" s="101"/>
      <c r="D354" s="342"/>
      <c r="E354" s="871"/>
      <c r="F354" s="767"/>
      <c r="G354" s="206"/>
      <c r="H354" s="74"/>
      <c r="I354" s="560"/>
      <c r="J354" s="544"/>
      <c r="K354" s="365"/>
    </row>
    <row r="355" spans="1:11">
      <c r="A355" s="83"/>
      <c r="B355" s="43"/>
      <c r="C355" s="101"/>
      <c r="D355" s="342"/>
      <c r="E355" s="871"/>
      <c r="F355" s="767"/>
      <c r="G355" s="206"/>
      <c r="H355" s="74"/>
      <c r="I355" s="560"/>
      <c r="J355" s="544"/>
      <c r="K355" s="365"/>
    </row>
    <row r="356" spans="1:11">
      <c r="A356" s="83"/>
      <c r="B356" s="43"/>
      <c r="C356" s="101"/>
      <c r="D356" s="342"/>
      <c r="E356" s="871"/>
      <c r="F356" s="767"/>
      <c r="G356" s="206"/>
      <c r="H356" s="74"/>
      <c r="I356" s="560"/>
      <c r="J356" s="544"/>
      <c r="K356" s="365"/>
    </row>
    <row r="357" spans="1:11">
      <c r="A357" s="3483"/>
      <c r="B357" s="3484"/>
      <c r="C357" s="101"/>
      <c r="D357" s="342"/>
      <c r="E357" s="871"/>
      <c r="F357" s="767"/>
      <c r="G357" s="206"/>
      <c r="H357" s="74"/>
      <c r="I357" s="560"/>
      <c r="J357" s="544"/>
      <c r="K357" s="365"/>
    </row>
    <row r="358" spans="1:11">
      <c r="A358" s="83"/>
      <c r="B358" s="43"/>
      <c r="C358" s="101"/>
      <c r="D358" s="342"/>
      <c r="E358" s="871"/>
      <c r="F358" s="767"/>
      <c r="G358" s="206"/>
      <c r="H358" s="74"/>
      <c r="I358" s="560"/>
      <c r="J358" s="544"/>
      <c r="K358" s="365"/>
    </row>
    <row r="359" spans="1:11">
      <c r="A359" s="83"/>
      <c r="B359" s="43"/>
      <c r="C359" s="101"/>
      <c r="D359" s="342"/>
      <c r="E359" s="871"/>
      <c r="F359" s="767"/>
      <c r="G359" s="206"/>
      <c r="H359" s="74"/>
      <c r="I359" s="560"/>
      <c r="J359" s="547"/>
      <c r="K359" s="550"/>
    </row>
    <row r="360" spans="1:11">
      <c r="A360" s="70"/>
      <c r="B360" s="56"/>
      <c r="C360" s="57"/>
      <c r="D360" s="613"/>
      <c r="E360" s="872"/>
      <c r="F360" s="853"/>
      <c r="G360" s="214"/>
      <c r="H360" s="103"/>
      <c r="I360" s="733"/>
      <c r="J360" s="543"/>
      <c r="K360" s="734"/>
    </row>
    <row r="361" spans="1:11">
      <c r="A361" s="44"/>
      <c r="B361" s="45"/>
      <c r="C361" s="46"/>
      <c r="D361" s="124"/>
      <c r="F361" s="104"/>
      <c r="H361" s="45"/>
      <c r="I361" s="556"/>
      <c r="K361" s="537">
        <v>11</v>
      </c>
    </row>
    <row r="362" spans="1:11">
      <c r="A362" s="45" t="s">
        <v>0</v>
      </c>
      <c r="B362" s="45"/>
      <c r="C362" s="68"/>
      <c r="D362" s="612"/>
      <c r="F362" s="104"/>
      <c r="H362" s="45"/>
      <c r="I362" s="556"/>
    </row>
    <row r="363" spans="1:11">
      <c r="A363" s="3480" t="s">
        <v>1</v>
      </c>
      <c r="B363" s="3480"/>
      <c r="C363" s="46"/>
      <c r="D363" s="124"/>
      <c r="F363" s="104"/>
      <c r="H363" s="45"/>
      <c r="I363" s="556"/>
    </row>
    <row r="364" spans="1:11" ht="35.25" thickBot="1">
      <c r="F364" s="104"/>
    </row>
    <row r="365" spans="1:11">
      <c r="A365" s="3481" t="s">
        <v>2</v>
      </c>
      <c r="B365" s="3482"/>
      <c r="C365" s="48" t="s">
        <v>3</v>
      </c>
      <c r="D365" s="436" t="s">
        <v>4</v>
      </c>
      <c r="E365" s="868" t="s">
        <v>5</v>
      </c>
      <c r="F365" s="849" t="s">
        <v>5</v>
      </c>
      <c r="G365" s="211" t="s">
        <v>6</v>
      </c>
      <c r="H365" s="48" t="s">
        <v>7</v>
      </c>
      <c r="I365" s="557" t="s">
        <v>8</v>
      </c>
      <c r="J365" s="541" t="s">
        <v>9</v>
      </c>
      <c r="K365" s="346" t="s">
        <v>9</v>
      </c>
    </row>
    <row r="366" spans="1:11" ht="35.25" thickBot="1">
      <c r="A366" s="51"/>
      <c r="B366" s="72"/>
      <c r="C366" s="50"/>
      <c r="D366" s="437" t="s">
        <v>10</v>
      </c>
      <c r="E366" s="869" t="s">
        <v>12</v>
      </c>
      <c r="F366" s="850" t="s">
        <v>11</v>
      </c>
      <c r="G366" s="212"/>
      <c r="H366" s="50" t="s">
        <v>13</v>
      </c>
      <c r="I366" s="558"/>
      <c r="J366" s="542" t="s">
        <v>14</v>
      </c>
      <c r="K366" s="347" t="s">
        <v>15</v>
      </c>
    </row>
    <row r="367" spans="1:11">
      <c r="A367" s="3489"/>
      <c r="B367" s="3490"/>
      <c r="C367" s="126"/>
      <c r="D367" s="536"/>
      <c r="E367" s="843"/>
      <c r="F367" s="853"/>
      <c r="G367" s="206"/>
      <c r="H367" s="74"/>
      <c r="I367" s="560"/>
      <c r="J367" s="544"/>
      <c r="K367" s="365"/>
    </row>
    <row r="368" spans="1:11">
      <c r="A368" s="398"/>
      <c r="B368" s="43"/>
      <c r="C368" s="101"/>
      <c r="D368" s="322"/>
      <c r="E368" s="843"/>
      <c r="F368" s="853"/>
      <c r="G368" s="206"/>
      <c r="H368" s="74"/>
      <c r="I368" s="355"/>
      <c r="J368" s="544"/>
      <c r="K368" s="365"/>
    </row>
    <row r="369" spans="1:11">
      <c r="A369" s="398"/>
      <c r="B369" s="43"/>
      <c r="C369" s="101"/>
      <c r="D369" s="322"/>
      <c r="E369" s="843"/>
      <c r="F369" s="853"/>
      <c r="G369" s="206"/>
      <c r="H369" s="74"/>
      <c r="I369" s="355"/>
      <c r="J369" s="544"/>
      <c r="K369" s="365"/>
    </row>
    <row r="370" spans="1:11">
      <c r="A370" s="83"/>
      <c r="B370" s="43"/>
      <c r="C370" s="101"/>
      <c r="D370" s="322"/>
      <c r="E370" s="843"/>
      <c r="F370" s="767"/>
      <c r="G370" s="206"/>
      <c r="H370" s="74"/>
      <c r="I370" s="355"/>
      <c r="J370" s="544"/>
      <c r="K370" s="365"/>
    </row>
    <row r="371" spans="1:11">
      <c r="A371" s="398"/>
      <c r="B371" s="43"/>
      <c r="C371" s="101"/>
      <c r="D371" s="322"/>
      <c r="E371" s="843"/>
      <c r="F371" s="853"/>
      <c r="G371" s="206"/>
      <c r="H371" s="74"/>
      <c r="I371" s="355"/>
      <c r="J371" s="544"/>
      <c r="K371" s="365"/>
    </row>
    <row r="372" spans="1:11">
      <c r="A372" s="398"/>
      <c r="B372" s="43"/>
      <c r="C372" s="101"/>
      <c r="D372" s="322"/>
      <c r="E372" s="843"/>
      <c r="F372" s="853"/>
      <c r="G372" s="206"/>
      <c r="H372" s="74"/>
      <c r="I372" s="560"/>
      <c r="J372" s="544"/>
      <c r="K372" s="365"/>
    </row>
    <row r="373" spans="1:11">
      <c r="A373" s="398"/>
      <c r="B373" s="43"/>
      <c r="C373" s="101"/>
      <c r="D373" s="322"/>
      <c r="E373" s="838"/>
      <c r="F373" s="853"/>
      <c r="G373" s="206"/>
      <c r="H373" s="74"/>
      <c r="I373" s="560"/>
      <c r="J373" s="544"/>
      <c r="K373" s="365"/>
    </row>
    <row r="374" spans="1:11">
      <c r="A374" s="83"/>
      <c r="B374" s="43"/>
      <c r="C374" s="101"/>
      <c r="D374" s="342"/>
      <c r="E374" s="871"/>
      <c r="F374" s="767"/>
      <c r="G374" s="206"/>
      <c r="H374" s="74"/>
      <c r="I374" s="560"/>
      <c r="J374" s="544"/>
      <c r="K374" s="365"/>
    </row>
    <row r="375" spans="1:11">
      <c r="A375" s="83"/>
      <c r="B375" s="43"/>
      <c r="C375" s="101"/>
      <c r="D375" s="342"/>
      <c r="E375" s="871"/>
      <c r="F375" s="853"/>
      <c r="G375" s="206"/>
      <c r="H375" s="74"/>
      <c r="I375" s="560"/>
      <c r="J375" s="544"/>
      <c r="K375" s="365"/>
    </row>
    <row r="376" spans="1:11">
      <c r="A376" s="83"/>
      <c r="B376" s="43"/>
      <c r="C376" s="101"/>
      <c r="D376" s="342"/>
      <c r="E376" s="871"/>
      <c r="F376" s="853"/>
      <c r="G376" s="206"/>
      <c r="H376" s="74"/>
      <c r="I376" s="560"/>
      <c r="J376" s="544"/>
      <c r="K376" s="365"/>
    </row>
    <row r="377" spans="1:11">
      <c r="A377" s="398"/>
      <c r="B377" s="43"/>
      <c r="C377" s="101"/>
      <c r="D377" s="322"/>
      <c r="E377" s="843"/>
      <c r="F377" s="853"/>
      <c r="G377" s="206"/>
      <c r="H377" s="74"/>
      <c r="I377" s="560"/>
      <c r="J377" s="547"/>
      <c r="K377" s="365"/>
    </row>
    <row r="378" spans="1:11">
      <c r="A378" s="398"/>
      <c r="B378" s="43"/>
      <c r="C378" s="101"/>
      <c r="D378" s="322"/>
      <c r="E378" s="843"/>
      <c r="F378" s="853"/>
      <c r="G378" s="206"/>
      <c r="H378" s="74"/>
      <c r="I378" s="560"/>
      <c r="J378" s="547"/>
      <c r="K378" s="365"/>
    </row>
    <row r="379" spans="1:11">
      <c r="A379" s="83"/>
      <c r="B379" s="43"/>
      <c r="C379" s="101"/>
      <c r="D379" s="342"/>
      <c r="E379" s="871"/>
      <c r="F379" s="853"/>
      <c r="G379" s="206"/>
      <c r="H379" s="74"/>
      <c r="I379" s="560"/>
      <c r="J379" s="544"/>
      <c r="K379" s="394"/>
    </row>
    <row r="380" spans="1:11">
      <c r="A380" s="83"/>
      <c r="B380" s="43"/>
      <c r="C380" s="101"/>
      <c r="D380" s="342"/>
      <c r="E380" s="843"/>
      <c r="F380" s="853"/>
      <c r="G380" s="206"/>
      <c r="H380" s="74"/>
      <c r="I380" s="560"/>
      <c r="J380" s="544"/>
      <c r="K380" s="365"/>
    </row>
    <row r="381" spans="1:11">
      <c r="A381" s="493"/>
      <c r="B381" s="448"/>
      <c r="C381" s="222"/>
      <c r="D381" s="342"/>
      <c r="E381" s="843"/>
      <c r="F381" s="853"/>
      <c r="G381" s="206"/>
      <c r="H381" s="74"/>
      <c r="I381" s="560"/>
      <c r="J381" s="544"/>
      <c r="K381" s="365"/>
    </row>
    <row r="382" spans="1:11">
      <c r="A382" s="83"/>
      <c r="B382" s="43"/>
      <c r="C382" s="101"/>
      <c r="D382" s="342"/>
      <c r="E382" s="843"/>
      <c r="F382" s="853"/>
      <c r="G382" s="206"/>
      <c r="H382" s="74"/>
      <c r="I382" s="385"/>
      <c r="J382" s="547"/>
      <c r="K382" s="365"/>
    </row>
    <row r="383" spans="1:11">
      <c r="A383" s="83"/>
      <c r="B383" s="43"/>
      <c r="C383" s="101"/>
      <c r="D383" s="342"/>
      <c r="E383" s="871"/>
      <c r="F383" s="767"/>
      <c r="G383" s="206"/>
      <c r="H383" s="74"/>
      <c r="I383" s="385"/>
      <c r="J383" s="547"/>
      <c r="K383" s="365"/>
    </row>
    <row r="384" spans="1:11">
      <c r="A384" s="83"/>
      <c r="B384" s="43"/>
      <c r="C384" s="101"/>
      <c r="D384" s="322"/>
      <c r="E384" s="838"/>
      <c r="F384" s="767"/>
      <c r="G384" s="206"/>
      <c r="H384" s="74"/>
      <c r="I384" s="560"/>
      <c r="J384" s="547"/>
      <c r="K384" s="365"/>
    </row>
    <row r="385" spans="1:11">
      <c r="A385" s="83"/>
      <c r="B385" s="43"/>
      <c r="C385" s="101"/>
      <c r="D385" s="322"/>
      <c r="E385" s="838"/>
      <c r="F385" s="767"/>
      <c r="G385" s="206"/>
      <c r="H385" s="74"/>
      <c r="I385" s="560"/>
      <c r="J385" s="547"/>
      <c r="K385" s="365"/>
    </row>
    <row r="386" spans="1:11">
      <c r="A386" s="83"/>
      <c r="B386" s="43"/>
      <c r="C386" s="101"/>
      <c r="D386" s="322"/>
      <c r="E386" s="838"/>
      <c r="F386" s="767"/>
      <c r="G386" s="206"/>
      <c r="H386" s="74"/>
      <c r="I386" s="560"/>
      <c r="J386" s="547"/>
      <c r="K386" s="365"/>
    </row>
    <row r="387" spans="1:11">
      <c r="A387" s="83"/>
      <c r="B387" s="43"/>
      <c r="C387" s="101"/>
      <c r="D387" s="322"/>
      <c r="E387" s="838"/>
      <c r="F387" s="767"/>
      <c r="G387" s="206"/>
      <c r="H387" s="74"/>
      <c r="I387" s="560"/>
      <c r="J387" s="547"/>
      <c r="K387" s="365"/>
    </row>
    <row r="388" spans="1:11">
      <c r="A388" s="83"/>
      <c r="B388" s="43"/>
      <c r="C388" s="101"/>
      <c r="D388" s="322"/>
      <c r="E388" s="838"/>
      <c r="F388" s="767"/>
      <c r="G388" s="206"/>
      <c r="H388" s="74"/>
      <c r="I388" s="560"/>
      <c r="J388" s="547"/>
      <c r="K388" s="365"/>
    </row>
    <row r="389" spans="1:11">
      <c r="A389" s="83"/>
      <c r="B389" s="43"/>
      <c r="C389" s="101"/>
      <c r="D389" s="322"/>
      <c r="E389" s="838"/>
      <c r="F389" s="767"/>
      <c r="G389" s="206"/>
      <c r="H389" s="74"/>
      <c r="I389" s="560"/>
      <c r="J389" s="547"/>
      <c r="K389" s="365"/>
    </row>
    <row r="390" spans="1:11">
      <c r="A390" s="83"/>
      <c r="B390" s="43"/>
      <c r="C390" s="101"/>
      <c r="D390" s="322"/>
      <c r="E390" s="838"/>
      <c r="F390" s="767"/>
      <c r="G390" s="206"/>
      <c r="H390" s="74"/>
      <c r="I390" s="560"/>
      <c r="J390" s="547"/>
      <c r="K390" s="365"/>
    </row>
    <row r="391" spans="1:11">
      <c r="A391" s="83"/>
      <c r="B391" s="43"/>
      <c r="C391" s="101"/>
      <c r="D391" s="322"/>
      <c r="E391" s="838"/>
      <c r="F391" s="767"/>
      <c r="G391" s="206"/>
      <c r="H391" s="74"/>
      <c r="I391" s="560"/>
      <c r="J391" s="547"/>
      <c r="K391" s="365"/>
    </row>
    <row r="392" spans="1:11">
      <c r="A392" s="3489"/>
      <c r="B392" s="3490"/>
      <c r="C392" s="63"/>
      <c r="D392" s="342"/>
      <c r="E392" s="838"/>
      <c r="F392" s="767"/>
      <c r="G392" s="206"/>
      <c r="H392" s="74"/>
      <c r="I392" s="560"/>
      <c r="J392" s="547"/>
      <c r="K392" s="365"/>
    </row>
    <row r="393" spans="1:11">
      <c r="A393" s="87"/>
      <c r="B393" s="43"/>
      <c r="C393" s="101"/>
      <c r="D393" s="342"/>
      <c r="E393" s="871"/>
      <c r="F393" s="767"/>
      <c r="G393" s="206"/>
      <c r="H393" s="150"/>
      <c r="I393" s="560"/>
      <c r="J393" s="544"/>
      <c r="K393" s="365"/>
    </row>
    <row r="394" spans="1:11">
      <c r="A394" s="83"/>
      <c r="B394" s="43"/>
      <c r="C394" s="101"/>
      <c r="D394" s="342"/>
      <c r="E394" s="871"/>
      <c r="F394" s="767"/>
      <c r="G394" s="206"/>
      <c r="H394" s="74"/>
      <c r="I394" s="560"/>
      <c r="J394" s="544"/>
      <c r="K394" s="365"/>
    </row>
    <row r="395" spans="1:11">
      <c r="A395" s="83"/>
      <c r="B395" s="43"/>
      <c r="C395" s="101"/>
      <c r="D395" s="342"/>
      <c r="E395" s="871"/>
      <c r="F395" s="767"/>
      <c r="G395" s="206"/>
      <c r="H395" s="74"/>
      <c r="I395" s="560"/>
      <c r="J395" s="544"/>
      <c r="K395" s="365"/>
    </row>
    <row r="396" spans="1:11">
      <c r="A396" s="44"/>
      <c r="B396" s="45"/>
      <c r="C396" s="46"/>
      <c r="D396" s="124"/>
      <c r="F396" s="104"/>
      <c r="H396" s="45"/>
      <c r="I396" s="556"/>
    </row>
    <row r="397" spans="1:11">
      <c r="A397" s="44"/>
      <c r="B397" s="45"/>
      <c r="C397" s="46"/>
      <c r="D397" s="124"/>
      <c r="F397" s="104"/>
      <c r="H397" s="45"/>
      <c r="I397" s="556"/>
      <c r="K397" s="537">
        <v>12</v>
      </c>
    </row>
    <row r="398" spans="1:11">
      <c r="A398" s="45" t="s">
        <v>0</v>
      </c>
      <c r="B398" s="45"/>
      <c r="C398" s="68"/>
      <c r="D398" s="612"/>
      <c r="F398" s="104"/>
      <c r="H398" s="45"/>
      <c r="I398" s="556"/>
    </row>
    <row r="399" spans="1:11">
      <c r="A399" s="3480" t="s">
        <v>1</v>
      </c>
      <c r="B399" s="3480"/>
      <c r="C399" s="46"/>
      <c r="D399" s="124"/>
      <c r="F399" s="104"/>
      <c r="H399" s="45"/>
      <c r="I399" s="556"/>
    </row>
    <row r="400" spans="1:11" ht="35.25" thickBot="1">
      <c r="F400" s="104"/>
    </row>
    <row r="401" spans="1:11">
      <c r="A401" s="3481" t="s">
        <v>2</v>
      </c>
      <c r="B401" s="3482"/>
      <c r="C401" s="48" t="s">
        <v>3</v>
      </c>
      <c r="D401" s="436" t="s">
        <v>4</v>
      </c>
      <c r="E401" s="868" t="s">
        <v>5</v>
      </c>
      <c r="F401" s="849" t="s">
        <v>5</v>
      </c>
      <c r="G401" s="211" t="s">
        <v>6</v>
      </c>
      <c r="H401" s="48" t="s">
        <v>7</v>
      </c>
      <c r="I401" s="557" t="s">
        <v>8</v>
      </c>
      <c r="J401" s="541" t="s">
        <v>9</v>
      </c>
      <c r="K401" s="346" t="s">
        <v>9</v>
      </c>
    </row>
    <row r="402" spans="1:11" ht="35.25" thickBot="1">
      <c r="A402" s="51"/>
      <c r="B402" s="72"/>
      <c r="C402" s="50"/>
      <c r="D402" s="437" t="s">
        <v>10</v>
      </c>
      <c r="E402" s="869" t="s">
        <v>12</v>
      </c>
      <c r="F402" s="850" t="s">
        <v>11</v>
      </c>
      <c r="G402" s="212"/>
      <c r="H402" s="50" t="s">
        <v>13</v>
      </c>
      <c r="I402" s="558"/>
      <c r="J402" s="542" t="s">
        <v>14</v>
      </c>
      <c r="K402" s="347" t="s">
        <v>15</v>
      </c>
    </row>
    <row r="403" spans="1:11">
      <c r="A403" s="3483"/>
      <c r="B403" s="3484"/>
      <c r="C403" s="320"/>
      <c r="D403" s="413"/>
      <c r="E403" s="875"/>
      <c r="F403" s="852"/>
      <c r="G403" s="223"/>
      <c r="H403" s="224"/>
      <c r="I403" s="778"/>
      <c r="J403" s="603"/>
      <c r="K403" s="378"/>
    </row>
    <row r="404" spans="1:11">
      <c r="A404" s="398"/>
      <c r="B404" s="406"/>
      <c r="C404" s="320"/>
      <c r="D404" s="413"/>
      <c r="E404" s="875"/>
      <c r="F404" s="852"/>
      <c r="G404" s="223"/>
      <c r="H404" s="224"/>
      <c r="I404" s="784"/>
      <c r="J404" s="603"/>
      <c r="K404" s="378"/>
    </row>
    <row r="405" spans="1:11">
      <c r="A405" s="83"/>
      <c r="B405" s="43"/>
      <c r="C405" s="101"/>
      <c r="D405" s="322"/>
      <c r="E405" s="843"/>
      <c r="F405" s="853"/>
      <c r="G405" s="206"/>
      <c r="H405" s="74"/>
      <c r="I405" s="562"/>
      <c r="J405" s="544"/>
      <c r="K405" s="365"/>
    </row>
    <row r="406" spans="1:11">
      <c r="A406" s="83"/>
      <c r="B406" s="43"/>
      <c r="C406" s="101"/>
      <c r="D406" s="322"/>
      <c r="E406" s="843"/>
      <c r="F406" s="853"/>
      <c r="G406" s="206"/>
      <c r="H406" s="74"/>
      <c r="I406" s="562"/>
      <c r="J406" s="544"/>
      <c r="K406" s="365"/>
    </row>
    <row r="407" spans="1:11">
      <c r="A407" s="398"/>
      <c r="B407" s="43"/>
      <c r="C407" s="101"/>
      <c r="D407" s="322"/>
      <c r="E407" s="843"/>
      <c r="F407" s="853"/>
      <c r="G407" s="206"/>
      <c r="H407" s="74"/>
      <c r="I407" s="560"/>
      <c r="J407" s="544"/>
      <c r="K407" s="394"/>
    </row>
    <row r="408" spans="1:11">
      <c r="A408" s="3483"/>
      <c r="B408" s="3484"/>
      <c r="C408" s="126"/>
      <c r="D408" s="536"/>
      <c r="E408" s="843"/>
      <c r="F408" s="853"/>
      <c r="G408" s="206"/>
      <c r="H408" s="74"/>
      <c r="I408" s="560"/>
      <c r="J408" s="544"/>
      <c r="K408" s="365"/>
    </row>
    <row r="409" spans="1:11">
      <c r="A409" s="398"/>
      <c r="B409" s="43"/>
      <c r="C409" s="101"/>
      <c r="D409" s="322"/>
      <c r="E409" s="843"/>
      <c r="F409" s="853"/>
      <c r="G409" s="206"/>
      <c r="H409" s="74"/>
      <c r="I409" s="355"/>
      <c r="J409" s="544"/>
      <c r="K409" s="365"/>
    </row>
    <row r="410" spans="1:11">
      <c r="A410" s="398"/>
      <c r="B410" s="43"/>
      <c r="C410" s="101"/>
      <c r="D410" s="322"/>
      <c r="E410" s="843"/>
      <c r="F410" s="853"/>
      <c r="G410" s="206"/>
      <c r="H410" s="74"/>
      <c r="I410" s="355"/>
      <c r="J410" s="544"/>
      <c r="K410" s="365"/>
    </row>
    <row r="411" spans="1:11">
      <c r="A411" s="83"/>
      <c r="B411" s="43"/>
      <c r="C411" s="101"/>
      <c r="D411" s="322"/>
      <c r="E411" s="843"/>
      <c r="F411" s="767"/>
      <c r="G411" s="206"/>
      <c r="H411" s="74"/>
      <c r="I411" s="355"/>
      <c r="J411" s="544"/>
      <c r="K411" s="365"/>
    </row>
    <row r="412" spans="1:11">
      <c r="A412" s="398"/>
      <c r="B412" s="43"/>
      <c r="C412" s="101"/>
      <c r="D412" s="322"/>
      <c r="E412" s="843"/>
      <c r="F412" s="853"/>
      <c r="G412" s="206"/>
      <c r="H412" s="74"/>
      <c r="I412" s="355"/>
      <c r="J412" s="544"/>
      <c r="K412" s="365"/>
    </row>
    <row r="413" spans="1:11">
      <c r="A413" s="398"/>
      <c r="B413" s="43"/>
      <c r="C413" s="101"/>
      <c r="D413" s="322"/>
      <c r="E413" s="843"/>
      <c r="F413" s="853"/>
      <c r="G413" s="206"/>
      <c r="H413" s="74"/>
      <c r="I413" s="560"/>
      <c r="J413" s="544"/>
      <c r="K413" s="365"/>
    </row>
    <row r="414" spans="1:11">
      <c r="A414" s="398"/>
      <c r="B414" s="43"/>
      <c r="C414" s="101"/>
      <c r="D414" s="322"/>
      <c r="E414" s="838"/>
      <c r="F414" s="853"/>
      <c r="G414" s="206"/>
      <c r="H414" s="74"/>
      <c r="I414" s="560"/>
      <c r="J414" s="544"/>
      <c r="K414" s="365"/>
    </row>
    <row r="415" spans="1:11">
      <c r="A415" s="83"/>
      <c r="B415" s="43"/>
      <c r="C415" s="101"/>
      <c r="D415" s="342"/>
      <c r="E415" s="871"/>
      <c r="F415" s="767"/>
      <c r="G415" s="206"/>
      <c r="H415" s="74"/>
      <c r="I415" s="560"/>
      <c r="J415" s="544"/>
      <c r="K415" s="365"/>
    </row>
    <row r="416" spans="1:11">
      <c r="A416" s="83"/>
      <c r="B416" s="43"/>
      <c r="C416" s="101"/>
      <c r="D416" s="342"/>
      <c r="E416" s="871"/>
      <c r="F416" s="853"/>
      <c r="G416" s="206"/>
      <c r="H416" s="74"/>
      <c r="I416" s="560"/>
      <c r="J416" s="544"/>
      <c r="K416" s="365"/>
    </row>
    <row r="417" spans="1:11">
      <c r="A417" s="83"/>
      <c r="B417" s="43"/>
      <c r="C417" s="101"/>
      <c r="D417" s="342"/>
      <c r="E417" s="871"/>
      <c r="F417" s="853"/>
      <c r="G417" s="206"/>
      <c r="H417" s="74"/>
      <c r="I417" s="560"/>
      <c r="J417" s="544"/>
      <c r="K417" s="365"/>
    </row>
    <row r="418" spans="1:11">
      <c r="A418" s="83"/>
      <c r="B418" s="43"/>
      <c r="C418" s="101"/>
      <c r="D418" s="342"/>
      <c r="E418" s="843"/>
      <c r="F418" s="853"/>
      <c r="G418" s="206"/>
      <c r="H418" s="74"/>
      <c r="I418" s="560"/>
      <c r="J418" s="544"/>
      <c r="K418" s="365"/>
    </row>
    <row r="419" spans="1:11">
      <c r="A419" s="782"/>
      <c r="B419" s="783"/>
      <c r="C419" s="222"/>
      <c r="D419" s="517"/>
      <c r="E419" s="843"/>
      <c r="F419" s="853"/>
      <c r="G419" s="206"/>
      <c r="H419" s="74"/>
      <c r="I419" s="560"/>
      <c r="J419" s="544"/>
      <c r="K419" s="365"/>
    </row>
    <row r="420" spans="1:11">
      <c r="A420" s="83"/>
      <c r="B420" s="362"/>
      <c r="C420" s="101"/>
      <c r="D420" s="342"/>
      <c r="E420" s="843"/>
      <c r="F420" s="853"/>
      <c r="G420" s="206"/>
      <c r="H420" s="74"/>
      <c r="I420" s="562"/>
      <c r="J420" s="547"/>
      <c r="K420" s="550"/>
    </row>
    <row r="421" spans="1:11">
      <c r="A421" s="83"/>
      <c r="B421" s="362"/>
      <c r="C421" s="101"/>
      <c r="D421" s="342"/>
      <c r="E421" s="871"/>
      <c r="F421" s="767"/>
      <c r="G421" s="206"/>
      <c r="H421" s="74"/>
      <c r="I421" s="562"/>
      <c r="J421" s="547"/>
      <c r="K421" s="550"/>
    </row>
    <row r="422" spans="1:11">
      <c r="A422" s="83"/>
      <c r="B422" s="362"/>
      <c r="C422" s="101"/>
      <c r="D422" s="322"/>
      <c r="E422" s="838"/>
      <c r="F422" s="767"/>
      <c r="G422" s="206"/>
      <c r="H422" s="74"/>
      <c r="I422" s="562"/>
      <c r="J422" s="547"/>
      <c r="K422" s="550"/>
    </row>
    <row r="423" spans="1:11">
      <c r="A423" s="83"/>
      <c r="B423" s="43"/>
      <c r="C423" s="101"/>
      <c r="D423" s="322"/>
      <c r="E423" s="838"/>
      <c r="F423" s="767"/>
      <c r="G423" s="206"/>
      <c r="H423" s="74"/>
      <c r="I423" s="562"/>
      <c r="J423" s="547"/>
      <c r="K423" s="550"/>
    </row>
    <row r="424" spans="1:11">
      <c r="A424" s="83"/>
      <c r="B424" s="43"/>
      <c r="C424" s="101"/>
      <c r="D424" s="322"/>
      <c r="E424" s="838"/>
      <c r="F424" s="767"/>
      <c r="G424" s="206"/>
      <c r="H424" s="74"/>
      <c r="I424" s="562"/>
      <c r="J424" s="547"/>
      <c r="K424" s="550"/>
    </row>
    <row r="425" spans="1:11">
      <c r="A425" s="83"/>
      <c r="B425" s="43"/>
      <c r="C425" s="101"/>
      <c r="D425" s="322"/>
      <c r="E425" s="871"/>
      <c r="F425" s="767"/>
      <c r="G425" s="206"/>
      <c r="H425" s="74"/>
      <c r="I425" s="562"/>
      <c r="J425" s="547"/>
      <c r="K425" s="550"/>
    </row>
    <row r="426" spans="1:11">
      <c r="A426" s="83"/>
      <c r="B426" s="43"/>
      <c r="C426" s="101"/>
      <c r="D426" s="322"/>
      <c r="E426" s="871"/>
      <c r="F426" s="767"/>
      <c r="G426" s="206"/>
      <c r="H426" s="74"/>
      <c r="I426" s="562"/>
      <c r="J426" s="547"/>
      <c r="K426" s="550"/>
    </row>
    <row r="427" spans="1:11">
      <c r="A427" s="83"/>
      <c r="B427" s="43"/>
      <c r="C427" s="101"/>
      <c r="D427" s="342"/>
      <c r="E427" s="871"/>
      <c r="F427" s="767"/>
      <c r="G427" s="206"/>
      <c r="H427" s="74"/>
      <c r="I427" s="560"/>
      <c r="J427" s="547"/>
      <c r="K427" s="616"/>
    </row>
    <row r="428" spans="1:11">
      <c r="A428" s="389"/>
      <c r="B428" s="382"/>
      <c r="C428" s="101"/>
      <c r="D428" s="342"/>
      <c r="E428" s="871"/>
      <c r="F428" s="767"/>
      <c r="G428" s="206"/>
      <c r="H428" s="74"/>
      <c r="I428" s="560"/>
      <c r="J428" s="547"/>
      <c r="K428" s="616"/>
    </row>
    <row r="429" spans="1:11">
      <c r="A429" s="87"/>
      <c r="B429" s="43"/>
      <c r="C429" s="101"/>
      <c r="D429" s="342"/>
      <c r="E429" s="871"/>
      <c r="F429" s="767"/>
      <c r="G429" s="206"/>
      <c r="H429" s="74"/>
      <c r="I429" s="560"/>
      <c r="J429" s="547"/>
      <c r="K429" s="616"/>
    </row>
    <row r="430" spans="1:11">
      <c r="A430" s="87"/>
      <c r="B430" s="43"/>
      <c r="C430" s="101"/>
      <c r="D430" s="342"/>
      <c r="E430" s="871"/>
      <c r="F430" s="767"/>
      <c r="G430" s="206"/>
      <c r="H430" s="74"/>
      <c r="I430" s="560"/>
      <c r="J430" s="547"/>
      <c r="K430" s="616"/>
    </row>
    <row r="431" spans="1:11">
      <c r="A431" s="87"/>
      <c r="B431" s="43"/>
      <c r="C431" s="101"/>
      <c r="D431" s="342"/>
      <c r="E431" s="871"/>
      <c r="F431" s="767"/>
      <c r="G431" s="206"/>
      <c r="H431" s="74"/>
      <c r="I431" s="560"/>
      <c r="J431" s="547"/>
      <c r="K431" s="616"/>
    </row>
    <row r="432" spans="1:11">
      <c r="A432" s="87"/>
      <c r="B432" s="43"/>
      <c r="C432" s="101"/>
      <c r="D432" s="342"/>
      <c r="E432" s="871"/>
      <c r="F432" s="767"/>
      <c r="G432" s="206"/>
      <c r="H432" s="74"/>
      <c r="I432" s="560"/>
      <c r="J432" s="547"/>
      <c r="K432" s="616"/>
    </row>
    <row r="433" spans="1:11">
      <c r="A433" s="44"/>
      <c r="B433" s="45"/>
      <c r="C433" s="46"/>
      <c r="D433" s="124"/>
      <c r="F433" s="104"/>
      <c r="H433" s="45"/>
      <c r="I433" s="556"/>
      <c r="K433" s="492">
        <v>13</v>
      </c>
    </row>
    <row r="434" spans="1:11">
      <c r="A434" s="45" t="s">
        <v>0</v>
      </c>
      <c r="B434" s="45"/>
      <c r="C434" s="68"/>
      <c r="D434" s="612"/>
      <c r="F434" s="104"/>
      <c r="H434" s="45"/>
      <c r="I434" s="556"/>
    </row>
    <row r="435" spans="1:11">
      <c r="A435" s="3480" t="s">
        <v>1</v>
      </c>
      <c r="B435" s="3480"/>
      <c r="C435" s="46"/>
      <c r="D435" s="124"/>
      <c r="F435" s="104"/>
      <c r="H435" s="45"/>
      <c r="I435" s="556"/>
    </row>
    <row r="436" spans="1:11" ht="35.25" thickBot="1">
      <c r="F436" s="104"/>
    </row>
    <row r="437" spans="1:11">
      <c r="A437" s="3481" t="s">
        <v>2</v>
      </c>
      <c r="B437" s="3482"/>
      <c r="C437" s="48" t="s">
        <v>3</v>
      </c>
      <c r="D437" s="436" t="s">
        <v>4</v>
      </c>
      <c r="E437" s="868" t="s">
        <v>5</v>
      </c>
      <c r="F437" s="849" t="s">
        <v>5</v>
      </c>
      <c r="G437" s="211" t="s">
        <v>6</v>
      </c>
      <c r="H437" s="48" t="s">
        <v>7</v>
      </c>
      <c r="I437" s="557" t="s">
        <v>8</v>
      </c>
      <c r="J437" s="541" t="s">
        <v>9</v>
      </c>
      <c r="K437" s="346" t="s">
        <v>9</v>
      </c>
    </row>
    <row r="438" spans="1:11" ht="35.25" thickBot="1">
      <c r="A438" s="51"/>
      <c r="B438" s="72"/>
      <c r="C438" s="50"/>
      <c r="D438" s="437" t="s">
        <v>10</v>
      </c>
      <c r="E438" s="869" t="s">
        <v>12</v>
      </c>
      <c r="F438" s="850" t="s">
        <v>11</v>
      </c>
      <c r="G438" s="212"/>
      <c r="H438" s="50" t="s">
        <v>13</v>
      </c>
      <c r="I438" s="558"/>
      <c r="J438" s="542" t="s">
        <v>14</v>
      </c>
      <c r="K438" s="347" t="s">
        <v>15</v>
      </c>
    </row>
    <row r="439" spans="1:11">
      <c r="A439" s="3485"/>
      <c r="B439" s="3486"/>
      <c r="C439" s="63"/>
      <c r="D439" s="322"/>
      <c r="E439" s="843"/>
      <c r="F439" s="767"/>
      <c r="G439" s="206"/>
      <c r="H439" s="74"/>
      <c r="I439" s="560"/>
      <c r="J439" s="544"/>
      <c r="K439" s="365"/>
    </row>
    <row r="440" spans="1:11">
      <c r="A440" s="398"/>
      <c r="B440" s="43"/>
      <c r="C440" s="101"/>
      <c r="D440" s="322"/>
      <c r="E440" s="843"/>
      <c r="F440" s="853"/>
      <c r="G440" s="206"/>
      <c r="H440" s="74"/>
      <c r="I440" s="560"/>
      <c r="J440" s="547"/>
      <c r="K440" s="550"/>
    </row>
    <row r="441" spans="1:11">
      <c r="A441" s="398"/>
      <c r="B441" s="43"/>
      <c r="C441" s="101"/>
      <c r="D441" s="322"/>
      <c r="E441" s="843"/>
      <c r="F441" s="853"/>
      <c r="G441" s="206"/>
      <c r="H441" s="74"/>
      <c r="I441" s="560"/>
      <c r="J441" s="547"/>
      <c r="K441" s="550"/>
    </row>
    <row r="442" spans="1:11">
      <c r="A442" s="398"/>
      <c r="B442" s="43"/>
      <c r="C442" s="101"/>
      <c r="D442" s="322"/>
      <c r="E442" s="843"/>
      <c r="F442" s="853"/>
      <c r="G442" s="206"/>
      <c r="H442" s="74"/>
      <c r="I442" s="560"/>
      <c r="J442" s="547"/>
      <c r="K442" s="550"/>
    </row>
    <row r="443" spans="1:11">
      <c r="A443" s="398"/>
      <c r="B443" s="43"/>
      <c r="C443" s="101"/>
      <c r="D443" s="322"/>
      <c r="E443" s="843"/>
      <c r="F443" s="853"/>
      <c r="G443" s="206"/>
      <c r="H443" s="74"/>
      <c r="I443" s="560"/>
      <c r="J443" s="547"/>
      <c r="K443" s="550"/>
    </row>
    <row r="444" spans="1:11">
      <c r="A444" s="398"/>
      <c r="B444" s="43"/>
      <c r="C444" s="101"/>
      <c r="D444" s="322"/>
      <c r="E444" s="843"/>
      <c r="F444" s="853"/>
      <c r="G444" s="206"/>
      <c r="H444" s="74"/>
      <c r="I444" s="560"/>
      <c r="J444" s="547"/>
      <c r="K444" s="550"/>
    </row>
    <row r="445" spans="1:11">
      <c r="A445" s="3487"/>
      <c r="B445" s="3488"/>
      <c r="C445" s="101"/>
      <c r="D445" s="322"/>
      <c r="E445" s="843"/>
      <c r="F445" s="853"/>
      <c r="G445" s="206"/>
      <c r="H445" s="74"/>
      <c r="I445" s="560"/>
      <c r="J445" s="544"/>
      <c r="K445" s="550"/>
    </row>
    <row r="446" spans="1:11">
      <c r="A446" s="663"/>
      <c r="B446" s="43"/>
      <c r="C446" s="101"/>
      <c r="D446" s="322"/>
      <c r="E446" s="843"/>
      <c r="F446" s="853"/>
      <c r="G446" s="206"/>
      <c r="H446" s="74"/>
      <c r="I446" s="560"/>
      <c r="J446" s="547"/>
      <c r="K446" s="550"/>
    </row>
    <row r="447" spans="1:11">
      <c r="A447" s="398"/>
      <c r="B447" s="43"/>
      <c r="C447" s="101"/>
      <c r="D447" s="322"/>
      <c r="E447" s="843"/>
      <c r="F447" s="853"/>
      <c r="G447" s="206"/>
      <c r="H447" s="74"/>
      <c r="I447" s="560"/>
      <c r="J447" s="547"/>
      <c r="K447" s="550"/>
    </row>
    <row r="448" spans="1:11">
      <c r="A448" s="398"/>
      <c r="B448" s="43"/>
      <c r="C448" s="101"/>
      <c r="D448" s="322"/>
      <c r="E448" s="843"/>
      <c r="F448" s="853"/>
      <c r="G448" s="206"/>
      <c r="H448" s="74"/>
      <c r="I448" s="560"/>
      <c r="J448" s="547"/>
      <c r="K448" s="550"/>
    </row>
    <row r="449" spans="1:11">
      <c r="A449" s="398"/>
      <c r="B449" s="43"/>
      <c r="C449" s="101"/>
      <c r="D449" s="322"/>
      <c r="E449" s="843"/>
      <c r="F449" s="853"/>
      <c r="G449" s="206"/>
      <c r="H449" s="74"/>
      <c r="I449" s="560"/>
      <c r="J449" s="547"/>
      <c r="K449" s="550"/>
    </row>
    <row r="450" spans="1:11">
      <c r="A450" s="83"/>
      <c r="B450" s="43"/>
      <c r="C450" s="101"/>
      <c r="D450" s="322"/>
      <c r="E450" s="843"/>
      <c r="F450" s="767"/>
      <c r="G450" s="206"/>
      <c r="H450" s="74"/>
      <c r="I450" s="560"/>
      <c r="J450" s="547"/>
      <c r="K450" s="550"/>
    </row>
    <row r="451" spans="1:11">
      <c r="A451" s="83"/>
      <c r="B451" s="43"/>
      <c r="C451" s="101"/>
      <c r="D451" s="322"/>
      <c r="E451" s="843"/>
      <c r="F451" s="853"/>
      <c r="G451" s="206"/>
      <c r="H451" s="74"/>
      <c r="I451" s="560"/>
      <c r="J451" s="547"/>
      <c r="K451" s="550"/>
    </row>
    <row r="452" spans="1:11">
      <c r="A452" s="83"/>
      <c r="B452" s="43"/>
      <c r="C452" s="101"/>
      <c r="D452" s="322"/>
      <c r="E452" s="843"/>
      <c r="F452" s="853"/>
      <c r="G452" s="206"/>
      <c r="H452" s="74"/>
      <c r="I452" s="560"/>
      <c r="J452" s="547"/>
      <c r="K452" s="550"/>
    </row>
    <row r="453" spans="1:11">
      <c r="A453" s="83"/>
      <c r="B453" s="43"/>
      <c r="C453" s="101"/>
      <c r="D453" s="322"/>
      <c r="E453" s="843"/>
      <c r="F453" s="853"/>
      <c r="G453" s="206"/>
      <c r="H453" s="74"/>
      <c r="I453" s="560"/>
      <c r="J453" s="547"/>
      <c r="K453" s="550"/>
    </row>
    <row r="454" spans="1:11">
      <c r="A454" s="83"/>
      <c r="B454" s="43"/>
      <c r="C454" s="101"/>
      <c r="D454" s="342"/>
      <c r="E454" s="843"/>
      <c r="F454" s="853"/>
      <c r="G454" s="206"/>
      <c r="H454" s="74"/>
      <c r="I454" s="560"/>
      <c r="J454" s="547"/>
      <c r="K454" s="550"/>
    </row>
    <row r="455" spans="1:11">
      <c r="A455" s="83"/>
      <c r="B455" s="43"/>
      <c r="C455" s="101"/>
      <c r="D455" s="322"/>
      <c r="E455" s="843"/>
      <c r="F455" s="853"/>
      <c r="G455" s="206"/>
      <c r="H455" s="74"/>
      <c r="I455" s="560"/>
      <c r="J455" s="547"/>
      <c r="K455" s="550"/>
    </row>
    <row r="456" spans="1:11">
      <c r="A456" s="83"/>
      <c r="B456" s="43"/>
      <c r="C456" s="101"/>
      <c r="D456" s="322"/>
      <c r="E456" s="843"/>
      <c r="F456" s="853"/>
      <c r="G456" s="206"/>
      <c r="H456" s="74"/>
      <c r="I456" s="560"/>
      <c r="J456" s="547"/>
      <c r="K456" s="550"/>
    </row>
    <row r="457" spans="1:11">
      <c r="A457" s="83"/>
      <c r="B457" s="43"/>
      <c r="C457" s="101"/>
      <c r="D457" s="342"/>
      <c r="E457" s="843"/>
      <c r="F457" s="853"/>
      <c r="G457" s="206"/>
      <c r="H457" s="74"/>
      <c r="I457" s="385"/>
      <c r="J457" s="547"/>
      <c r="K457" s="550"/>
    </row>
    <row r="458" spans="1:11">
      <c r="A458" s="83"/>
      <c r="B458" s="43"/>
      <c r="C458" s="101"/>
      <c r="D458" s="342"/>
      <c r="E458" s="843"/>
      <c r="F458" s="767"/>
      <c r="G458" s="206"/>
      <c r="H458" s="74"/>
      <c r="I458" s="560"/>
      <c r="J458" s="547"/>
      <c r="K458" s="550"/>
    </row>
    <row r="459" spans="1:11">
      <c r="A459" s="83"/>
      <c r="B459" s="43"/>
      <c r="C459" s="101"/>
      <c r="D459" s="322"/>
      <c r="E459" s="843"/>
      <c r="F459" s="767"/>
      <c r="G459" s="206"/>
      <c r="H459" s="74"/>
      <c r="I459" s="560"/>
      <c r="J459" s="547"/>
      <c r="K459" s="550"/>
    </row>
    <row r="460" spans="1:11">
      <c r="A460" s="83"/>
      <c r="B460" s="43"/>
      <c r="C460" s="101"/>
      <c r="D460" s="342"/>
      <c r="E460" s="843"/>
      <c r="F460" s="767"/>
      <c r="G460" s="206"/>
      <c r="H460" s="74"/>
      <c r="I460" s="560"/>
      <c r="J460" s="547"/>
      <c r="K460" s="550"/>
    </row>
    <row r="461" spans="1:11">
      <c r="A461" s="83"/>
      <c r="B461" s="382"/>
      <c r="C461" s="101"/>
      <c r="D461" s="322"/>
      <c r="E461" s="838"/>
      <c r="F461" s="767"/>
      <c r="G461" s="206"/>
      <c r="H461" s="74"/>
      <c r="I461" s="560"/>
      <c r="J461" s="547"/>
      <c r="K461" s="394"/>
    </row>
    <row r="462" spans="1:11">
      <c r="A462" s="83"/>
      <c r="B462" s="43"/>
      <c r="C462" s="320"/>
      <c r="D462" s="322"/>
      <c r="E462" s="838"/>
      <c r="F462" s="767"/>
      <c r="G462" s="206"/>
      <c r="H462" s="74"/>
      <c r="I462" s="563"/>
      <c r="J462" s="544"/>
      <c r="K462" s="394"/>
    </row>
    <row r="463" spans="1:11">
      <c r="A463" s="83"/>
      <c r="B463" s="43"/>
      <c r="C463" s="101"/>
      <c r="D463" s="322"/>
      <c r="E463" s="838"/>
      <c r="F463" s="767"/>
      <c r="G463" s="206"/>
      <c r="H463" s="74"/>
      <c r="I463" s="563"/>
      <c r="J463" s="548"/>
      <c r="K463" s="365"/>
    </row>
    <row r="464" spans="1:11">
      <c r="A464" s="83"/>
      <c r="B464" s="43"/>
      <c r="C464" s="101"/>
      <c r="D464" s="342"/>
      <c r="E464" s="871"/>
      <c r="F464" s="767"/>
      <c r="G464" s="206"/>
      <c r="H464" s="74"/>
      <c r="I464" s="563"/>
      <c r="J464" s="544"/>
      <c r="K464" s="365"/>
    </row>
    <row r="465" spans="1:11">
      <c r="A465" s="83"/>
      <c r="B465" s="43"/>
      <c r="C465" s="101"/>
      <c r="D465" s="342"/>
      <c r="E465" s="871"/>
      <c r="F465" s="767"/>
      <c r="G465" s="206"/>
      <c r="H465" s="74"/>
      <c r="I465" s="563"/>
      <c r="J465" s="544"/>
      <c r="K465" s="365"/>
    </row>
    <row r="466" spans="1:11">
      <c r="A466" s="83"/>
      <c r="B466" s="362"/>
      <c r="C466" s="101"/>
      <c r="D466" s="342"/>
      <c r="E466" s="871"/>
      <c r="F466" s="767"/>
      <c r="G466" s="206"/>
      <c r="H466" s="74"/>
      <c r="I466" s="563"/>
      <c r="J466" s="544"/>
      <c r="K466" s="365"/>
    </row>
    <row r="467" spans="1:11">
      <c r="A467" s="87"/>
      <c r="B467" s="362"/>
      <c r="C467" s="101"/>
      <c r="D467" s="342"/>
      <c r="E467" s="871"/>
      <c r="F467" s="767"/>
      <c r="G467" s="206"/>
      <c r="H467" s="74"/>
      <c r="I467" s="563"/>
      <c r="J467" s="544"/>
      <c r="K467" s="365"/>
    </row>
    <row r="468" spans="1:11">
      <c r="A468" s="87"/>
      <c r="B468" s="362"/>
      <c r="C468" s="101"/>
      <c r="D468" s="342"/>
      <c r="E468" s="871"/>
      <c r="F468" s="767"/>
      <c r="G468" s="206"/>
      <c r="H468" s="74"/>
      <c r="I468" s="563"/>
      <c r="J468" s="544"/>
      <c r="K468" s="365"/>
    </row>
    <row r="469" spans="1:11">
      <c r="A469" s="44"/>
      <c r="B469" s="45"/>
      <c r="C469" s="46"/>
      <c r="D469" s="124"/>
      <c r="F469" s="104"/>
      <c r="H469" s="45"/>
      <c r="I469" s="556"/>
      <c r="K469" s="537">
        <v>14</v>
      </c>
    </row>
    <row r="470" spans="1:11">
      <c r="A470" s="45" t="s">
        <v>0</v>
      </c>
      <c r="B470" s="45"/>
      <c r="C470" s="68"/>
      <c r="D470" s="612"/>
      <c r="F470" s="104"/>
      <c r="H470" s="45"/>
      <c r="I470" s="556"/>
    </row>
    <row r="471" spans="1:11">
      <c r="A471" s="3480" t="s">
        <v>1</v>
      </c>
      <c r="B471" s="3480"/>
      <c r="C471" s="46"/>
      <c r="D471" s="124"/>
      <c r="F471" s="104"/>
      <c r="H471" s="45"/>
      <c r="I471" s="556"/>
    </row>
    <row r="472" spans="1:11" ht="35.25" thickBot="1">
      <c r="F472" s="104"/>
      <c r="K472" s="732"/>
    </row>
    <row r="473" spans="1:11">
      <c r="A473" s="3445"/>
      <c r="B473" s="3446" t="s">
        <v>2</v>
      </c>
      <c r="C473" s="48" t="s">
        <v>3</v>
      </c>
      <c r="D473" s="436" t="s">
        <v>4</v>
      </c>
      <c r="E473" s="868" t="s">
        <v>5</v>
      </c>
      <c r="F473" s="849" t="s">
        <v>5</v>
      </c>
      <c r="G473" s="211" t="s">
        <v>6</v>
      </c>
      <c r="H473" s="48" t="s">
        <v>7</v>
      </c>
      <c r="I473" s="557" t="s">
        <v>8</v>
      </c>
      <c r="J473" s="573" t="s">
        <v>9</v>
      </c>
      <c r="K473" s="346" t="s">
        <v>9</v>
      </c>
    </row>
    <row r="474" spans="1:11" ht="35.25" thickBot="1">
      <c r="A474" s="51"/>
      <c r="B474" s="72"/>
      <c r="C474" s="50"/>
      <c r="D474" s="437" t="s">
        <v>10</v>
      </c>
      <c r="E474" s="869" t="s">
        <v>12</v>
      </c>
      <c r="F474" s="850" t="s">
        <v>11</v>
      </c>
      <c r="G474" s="212"/>
      <c r="H474" s="50" t="s">
        <v>13</v>
      </c>
      <c r="I474" s="558"/>
      <c r="J474" s="574" t="s">
        <v>14</v>
      </c>
      <c r="K474" s="347" t="s">
        <v>15</v>
      </c>
    </row>
    <row r="475" spans="1:11">
      <c r="A475" s="388"/>
      <c r="B475" s="382"/>
      <c r="C475" s="101"/>
      <c r="D475" s="322"/>
      <c r="E475" s="843"/>
      <c r="F475" s="767"/>
      <c r="G475" s="206"/>
      <c r="H475" s="74"/>
      <c r="I475" s="560"/>
      <c r="J475" s="544"/>
      <c r="K475" s="365"/>
    </row>
    <row r="476" spans="1:11">
      <c r="A476" s="83"/>
      <c r="B476" s="362"/>
      <c r="C476" s="101"/>
      <c r="D476" s="342"/>
      <c r="E476" s="872"/>
      <c r="F476" s="853"/>
      <c r="G476" s="206"/>
      <c r="H476" s="74"/>
      <c r="I476" s="560"/>
      <c r="J476" s="547"/>
      <c r="K476" s="550"/>
    </row>
    <row r="477" spans="1:11">
      <c r="A477" s="83"/>
      <c r="B477" s="362"/>
      <c r="C477" s="101"/>
      <c r="D477" s="342"/>
      <c r="E477" s="871"/>
      <c r="F477" s="767"/>
      <c r="G477" s="206"/>
      <c r="H477" s="74"/>
      <c r="I477" s="560"/>
      <c r="J477" s="547"/>
      <c r="K477" s="550"/>
    </row>
    <row r="478" spans="1:11">
      <c r="A478" s="83"/>
      <c r="B478" s="362"/>
      <c r="C478" s="101"/>
      <c r="D478" s="342"/>
      <c r="E478" s="871"/>
      <c r="F478" s="767"/>
      <c r="G478" s="206"/>
      <c r="H478" s="74"/>
      <c r="I478" s="560"/>
      <c r="J478" s="547"/>
      <c r="K478" s="550"/>
    </row>
    <row r="479" spans="1:11">
      <c r="A479" s="83"/>
      <c r="B479" s="43"/>
      <c r="C479" s="101"/>
      <c r="D479" s="342"/>
      <c r="E479" s="871"/>
      <c r="F479" s="767"/>
      <c r="G479" s="206"/>
      <c r="H479" s="74"/>
      <c r="I479" s="560"/>
      <c r="J479" s="547"/>
      <c r="K479" s="365"/>
    </row>
    <row r="480" spans="1:11">
      <c r="A480" s="83"/>
      <c r="B480" s="43"/>
      <c r="C480" s="101"/>
      <c r="D480" s="342"/>
      <c r="E480" s="871"/>
      <c r="F480" s="767"/>
      <c r="G480" s="206"/>
      <c r="H480" s="74"/>
      <c r="I480" s="560"/>
      <c r="J480" s="547"/>
      <c r="K480" s="365"/>
    </row>
    <row r="481" spans="1:11">
      <c r="A481" s="83"/>
      <c r="B481" s="43"/>
      <c r="C481" s="101"/>
      <c r="D481" s="342"/>
      <c r="E481" s="871"/>
      <c r="F481" s="767"/>
      <c r="G481" s="206"/>
      <c r="H481" s="74"/>
      <c r="I481" s="560"/>
      <c r="J481" s="731"/>
      <c r="K481" s="365"/>
    </row>
    <row r="482" spans="1:11">
      <c r="A482" s="83"/>
      <c r="B482" s="43"/>
      <c r="C482" s="101"/>
      <c r="D482" s="342"/>
      <c r="E482" s="871"/>
      <c r="F482" s="767"/>
      <c r="G482" s="206"/>
      <c r="H482" s="74"/>
      <c r="I482" s="560"/>
      <c r="J482" s="731"/>
      <c r="K482" s="365"/>
    </row>
    <row r="483" spans="1:11">
      <c r="A483" s="83"/>
      <c r="B483" s="43"/>
      <c r="C483" s="101"/>
      <c r="D483" s="342"/>
      <c r="E483" s="871"/>
      <c r="F483" s="767"/>
      <c r="G483" s="206"/>
      <c r="H483" s="74"/>
      <c r="I483" s="560"/>
      <c r="J483" s="731"/>
      <c r="K483" s="365"/>
    </row>
    <row r="484" spans="1:11">
      <c r="A484" s="83"/>
      <c r="B484" s="43"/>
      <c r="C484" s="101"/>
      <c r="D484" s="342"/>
      <c r="E484" s="871"/>
      <c r="F484" s="767"/>
      <c r="G484" s="206"/>
      <c r="H484" s="74"/>
      <c r="I484" s="560"/>
      <c r="J484" s="731"/>
      <c r="K484" s="365"/>
    </row>
    <row r="485" spans="1:11">
      <c r="A485" s="83"/>
      <c r="B485" s="43"/>
      <c r="C485" s="101"/>
      <c r="D485" s="342"/>
      <c r="E485" s="871"/>
      <c r="F485" s="767"/>
      <c r="G485" s="206"/>
      <c r="H485" s="74"/>
      <c r="I485" s="560"/>
      <c r="J485" s="731"/>
      <c r="K485" s="365"/>
    </row>
    <row r="486" spans="1:11">
      <c r="A486" s="389"/>
      <c r="B486" s="382"/>
      <c r="C486" s="105"/>
      <c r="D486" s="342"/>
      <c r="E486" s="871"/>
      <c r="F486" s="767"/>
      <c r="G486" s="206"/>
      <c r="H486" s="74"/>
      <c r="I486" s="560"/>
      <c r="J486" s="544"/>
      <c r="K486" s="365"/>
    </row>
    <row r="487" spans="1:11">
      <c r="A487" s="83"/>
      <c r="B487" s="43"/>
      <c r="C487" s="101"/>
      <c r="D487" s="342"/>
      <c r="E487" s="871"/>
      <c r="F487" s="767"/>
      <c r="G487" s="206"/>
      <c r="H487" s="74"/>
      <c r="I487" s="560"/>
      <c r="J487" s="544"/>
      <c r="K487" s="550"/>
    </row>
    <row r="488" spans="1:11">
      <c r="A488" s="83"/>
      <c r="B488" s="43"/>
      <c r="C488" s="101"/>
      <c r="D488" s="342"/>
      <c r="E488" s="871"/>
      <c r="F488" s="767"/>
      <c r="G488" s="206"/>
      <c r="H488" s="74"/>
      <c r="I488" s="560"/>
      <c r="J488" s="547"/>
      <c r="K488" s="550"/>
    </row>
    <row r="489" spans="1:11">
      <c r="A489" s="83"/>
      <c r="B489" s="43"/>
      <c r="C489" s="101"/>
      <c r="D489" s="342"/>
      <c r="E489" s="871"/>
      <c r="F489" s="767"/>
      <c r="G489" s="206"/>
      <c r="H489" s="74"/>
      <c r="I489" s="560"/>
      <c r="J489" s="544"/>
      <c r="K489" s="365"/>
    </row>
    <row r="490" spans="1:11">
      <c r="A490" s="83"/>
      <c r="B490" s="43"/>
      <c r="C490" s="101"/>
      <c r="D490" s="342"/>
      <c r="E490" s="871"/>
      <c r="F490" s="767"/>
      <c r="G490" s="206"/>
      <c r="H490" s="74"/>
      <c r="I490" s="560"/>
      <c r="J490" s="544"/>
      <c r="K490" s="365"/>
    </row>
    <row r="491" spans="1:11">
      <c r="A491" s="315"/>
      <c r="B491" s="43"/>
      <c r="C491" s="101"/>
      <c r="D491" s="517"/>
      <c r="E491" s="873"/>
      <c r="F491" s="767"/>
      <c r="G491" s="206"/>
      <c r="H491" s="58"/>
      <c r="I491" s="559"/>
      <c r="J491" s="544"/>
      <c r="K491" s="365"/>
    </row>
    <row r="492" spans="1:11">
      <c r="A492" s="83"/>
      <c r="B492" s="43"/>
      <c r="C492" s="101"/>
      <c r="D492" s="342"/>
      <c r="E492" s="871"/>
      <c r="F492" s="767"/>
      <c r="G492" s="206"/>
      <c r="H492" s="74"/>
      <c r="I492" s="560"/>
      <c r="J492" s="544"/>
      <c r="K492" s="365"/>
    </row>
    <row r="493" spans="1:11">
      <c r="A493" s="83"/>
      <c r="B493" s="43"/>
      <c r="C493" s="101"/>
      <c r="D493" s="342"/>
      <c r="E493" s="871"/>
      <c r="F493" s="767"/>
      <c r="G493" s="206"/>
      <c r="H493" s="74"/>
      <c r="I493" s="560"/>
      <c r="J493" s="544"/>
      <c r="K493" s="365"/>
    </row>
    <row r="494" spans="1:11">
      <c r="A494" s="493"/>
      <c r="B494" s="448"/>
      <c r="C494" s="661"/>
      <c r="D494" s="342"/>
      <c r="E494" s="871"/>
      <c r="F494" s="767"/>
      <c r="G494" s="206"/>
      <c r="H494" s="74"/>
      <c r="I494" s="560"/>
      <c r="J494" s="544"/>
      <c r="K494" s="365"/>
    </row>
    <row r="495" spans="1:11">
      <c r="A495" s="83"/>
      <c r="B495" s="43"/>
      <c r="C495" s="101"/>
      <c r="D495" s="342"/>
      <c r="E495" s="871"/>
      <c r="F495" s="767"/>
      <c r="G495" s="206"/>
      <c r="H495" s="74"/>
      <c r="I495" s="560"/>
      <c r="J495" s="544"/>
      <c r="K495" s="365"/>
    </row>
    <row r="496" spans="1:11">
      <c r="A496" s="83"/>
      <c r="B496" s="43"/>
      <c r="C496" s="101"/>
      <c r="D496" s="342"/>
      <c r="E496" s="871"/>
      <c r="F496" s="767"/>
      <c r="G496" s="206"/>
      <c r="H496" s="74"/>
      <c r="I496" s="560"/>
      <c r="J496" s="544"/>
      <c r="K496" s="365"/>
    </row>
    <row r="497" spans="1:11">
      <c r="A497" s="83"/>
      <c r="B497" s="43"/>
      <c r="C497" s="101"/>
      <c r="D497" s="342"/>
      <c r="E497" s="871"/>
      <c r="F497" s="767"/>
      <c r="G497" s="206"/>
      <c r="H497" s="74"/>
      <c r="I497" s="560"/>
      <c r="J497" s="544"/>
      <c r="K497" s="365"/>
    </row>
    <row r="498" spans="1:11">
      <c r="A498" s="83"/>
      <c r="B498" s="43"/>
      <c r="C498" s="101"/>
      <c r="D498" s="342"/>
      <c r="E498" s="871"/>
      <c r="F498" s="767"/>
      <c r="G498" s="206"/>
      <c r="H498" s="74"/>
      <c r="I498" s="560"/>
      <c r="J498" s="544"/>
      <c r="K498" s="365"/>
    </row>
    <row r="499" spans="1:11">
      <c r="A499" s="83"/>
      <c r="B499" s="362"/>
      <c r="C499" s="101"/>
      <c r="D499" s="342"/>
      <c r="E499" s="873"/>
      <c r="F499" s="767"/>
      <c r="G499" s="206"/>
      <c r="H499" s="74"/>
      <c r="I499" s="560"/>
      <c r="J499" s="544"/>
      <c r="K499" s="365"/>
    </row>
    <row r="500" spans="1:11">
      <c r="A500" s="83"/>
      <c r="B500" s="362"/>
      <c r="C500" s="101"/>
      <c r="D500" s="342"/>
      <c r="E500" s="873"/>
      <c r="F500" s="767"/>
      <c r="G500" s="206"/>
      <c r="H500" s="74"/>
      <c r="I500" s="560"/>
      <c r="J500" s="544"/>
      <c r="K500" s="365"/>
    </row>
    <row r="501" spans="1:11">
      <c r="A501" s="315"/>
      <c r="B501" s="43"/>
      <c r="C501" s="101"/>
      <c r="D501" s="342"/>
      <c r="E501" s="873"/>
      <c r="F501" s="767"/>
      <c r="G501" s="206"/>
      <c r="H501" s="58"/>
      <c r="I501" s="560"/>
      <c r="J501" s="544"/>
      <c r="K501" s="365"/>
    </row>
    <row r="502" spans="1:11">
      <c r="A502" s="315"/>
      <c r="B502" s="43"/>
      <c r="C502" s="101"/>
      <c r="D502" s="342"/>
      <c r="E502" s="873"/>
      <c r="F502" s="767"/>
      <c r="G502" s="206"/>
      <c r="H502" s="58"/>
      <c r="I502" s="559"/>
      <c r="J502" s="544"/>
      <c r="K502" s="365"/>
    </row>
    <row r="503" spans="1:11">
      <c r="A503" s="315"/>
      <c r="B503" s="43"/>
      <c r="C503" s="101"/>
      <c r="D503" s="342"/>
      <c r="E503" s="873"/>
      <c r="F503" s="767"/>
      <c r="G503" s="206"/>
      <c r="H503" s="58"/>
      <c r="I503" s="560"/>
      <c r="J503" s="544"/>
      <c r="K503" s="365"/>
    </row>
    <row r="504" spans="1:11">
      <c r="A504" s="315"/>
      <c r="B504" s="43"/>
      <c r="C504" s="101"/>
      <c r="D504" s="342"/>
      <c r="E504" s="873"/>
      <c r="F504" s="767"/>
      <c r="G504" s="206"/>
      <c r="H504" s="58"/>
      <c r="I504" s="559"/>
      <c r="J504" s="544"/>
      <c r="K504" s="365"/>
    </row>
  </sheetData>
  <mergeCells count="34">
    <mergeCell ref="A401:B401"/>
    <mergeCell ref="A471:B471"/>
    <mergeCell ref="A403:B403"/>
    <mergeCell ref="A408:B408"/>
    <mergeCell ref="A435:B435"/>
    <mergeCell ref="A437:B437"/>
    <mergeCell ref="A439:B439"/>
    <mergeCell ref="A445:B445"/>
    <mergeCell ref="A363:B363"/>
    <mergeCell ref="A365:B365"/>
    <mergeCell ref="A367:B367"/>
    <mergeCell ref="A392:B392"/>
    <mergeCell ref="A399:B399"/>
    <mergeCell ref="A348:B348"/>
    <mergeCell ref="A354:B354"/>
    <mergeCell ref="A357:B357"/>
    <mergeCell ref="A255:B255"/>
    <mergeCell ref="A259:B259"/>
    <mergeCell ref="A273:B273"/>
    <mergeCell ref="A291:B291"/>
    <mergeCell ref="A283:B283"/>
    <mergeCell ref="A327:B327"/>
    <mergeCell ref="A113:B113"/>
    <mergeCell ref="A147:B147"/>
    <mergeCell ref="A149:B149"/>
    <mergeCell ref="A183:B183"/>
    <mergeCell ref="A329:B329"/>
    <mergeCell ref="A185:B185"/>
    <mergeCell ref="A219:B219"/>
    <mergeCell ref="A3:B3"/>
    <mergeCell ref="A39:B39"/>
    <mergeCell ref="A75:B75"/>
    <mergeCell ref="A77:B77"/>
    <mergeCell ref="A111:B111"/>
  </mergeCells>
  <phoneticPr fontId="6" type="noConversion"/>
  <hyperlinks>
    <hyperlink ref="I199" r:id="rId1" xr:uid="{33A21379-079B-4F06-AC33-99A8C375F3F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0C11-FF00-48EA-A7C3-305043F3B960}">
  <sheetPr>
    <tabColor rgb="FFFFC000"/>
  </sheetPr>
  <dimension ref="A1:Q626"/>
  <sheetViews>
    <sheetView view="pageBreakPreview" topLeftCell="A146" zoomScale="75" zoomScaleNormal="75" zoomScaleSheetLayoutView="75" workbookViewId="0">
      <selection activeCell="B155" sqref="B155:K157"/>
    </sheetView>
  </sheetViews>
  <sheetFormatPr defaultColWidth="12.140625" defaultRowHeight="34.5"/>
  <cols>
    <col min="1" max="1" width="2.7109375" style="75" customWidth="1"/>
    <col min="2" max="2" width="31.28515625" style="125" customWidth="1"/>
    <col min="3" max="3" width="10.42578125" style="102" customWidth="1"/>
    <col min="4" max="4" width="15.7109375" style="125" customWidth="1"/>
    <col min="5" max="5" width="10.28515625" style="45" customWidth="1"/>
    <col min="6" max="6" width="9.85546875" style="152" customWidth="1"/>
    <col min="7" max="7" width="11.42578125" style="210" customWidth="1"/>
    <col min="8" max="8" width="11.5703125" style="76" customWidth="1"/>
    <col min="9" max="9" width="22" style="178" customWidth="1"/>
    <col min="10" max="10" width="12.42578125" style="170" customWidth="1"/>
    <col min="11" max="11" width="11.5703125" style="164" customWidth="1"/>
    <col min="12" max="12" width="16.140625" style="169" customWidth="1"/>
    <col min="13" max="13" width="14.85546875" style="188" customWidth="1"/>
    <col min="14" max="14" width="13.85546875" style="188" customWidth="1"/>
    <col min="15" max="15" width="8.85546875" style="189" customWidth="1"/>
    <col min="16" max="16" width="18.140625" style="170" customWidth="1"/>
    <col min="17" max="16384" width="12.140625" style="76"/>
  </cols>
  <sheetData>
    <row r="1" spans="1:16" ht="34.5" customHeight="1">
      <c r="F1" s="68"/>
    </row>
    <row r="2" spans="1:16">
      <c r="A2" s="44" t="s">
        <v>0</v>
      </c>
      <c r="B2" s="127"/>
      <c r="C2" s="104"/>
      <c r="F2" s="68"/>
      <c r="I2" s="179"/>
      <c r="K2" s="163"/>
      <c r="L2" s="168"/>
    </row>
    <row r="3" spans="1:16">
      <c r="A3" s="3480" t="s">
        <v>2494</v>
      </c>
      <c r="B3" s="3480"/>
      <c r="C3" s="44"/>
      <c r="D3" s="109"/>
      <c r="F3" s="68"/>
      <c r="I3" s="179"/>
      <c r="K3" s="163"/>
      <c r="L3" s="168"/>
    </row>
    <row r="4" spans="1:16" ht="34.5" customHeight="1" thickBot="1">
      <c r="F4" s="68"/>
    </row>
    <row r="5" spans="1:16">
      <c r="A5" s="3493" t="s">
        <v>2</v>
      </c>
      <c r="B5" s="3482"/>
      <c r="C5" s="48" t="s">
        <v>3</v>
      </c>
      <c r="D5" s="128" t="s">
        <v>4</v>
      </c>
      <c r="E5" s="77" t="s">
        <v>5</v>
      </c>
      <c r="F5" s="78" t="s">
        <v>5</v>
      </c>
      <c r="G5" s="211" t="s">
        <v>6</v>
      </c>
      <c r="H5" s="140" t="s">
        <v>7</v>
      </c>
      <c r="I5" s="180" t="s">
        <v>1511</v>
      </c>
      <c r="J5" s="172" t="s">
        <v>9</v>
      </c>
      <c r="K5" s="186" t="s">
        <v>9</v>
      </c>
      <c r="L5" s="246" t="s">
        <v>2495</v>
      </c>
      <c r="M5" s="190"/>
    </row>
    <row r="6" spans="1:16" ht="35.25" thickBot="1">
      <c r="A6" s="155"/>
      <c r="B6" s="138"/>
      <c r="C6" s="50"/>
      <c r="D6" s="129" t="s">
        <v>10</v>
      </c>
      <c r="E6" s="79" t="s">
        <v>11</v>
      </c>
      <c r="F6" s="80" t="s">
        <v>12</v>
      </c>
      <c r="G6" s="212"/>
      <c r="H6" s="141" t="s">
        <v>13</v>
      </c>
      <c r="I6" s="181" t="s">
        <v>1512</v>
      </c>
      <c r="J6" s="173" t="s">
        <v>15</v>
      </c>
      <c r="K6" s="187" t="s">
        <v>14</v>
      </c>
      <c r="L6" s="247" t="s">
        <v>2496</v>
      </c>
      <c r="M6" s="190"/>
    </row>
    <row r="7" spans="1:16">
      <c r="A7" s="329" t="s">
        <v>2002</v>
      </c>
      <c r="B7" s="329"/>
      <c r="C7" s="207"/>
      <c r="D7" s="322"/>
      <c r="E7" s="833"/>
      <c r="F7" s="855"/>
      <c r="G7" s="248"/>
      <c r="H7" s="207"/>
      <c r="I7" s="431"/>
      <c r="J7" s="586"/>
      <c r="K7" s="365"/>
      <c r="L7" s="281"/>
      <c r="M7" s="188">
        <v>3552</v>
      </c>
      <c r="N7" s="188">
        <f t="shared" ref="N7:N23" si="0">M7-(M7*0.03)</f>
        <v>3445.44</v>
      </c>
      <c r="O7" s="189">
        <v>7.0000000000000007E-2</v>
      </c>
      <c r="P7" s="170">
        <f t="shared" ref="P7:P23" si="1">(N7*O7)+N7</f>
        <v>3686.6208000000001</v>
      </c>
    </row>
    <row r="8" spans="1:16">
      <c r="A8" s="1507" t="s">
        <v>2003</v>
      </c>
      <c r="B8" s="775"/>
      <c r="C8" s="207"/>
      <c r="D8" s="322"/>
      <c r="E8" s="728"/>
      <c r="F8" s="767"/>
      <c r="G8" s="318"/>
      <c r="H8" s="207"/>
      <c r="I8" s="431"/>
      <c r="J8" s="586"/>
      <c r="K8" s="365"/>
      <c r="L8" s="281"/>
      <c r="N8" s="188">
        <f t="shared" si="0"/>
        <v>0</v>
      </c>
      <c r="O8" s="189">
        <v>7.0000000000000007E-2</v>
      </c>
      <c r="P8" s="170">
        <f t="shared" si="1"/>
        <v>0</v>
      </c>
    </row>
    <row r="9" spans="1:16">
      <c r="A9" s="315"/>
      <c r="B9" s="43" t="s">
        <v>2004</v>
      </c>
      <c r="C9" s="207" t="s">
        <v>2005</v>
      </c>
      <c r="D9" s="322" t="s">
        <v>23</v>
      </c>
      <c r="E9" s="728">
        <v>47</v>
      </c>
      <c r="F9" s="767" t="s">
        <v>2006</v>
      </c>
      <c r="G9" s="2786" t="s">
        <v>2007</v>
      </c>
      <c r="H9" s="207">
        <v>520</v>
      </c>
      <c r="I9" s="474" t="s">
        <v>942</v>
      </c>
      <c r="J9" s="586">
        <v>540</v>
      </c>
      <c r="K9" s="365" t="s">
        <v>2008</v>
      </c>
      <c r="L9" s="281"/>
      <c r="M9" s="188">
        <v>9498.06</v>
      </c>
      <c r="N9" s="188">
        <f t="shared" si="0"/>
        <v>9213.118199999999</v>
      </c>
      <c r="O9" s="189">
        <v>7.0000000000000007E-2</v>
      </c>
      <c r="P9" s="170">
        <f t="shared" si="1"/>
        <v>9858.0364739999986</v>
      </c>
    </row>
    <row r="10" spans="1:16">
      <c r="A10" s="315"/>
      <c r="B10" s="43" t="s">
        <v>2009</v>
      </c>
      <c r="C10" s="207" t="s">
        <v>2005</v>
      </c>
      <c r="D10" s="322" t="s">
        <v>2010</v>
      </c>
      <c r="E10" s="728">
        <v>46</v>
      </c>
      <c r="F10" s="767" t="s">
        <v>2011</v>
      </c>
      <c r="G10" s="2786" t="s">
        <v>981</v>
      </c>
      <c r="H10" s="207">
        <v>525</v>
      </c>
      <c r="I10" s="1587" t="s">
        <v>2012</v>
      </c>
      <c r="J10" s="586">
        <v>540</v>
      </c>
      <c r="K10" s="365" t="s">
        <v>2013</v>
      </c>
      <c r="L10" s="281"/>
      <c r="M10" s="188">
        <v>15305.4</v>
      </c>
      <c r="N10" s="188">
        <f t="shared" si="0"/>
        <v>14846.237999999999</v>
      </c>
      <c r="O10" s="189">
        <v>7.0000000000000007E-2</v>
      </c>
      <c r="P10" s="170">
        <f t="shared" si="1"/>
        <v>15885.47466</v>
      </c>
    </row>
    <row r="11" spans="1:16">
      <c r="A11" s="315"/>
      <c r="B11" s="362" t="s">
        <v>2014</v>
      </c>
      <c r="C11" s="207" t="s">
        <v>2005</v>
      </c>
      <c r="D11" s="322" t="s">
        <v>2010</v>
      </c>
      <c r="E11" s="728">
        <v>66</v>
      </c>
      <c r="F11" s="767" t="s">
        <v>299</v>
      </c>
      <c r="G11" s="2785" t="s">
        <v>2007</v>
      </c>
      <c r="H11" s="341">
        <v>740</v>
      </c>
      <c r="I11" s="1587" t="s">
        <v>2015</v>
      </c>
      <c r="J11" s="586" t="s">
        <v>2016</v>
      </c>
      <c r="K11" s="365" t="s">
        <v>2017</v>
      </c>
      <c r="L11" s="281"/>
      <c r="N11" s="188">
        <f t="shared" si="0"/>
        <v>0</v>
      </c>
      <c r="O11" s="189">
        <v>7.0000000000000007E-2</v>
      </c>
      <c r="P11" s="170">
        <f t="shared" si="1"/>
        <v>0</v>
      </c>
    </row>
    <row r="12" spans="1:16">
      <c r="A12" s="768"/>
      <c r="B12" s="43" t="s">
        <v>2018</v>
      </c>
      <c r="C12" s="207" t="s">
        <v>2019</v>
      </c>
      <c r="D12" s="322" t="s">
        <v>2020</v>
      </c>
      <c r="E12" s="728">
        <v>600</v>
      </c>
      <c r="F12" s="767"/>
      <c r="G12" s="248" t="s">
        <v>2021</v>
      </c>
      <c r="H12" s="207">
        <v>560</v>
      </c>
      <c r="I12" s="764" t="s">
        <v>942</v>
      </c>
      <c r="J12" s="586" t="s">
        <v>2022</v>
      </c>
      <c r="K12" s="365"/>
      <c r="L12" s="281"/>
      <c r="N12" s="188">
        <f t="shared" si="0"/>
        <v>0</v>
      </c>
      <c r="O12" s="189">
        <v>7.0000000000000007E-2</v>
      </c>
      <c r="P12" s="170">
        <f t="shared" si="1"/>
        <v>0</v>
      </c>
    </row>
    <row r="13" spans="1:16">
      <c r="A13" s="438"/>
      <c r="B13" s="43" t="s">
        <v>2018</v>
      </c>
      <c r="C13" s="207" t="s">
        <v>2019</v>
      </c>
      <c r="D13" s="322" t="s">
        <v>2020</v>
      </c>
      <c r="E13" s="728">
        <v>600</v>
      </c>
      <c r="F13" s="767"/>
      <c r="G13" s="248" t="s">
        <v>2021</v>
      </c>
      <c r="H13" s="207">
        <v>560</v>
      </c>
      <c r="I13" s="764" t="s">
        <v>942</v>
      </c>
      <c r="J13" s="586" t="s">
        <v>2022</v>
      </c>
      <c r="K13" s="365"/>
      <c r="L13" s="281"/>
      <c r="N13" s="188">
        <f t="shared" si="0"/>
        <v>0</v>
      </c>
      <c r="O13" s="189">
        <v>7.0000000000000007E-2</v>
      </c>
      <c r="P13" s="170">
        <f t="shared" si="1"/>
        <v>0</v>
      </c>
    </row>
    <row r="14" spans="1:16">
      <c r="A14" s="768"/>
      <c r="B14" s="406" t="s">
        <v>2023</v>
      </c>
      <c r="C14" s="341" t="s">
        <v>2019</v>
      </c>
      <c r="D14" s="413" t="s">
        <v>2024</v>
      </c>
      <c r="E14" s="729"/>
      <c r="F14" s="857"/>
      <c r="G14" s="823"/>
      <c r="H14" s="341"/>
      <c r="I14" s="505"/>
      <c r="J14" s="1508">
        <v>440</v>
      </c>
      <c r="K14" s="365"/>
      <c r="L14" s="282"/>
      <c r="M14" s="188">
        <v>14244.12</v>
      </c>
      <c r="N14" s="188">
        <f t="shared" si="0"/>
        <v>13816.796400000001</v>
      </c>
      <c r="O14" s="189">
        <v>7.0000000000000007E-2</v>
      </c>
      <c r="P14" s="170">
        <f t="shared" si="1"/>
        <v>14783.972148000001</v>
      </c>
    </row>
    <row r="15" spans="1:16">
      <c r="A15" s="315"/>
      <c r="B15" s="43"/>
      <c r="C15" s="207"/>
      <c r="D15" s="322"/>
      <c r="E15" s="728"/>
      <c r="F15" s="767"/>
      <c r="G15" s="248"/>
      <c r="H15" s="207"/>
      <c r="I15" s="431"/>
      <c r="J15" s="586"/>
      <c r="K15" s="365"/>
      <c r="L15" s="281"/>
      <c r="M15" s="188">
        <v>3240</v>
      </c>
      <c r="N15" s="188">
        <f t="shared" si="0"/>
        <v>3142.8</v>
      </c>
      <c r="O15" s="189">
        <v>7.0000000000000007E-2</v>
      </c>
      <c r="P15" s="170">
        <f t="shared" si="1"/>
        <v>3362.7960000000003</v>
      </c>
    </row>
    <row r="16" spans="1:16">
      <c r="A16" s="315"/>
      <c r="B16" s="62"/>
      <c r="C16" s="207"/>
      <c r="D16" s="322"/>
      <c r="E16" s="728"/>
      <c r="F16" s="767"/>
      <c r="G16" s="248"/>
      <c r="H16" s="207"/>
      <c r="I16" s="431"/>
      <c r="J16" s="586"/>
      <c r="K16" s="365"/>
      <c r="L16" s="281"/>
      <c r="M16" s="188">
        <v>14700</v>
      </c>
      <c r="N16" s="188">
        <f t="shared" si="0"/>
        <v>14259</v>
      </c>
      <c r="O16" s="189">
        <v>7.0000000000000007E-2</v>
      </c>
      <c r="P16" s="170">
        <f t="shared" si="1"/>
        <v>15257.130000000001</v>
      </c>
    </row>
    <row r="17" spans="1:16">
      <c r="A17" s="401" t="s">
        <v>2025</v>
      </c>
      <c r="B17" s="382"/>
      <c r="C17" s="207"/>
      <c r="D17" s="322"/>
      <c r="E17" s="728"/>
      <c r="F17" s="767"/>
      <c r="G17" s="248"/>
      <c r="H17" s="207"/>
      <c r="I17" s="431"/>
      <c r="J17" s="586"/>
      <c r="K17" s="365"/>
      <c r="L17" s="283"/>
      <c r="M17" s="188">
        <v>14582.7</v>
      </c>
      <c r="N17" s="188">
        <f t="shared" si="0"/>
        <v>14145.219000000001</v>
      </c>
      <c r="O17" s="189">
        <v>7.0000000000000007E-2</v>
      </c>
      <c r="P17" s="170">
        <f t="shared" si="1"/>
        <v>15135.384330000001</v>
      </c>
    </row>
    <row r="18" spans="1:16">
      <c r="A18" s="315"/>
      <c r="B18" s="43" t="s">
        <v>2026</v>
      </c>
      <c r="C18" s="207" t="s">
        <v>2005</v>
      </c>
      <c r="D18" s="322" t="s">
        <v>2010</v>
      </c>
      <c r="E18" s="728">
        <v>56</v>
      </c>
      <c r="F18" s="861" t="s">
        <v>2027</v>
      </c>
      <c r="G18" s="2785" t="s">
        <v>2028</v>
      </c>
      <c r="H18" s="207">
        <v>543.92999999999995</v>
      </c>
      <c r="I18" s="431"/>
      <c r="J18" s="586">
        <v>583</v>
      </c>
      <c r="K18" s="365">
        <v>48.56</v>
      </c>
      <c r="L18" s="283"/>
      <c r="M18" s="188">
        <v>13483.8</v>
      </c>
      <c r="N18" s="188">
        <f t="shared" si="0"/>
        <v>13079.286</v>
      </c>
      <c r="O18" s="189">
        <v>7.0000000000000007E-2</v>
      </c>
      <c r="P18" s="170">
        <f t="shared" si="1"/>
        <v>13994.836020000001</v>
      </c>
    </row>
    <row r="19" spans="1:16">
      <c r="A19" s="315"/>
      <c r="B19" s="43" t="s">
        <v>2029</v>
      </c>
      <c r="C19" s="207" t="s">
        <v>2030</v>
      </c>
      <c r="D19" s="322" t="s">
        <v>2031</v>
      </c>
      <c r="E19" s="728">
        <v>15</v>
      </c>
      <c r="F19" s="767"/>
      <c r="G19" s="248" t="s">
        <v>2032</v>
      </c>
      <c r="H19" s="207"/>
      <c r="I19" s="431"/>
      <c r="J19" s="586">
        <v>542.88</v>
      </c>
      <c r="K19" s="365">
        <f>J19/4</f>
        <v>135.72</v>
      </c>
      <c r="L19" s="283"/>
      <c r="M19" s="188">
        <v>2669.52</v>
      </c>
      <c r="N19" s="188">
        <f t="shared" si="0"/>
        <v>2589.4344000000001</v>
      </c>
      <c r="O19" s="189">
        <v>7.0000000000000007E-2</v>
      </c>
      <c r="P19" s="170">
        <f t="shared" si="1"/>
        <v>2770.6948080000002</v>
      </c>
    </row>
    <row r="20" spans="1:16">
      <c r="A20" s="315"/>
      <c r="B20" s="43" t="s">
        <v>2033</v>
      </c>
      <c r="C20" s="207" t="s">
        <v>2005</v>
      </c>
      <c r="D20" s="322" t="s">
        <v>2010</v>
      </c>
      <c r="E20" s="728">
        <v>56</v>
      </c>
      <c r="F20" s="861" t="s">
        <v>2027</v>
      </c>
      <c r="G20" s="2785" t="s">
        <v>2497</v>
      </c>
      <c r="H20" s="207">
        <v>514.02</v>
      </c>
      <c r="I20" s="431" t="s">
        <v>2498</v>
      </c>
      <c r="J20" s="586">
        <v>540.98</v>
      </c>
      <c r="K20" s="365" t="s">
        <v>2499</v>
      </c>
      <c r="L20" s="283"/>
      <c r="N20" s="188">
        <f t="shared" si="0"/>
        <v>0</v>
      </c>
      <c r="O20" s="189">
        <v>7.0000000000000007E-2</v>
      </c>
      <c r="P20" s="170">
        <f t="shared" si="1"/>
        <v>0</v>
      </c>
    </row>
    <row r="21" spans="1:16">
      <c r="A21" s="315"/>
      <c r="B21" s="43" t="s">
        <v>2029</v>
      </c>
      <c r="C21" s="207" t="s">
        <v>2019</v>
      </c>
      <c r="D21" s="322" t="s">
        <v>2020</v>
      </c>
      <c r="E21" s="728"/>
      <c r="F21" s="767"/>
      <c r="G21" s="248" t="s">
        <v>2035</v>
      </c>
      <c r="H21" s="117"/>
      <c r="I21" s="431" t="s">
        <v>2036</v>
      </c>
      <c r="J21" s="702">
        <v>601</v>
      </c>
      <c r="K21" s="365"/>
      <c r="L21" s="283"/>
      <c r="M21" s="188">
        <v>12972.96</v>
      </c>
      <c r="N21" s="188">
        <f t="shared" si="0"/>
        <v>12583.771199999999</v>
      </c>
      <c r="O21" s="189">
        <v>7.0000000000000007E-2</v>
      </c>
      <c r="P21" s="170">
        <f t="shared" si="1"/>
        <v>13464.635183999999</v>
      </c>
    </row>
    <row r="22" spans="1:16">
      <c r="A22" s="315"/>
      <c r="B22" s="43" t="s">
        <v>2037</v>
      </c>
      <c r="C22" s="207" t="s">
        <v>2005</v>
      </c>
      <c r="D22" s="322" t="s">
        <v>2010</v>
      </c>
      <c r="E22" s="728">
        <v>40</v>
      </c>
      <c r="F22" s="767">
        <v>450</v>
      </c>
      <c r="G22" s="318"/>
      <c r="H22" s="207"/>
      <c r="I22" s="431"/>
      <c r="J22" s="586"/>
      <c r="K22" s="365"/>
      <c r="L22" s="283"/>
      <c r="M22" s="188">
        <v>12687.84</v>
      </c>
      <c r="N22" s="188">
        <f t="shared" si="0"/>
        <v>12307.2048</v>
      </c>
      <c r="O22" s="189">
        <v>7.0000000000000007E-2</v>
      </c>
      <c r="P22" s="170">
        <f t="shared" si="1"/>
        <v>13168.709135999999</v>
      </c>
    </row>
    <row r="23" spans="1:16">
      <c r="A23" s="315"/>
      <c r="B23" s="43" t="s">
        <v>2029</v>
      </c>
      <c r="C23" s="207" t="s">
        <v>2038</v>
      </c>
      <c r="D23" s="322"/>
      <c r="E23" s="728"/>
      <c r="F23" s="767"/>
      <c r="G23" s="318" t="s">
        <v>2032</v>
      </c>
      <c r="H23" s="207"/>
      <c r="I23" s="431"/>
      <c r="J23" s="586">
        <v>527.88</v>
      </c>
      <c r="K23" s="365"/>
      <c r="L23" s="281"/>
      <c r="M23" s="188">
        <v>16572.599999999999</v>
      </c>
      <c r="N23" s="188">
        <f t="shared" si="0"/>
        <v>16075.421999999999</v>
      </c>
      <c r="O23" s="189">
        <v>7.0000000000000007E-2</v>
      </c>
      <c r="P23" s="170">
        <f t="shared" si="1"/>
        <v>17200.701539999998</v>
      </c>
    </row>
    <row r="24" spans="1:16">
      <c r="A24" s="1507"/>
      <c r="B24" s="775"/>
      <c r="C24" s="207"/>
      <c r="D24" s="322"/>
      <c r="E24" s="728"/>
      <c r="F24" s="767"/>
      <c r="G24" s="318"/>
      <c r="H24" s="207"/>
      <c r="I24" s="431"/>
      <c r="J24" s="586"/>
      <c r="K24" s="365"/>
      <c r="L24" s="281"/>
      <c r="M24" s="188">
        <v>6021.12</v>
      </c>
      <c r="N24" s="188">
        <f>M24-(M24*0.03)</f>
        <v>5840.4863999999998</v>
      </c>
      <c r="O24" s="189">
        <v>7.0000000000000007E-2</v>
      </c>
      <c r="P24" s="170">
        <f>(N24*O24)+N24</f>
        <v>6249.3204479999995</v>
      </c>
    </row>
    <row r="25" spans="1:16">
      <c r="A25" s="315"/>
      <c r="B25" s="43"/>
      <c r="C25" s="207"/>
      <c r="D25" s="322"/>
      <c r="E25" s="728"/>
      <c r="F25" s="767"/>
      <c r="G25" s="2494"/>
      <c r="H25" s="207"/>
      <c r="I25" s="474"/>
      <c r="J25" s="586"/>
      <c r="K25" s="365"/>
      <c r="L25" s="281"/>
      <c r="M25" s="188">
        <v>8714.16</v>
      </c>
      <c r="N25" s="188">
        <f>M25-(M25*0.03)</f>
        <v>8452.7351999999992</v>
      </c>
      <c r="O25" s="189">
        <v>7.0000000000000007E-2</v>
      </c>
      <c r="P25" s="170">
        <f>(N25*O25)+N25</f>
        <v>9044.4266639999987</v>
      </c>
    </row>
    <row r="26" spans="1:16">
      <c r="A26" s="401" t="s">
        <v>2039</v>
      </c>
      <c r="B26" s="382"/>
      <c r="C26" s="207"/>
      <c r="D26" s="322"/>
      <c r="E26" s="728"/>
      <c r="F26" s="767"/>
      <c r="G26" s="248"/>
      <c r="H26" s="207"/>
      <c r="I26" s="431"/>
      <c r="J26" s="586"/>
      <c r="K26" s="365"/>
      <c r="L26" s="281"/>
      <c r="M26" s="188">
        <v>0</v>
      </c>
      <c r="N26" s="188">
        <f>M26-(M26*0.03)</f>
        <v>0</v>
      </c>
      <c r="O26" s="189">
        <v>7.0000000000000007E-2</v>
      </c>
      <c r="P26" s="170">
        <f t="shared" ref="P26:P32" si="2">(N26*O26)+N26</f>
        <v>0</v>
      </c>
    </row>
    <row r="27" spans="1:16">
      <c r="A27" s="315"/>
      <c r="B27" s="43" t="s">
        <v>2040</v>
      </c>
      <c r="C27" s="207" t="s">
        <v>2005</v>
      </c>
      <c r="D27" s="322" t="s">
        <v>2010</v>
      </c>
      <c r="E27" s="728">
        <v>52</v>
      </c>
      <c r="F27" s="767"/>
      <c r="G27" s="248" t="s">
        <v>2041</v>
      </c>
      <c r="H27" s="207"/>
      <c r="I27" s="431"/>
      <c r="J27" s="586">
        <v>622.09</v>
      </c>
      <c r="K27" s="365">
        <f>J27/12</f>
        <v>51.840833333333336</v>
      </c>
      <c r="L27" s="281"/>
      <c r="M27" s="188">
        <v>18537.7</v>
      </c>
      <c r="N27" s="188">
        <f>M27-(M27*0.03)</f>
        <v>17981.569</v>
      </c>
      <c r="O27" s="189">
        <v>7.0000000000000007E-2</v>
      </c>
      <c r="P27" s="170">
        <f t="shared" si="2"/>
        <v>19240.278829999999</v>
      </c>
    </row>
    <row r="28" spans="1:16">
      <c r="A28" s="315"/>
      <c r="B28" s="62"/>
      <c r="C28" s="207"/>
      <c r="D28" s="322"/>
      <c r="E28" s="728"/>
      <c r="F28" s="767"/>
      <c r="G28" s="248"/>
      <c r="H28" s="207"/>
      <c r="I28" s="431" t="s">
        <v>2042</v>
      </c>
      <c r="J28" s="586"/>
      <c r="K28" s="365"/>
      <c r="L28" s="281"/>
      <c r="M28" s="188">
        <v>9031.68</v>
      </c>
      <c r="N28" s="188">
        <f t="shared" ref="N28:N38" si="3">M28-(M28*0.03)</f>
        <v>8760.7296000000006</v>
      </c>
      <c r="O28" s="189">
        <v>7.0000000000000007E-2</v>
      </c>
      <c r="P28" s="170">
        <f t="shared" si="2"/>
        <v>9373.9806720000015</v>
      </c>
    </row>
    <row r="29" spans="1:16">
      <c r="A29" s="438"/>
      <c r="B29" s="43"/>
      <c r="C29" s="207"/>
      <c r="D29" s="322"/>
      <c r="E29" s="728"/>
      <c r="F29" s="767"/>
      <c r="G29" s="248"/>
      <c r="H29" s="207"/>
      <c r="I29" s="764"/>
      <c r="J29" s="586"/>
      <c r="K29" s="365"/>
      <c r="L29" s="281"/>
      <c r="N29" s="188">
        <f t="shared" si="3"/>
        <v>0</v>
      </c>
      <c r="O29" s="189">
        <v>7.0000000000000007E-2</v>
      </c>
      <c r="P29" s="170">
        <f t="shared" si="2"/>
        <v>0</v>
      </c>
    </row>
    <row r="30" spans="1:16">
      <c r="A30" s="768"/>
      <c r="B30" s="406"/>
      <c r="C30" s="341"/>
      <c r="D30" s="413"/>
      <c r="E30" s="729"/>
      <c r="F30" s="857"/>
      <c r="G30" s="823"/>
      <c r="H30" s="341"/>
      <c r="I30" s="505"/>
      <c r="J30" s="1508"/>
      <c r="K30" s="365"/>
      <c r="L30" s="281"/>
      <c r="M30" s="188">
        <v>8478.9599999999991</v>
      </c>
      <c r="N30" s="188">
        <f t="shared" si="3"/>
        <v>8224.5911999999989</v>
      </c>
      <c r="O30" s="189">
        <v>7.0000000000000007E-2</v>
      </c>
      <c r="P30" s="170">
        <f t="shared" si="2"/>
        <v>8800.3125839999993</v>
      </c>
    </row>
    <row r="31" spans="1:16">
      <c r="A31" s="438"/>
      <c r="B31" s="406"/>
      <c r="C31" s="341"/>
      <c r="D31" s="413"/>
      <c r="E31" s="728"/>
      <c r="F31" s="767"/>
      <c r="G31" s="823"/>
      <c r="H31" s="341"/>
      <c r="I31" s="505"/>
      <c r="J31" s="378"/>
      <c r="K31" s="378"/>
      <c r="L31" s="281"/>
      <c r="M31" s="188">
        <v>11122.62</v>
      </c>
      <c r="N31" s="188">
        <f t="shared" si="3"/>
        <v>10788.941400000002</v>
      </c>
      <c r="O31" s="189">
        <v>7.0000000000000007E-2</v>
      </c>
      <c r="P31" s="170">
        <f t="shared" si="2"/>
        <v>11544.167298000002</v>
      </c>
    </row>
    <row r="32" spans="1:16">
      <c r="A32" s="401" t="s">
        <v>2043</v>
      </c>
      <c r="B32" s="382"/>
      <c r="C32" s="207"/>
      <c r="D32" s="322"/>
      <c r="E32" s="728"/>
      <c r="F32" s="767"/>
      <c r="G32" s="248"/>
      <c r="H32" s="207"/>
      <c r="I32" s="431"/>
      <c r="J32" s="586"/>
      <c r="K32" s="365"/>
      <c r="L32" s="281"/>
      <c r="M32" s="188">
        <v>3813.12</v>
      </c>
      <c r="N32" s="188">
        <f t="shared" si="3"/>
        <v>3698.7264</v>
      </c>
      <c r="O32" s="189">
        <v>7.0000000000000007E-2</v>
      </c>
      <c r="P32" s="170">
        <f t="shared" si="2"/>
        <v>3957.637248</v>
      </c>
    </row>
    <row r="33" spans="1:16">
      <c r="A33" s="315"/>
      <c r="B33" s="43" t="s">
        <v>2044</v>
      </c>
      <c r="C33" s="207" t="s">
        <v>2005</v>
      </c>
      <c r="D33" s="322" t="s">
        <v>2010</v>
      </c>
      <c r="E33" s="728">
        <v>40</v>
      </c>
      <c r="F33" s="767">
        <v>450</v>
      </c>
      <c r="G33" s="248" t="s">
        <v>2045</v>
      </c>
      <c r="H33" s="207"/>
      <c r="I33" s="431" t="s">
        <v>2046</v>
      </c>
      <c r="J33" s="365">
        <v>438</v>
      </c>
      <c r="K33" s="365">
        <f>J33/12</f>
        <v>36.5</v>
      </c>
      <c r="L33" s="281"/>
    </row>
    <row r="34" spans="1:16">
      <c r="A34" s="315"/>
      <c r="B34" s="89" t="s">
        <v>2047</v>
      </c>
      <c r="C34" s="521" t="s">
        <v>2019</v>
      </c>
      <c r="D34" s="410" t="s">
        <v>2020</v>
      </c>
      <c r="E34" s="729"/>
      <c r="F34" s="857"/>
      <c r="G34" s="318" t="s">
        <v>245</v>
      </c>
      <c r="H34" s="117">
        <v>443</v>
      </c>
      <c r="I34" s="1034" t="s">
        <v>2048</v>
      </c>
      <c r="J34" s="370">
        <v>434.31</v>
      </c>
      <c r="K34" s="369"/>
      <c r="L34" s="281"/>
    </row>
    <row r="35" spans="1:16">
      <c r="A35" s="315"/>
      <c r="B35" s="89"/>
      <c r="C35" s="521" t="s">
        <v>2019</v>
      </c>
      <c r="D35" s="410" t="s">
        <v>2020</v>
      </c>
      <c r="E35" s="729"/>
      <c r="F35" s="857"/>
      <c r="G35" s="318" t="s">
        <v>2500</v>
      </c>
      <c r="H35" s="117">
        <v>443</v>
      </c>
      <c r="I35" s="1034" t="s">
        <v>2048</v>
      </c>
      <c r="J35" s="370">
        <v>434.31</v>
      </c>
      <c r="K35" s="369"/>
      <c r="L35" s="281"/>
    </row>
    <row r="36" spans="1:16">
      <c r="A36" s="315"/>
      <c r="B36" s="89" t="s">
        <v>2501</v>
      </c>
      <c r="C36" s="207" t="s">
        <v>2005</v>
      </c>
      <c r="D36" s="322" t="s">
        <v>2010</v>
      </c>
      <c r="E36" s="729"/>
      <c r="F36" s="857"/>
      <c r="G36" s="318" t="s">
        <v>2502</v>
      </c>
      <c r="H36" s="117">
        <v>458</v>
      </c>
      <c r="I36" s="431" t="s">
        <v>2046</v>
      </c>
      <c r="J36" s="702">
        <v>473</v>
      </c>
      <c r="K36" s="369">
        <v>39.42</v>
      </c>
      <c r="L36" s="281"/>
    </row>
    <row r="37" spans="1:16">
      <c r="A37" s="401" t="s">
        <v>2503</v>
      </c>
      <c r="B37" s="400"/>
      <c r="C37" s="521"/>
      <c r="D37" s="410"/>
      <c r="E37" s="729"/>
      <c r="F37" s="857"/>
      <c r="G37" s="318"/>
      <c r="H37" s="117"/>
      <c r="I37" s="432"/>
      <c r="J37" s="702"/>
      <c r="K37" s="369"/>
      <c r="L37" s="281"/>
    </row>
    <row r="38" spans="1:16">
      <c r="A38" s="315"/>
      <c r="B38" s="43" t="s">
        <v>2504</v>
      </c>
      <c r="C38" s="207" t="s">
        <v>2005</v>
      </c>
      <c r="D38" s="322" t="s">
        <v>23</v>
      </c>
      <c r="E38" s="728"/>
      <c r="F38" s="767"/>
      <c r="G38" s="318"/>
      <c r="H38" s="117"/>
      <c r="I38" s="432"/>
      <c r="J38" s="702">
        <v>630</v>
      </c>
      <c r="K38" s="369">
        <f>J38/12</f>
        <v>52.5</v>
      </c>
      <c r="L38" s="281"/>
      <c r="M38" s="188">
        <v>8640</v>
      </c>
      <c r="N38" s="188">
        <f t="shared" si="3"/>
        <v>8380.7999999999993</v>
      </c>
      <c r="O38" s="189">
        <v>7.0000000000000007E-2</v>
      </c>
      <c r="P38" s="170">
        <f>(N38*O38)+N38</f>
        <v>8967.4559999999983</v>
      </c>
    </row>
    <row r="39" spans="1:16">
      <c r="A39" s="401" t="s">
        <v>2505</v>
      </c>
      <c r="B39" s="382"/>
      <c r="C39" s="207"/>
      <c r="D39" s="322"/>
      <c r="E39" s="832"/>
      <c r="F39" s="853"/>
      <c r="G39" s="248"/>
      <c r="H39" s="207"/>
      <c r="I39" s="431"/>
      <c r="J39" s="586"/>
      <c r="K39" s="365"/>
      <c r="L39" s="281"/>
    </row>
    <row r="40" spans="1:16">
      <c r="A40" s="315"/>
      <c r="B40" s="43" t="s">
        <v>2506</v>
      </c>
      <c r="C40" s="207" t="s">
        <v>2507</v>
      </c>
      <c r="D40" s="322" t="s">
        <v>2508</v>
      </c>
      <c r="E40" s="728">
        <v>285</v>
      </c>
      <c r="F40" s="767"/>
      <c r="G40" s="248" t="s">
        <v>2509</v>
      </c>
      <c r="H40" s="207">
        <v>1049</v>
      </c>
      <c r="I40" s="431"/>
      <c r="J40" s="586">
        <v>1001.67</v>
      </c>
      <c r="K40" s="365">
        <v>250.41</v>
      </c>
      <c r="L40" s="281"/>
    </row>
    <row r="41" spans="1:16">
      <c r="A41" s="315"/>
      <c r="B41" s="406" t="s">
        <v>2510</v>
      </c>
      <c r="C41" s="207" t="s">
        <v>1301</v>
      </c>
      <c r="D41" s="322" t="s">
        <v>18</v>
      </c>
      <c r="E41" s="728">
        <v>80</v>
      </c>
      <c r="F41" s="767"/>
      <c r="G41" s="248" t="s">
        <v>2511</v>
      </c>
      <c r="H41" s="207">
        <v>61</v>
      </c>
      <c r="I41" s="431" t="s">
        <v>1102</v>
      </c>
      <c r="J41" s="586">
        <v>1519.68</v>
      </c>
      <c r="K41" s="365">
        <v>63.32</v>
      </c>
      <c r="L41" s="281"/>
      <c r="M41" s="3444"/>
    </row>
    <row r="42" spans="1:16" ht="35.25" thickBot="1">
      <c r="A42" s="285"/>
      <c r="B42" s="406" t="s">
        <v>2510</v>
      </c>
      <c r="C42" s="207" t="s">
        <v>1275</v>
      </c>
      <c r="D42" s="322" t="s">
        <v>23</v>
      </c>
      <c r="E42" s="728">
        <v>200</v>
      </c>
      <c r="F42" s="767"/>
      <c r="G42" s="248" t="s">
        <v>2511</v>
      </c>
      <c r="H42" s="207">
        <v>154</v>
      </c>
      <c r="I42" s="431" t="s">
        <v>1102</v>
      </c>
      <c r="J42" s="586">
        <v>1918</v>
      </c>
      <c r="K42" s="365">
        <v>159.84</v>
      </c>
      <c r="L42" s="292"/>
    </row>
    <row r="43" spans="1:16" ht="35.25" customHeight="1">
      <c r="B43" s="93"/>
      <c r="C43" s="68"/>
      <c r="D43" s="3444"/>
      <c r="E43" s="273"/>
      <c r="F43" s="274"/>
      <c r="G43" s="269"/>
      <c r="H43" s="270"/>
      <c r="I43" s="271"/>
      <c r="J43" s="272"/>
      <c r="K43" s="165"/>
      <c r="L43" s="168"/>
    </row>
    <row r="44" spans="1:16">
      <c r="A44" s="44" t="s">
        <v>0</v>
      </c>
      <c r="B44" s="127"/>
      <c r="C44" s="104"/>
      <c r="F44" s="68"/>
      <c r="I44" s="179"/>
      <c r="K44" s="163"/>
      <c r="L44" s="168"/>
    </row>
    <row r="45" spans="1:16" ht="35.25" customHeight="1">
      <c r="A45" s="3480" t="s">
        <v>2512</v>
      </c>
      <c r="B45" s="3480"/>
      <c r="C45" s="44"/>
      <c r="D45" s="109"/>
      <c r="F45" s="68"/>
      <c r="I45" s="179"/>
      <c r="K45" s="163"/>
      <c r="L45" s="168"/>
    </row>
    <row r="46" spans="1:16" ht="35.25" customHeight="1" thickBot="1">
      <c r="F46" s="68"/>
    </row>
    <row r="47" spans="1:16">
      <c r="A47" s="3493" t="s">
        <v>2</v>
      </c>
      <c r="B47" s="3482"/>
      <c r="C47" s="48" t="s">
        <v>3</v>
      </c>
      <c r="D47" s="128" t="s">
        <v>4</v>
      </c>
      <c r="E47" s="77" t="s">
        <v>5</v>
      </c>
      <c r="F47" s="78" t="s">
        <v>5</v>
      </c>
      <c r="G47" s="211" t="s">
        <v>6</v>
      </c>
      <c r="H47" s="140" t="s">
        <v>7</v>
      </c>
      <c r="I47" s="180" t="s">
        <v>1511</v>
      </c>
      <c r="J47" s="172" t="s">
        <v>9</v>
      </c>
      <c r="K47" s="186" t="s">
        <v>9</v>
      </c>
      <c r="L47" s="192" t="s">
        <v>2495</v>
      </c>
      <c r="M47" s="190"/>
    </row>
    <row r="48" spans="1:16" ht="35.25" thickBot="1">
      <c r="A48" s="155"/>
      <c r="B48" s="138"/>
      <c r="C48" s="50"/>
      <c r="D48" s="129" t="s">
        <v>10</v>
      </c>
      <c r="E48" s="79" t="s">
        <v>11</v>
      </c>
      <c r="F48" s="80" t="s">
        <v>12</v>
      </c>
      <c r="G48" s="212"/>
      <c r="H48" s="141" t="s">
        <v>13</v>
      </c>
      <c r="I48" s="181" t="s">
        <v>1512</v>
      </c>
      <c r="J48" s="173" t="s">
        <v>15</v>
      </c>
      <c r="K48" s="187" t="s">
        <v>14</v>
      </c>
      <c r="L48" s="193" t="s">
        <v>2496</v>
      </c>
      <c r="M48" s="190"/>
    </row>
    <row r="49" spans="1:16">
      <c r="A49" s="1507" t="s">
        <v>2513</v>
      </c>
      <c r="B49" s="3448"/>
      <c r="C49" s="207"/>
      <c r="D49" s="322"/>
      <c r="E49" s="837"/>
      <c r="F49" s="767"/>
      <c r="G49" s="310"/>
      <c r="H49" s="207"/>
      <c r="I49" s="431"/>
      <c r="J49" s="586"/>
      <c r="K49" s="365"/>
      <c r="L49" s="194"/>
      <c r="M49" s="188">
        <v>3552</v>
      </c>
      <c r="N49" s="188">
        <f t="shared" ref="N49:N74" si="4">M49-(M49*0.03)</f>
        <v>3445.44</v>
      </c>
      <c r="O49" s="189">
        <v>7.0000000000000007E-2</v>
      </c>
      <c r="P49" s="170">
        <f t="shared" ref="P49:P65" si="5">(N49*O49)+N49</f>
        <v>3686.6208000000001</v>
      </c>
    </row>
    <row r="50" spans="1:16">
      <c r="A50" s="152"/>
      <c r="B50" s="43" t="s">
        <v>2514</v>
      </c>
      <c r="C50" s="207" t="s">
        <v>1219</v>
      </c>
      <c r="D50" s="322" t="s">
        <v>23</v>
      </c>
      <c r="E50" s="728"/>
      <c r="F50" s="767"/>
      <c r="G50" s="248" t="s">
        <v>2515</v>
      </c>
      <c r="H50" s="207"/>
      <c r="I50" s="431"/>
      <c r="J50" s="365">
        <v>440.59</v>
      </c>
      <c r="K50" s="365">
        <f>J50/12</f>
        <v>36.715833333333329</v>
      </c>
      <c r="L50" s="194"/>
      <c r="N50" s="188">
        <f t="shared" si="4"/>
        <v>0</v>
      </c>
      <c r="O50" s="189">
        <v>7.0000000000000007E-2</v>
      </c>
      <c r="P50" s="170">
        <f t="shared" si="5"/>
        <v>0</v>
      </c>
    </row>
    <row r="51" spans="1:16">
      <c r="A51" s="152"/>
      <c r="B51" s="43" t="s">
        <v>2516</v>
      </c>
      <c r="C51" s="207" t="s">
        <v>2019</v>
      </c>
      <c r="D51" s="322" t="s">
        <v>2020</v>
      </c>
      <c r="E51" s="728"/>
      <c r="F51" s="767"/>
      <c r="G51" s="248" t="s">
        <v>2517</v>
      </c>
      <c r="H51" s="207"/>
      <c r="I51" s="431"/>
      <c r="J51" s="365">
        <v>514.41999999999996</v>
      </c>
      <c r="K51" s="365"/>
      <c r="L51" s="194"/>
      <c r="M51" s="188">
        <v>9498.06</v>
      </c>
      <c r="N51" s="188">
        <f t="shared" si="4"/>
        <v>9213.118199999999</v>
      </c>
      <c r="O51" s="189">
        <v>7.0000000000000007E-2</v>
      </c>
      <c r="P51" s="170">
        <f t="shared" si="5"/>
        <v>9858.0364739999986</v>
      </c>
    </row>
    <row r="52" spans="1:16">
      <c r="A52" s="152"/>
      <c r="B52" s="154"/>
      <c r="C52" s="207"/>
      <c r="D52" s="322"/>
      <c r="E52" s="837"/>
      <c r="F52" s="767"/>
      <c r="G52" s="310"/>
      <c r="H52" s="207"/>
      <c r="I52" s="431"/>
      <c r="J52" s="365"/>
      <c r="K52" s="365"/>
      <c r="L52" s="194"/>
      <c r="M52" s="188">
        <v>15305.4</v>
      </c>
      <c r="N52" s="188">
        <f t="shared" si="4"/>
        <v>14846.237999999999</v>
      </c>
      <c r="O52" s="189">
        <v>7.0000000000000007E-2</v>
      </c>
      <c r="P52" s="170">
        <f t="shared" si="5"/>
        <v>15885.47466</v>
      </c>
    </row>
    <row r="53" spans="1:16">
      <c r="A53" s="1507" t="s">
        <v>2518</v>
      </c>
      <c r="B53" s="3448"/>
      <c r="C53" s="207"/>
      <c r="D53" s="322"/>
      <c r="E53" s="837"/>
      <c r="F53" s="767"/>
      <c r="G53" s="310"/>
      <c r="H53" s="207"/>
      <c r="I53" s="431"/>
      <c r="J53" s="365"/>
      <c r="K53" s="365"/>
      <c r="L53" s="194"/>
      <c r="N53" s="188">
        <f t="shared" si="4"/>
        <v>0</v>
      </c>
      <c r="O53" s="189">
        <v>7.0000000000000007E-2</v>
      </c>
      <c r="P53" s="170">
        <f t="shared" si="5"/>
        <v>0</v>
      </c>
    </row>
    <row r="54" spans="1:16">
      <c r="A54" s="152"/>
      <c r="B54" s="43" t="s">
        <v>2519</v>
      </c>
      <c r="C54" s="207" t="s">
        <v>2520</v>
      </c>
      <c r="D54" s="322" t="s">
        <v>2020</v>
      </c>
      <c r="E54" s="728"/>
      <c r="F54" s="767"/>
      <c r="G54" s="318" t="s">
        <v>2521</v>
      </c>
      <c r="H54" s="117"/>
      <c r="I54" s="432"/>
      <c r="J54" s="369">
        <v>506</v>
      </c>
      <c r="K54" s="369"/>
      <c r="L54" s="194"/>
      <c r="N54" s="188">
        <f t="shared" si="4"/>
        <v>0</v>
      </c>
      <c r="O54" s="189">
        <v>7.0000000000000007E-2</v>
      </c>
      <c r="P54" s="170">
        <f t="shared" si="5"/>
        <v>0</v>
      </c>
    </row>
    <row r="55" spans="1:16">
      <c r="A55" s="152"/>
      <c r="B55" s="43" t="s">
        <v>2522</v>
      </c>
      <c r="C55" s="207" t="s">
        <v>2523</v>
      </c>
      <c r="D55" s="322" t="s">
        <v>2020</v>
      </c>
      <c r="E55" s="728"/>
      <c r="F55" s="767"/>
      <c r="G55" s="318"/>
      <c r="H55" s="117"/>
      <c r="I55" s="432"/>
      <c r="J55" s="369">
        <v>480</v>
      </c>
      <c r="K55" s="369"/>
      <c r="L55" s="194"/>
      <c r="N55" s="188">
        <f t="shared" si="4"/>
        <v>0</v>
      </c>
      <c r="O55" s="189">
        <v>7.0000000000000007E-2</v>
      </c>
      <c r="P55" s="170">
        <f t="shared" si="5"/>
        <v>0</v>
      </c>
    </row>
    <row r="56" spans="1:16">
      <c r="A56" s="152"/>
      <c r="B56" s="55"/>
      <c r="C56" s="117"/>
      <c r="D56" s="412"/>
      <c r="E56" s="832"/>
      <c r="F56" s="853"/>
      <c r="G56" s="318"/>
      <c r="H56" s="117"/>
      <c r="I56" s="432"/>
      <c r="J56" s="702"/>
      <c r="K56" s="369"/>
      <c r="M56" s="188">
        <v>14244.12</v>
      </c>
      <c r="N56" s="188">
        <f t="shared" si="4"/>
        <v>13816.796400000001</v>
      </c>
      <c r="O56" s="189">
        <v>7.0000000000000007E-2</v>
      </c>
      <c r="P56" s="170">
        <f t="shared" si="5"/>
        <v>14783.972148000001</v>
      </c>
    </row>
    <row r="57" spans="1:16">
      <c r="A57" s="443"/>
      <c r="B57" s="55"/>
      <c r="C57" s="117"/>
      <c r="D57" s="412"/>
      <c r="E57" s="832"/>
      <c r="F57" s="853"/>
      <c r="G57" s="318"/>
      <c r="H57" s="117"/>
      <c r="I57" s="432"/>
      <c r="J57" s="702"/>
      <c r="K57" s="369"/>
      <c r="L57" s="194"/>
      <c r="M57" s="188">
        <v>3240</v>
      </c>
      <c r="N57" s="188">
        <f t="shared" si="4"/>
        <v>3142.8</v>
      </c>
      <c r="O57" s="189">
        <v>7.0000000000000007E-2</v>
      </c>
      <c r="P57" s="170">
        <f t="shared" si="5"/>
        <v>3362.7960000000003</v>
      </c>
    </row>
    <row r="58" spans="1:16">
      <c r="A58" s="995"/>
      <c r="B58" s="996" t="s">
        <v>2524</v>
      </c>
      <c r="C58" s="997"/>
      <c r="D58" s="412"/>
      <c r="E58" s="832"/>
      <c r="F58" s="853"/>
      <c r="G58" s="318"/>
      <c r="H58" s="117"/>
      <c r="I58" s="432"/>
      <c r="J58" s="702"/>
      <c r="K58" s="369"/>
      <c r="L58" s="194"/>
      <c r="M58" s="188">
        <v>14700</v>
      </c>
      <c r="N58" s="188">
        <f t="shared" si="4"/>
        <v>14259</v>
      </c>
      <c r="O58" s="189">
        <v>7.0000000000000007E-2</v>
      </c>
      <c r="P58" s="170">
        <f t="shared" si="5"/>
        <v>15257.130000000001</v>
      </c>
    </row>
    <row r="59" spans="1:16">
      <c r="A59" s="315"/>
      <c r="B59" s="81" t="s">
        <v>2525</v>
      </c>
      <c r="C59" s="207" t="s">
        <v>2005</v>
      </c>
      <c r="D59" s="322" t="s">
        <v>390</v>
      </c>
      <c r="E59" s="728"/>
      <c r="F59" s="767"/>
      <c r="G59" s="310"/>
      <c r="H59" s="207"/>
      <c r="I59" s="431"/>
      <c r="J59" s="604">
        <v>375</v>
      </c>
      <c r="K59" s="365"/>
      <c r="L59" s="229"/>
      <c r="M59" s="188">
        <v>14582.7</v>
      </c>
      <c r="N59" s="188">
        <f t="shared" si="4"/>
        <v>14145.219000000001</v>
      </c>
      <c r="O59" s="189">
        <v>7.0000000000000007E-2</v>
      </c>
      <c r="P59" s="170">
        <f t="shared" si="5"/>
        <v>15135.384330000001</v>
      </c>
    </row>
    <row r="60" spans="1:16">
      <c r="A60" s="315"/>
      <c r="B60" s="81" t="s">
        <v>2526</v>
      </c>
      <c r="C60" s="207" t="s">
        <v>2005</v>
      </c>
      <c r="D60" s="322" t="s">
        <v>390</v>
      </c>
      <c r="E60" s="728"/>
      <c r="F60" s="767"/>
      <c r="G60" s="310" t="s">
        <v>2527</v>
      </c>
      <c r="H60" s="207">
        <v>315</v>
      </c>
      <c r="I60" s="431" t="s">
        <v>2528</v>
      </c>
      <c r="J60" s="604">
        <v>305.82</v>
      </c>
      <c r="K60" s="365">
        <v>25.48</v>
      </c>
      <c r="L60" s="229"/>
      <c r="M60" s="188">
        <v>13483.8</v>
      </c>
      <c r="N60" s="188">
        <f t="shared" si="4"/>
        <v>13079.286</v>
      </c>
      <c r="O60" s="189">
        <v>7.0000000000000007E-2</v>
      </c>
      <c r="P60" s="170">
        <f t="shared" si="5"/>
        <v>13994.836020000001</v>
      </c>
    </row>
    <row r="61" spans="1:16">
      <c r="A61" s="315"/>
      <c r="B61" s="81" t="s">
        <v>2529</v>
      </c>
      <c r="C61" s="207" t="s">
        <v>2005</v>
      </c>
      <c r="D61" s="322" t="s">
        <v>390</v>
      </c>
      <c r="E61" s="728"/>
      <c r="F61" s="767"/>
      <c r="G61" s="310" t="s">
        <v>1710</v>
      </c>
      <c r="H61" s="207">
        <v>345</v>
      </c>
      <c r="I61" s="1587" t="s">
        <v>2530</v>
      </c>
      <c r="J61" s="604">
        <v>341.58</v>
      </c>
      <c r="K61" s="365">
        <v>28.46</v>
      </c>
      <c r="L61" s="229"/>
      <c r="M61" s="188">
        <v>2669.52</v>
      </c>
      <c r="N61" s="188">
        <f t="shared" si="4"/>
        <v>2589.4344000000001</v>
      </c>
      <c r="O61" s="189">
        <v>7.0000000000000007E-2</v>
      </c>
      <c r="P61" s="170">
        <f t="shared" si="5"/>
        <v>2770.6948080000002</v>
      </c>
    </row>
    <row r="62" spans="1:16">
      <c r="A62" s="315"/>
      <c r="B62" s="81" t="s">
        <v>2529</v>
      </c>
      <c r="C62" s="207" t="s">
        <v>2531</v>
      </c>
      <c r="D62" s="322"/>
      <c r="E62" s="728"/>
      <c r="F62" s="767"/>
      <c r="G62" s="248"/>
      <c r="H62" s="207"/>
      <c r="I62" s="431"/>
      <c r="J62" s="707">
        <v>430</v>
      </c>
      <c r="K62" s="365"/>
      <c r="L62" s="229"/>
      <c r="N62" s="188">
        <f t="shared" si="4"/>
        <v>0</v>
      </c>
      <c r="O62" s="189">
        <v>7.0000000000000007E-2</v>
      </c>
      <c r="P62" s="170">
        <f t="shared" si="5"/>
        <v>0</v>
      </c>
    </row>
    <row r="63" spans="1:16">
      <c r="A63" s="315"/>
      <c r="B63" s="55"/>
      <c r="C63" s="207"/>
      <c r="D63" s="322"/>
      <c r="E63" s="728"/>
      <c r="F63" s="767"/>
      <c r="G63" s="310"/>
      <c r="H63" s="207"/>
      <c r="I63" s="431"/>
      <c r="J63" s="586"/>
      <c r="K63" s="365"/>
      <c r="L63" s="229"/>
      <c r="M63" s="188">
        <v>12972.96</v>
      </c>
      <c r="N63" s="188">
        <f t="shared" si="4"/>
        <v>12583.771199999999</v>
      </c>
      <c r="O63" s="189">
        <v>7.0000000000000007E-2</v>
      </c>
      <c r="P63" s="170">
        <f t="shared" si="5"/>
        <v>13464.635183999999</v>
      </c>
    </row>
    <row r="64" spans="1:16">
      <c r="A64" s="401" t="s">
        <v>2049</v>
      </c>
      <c r="B64" s="382"/>
      <c r="C64" s="207"/>
      <c r="D64" s="322"/>
      <c r="E64" s="728"/>
      <c r="F64" s="767"/>
      <c r="G64" s="318"/>
      <c r="H64" s="117"/>
      <c r="I64" s="432"/>
      <c r="J64" s="702"/>
      <c r="K64" s="369"/>
      <c r="L64" s="229"/>
      <c r="M64" s="188">
        <v>12687.84</v>
      </c>
      <c r="N64" s="188">
        <f t="shared" si="4"/>
        <v>12307.2048</v>
      </c>
      <c r="O64" s="189">
        <v>7.0000000000000007E-2</v>
      </c>
      <c r="P64" s="170">
        <f t="shared" si="5"/>
        <v>13168.709135999999</v>
      </c>
    </row>
    <row r="65" spans="1:16">
      <c r="A65" s="315"/>
      <c r="B65" s="43" t="s">
        <v>2050</v>
      </c>
      <c r="C65" s="207">
        <v>13.75</v>
      </c>
      <c r="D65" s="322"/>
      <c r="E65" s="728" t="s">
        <v>1950</v>
      </c>
      <c r="F65" s="767" t="s">
        <v>2532</v>
      </c>
      <c r="G65" s="2786" t="s">
        <v>210</v>
      </c>
      <c r="H65" s="117">
        <v>920</v>
      </c>
      <c r="I65" s="432" t="s">
        <v>578</v>
      </c>
      <c r="J65" s="702" t="s">
        <v>2533</v>
      </c>
      <c r="K65" s="961" t="s">
        <v>2534</v>
      </c>
      <c r="L65" s="194"/>
      <c r="M65" s="188">
        <v>16572.599999999999</v>
      </c>
      <c r="N65" s="188">
        <f t="shared" si="4"/>
        <v>16075.421999999999</v>
      </c>
      <c r="O65" s="189">
        <v>7.0000000000000007E-2</v>
      </c>
      <c r="P65" s="170">
        <f t="shared" si="5"/>
        <v>17200.701539999998</v>
      </c>
    </row>
    <row r="66" spans="1:16" ht="35.25" thickBot="1">
      <c r="A66" s="285"/>
      <c r="B66" s="286" t="s">
        <v>2054</v>
      </c>
      <c r="C66" s="207" t="s">
        <v>2005</v>
      </c>
      <c r="D66" s="322" t="s">
        <v>23</v>
      </c>
      <c r="E66" s="257"/>
      <c r="F66" s="258"/>
      <c r="G66" s="220" t="s">
        <v>2055</v>
      </c>
      <c r="H66" s="288"/>
      <c r="I66" s="289"/>
      <c r="J66" s="290" t="s">
        <v>2056</v>
      </c>
      <c r="K66" s="291">
        <v>45.83</v>
      </c>
      <c r="L66" s="194"/>
      <c r="M66" s="188">
        <v>6021.12</v>
      </c>
      <c r="N66" s="188">
        <f t="shared" si="4"/>
        <v>5840.4863999999998</v>
      </c>
      <c r="O66" s="189">
        <v>7.0000000000000007E-2</v>
      </c>
      <c r="P66" s="170">
        <f>(N66*O66)+N66</f>
        <v>6249.3204479999995</v>
      </c>
    </row>
    <row r="67" spans="1:16">
      <c r="A67" s="330"/>
      <c r="B67" s="81" t="s">
        <v>2535</v>
      </c>
      <c r="C67" s="207" t="s">
        <v>2536</v>
      </c>
      <c r="D67" s="322"/>
      <c r="E67" s="728"/>
      <c r="F67" s="767"/>
      <c r="G67" s="248" t="s">
        <v>486</v>
      </c>
      <c r="H67" s="207">
        <v>1100</v>
      </c>
      <c r="I67" s="431" t="s">
        <v>1879</v>
      </c>
      <c r="J67" s="707" t="s">
        <v>2537</v>
      </c>
      <c r="K67" s="363" t="s">
        <v>2538</v>
      </c>
      <c r="L67" s="194"/>
      <c r="M67" s="188">
        <v>8714.16</v>
      </c>
      <c r="N67" s="188">
        <f t="shared" si="4"/>
        <v>8452.7351999999992</v>
      </c>
      <c r="O67" s="189">
        <v>7.0000000000000007E-2</v>
      </c>
      <c r="P67" s="170">
        <f>(N67*O67)+N67</f>
        <v>9044.4266639999987</v>
      </c>
    </row>
    <row r="68" spans="1:16">
      <c r="A68" s="315"/>
      <c r="B68" s="81"/>
      <c r="C68" s="207"/>
      <c r="D68" s="322"/>
      <c r="E68" s="728"/>
      <c r="F68" s="767"/>
      <c r="G68" s="248"/>
      <c r="H68" s="207"/>
      <c r="I68" s="431"/>
      <c r="J68" s="707"/>
      <c r="K68" s="365"/>
      <c r="L68" s="194"/>
      <c r="M68" s="188">
        <v>0</v>
      </c>
      <c r="N68" s="188">
        <f t="shared" si="4"/>
        <v>0</v>
      </c>
      <c r="O68" s="189">
        <v>7.0000000000000007E-2</v>
      </c>
      <c r="P68" s="170">
        <f t="shared" ref="P68:P74" si="6">(N68*O68)+N68</f>
        <v>0</v>
      </c>
    </row>
    <row r="69" spans="1:16">
      <c r="A69" s="401"/>
      <c r="B69" s="382"/>
      <c r="C69" s="207"/>
      <c r="D69" s="322"/>
      <c r="E69" s="728"/>
      <c r="F69" s="767"/>
      <c r="G69" s="248"/>
      <c r="H69" s="207"/>
      <c r="I69" s="431"/>
      <c r="J69" s="586"/>
      <c r="K69" s="365"/>
      <c r="L69" s="365"/>
      <c r="M69" s="188">
        <v>18537.7</v>
      </c>
      <c r="N69" s="188">
        <f t="shared" si="4"/>
        <v>17981.569</v>
      </c>
      <c r="O69" s="189">
        <v>7.0000000000000007E-2</v>
      </c>
      <c r="P69" s="170">
        <f t="shared" si="6"/>
        <v>19240.278829999999</v>
      </c>
    </row>
    <row r="70" spans="1:16">
      <c r="A70" s="315"/>
      <c r="B70" s="43"/>
      <c r="C70" s="207"/>
      <c r="D70" s="322"/>
      <c r="E70" s="728"/>
      <c r="F70" s="767"/>
      <c r="G70" s="248"/>
      <c r="H70" s="207"/>
      <c r="I70" s="431"/>
      <c r="J70" s="586"/>
      <c r="K70" s="365"/>
      <c r="L70" s="365">
        <f>K70/12</f>
        <v>0</v>
      </c>
      <c r="M70" s="188">
        <v>9031.68</v>
      </c>
      <c r="N70" s="188">
        <f t="shared" si="4"/>
        <v>8760.7296000000006</v>
      </c>
      <c r="O70" s="189">
        <v>7.0000000000000007E-2</v>
      </c>
      <c r="P70" s="170">
        <f t="shared" si="6"/>
        <v>9373.9806720000015</v>
      </c>
    </row>
    <row r="71" spans="1:16">
      <c r="A71" s="315"/>
      <c r="B71" s="62"/>
      <c r="C71" s="207"/>
      <c r="D71" s="322"/>
      <c r="E71" s="728"/>
      <c r="F71" s="767"/>
      <c r="G71" s="248"/>
      <c r="H71" s="207"/>
      <c r="I71" s="431"/>
      <c r="J71" s="586"/>
      <c r="K71" s="365"/>
      <c r="L71" s="365"/>
      <c r="N71" s="188">
        <f t="shared" si="4"/>
        <v>0</v>
      </c>
      <c r="O71" s="189">
        <v>7.0000000000000007E-2</v>
      </c>
      <c r="P71" s="170">
        <f t="shared" si="6"/>
        <v>0</v>
      </c>
    </row>
    <row r="72" spans="1:16">
      <c r="A72" s="438"/>
      <c r="B72" s="958"/>
      <c r="C72" s="341"/>
      <c r="D72" s="413"/>
      <c r="E72" s="728"/>
      <c r="F72" s="767"/>
      <c r="G72" s="312"/>
      <c r="H72" s="341"/>
      <c r="I72" s="505"/>
      <c r="J72" s="604"/>
      <c r="K72" s="378"/>
      <c r="L72" s="194"/>
      <c r="M72" s="188">
        <v>8478.9599999999991</v>
      </c>
      <c r="N72" s="188">
        <f t="shared" si="4"/>
        <v>8224.5911999999989</v>
      </c>
      <c r="O72" s="189">
        <v>7.0000000000000007E-2</v>
      </c>
      <c r="P72" s="170">
        <f t="shared" si="6"/>
        <v>8800.3125839999993</v>
      </c>
    </row>
    <row r="73" spans="1:16">
      <c r="A73" s="438"/>
      <c r="B73" s="770">
        <f>H23</f>
        <v>0</v>
      </c>
      <c r="C73" s="341"/>
      <c r="D73" s="413"/>
      <c r="E73" s="728"/>
      <c r="F73" s="767"/>
      <c r="G73" s="312"/>
      <c r="H73" s="341"/>
      <c r="I73" s="505"/>
      <c r="J73" s="604"/>
      <c r="K73" s="378"/>
      <c r="L73" s="194"/>
      <c r="M73" s="188">
        <v>11122.62</v>
      </c>
      <c r="N73" s="188">
        <f t="shared" si="4"/>
        <v>10788.941400000002</v>
      </c>
      <c r="O73" s="189">
        <v>7.0000000000000007E-2</v>
      </c>
      <c r="P73" s="170">
        <f t="shared" si="6"/>
        <v>11544.167298000002</v>
      </c>
    </row>
    <row r="74" spans="1:16">
      <c r="A74" s="253"/>
      <c r="B74" s="770"/>
      <c r="C74" s="320"/>
      <c r="D74" s="531"/>
      <c r="E74" s="728"/>
      <c r="F74" s="767"/>
      <c r="G74" s="223"/>
      <c r="H74" s="925"/>
      <c r="I74" s="1592"/>
      <c r="J74" s="1593"/>
      <c r="K74" s="1594"/>
      <c r="L74" s="194"/>
      <c r="M74" s="188">
        <v>3813.12</v>
      </c>
      <c r="N74" s="188">
        <f t="shared" si="4"/>
        <v>3698.7264</v>
      </c>
      <c r="O74" s="189">
        <v>7.0000000000000007E-2</v>
      </c>
      <c r="P74" s="170">
        <f t="shared" si="6"/>
        <v>3957.637248</v>
      </c>
    </row>
    <row r="75" spans="1:16">
      <c r="A75" s="3696"/>
      <c r="B75" s="3697"/>
      <c r="C75" s="3698"/>
      <c r="D75" s="322"/>
      <c r="E75" s="728"/>
      <c r="F75" s="767"/>
      <c r="G75" s="310"/>
      <c r="H75" s="207"/>
      <c r="I75" s="431"/>
      <c r="J75" s="604"/>
      <c r="K75" s="365"/>
      <c r="L75" s="194"/>
    </row>
    <row r="76" spans="1:16">
      <c r="A76" s="330"/>
      <c r="B76" s="81"/>
      <c r="C76" s="207"/>
      <c r="D76" s="322"/>
      <c r="E76" s="728"/>
      <c r="F76" s="767"/>
      <c r="G76" s="310"/>
      <c r="H76" s="207"/>
      <c r="I76" s="553"/>
      <c r="J76" s="586"/>
      <c r="K76" s="365"/>
      <c r="L76" s="194"/>
    </row>
    <row r="77" spans="1:16">
      <c r="A77" s="330"/>
      <c r="B77" s="81"/>
      <c r="C77" s="207"/>
      <c r="D77" s="322"/>
      <c r="E77" s="728"/>
      <c r="F77" s="767"/>
      <c r="G77" s="310"/>
      <c r="H77" s="207"/>
      <c r="I77" s="553"/>
      <c r="J77" s="586"/>
      <c r="K77" s="365"/>
      <c r="L77" s="194"/>
    </row>
    <row r="78" spans="1:16">
      <c r="A78" s="330"/>
      <c r="B78" s="81"/>
      <c r="C78" s="207"/>
      <c r="D78" s="322"/>
      <c r="E78" s="728"/>
      <c r="F78" s="767"/>
      <c r="G78" s="310"/>
      <c r="H78" s="207"/>
      <c r="I78" s="553"/>
      <c r="J78" s="604"/>
      <c r="K78" s="365"/>
      <c r="L78" s="194"/>
    </row>
    <row r="79" spans="1:16">
      <c r="A79" s="58"/>
      <c r="B79" s="81"/>
      <c r="C79" s="207"/>
      <c r="D79" s="322"/>
      <c r="E79" s="728"/>
      <c r="F79" s="767"/>
      <c r="G79" s="248"/>
      <c r="H79" s="207"/>
      <c r="I79" s="431"/>
      <c r="J79" s="707"/>
      <c r="K79" s="365"/>
      <c r="L79" s="194"/>
      <c r="N79" s="188" t="s">
        <v>2539</v>
      </c>
    </row>
    <row r="80" spans="1:16" s="75" customFormat="1" ht="27.75" customHeight="1">
      <c r="A80" s="58"/>
      <c r="B80" s="81"/>
      <c r="C80" s="207"/>
      <c r="D80" s="322"/>
      <c r="E80" s="728"/>
      <c r="F80" s="767"/>
      <c r="G80" s="248"/>
      <c r="H80" s="207"/>
      <c r="I80" s="553"/>
      <c r="J80" s="707"/>
      <c r="K80" s="365"/>
      <c r="L80" s="194"/>
      <c r="M80" s="3444"/>
      <c r="N80" s="188"/>
      <c r="O80" s="189"/>
      <c r="P80" s="170"/>
    </row>
    <row r="81" spans="1:16">
      <c r="A81" s="330"/>
      <c r="B81" s="81"/>
      <c r="C81" s="207"/>
      <c r="D81" s="322"/>
      <c r="E81" s="728"/>
      <c r="F81" s="767"/>
      <c r="G81" s="310"/>
      <c r="H81" s="207"/>
      <c r="I81" s="553"/>
      <c r="J81" s="586"/>
      <c r="K81" s="365"/>
      <c r="L81" s="194"/>
      <c r="N81" s="188" t="s">
        <v>2540</v>
      </c>
    </row>
    <row r="82" spans="1:16">
      <c r="A82" s="330"/>
      <c r="B82" s="81"/>
      <c r="C82" s="207"/>
      <c r="D82" s="322"/>
      <c r="E82" s="728"/>
      <c r="F82" s="767"/>
      <c r="G82" s="310"/>
      <c r="H82" s="207"/>
      <c r="I82" s="553"/>
      <c r="J82" s="604"/>
      <c r="K82" s="365"/>
      <c r="L82" s="194"/>
      <c r="N82" s="188" t="s">
        <v>2541</v>
      </c>
    </row>
    <row r="83" spans="1:16">
      <c r="A83" s="58"/>
      <c r="B83" s="81"/>
      <c r="C83" s="207"/>
      <c r="D83" s="322"/>
      <c r="E83" s="728"/>
      <c r="F83" s="767"/>
      <c r="G83" s="248"/>
      <c r="H83" s="207"/>
      <c r="I83" s="431"/>
      <c r="J83" s="707"/>
      <c r="K83" s="365"/>
      <c r="L83" s="194"/>
    </row>
    <row r="84" spans="1:16">
      <c r="A84" s="58"/>
      <c r="B84" s="81"/>
      <c r="C84" s="207"/>
      <c r="D84" s="322"/>
      <c r="E84" s="728"/>
      <c r="F84" s="767"/>
      <c r="G84" s="248"/>
      <c r="H84" s="207"/>
      <c r="I84" s="553"/>
      <c r="J84" s="707"/>
      <c r="K84" s="365"/>
      <c r="L84" s="194"/>
    </row>
    <row r="85" spans="1:16">
      <c r="A85" s="44"/>
      <c r="B85" s="75"/>
      <c r="C85" s="68"/>
      <c r="D85" s="3444"/>
      <c r="E85" s="273"/>
      <c r="F85" s="274"/>
      <c r="G85" s="269"/>
      <c r="H85" s="270"/>
      <c r="I85" s="271"/>
      <c r="J85" s="171"/>
      <c r="K85" s="166"/>
      <c r="L85" s="168"/>
    </row>
    <row r="86" spans="1:16">
      <c r="A86" s="44" t="s">
        <v>0</v>
      </c>
      <c r="B86" s="127"/>
      <c r="C86" s="104"/>
      <c r="F86" s="68"/>
      <c r="I86" s="179"/>
      <c r="K86" s="163"/>
      <c r="L86" s="168"/>
    </row>
    <row r="87" spans="1:16" ht="35.25" customHeight="1">
      <c r="A87" s="3480" t="s">
        <v>2494</v>
      </c>
      <c r="B87" s="3480"/>
      <c r="C87" s="44"/>
      <c r="D87" s="109"/>
      <c r="F87" s="68"/>
      <c r="I87" s="179"/>
      <c r="K87" s="163"/>
      <c r="L87" s="168"/>
    </row>
    <row r="88" spans="1:16" ht="35.25" thickBot="1">
      <c r="F88" s="68"/>
    </row>
    <row r="89" spans="1:16">
      <c r="A89" s="3511" t="s">
        <v>2</v>
      </c>
      <c r="B89" s="3512"/>
      <c r="C89" s="65" t="s">
        <v>3</v>
      </c>
      <c r="D89" s="261" t="s">
        <v>4</v>
      </c>
      <c r="E89" s="77" t="s">
        <v>5</v>
      </c>
      <c r="F89" s="78" t="s">
        <v>5</v>
      </c>
      <c r="G89" s="211" t="s">
        <v>6</v>
      </c>
      <c r="H89" s="140" t="s">
        <v>7</v>
      </c>
      <c r="I89" s="180" t="s">
        <v>1511</v>
      </c>
      <c r="J89" s="172" t="s">
        <v>9</v>
      </c>
      <c r="K89" s="186" t="s">
        <v>9</v>
      </c>
      <c r="L89" s="192" t="s">
        <v>2495</v>
      </c>
      <c r="M89" s="190"/>
    </row>
    <row r="90" spans="1:16" ht="35.25" thickBot="1">
      <c r="A90" s="155"/>
      <c r="B90" s="138"/>
      <c r="C90" s="50"/>
      <c r="D90" s="262" t="s">
        <v>10</v>
      </c>
      <c r="E90" s="79" t="s">
        <v>11</v>
      </c>
      <c r="F90" s="80" t="s">
        <v>12</v>
      </c>
      <c r="G90" s="212"/>
      <c r="H90" s="141" t="s">
        <v>13</v>
      </c>
      <c r="I90" s="181" t="s">
        <v>1512</v>
      </c>
      <c r="J90" s="173" t="s">
        <v>15</v>
      </c>
      <c r="K90" s="187" t="s">
        <v>14</v>
      </c>
      <c r="L90" s="193" t="s">
        <v>2496</v>
      </c>
      <c r="M90" s="190"/>
    </row>
    <row r="91" spans="1:16">
      <c r="A91" s="428" t="s">
        <v>2066</v>
      </c>
      <c r="B91" s="333"/>
      <c r="C91" s="117"/>
      <c r="D91" s="412"/>
      <c r="E91" s="832"/>
      <c r="F91" s="767"/>
      <c r="G91" s="318"/>
      <c r="H91" s="117"/>
      <c r="I91" s="432"/>
      <c r="J91" s="702"/>
      <c r="K91" s="369"/>
      <c r="L91" s="194"/>
      <c r="M91" s="188">
        <v>3552</v>
      </c>
      <c r="N91" s="188">
        <f t="shared" ref="N91:N107" si="7">M91-(M91*0.03)</f>
        <v>3445.44</v>
      </c>
      <c r="O91" s="189">
        <v>7.0000000000000007E-2</v>
      </c>
      <c r="P91" s="170">
        <f t="shared" ref="P91:P107" si="8">(N91*O91)+N91</f>
        <v>3686.6208000000001</v>
      </c>
    </row>
    <row r="92" spans="1:16">
      <c r="A92" s="768" t="s">
        <v>2542</v>
      </c>
      <c r="B92" s="1138" t="s">
        <v>2067</v>
      </c>
      <c r="C92" s="63"/>
      <c r="D92" s="196"/>
      <c r="E92" s="249"/>
      <c r="F92" s="121"/>
      <c r="G92" s="206"/>
      <c r="H92" s="115"/>
      <c r="I92" s="185"/>
      <c r="J92" s="175"/>
      <c r="K92" s="197"/>
      <c r="L92" s="194"/>
      <c r="N92" s="188">
        <f t="shared" si="7"/>
        <v>0</v>
      </c>
      <c r="O92" s="189">
        <v>7.0000000000000007E-2</v>
      </c>
      <c r="P92" s="170">
        <f t="shared" si="8"/>
        <v>0</v>
      </c>
    </row>
    <row r="93" spans="1:16">
      <c r="A93" s="315"/>
      <c r="B93" s="139" t="s">
        <v>2068</v>
      </c>
      <c r="C93" s="101" t="s">
        <v>980</v>
      </c>
      <c r="D93" s="462" t="s">
        <v>23</v>
      </c>
      <c r="E93" s="249"/>
      <c r="F93" s="121"/>
      <c r="G93" s="206" t="s">
        <v>2069</v>
      </c>
      <c r="H93" s="115">
        <v>170</v>
      </c>
      <c r="I93" s="185"/>
      <c r="J93" s="1383" t="s">
        <v>2070</v>
      </c>
      <c r="K93" s="195" t="s">
        <v>2071</v>
      </c>
      <c r="L93" s="194"/>
      <c r="M93" s="188">
        <v>9498.06</v>
      </c>
      <c r="N93" s="188">
        <f t="shared" si="7"/>
        <v>9213.118199999999</v>
      </c>
      <c r="O93" s="189">
        <v>7.0000000000000007E-2</v>
      </c>
      <c r="P93" s="170">
        <f t="shared" si="8"/>
        <v>9858.0364739999986</v>
      </c>
    </row>
    <row r="94" spans="1:16">
      <c r="A94" s="315"/>
      <c r="B94" s="139" t="s">
        <v>2068</v>
      </c>
      <c r="C94" s="207" t="s">
        <v>320</v>
      </c>
      <c r="D94" s="322" t="s">
        <v>30</v>
      </c>
      <c r="E94" s="249"/>
      <c r="F94" s="121"/>
      <c r="G94" s="206"/>
      <c r="H94" s="115"/>
      <c r="I94" s="185"/>
      <c r="J94" s="175"/>
      <c r="K94" s="197"/>
      <c r="L94" s="194"/>
      <c r="M94" s="188">
        <v>15305.4</v>
      </c>
      <c r="N94" s="188">
        <f t="shared" si="7"/>
        <v>14846.237999999999</v>
      </c>
      <c r="O94" s="189">
        <v>7.0000000000000007E-2</v>
      </c>
      <c r="P94" s="170">
        <f t="shared" si="8"/>
        <v>15885.47466</v>
      </c>
    </row>
    <row r="95" spans="1:16">
      <c r="A95" s="315"/>
      <c r="B95" s="43" t="s">
        <v>2072</v>
      </c>
      <c r="C95" s="207"/>
      <c r="D95" s="322"/>
      <c r="E95" s="728"/>
      <c r="F95" s="767"/>
      <c r="G95" s="310"/>
      <c r="H95" s="207"/>
      <c r="I95" s="431"/>
      <c r="J95" s="604"/>
      <c r="K95" s="365"/>
      <c r="L95" s="194"/>
      <c r="N95" s="188">
        <f t="shared" si="7"/>
        <v>0</v>
      </c>
      <c r="O95" s="189">
        <v>7.0000000000000007E-2</v>
      </c>
      <c r="P95" s="170">
        <f t="shared" si="8"/>
        <v>0</v>
      </c>
    </row>
    <row r="96" spans="1:16">
      <c r="A96" s="315"/>
      <c r="B96" s="43" t="s">
        <v>2073</v>
      </c>
      <c r="C96" s="207" t="s">
        <v>2074</v>
      </c>
      <c r="D96" s="769" t="s">
        <v>23</v>
      </c>
      <c r="E96" s="728">
        <v>35</v>
      </c>
      <c r="F96" s="861" t="s">
        <v>647</v>
      </c>
      <c r="G96" s="2727" t="s">
        <v>1877</v>
      </c>
      <c r="H96" s="207">
        <v>341</v>
      </c>
      <c r="I96" s="431"/>
      <c r="J96" s="586" t="s">
        <v>2075</v>
      </c>
      <c r="K96" s="365" t="s">
        <v>2076</v>
      </c>
      <c r="L96" s="194"/>
      <c r="N96" s="188">
        <f t="shared" si="7"/>
        <v>0</v>
      </c>
      <c r="O96" s="189">
        <v>7.0000000000000007E-2</v>
      </c>
      <c r="P96" s="170">
        <f t="shared" si="8"/>
        <v>0</v>
      </c>
    </row>
    <row r="97" spans="1:16">
      <c r="A97" s="315"/>
      <c r="B97" s="43" t="s">
        <v>1883</v>
      </c>
      <c r="C97" s="207" t="s">
        <v>284</v>
      </c>
      <c r="D97" s="322" t="s">
        <v>353</v>
      </c>
      <c r="E97" s="728">
        <v>100</v>
      </c>
      <c r="F97" s="767" t="s">
        <v>2077</v>
      </c>
      <c r="G97" s="2727" t="s">
        <v>2007</v>
      </c>
      <c r="H97" s="207" t="s">
        <v>2078</v>
      </c>
      <c r="I97" s="431" t="s">
        <v>2079</v>
      </c>
      <c r="J97" s="604" t="s">
        <v>2078</v>
      </c>
      <c r="K97" s="365" t="s">
        <v>2080</v>
      </c>
      <c r="L97" s="194"/>
      <c r="N97" s="188">
        <f t="shared" si="7"/>
        <v>0</v>
      </c>
      <c r="O97" s="189">
        <v>7.0000000000000007E-2</v>
      </c>
      <c r="P97" s="170">
        <f t="shared" si="8"/>
        <v>0</v>
      </c>
    </row>
    <row r="98" spans="1:16">
      <c r="A98" s="254"/>
      <c r="B98" s="139"/>
      <c r="C98" s="101"/>
      <c r="D98" s="462"/>
      <c r="E98" s="728"/>
      <c r="F98" s="861"/>
      <c r="G98" s="310"/>
      <c r="H98" s="207"/>
      <c r="I98" s="431"/>
      <c r="J98" s="707"/>
      <c r="K98" s="365"/>
      <c r="M98" s="188">
        <v>14244.12</v>
      </c>
      <c r="N98" s="188">
        <f t="shared" si="7"/>
        <v>13816.796400000001</v>
      </c>
      <c r="O98" s="189">
        <v>7.0000000000000007E-2</v>
      </c>
      <c r="P98" s="170">
        <f t="shared" si="8"/>
        <v>14783.972148000001</v>
      </c>
    </row>
    <row r="99" spans="1:16">
      <c r="A99" s="768"/>
      <c r="B99" s="139"/>
      <c r="C99" s="207"/>
      <c r="D99" s="322"/>
      <c r="E99" s="728"/>
      <c r="F99" s="767"/>
      <c r="G99" s="310"/>
      <c r="H99" s="207"/>
      <c r="I99" s="431"/>
      <c r="J99" s="591"/>
      <c r="K99" s="365"/>
      <c r="L99" s="194"/>
      <c r="M99" s="188">
        <v>3240</v>
      </c>
      <c r="N99" s="188">
        <f t="shared" si="7"/>
        <v>3142.8</v>
      </c>
      <c r="O99" s="189">
        <v>7.0000000000000007E-2</v>
      </c>
      <c r="P99" s="170">
        <f t="shared" si="8"/>
        <v>3362.7960000000003</v>
      </c>
    </row>
    <row r="100" spans="1:16">
      <c r="A100" s="315"/>
      <c r="B100" s="770"/>
      <c r="C100" s="207"/>
      <c r="D100" s="322"/>
      <c r="E100" s="728"/>
      <c r="F100" s="767"/>
      <c r="G100" s="310"/>
      <c r="H100" s="207"/>
      <c r="I100" s="431"/>
      <c r="J100" s="591"/>
      <c r="K100" s="365"/>
      <c r="L100" s="194"/>
      <c r="M100" s="188">
        <v>14700</v>
      </c>
      <c r="N100" s="188">
        <f t="shared" si="7"/>
        <v>14259</v>
      </c>
      <c r="O100" s="189">
        <v>7.0000000000000007E-2</v>
      </c>
      <c r="P100" s="170">
        <f t="shared" si="8"/>
        <v>15257.130000000001</v>
      </c>
    </row>
    <row r="101" spans="1:16">
      <c r="A101" s="315"/>
      <c r="B101" s="770"/>
      <c r="C101" s="207"/>
      <c r="D101" s="322"/>
      <c r="E101" s="728"/>
      <c r="F101" s="767"/>
      <c r="G101" s="310"/>
      <c r="H101" s="207"/>
      <c r="I101" s="431"/>
      <c r="J101" s="591"/>
      <c r="K101" s="365"/>
      <c r="L101" s="229"/>
      <c r="M101" s="188">
        <v>14582.7</v>
      </c>
      <c r="N101" s="188">
        <f t="shared" si="7"/>
        <v>14145.219000000001</v>
      </c>
      <c r="O101" s="189">
        <v>7.0000000000000007E-2</v>
      </c>
      <c r="P101" s="170">
        <f t="shared" si="8"/>
        <v>15135.384330000001</v>
      </c>
    </row>
    <row r="102" spans="1:16">
      <c r="A102" s="401" t="s">
        <v>2081</v>
      </c>
      <c r="B102" s="996"/>
      <c r="C102" s="207"/>
      <c r="D102" s="322"/>
      <c r="E102" s="728"/>
      <c r="F102" s="767"/>
      <c r="G102" s="310"/>
      <c r="H102" s="207"/>
      <c r="I102" s="431"/>
      <c r="J102" s="586"/>
      <c r="K102" s="365"/>
      <c r="L102" s="229"/>
      <c r="M102" s="188">
        <v>13483.8</v>
      </c>
      <c r="N102" s="188">
        <f t="shared" si="7"/>
        <v>13079.286</v>
      </c>
      <c r="O102" s="189">
        <v>7.0000000000000007E-2</v>
      </c>
      <c r="P102" s="170">
        <f t="shared" si="8"/>
        <v>13994.836020000001</v>
      </c>
    </row>
    <row r="103" spans="1:16">
      <c r="A103" s="315"/>
      <c r="B103" s="43" t="s">
        <v>2082</v>
      </c>
      <c r="C103" s="207" t="s">
        <v>2063</v>
      </c>
      <c r="D103" s="322" t="s">
        <v>2083</v>
      </c>
      <c r="E103" s="728">
        <v>20</v>
      </c>
      <c r="F103" s="767" t="s">
        <v>2084</v>
      </c>
      <c r="G103" s="310" t="s">
        <v>2085</v>
      </c>
      <c r="H103" s="207"/>
      <c r="I103" s="431"/>
      <c r="J103" s="591">
        <v>390</v>
      </c>
      <c r="K103" s="365">
        <v>16.25</v>
      </c>
      <c r="L103" s="229"/>
      <c r="M103" s="188">
        <v>2669.52</v>
      </c>
      <c r="N103" s="188">
        <f t="shared" si="7"/>
        <v>2589.4344000000001</v>
      </c>
      <c r="O103" s="189">
        <v>7.0000000000000007E-2</v>
      </c>
      <c r="P103" s="170">
        <f t="shared" si="8"/>
        <v>2770.6948080000002</v>
      </c>
    </row>
    <row r="104" spans="1:16">
      <c r="A104" s="315"/>
      <c r="B104" s="43" t="s">
        <v>2082</v>
      </c>
      <c r="C104" s="207" t="s">
        <v>2086</v>
      </c>
      <c r="D104" s="322" t="s">
        <v>2010</v>
      </c>
      <c r="E104" s="728"/>
      <c r="F104" s="767">
        <v>320</v>
      </c>
      <c r="G104" s="248" t="s">
        <v>2087</v>
      </c>
      <c r="H104" s="207">
        <v>325</v>
      </c>
      <c r="I104" s="431" t="s">
        <v>2088</v>
      </c>
      <c r="J104" s="712">
        <v>275</v>
      </c>
      <c r="K104" s="365">
        <v>22.92</v>
      </c>
      <c r="L104" s="229"/>
      <c r="N104" s="188">
        <f t="shared" si="7"/>
        <v>0</v>
      </c>
      <c r="O104" s="189">
        <v>7.0000000000000007E-2</v>
      </c>
      <c r="P104" s="170">
        <f t="shared" si="8"/>
        <v>0</v>
      </c>
    </row>
    <row r="105" spans="1:16">
      <c r="A105" s="315"/>
      <c r="B105" s="43" t="s">
        <v>2082</v>
      </c>
      <c r="C105" s="207" t="s">
        <v>2089</v>
      </c>
      <c r="D105" s="322" t="s">
        <v>2010</v>
      </c>
      <c r="E105" s="728">
        <v>42</v>
      </c>
      <c r="F105" s="767">
        <v>460</v>
      </c>
      <c r="G105" s="248"/>
      <c r="H105" s="207"/>
      <c r="I105" s="431"/>
      <c r="J105" s="712">
        <v>440</v>
      </c>
      <c r="K105" s="365">
        <v>36.67</v>
      </c>
      <c r="L105" s="229"/>
      <c r="M105" s="188">
        <v>12972.96</v>
      </c>
      <c r="N105" s="188">
        <f t="shared" si="7"/>
        <v>12583.771199999999</v>
      </c>
      <c r="O105" s="189">
        <v>7.0000000000000007E-2</v>
      </c>
      <c r="P105" s="170">
        <f t="shared" si="8"/>
        <v>13464.635183999999</v>
      </c>
    </row>
    <row r="106" spans="1:16">
      <c r="A106" s="315"/>
      <c r="B106" s="43"/>
      <c r="C106" s="207"/>
      <c r="D106" s="322"/>
      <c r="E106" s="728"/>
      <c r="F106" s="767"/>
      <c r="G106" s="248"/>
      <c r="H106" s="207"/>
      <c r="I106" s="431"/>
      <c r="J106" s="712"/>
      <c r="K106" s="365"/>
      <c r="L106" s="229"/>
      <c r="M106" s="188">
        <v>12687.84</v>
      </c>
      <c r="N106" s="188">
        <f t="shared" si="7"/>
        <v>12307.2048</v>
      </c>
      <c r="O106" s="189">
        <v>7.0000000000000007E-2</v>
      </c>
      <c r="P106" s="170">
        <f t="shared" si="8"/>
        <v>13168.709135999999</v>
      </c>
    </row>
    <row r="107" spans="1:16">
      <c r="A107" s="315"/>
      <c r="B107" s="3448" t="s">
        <v>2543</v>
      </c>
      <c r="C107" s="130" t="s">
        <v>2544</v>
      </c>
      <c r="D107" s="322"/>
      <c r="E107" s="837"/>
      <c r="F107" s="767"/>
      <c r="G107" s="310"/>
      <c r="H107" s="207"/>
      <c r="I107" s="431"/>
      <c r="J107" s="590"/>
      <c r="K107" s="365"/>
      <c r="L107" s="194"/>
      <c r="M107" s="188">
        <v>16572.599999999999</v>
      </c>
      <c r="N107" s="188">
        <f t="shared" si="7"/>
        <v>16075.421999999999</v>
      </c>
      <c r="O107" s="189">
        <v>7.0000000000000007E-2</v>
      </c>
      <c r="P107" s="170">
        <f t="shared" si="8"/>
        <v>17200.701539999998</v>
      </c>
    </row>
    <row r="108" spans="1:16">
      <c r="A108" s="315"/>
      <c r="B108" s="139" t="s">
        <v>2545</v>
      </c>
      <c r="C108" s="207" t="s">
        <v>320</v>
      </c>
      <c r="D108" s="322" t="s">
        <v>2546</v>
      </c>
      <c r="E108" s="837"/>
      <c r="F108" s="767"/>
      <c r="G108" s="310" t="s">
        <v>1807</v>
      </c>
      <c r="H108" s="207"/>
      <c r="I108" s="431"/>
      <c r="J108" s="590" t="s">
        <v>2102</v>
      </c>
      <c r="K108" s="365" t="s">
        <v>2547</v>
      </c>
      <c r="L108" s="194"/>
      <c r="M108" s="188">
        <v>6021.12</v>
      </c>
      <c r="N108" s="188">
        <f>M108-(M108*0.03)</f>
        <v>5840.4863999999998</v>
      </c>
      <c r="O108" s="189">
        <v>7.0000000000000007E-2</v>
      </c>
      <c r="P108" s="170">
        <f>(N108*O108)+N108</f>
        <v>6249.3204479999995</v>
      </c>
    </row>
    <row r="109" spans="1:16">
      <c r="A109" s="768" t="s">
        <v>2548</v>
      </c>
      <c r="B109" s="3699"/>
      <c r="C109" s="207"/>
      <c r="D109" s="322"/>
      <c r="E109" s="728"/>
      <c r="F109" s="767"/>
      <c r="G109" s="248"/>
      <c r="H109" s="207"/>
      <c r="I109" s="431"/>
      <c r="J109" s="712"/>
      <c r="K109" s="365"/>
      <c r="L109" s="194"/>
      <c r="M109" s="188">
        <v>8714.16</v>
      </c>
      <c r="N109" s="188">
        <f>M109-(M109*0.03)</f>
        <v>8452.7351999999992</v>
      </c>
      <c r="O109" s="189">
        <v>7.0000000000000007E-2</v>
      </c>
      <c r="P109" s="170">
        <f>(N109*O109)+N109</f>
        <v>9044.4266639999987</v>
      </c>
    </row>
    <row r="110" spans="1:16">
      <c r="A110" s="315"/>
      <c r="B110" s="43" t="s">
        <v>2549</v>
      </c>
      <c r="C110" s="207" t="s">
        <v>980</v>
      </c>
      <c r="D110" s="322" t="s">
        <v>30</v>
      </c>
      <c r="E110" s="728">
        <v>20</v>
      </c>
      <c r="F110" s="767">
        <v>200</v>
      </c>
      <c r="G110" s="248" t="s">
        <v>1507</v>
      </c>
      <c r="H110" s="207"/>
      <c r="I110" s="431"/>
      <c r="J110" s="712">
        <v>174</v>
      </c>
      <c r="K110" s="365">
        <v>14.5</v>
      </c>
      <c r="L110" s="194"/>
      <c r="M110" s="188">
        <v>0</v>
      </c>
      <c r="N110" s="188">
        <f>M110-(M110*0.03)</f>
        <v>0</v>
      </c>
      <c r="O110" s="189">
        <v>7.0000000000000007E-2</v>
      </c>
      <c r="P110" s="170">
        <f t="shared" ref="P110:P116" si="9">(N110*O110)+N110</f>
        <v>0</v>
      </c>
    </row>
    <row r="111" spans="1:16">
      <c r="A111" s="315"/>
      <c r="B111" s="43" t="s">
        <v>2549</v>
      </c>
      <c r="C111" s="207" t="s">
        <v>320</v>
      </c>
      <c r="D111" s="322" t="s">
        <v>30</v>
      </c>
      <c r="E111" s="728">
        <v>55</v>
      </c>
      <c r="F111" s="767">
        <v>200</v>
      </c>
      <c r="G111" s="248" t="s">
        <v>2550</v>
      </c>
      <c r="H111" s="207"/>
      <c r="I111" s="431" t="s">
        <v>2551</v>
      </c>
      <c r="J111" s="712">
        <v>186</v>
      </c>
      <c r="K111" s="365">
        <v>46.5</v>
      </c>
      <c r="L111" s="194"/>
      <c r="M111" s="188">
        <v>18537.7</v>
      </c>
      <c r="N111" s="188">
        <f>M111-(M111*0.03)</f>
        <v>17981.569</v>
      </c>
      <c r="O111" s="189">
        <v>7.0000000000000007E-2</v>
      </c>
      <c r="P111" s="170">
        <f t="shared" si="9"/>
        <v>19240.278829999999</v>
      </c>
    </row>
    <row r="112" spans="1:16">
      <c r="A112" s="315"/>
      <c r="B112" s="3448" t="s">
        <v>2552</v>
      </c>
      <c r="C112" s="207"/>
      <c r="D112" s="322"/>
      <c r="E112" s="837"/>
      <c r="F112" s="767"/>
      <c r="G112" s="310"/>
      <c r="H112" s="207"/>
      <c r="I112" s="431"/>
      <c r="J112" s="590"/>
      <c r="K112" s="365"/>
      <c r="L112" s="194"/>
      <c r="M112" s="188">
        <v>9031.68</v>
      </c>
      <c r="N112" s="188">
        <f t="shared" ref="N112:N120" si="10">M112-(M112*0.03)</f>
        <v>8760.7296000000006</v>
      </c>
      <c r="O112" s="189">
        <v>7.0000000000000007E-2</v>
      </c>
      <c r="P112" s="170">
        <f t="shared" si="9"/>
        <v>9373.9806720000015</v>
      </c>
    </row>
    <row r="113" spans="1:16">
      <c r="A113" s="315"/>
      <c r="B113" s="362" t="s">
        <v>2553</v>
      </c>
      <c r="C113" s="207" t="s">
        <v>980</v>
      </c>
      <c r="D113" s="322" t="s">
        <v>30</v>
      </c>
      <c r="E113" s="249"/>
      <c r="F113" s="121"/>
      <c r="G113" s="206"/>
      <c r="H113" s="115"/>
      <c r="I113" s="185"/>
      <c r="J113" s="175"/>
      <c r="K113" s="197"/>
      <c r="L113" s="194"/>
      <c r="N113" s="188">
        <f t="shared" si="10"/>
        <v>0</v>
      </c>
      <c r="O113" s="189">
        <v>7.0000000000000007E-2</v>
      </c>
      <c r="P113" s="170">
        <f t="shared" si="9"/>
        <v>0</v>
      </c>
    </row>
    <row r="114" spans="1:16">
      <c r="A114" s="315"/>
      <c r="B114" s="362" t="s">
        <v>2553</v>
      </c>
      <c r="C114" s="207" t="s">
        <v>320</v>
      </c>
      <c r="D114" s="322" t="s">
        <v>30</v>
      </c>
      <c r="E114" s="249"/>
      <c r="F114" s="121"/>
      <c r="G114" s="206" t="s">
        <v>2554</v>
      </c>
      <c r="H114" s="115">
        <v>175</v>
      </c>
      <c r="I114" s="3700" t="s">
        <v>407</v>
      </c>
      <c r="J114" s="3695" t="s">
        <v>2555</v>
      </c>
      <c r="K114" s="3701">
        <v>48.75</v>
      </c>
      <c r="L114" s="194"/>
      <c r="M114" s="188">
        <v>8478.9599999999991</v>
      </c>
      <c r="N114" s="188">
        <f t="shared" si="10"/>
        <v>8224.5911999999989</v>
      </c>
      <c r="O114" s="189">
        <v>7.0000000000000007E-2</v>
      </c>
      <c r="P114" s="170">
        <f t="shared" si="9"/>
        <v>8800.3125839999993</v>
      </c>
    </row>
    <row r="115" spans="1:16">
      <c r="A115" s="157"/>
      <c r="B115" s="139"/>
      <c r="C115" s="207"/>
      <c r="D115" s="322"/>
      <c r="E115" s="249"/>
      <c r="F115" s="121"/>
      <c r="G115" s="206"/>
      <c r="H115" s="115"/>
      <c r="I115" s="185"/>
      <c r="J115" s="175"/>
      <c r="K115" s="197"/>
      <c r="L115" s="194"/>
      <c r="M115" s="188">
        <v>11122.62</v>
      </c>
      <c r="N115" s="188">
        <f t="shared" si="10"/>
        <v>10788.941400000002</v>
      </c>
      <c r="O115" s="189">
        <v>7.0000000000000007E-2</v>
      </c>
      <c r="P115" s="170">
        <f t="shared" si="9"/>
        <v>11544.167298000002</v>
      </c>
    </row>
    <row r="116" spans="1:16">
      <c r="A116" s="157"/>
      <c r="B116" s="2728"/>
      <c r="C116" s="130"/>
      <c r="D116" s="322"/>
      <c r="E116" s="728"/>
      <c r="F116" s="767"/>
      <c r="G116" s="310"/>
      <c r="H116" s="207"/>
      <c r="I116" s="431"/>
      <c r="J116" s="586"/>
      <c r="K116" s="365"/>
      <c r="L116" s="194"/>
      <c r="M116" s="188">
        <v>3813.12</v>
      </c>
      <c r="N116" s="188">
        <f t="shared" si="10"/>
        <v>3698.7264</v>
      </c>
      <c r="O116" s="189">
        <v>7.0000000000000007E-2</v>
      </c>
      <c r="P116" s="170">
        <f t="shared" si="9"/>
        <v>3957.637248</v>
      </c>
    </row>
    <row r="117" spans="1:16">
      <c r="A117" s="157"/>
      <c r="B117" s="43"/>
      <c r="C117" s="130"/>
      <c r="D117" s="322"/>
      <c r="E117" s="728"/>
      <c r="F117" s="767"/>
      <c r="G117" s="310"/>
      <c r="H117" s="207"/>
      <c r="I117" s="431"/>
      <c r="J117" s="810"/>
      <c r="K117" s="365"/>
      <c r="L117" s="194"/>
    </row>
    <row r="118" spans="1:16">
      <c r="A118" s="157"/>
      <c r="B118" s="43"/>
      <c r="C118" s="207"/>
      <c r="D118" s="322"/>
      <c r="E118" s="728"/>
      <c r="F118" s="767"/>
      <c r="G118" s="310"/>
      <c r="H118" s="207"/>
      <c r="I118" s="431"/>
      <c r="J118" s="586"/>
      <c r="K118" s="365"/>
      <c r="L118" s="194"/>
    </row>
    <row r="119" spans="1:16">
      <c r="A119" s="157"/>
      <c r="B119" s="406"/>
      <c r="C119" s="207"/>
      <c r="D119" s="322"/>
      <c r="E119" s="728"/>
      <c r="F119" s="859"/>
      <c r="G119" s="310"/>
      <c r="H119" s="117"/>
      <c r="I119" s="432"/>
      <c r="J119" s="707"/>
      <c r="K119" s="369"/>
      <c r="L119" s="194"/>
    </row>
    <row r="120" spans="1:16">
      <c r="A120" s="157"/>
      <c r="B120" s="781" t="s">
        <v>2556</v>
      </c>
      <c r="C120" s="207"/>
      <c r="D120" s="322"/>
      <c r="E120" s="728"/>
      <c r="F120" s="859"/>
      <c r="G120" s="310"/>
      <c r="H120" s="117"/>
      <c r="I120" s="432"/>
      <c r="J120" s="707"/>
      <c r="K120" s="369"/>
      <c r="L120" s="194"/>
      <c r="M120" s="188">
        <v>8640</v>
      </c>
      <c r="N120" s="188">
        <f t="shared" si="10"/>
        <v>8380.7999999999993</v>
      </c>
      <c r="O120" s="189">
        <v>7.0000000000000007E-2</v>
      </c>
      <c r="P120" s="170">
        <f>(N120*O120)+N120</f>
        <v>8967.4559999999983</v>
      </c>
    </row>
    <row r="121" spans="1:16">
      <c r="A121" s="160"/>
      <c r="B121" s="43" t="s">
        <v>2557</v>
      </c>
      <c r="C121" s="207" t="s">
        <v>284</v>
      </c>
      <c r="D121" s="410" t="s">
        <v>108</v>
      </c>
      <c r="E121" s="728"/>
      <c r="F121" s="859"/>
      <c r="G121" s="310" t="s">
        <v>2558</v>
      </c>
      <c r="H121" s="207"/>
      <c r="I121" s="431"/>
      <c r="J121" s="586">
        <v>757.56</v>
      </c>
      <c r="K121" s="365">
        <v>21.04</v>
      </c>
      <c r="L121" s="194"/>
    </row>
    <row r="122" spans="1:16" ht="35.25" customHeight="1">
      <c r="A122" s="157"/>
      <c r="B122" s="781" t="s">
        <v>357</v>
      </c>
      <c r="C122" s="207"/>
      <c r="D122" s="322"/>
      <c r="E122" s="728"/>
      <c r="F122" s="859"/>
      <c r="G122" s="310"/>
      <c r="H122" s="207"/>
      <c r="I122" s="431"/>
      <c r="J122" s="707"/>
      <c r="K122" s="365"/>
      <c r="L122" s="194"/>
      <c r="M122" s="3444"/>
    </row>
    <row r="123" spans="1:16" ht="35.25" customHeight="1">
      <c r="A123" s="157"/>
      <c r="B123" s="43" t="s">
        <v>2559</v>
      </c>
      <c r="C123" s="207" t="s">
        <v>284</v>
      </c>
      <c r="D123" s="322" t="s">
        <v>1866</v>
      </c>
      <c r="E123" s="728">
        <v>25</v>
      </c>
      <c r="F123" s="859"/>
      <c r="G123" s="310" t="s">
        <v>2560</v>
      </c>
      <c r="H123" s="207"/>
      <c r="I123" s="431"/>
      <c r="J123" s="707">
        <v>750</v>
      </c>
      <c r="K123" s="365">
        <v>18.75</v>
      </c>
      <c r="L123" s="194"/>
      <c r="M123" s="3444"/>
    </row>
    <row r="124" spans="1:16" ht="35.25" customHeight="1">
      <c r="A124" s="157"/>
      <c r="B124" s="43" t="s">
        <v>2561</v>
      </c>
      <c r="C124" s="207" t="s">
        <v>284</v>
      </c>
      <c r="D124" s="322" t="s">
        <v>1866</v>
      </c>
      <c r="E124" s="728">
        <v>25</v>
      </c>
      <c r="F124" s="859"/>
      <c r="G124" s="310" t="s">
        <v>2562</v>
      </c>
      <c r="H124" s="207"/>
      <c r="I124" s="431"/>
      <c r="J124" s="707">
        <v>840</v>
      </c>
      <c r="K124" s="365">
        <v>21</v>
      </c>
      <c r="L124" s="194"/>
      <c r="M124" s="3444"/>
    </row>
    <row r="125" spans="1:16" ht="35.25" thickBot="1">
      <c r="A125" s="160"/>
      <c r="B125" s="126"/>
      <c r="C125" s="63"/>
      <c r="D125" s="196"/>
      <c r="E125" s="257"/>
      <c r="F125" s="258"/>
      <c r="G125" s="206"/>
      <c r="H125" s="115"/>
      <c r="I125" s="185"/>
      <c r="J125" s="174"/>
      <c r="K125" s="195"/>
      <c r="L125" s="194"/>
    </row>
    <row r="126" spans="1:16">
      <c r="A126" s="44"/>
      <c r="B126" s="127"/>
      <c r="C126" s="104"/>
      <c r="F126" s="68"/>
      <c r="I126" s="179"/>
      <c r="K126" s="163"/>
      <c r="L126" s="168"/>
    </row>
    <row r="127" spans="1:16">
      <c r="A127" s="44" t="s">
        <v>0</v>
      </c>
      <c r="B127" s="127"/>
      <c r="C127" s="104"/>
      <c r="F127" s="68"/>
      <c r="I127" s="179"/>
      <c r="K127" s="163"/>
      <c r="L127" s="168"/>
    </row>
    <row r="128" spans="1:16" ht="35.25" customHeight="1">
      <c r="A128" s="3480" t="s">
        <v>2494</v>
      </c>
      <c r="B128" s="3480"/>
      <c r="C128" s="44"/>
      <c r="D128" s="109"/>
      <c r="F128" s="68"/>
      <c r="I128" s="179"/>
      <c r="K128" s="163"/>
      <c r="L128" s="168"/>
    </row>
    <row r="129" spans="1:16" ht="35.25" thickBot="1">
      <c r="F129" s="68"/>
    </row>
    <row r="130" spans="1:16">
      <c r="A130" s="3493" t="s">
        <v>2</v>
      </c>
      <c r="B130" s="3482"/>
      <c r="C130" s="48" t="s">
        <v>3</v>
      </c>
      <c r="D130" s="128" t="s">
        <v>4</v>
      </c>
      <c r="E130" s="77" t="s">
        <v>5</v>
      </c>
      <c r="F130" s="78" t="s">
        <v>5</v>
      </c>
      <c r="G130" s="211" t="s">
        <v>6</v>
      </c>
      <c r="H130" s="140" t="s">
        <v>7</v>
      </c>
      <c r="I130" s="180" t="s">
        <v>1511</v>
      </c>
      <c r="J130" s="172" t="s">
        <v>9</v>
      </c>
      <c r="K130" s="186" t="s">
        <v>9</v>
      </c>
      <c r="L130" s="192" t="s">
        <v>2495</v>
      </c>
      <c r="M130" s="190"/>
    </row>
    <row r="131" spans="1:16" ht="35.25" thickBot="1">
      <c r="A131" s="155"/>
      <c r="B131" s="138"/>
      <c r="C131" s="50"/>
      <c r="D131" s="129" t="s">
        <v>10</v>
      </c>
      <c r="E131" s="79" t="s">
        <v>11</v>
      </c>
      <c r="F131" s="80" t="s">
        <v>12</v>
      </c>
      <c r="G131" s="212"/>
      <c r="H131" s="141" t="s">
        <v>13</v>
      </c>
      <c r="I131" s="181" t="s">
        <v>1512</v>
      </c>
      <c r="J131" s="173" t="s">
        <v>15</v>
      </c>
      <c r="K131" s="187" t="s">
        <v>14</v>
      </c>
      <c r="L131" s="193" t="s">
        <v>2496</v>
      </c>
      <c r="M131" s="190"/>
    </row>
    <row r="132" spans="1:16">
      <c r="A132" s="766" t="s">
        <v>2563</v>
      </c>
      <c r="B132" s="1572" t="s">
        <v>2123</v>
      </c>
      <c r="C132" s="522"/>
      <c r="D132" s="418"/>
      <c r="E132" s="841"/>
      <c r="F132" s="862"/>
      <c r="G132" s="455"/>
      <c r="H132" s="522"/>
      <c r="I132" s="511"/>
      <c r="J132" s="713"/>
      <c r="K132" s="371"/>
      <c r="L132" s="194"/>
      <c r="M132" s="188">
        <v>3552</v>
      </c>
      <c r="N132" s="188">
        <f t="shared" ref="N132:N148" si="11">M132-(M132*0.03)</f>
        <v>3445.44</v>
      </c>
      <c r="O132" s="189">
        <v>7.0000000000000007E-2</v>
      </c>
      <c r="P132" s="170">
        <f t="shared" ref="P132:P148" si="12">(N132*O132)+N132</f>
        <v>3686.6208000000001</v>
      </c>
    </row>
    <row r="133" spans="1:16" ht="35.25" thickBot="1">
      <c r="A133" s="315"/>
      <c r="B133" s="43" t="s">
        <v>2123</v>
      </c>
      <c r="C133" s="207" t="s">
        <v>2124</v>
      </c>
      <c r="D133" s="322" t="s">
        <v>137</v>
      </c>
      <c r="E133" s="728">
        <v>20</v>
      </c>
      <c r="F133" s="859"/>
      <c r="G133" s="310" t="s">
        <v>2125</v>
      </c>
      <c r="H133" s="207"/>
      <c r="I133" s="1155" t="s">
        <v>2126</v>
      </c>
      <c r="J133" s="1155" t="s">
        <v>2127</v>
      </c>
      <c r="K133" s="365">
        <v>18</v>
      </c>
      <c r="L133" s="194"/>
      <c r="N133" s="188">
        <f t="shared" si="11"/>
        <v>0</v>
      </c>
      <c r="O133" s="189">
        <v>7.0000000000000007E-2</v>
      </c>
      <c r="P133" s="170">
        <f t="shared" si="12"/>
        <v>0</v>
      </c>
    </row>
    <row r="134" spans="1:16" ht="35.25" thickBot="1">
      <c r="A134" s="315"/>
      <c r="B134" s="362" t="s">
        <v>2128</v>
      </c>
      <c r="C134" s="207" t="s">
        <v>2129</v>
      </c>
      <c r="D134" s="322" t="s">
        <v>18</v>
      </c>
      <c r="E134" s="728">
        <v>36</v>
      </c>
      <c r="F134" s="859" t="s">
        <v>2130</v>
      </c>
      <c r="G134" s="2727" t="s">
        <v>2007</v>
      </c>
      <c r="H134" s="207">
        <v>744</v>
      </c>
      <c r="I134" s="431" t="s">
        <v>204</v>
      </c>
      <c r="J134" s="704" t="s">
        <v>2131</v>
      </c>
      <c r="K134" s="365">
        <v>31.63</v>
      </c>
      <c r="L134" s="194"/>
      <c r="M134" s="188">
        <v>9498.06</v>
      </c>
      <c r="N134" s="188">
        <f t="shared" si="11"/>
        <v>9213.118199999999</v>
      </c>
      <c r="O134" s="189">
        <v>7.0000000000000007E-2</v>
      </c>
      <c r="P134" s="170">
        <f t="shared" si="12"/>
        <v>9858.0364739999986</v>
      </c>
    </row>
    <row r="135" spans="1:16">
      <c r="A135" s="315"/>
      <c r="B135" s="383" t="s">
        <v>2132</v>
      </c>
      <c r="C135" s="207" t="s">
        <v>2129</v>
      </c>
      <c r="D135" s="322" t="s">
        <v>18</v>
      </c>
      <c r="E135" s="728">
        <v>35</v>
      </c>
      <c r="F135" s="859"/>
      <c r="G135" s="310" t="s">
        <v>2133</v>
      </c>
      <c r="H135" s="207"/>
      <c r="I135" s="431"/>
      <c r="J135" s="704" t="s">
        <v>2134</v>
      </c>
      <c r="K135" s="365">
        <v>28</v>
      </c>
      <c r="L135" s="194"/>
      <c r="M135" s="188">
        <v>15305.4</v>
      </c>
      <c r="N135" s="188">
        <f t="shared" si="11"/>
        <v>14846.237999999999</v>
      </c>
      <c r="O135" s="189">
        <v>7.0000000000000007E-2</v>
      </c>
      <c r="P135" s="170">
        <f t="shared" si="12"/>
        <v>15885.47466</v>
      </c>
    </row>
    <row r="136" spans="1:16">
      <c r="A136" s="315"/>
      <c r="B136" s="43" t="s">
        <v>2123</v>
      </c>
      <c r="C136" s="207" t="s">
        <v>2135</v>
      </c>
      <c r="D136" s="322" t="s">
        <v>18</v>
      </c>
      <c r="E136" s="728">
        <v>60</v>
      </c>
      <c r="F136" s="859" t="s">
        <v>2136</v>
      </c>
      <c r="G136" s="2727" t="s">
        <v>2007</v>
      </c>
      <c r="H136" s="207">
        <v>1272</v>
      </c>
      <c r="I136" s="431" t="s">
        <v>953</v>
      </c>
      <c r="J136" s="586" t="s">
        <v>2137</v>
      </c>
      <c r="K136" s="365">
        <v>53.63</v>
      </c>
      <c r="L136" s="194"/>
      <c r="N136" s="188">
        <f t="shared" si="11"/>
        <v>0</v>
      </c>
      <c r="O136" s="189">
        <v>7.0000000000000007E-2</v>
      </c>
      <c r="P136" s="170">
        <f t="shared" si="12"/>
        <v>0</v>
      </c>
    </row>
    <row r="137" spans="1:16">
      <c r="A137" s="315"/>
      <c r="B137" s="362" t="s">
        <v>2123</v>
      </c>
      <c r="C137" s="207" t="s">
        <v>2138</v>
      </c>
      <c r="D137" s="322" t="s">
        <v>18</v>
      </c>
      <c r="E137" s="728">
        <v>115</v>
      </c>
      <c r="F137" s="859" t="s">
        <v>2139</v>
      </c>
      <c r="G137" s="2727" t="s">
        <v>2007</v>
      </c>
      <c r="H137" s="207">
        <v>1260</v>
      </c>
      <c r="I137" s="431" t="s">
        <v>953</v>
      </c>
      <c r="J137" s="586" t="s">
        <v>2140</v>
      </c>
      <c r="K137" s="365">
        <v>106.25</v>
      </c>
      <c r="L137" s="194"/>
      <c r="N137" s="188">
        <f t="shared" si="11"/>
        <v>0</v>
      </c>
      <c r="O137" s="189">
        <v>7.0000000000000007E-2</v>
      </c>
      <c r="P137" s="170">
        <f t="shared" si="12"/>
        <v>0</v>
      </c>
    </row>
    <row r="138" spans="1:16">
      <c r="A138" s="315"/>
      <c r="B138" s="43" t="s">
        <v>2141</v>
      </c>
      <c r="C138" s="207" t="s">
        <v>1334</v>
      </c>
      <c r="D138" s="322" t="s">
        <v>18</v>
      </c>
      <c r="E138" s="728">
        <v>25</v>
      </c>
      <c r="F138" s="859" t="s">
        <v>374</v>
      </c>
      <c r="G138" s="2727" t="s">
        <v>2142</v>
      </c>
      <c r="H138" s="207">
        <v>600</v>
      </c>
      <c r="I138" s="431" t="s">
        <v>953</v>
      </c>
      <c r="J138" s="707" t="s">
        <v>2143</v>
      </c>
      <c r="K138" s="365">
        <v>25.63</v>
      </c>
      <c r="L138" s="194"/>
      <c r="N138" s="188">
        <f t="shared" si="11"/>
        <v>0</v>
      </c>
      <c r="O138" s="189">
        <v>7.0000000000000007E-2</v>
      </c>
      <c r="P138" s="170">
        <f t="shared" si="12"/>
        <v>0</v>
      </c>
    </row>
    <row r="139" spans="1:16">
      <c r="A139" s="315"/>
      <c r="B139" s="43" t="s">
        <v>2141</v>
      </c>
      <c r="C139" s="207" t="s">
        <v>2144</v>
      </c>
      <c r="D139" s="421" t="s">
        <v>23</v>
      </c>
      <c r="E139" s="839">
        <v>69</v>
      </c>
      <c r="F139" s="767" t="s">
        <v>2145</v>
      </c>
      <c r="G139" s="2727" t="s">
        <v>2142</v>
      </c>
      <c r="H139" s="207">
        <v>708</v>
      </c>
      <c r="I139" s="431" t="s">
        <v>393</v>
      </c>
      <c r="J139" s="586" t="s">
        <v>2146</v>
      </c>
      <c r="K139" s="365">
        <v>61.5</v>
      </c>
      <c r="M139" s="188">
        <v>14244.12</v>
      </c>
      <c r="N139" s="188">
        <f t="shared" si="11"/>
        <v>13816.796400000001</v>
      </c>
      <c r="O139" s="189">
        <v>7.0000000000000007E-2</v>
      </c>
      <c r="P139" s="170">
        <f t="shared" si="12"/>
        <v>14783.972148000001</v>
      </c>
    </row>
    <row r="140" spans="1:16">
      <c r="A140" s="315"/>
      <c r="B140" s="43" t="s">
        <v>2147</v>
      </c>
      <c r="C140" s="207" t="s">
        <v>1334</v>
      </c>
      <c r="D140" s="322" t="s">
        <v>18</v>
      </c>
      <c r="E140" s="728">
        <v>25</v>
      </c>
      <c r="F140" s="859"/>
      <c r="G140" s="310" t="s">
        <v>2148</v>
      </c>
      <c r="H140" s="207"/>
      <c r="I140" s="431"/>
      <c r="J140" s="707" t="s">
        <v>2149</v>
      </c>
      <c r="K140" s="365">
        <v>22</v>
      </c>
      <c r="L140" s="194"/>
      <c r="M140" s="188">
        <v>3240</v>
      </c>
      <c r="N140" s="188">
        <f t="shared" si="11"/>
        <v>3142.8</v>
      </c>
      <c r="O140" s="189">
        <v>7.0000000000000007E-2</v>
      </c>
      <c r="P140" s="170">
        <f t="shared" si="12"/>
        <v>3362.7960000000003</v>
      </c>
    </row>
    <row r="141" spans="1:16">
      <c r="A141" s="315"/>
      <c r="B141" s="362"/>
      <c r="C141" s="207"/>
      <c r="D141" s="421"/>
      <c r="E141" s="332"/>
      <c r="F141" s="1497"/>
      <c r="G141" s="310"/>
      <c r="H141" s="639"/>
      <c r="I141" s="431"/>
      <c r="J141" s="586"/>
      <c r="K141" s="365"/>
      <c r="L141" s="194"/>
      <c r="M141" s="188">
        <v>14700</v>
      </c>
      <c r="N141" s="188">
        <f t="shared" si="11"/>
        <v>14259</v>
      </c>
      <c r="O141" s="189">
        <v>7.0000000000000007E-2</v>
      </c>
      <c r="P141" s="170">
        <f t="shared" si="12"/>
        <v>15257.130000000001</v>
      </c>
    </row>
    <row r="142" spans="1:16">
      <c r="A142" s="315"/>
      <c r="B142" s="362"/>
      <c r="C142" s="207"/>
      <c r="D142" s="421"/>
      <c r="E142" s="332"/>
      <c r="F142" s="1497"/>
      <c r="G142" s="310"/>
      <c r="H142" s="639"/>
      <c r="I142" s="431"/>
      <c r="J142" s="789"/>
      <c r="K142" s="365"/>
      <c r="L142" s="229"/>
      <c r="M142" s="188">
        <v>14582.7</v>
      </c>
      <c r="N142" s="188">
        <f t="shared" si="11"/>
        <v>14145.219000000001</v>
      </c>
      <c r="O142" s="189">
        <v>7.0000000000000007E-2</v>
      </c>
      <c r="P142" s="170">
        <f t="shared" si="12"/>
        <v>15135.384330000001</v>
      </c>
    </row>
    <row r="143" spans="1:16">
      <c r="A143" s="315"/>
      <c r="B143" s="1472" t="s">
        <v>1605</v>
      </c>
      <c r="C143" s="880"/>
      <c r="D143" s="880"/>
      <c r="E143" s="1355"/>
      <c r="F143" s="320"/>
      <c r="G143" s="3466"/>
      <c r="H143" s="341"/>
      <c r="I143" s="505"/>
      <c r="J143" s="604"/>
      <c r="K143" s="378"/>
      <c r="L143" s="229"/>
      <c r="M143" s="188">
        <v>13483.8</v>
      </c>
      <c r="N143" s="188">
        <f t="shared" si="11"/>
        <v>13079.286</v>
      </c>
      <c r="O143" s="189">
        <v>7.0000000000000007E-2</v>
      </c>
      <c r="P143" s="170">
        <f t="shared" si="12"/>
        <v>13994.836020000001</v>
      </c>
    </row>
    <row r="144" spans="1:16">
      <c r="A144" s="157"/>
      <c r="B144" s="43" t="s">
        <v>2150</v>
      </c>
      <c r="C144" s="787" t="s">
        <v>2151</v>
      </c>
      <c r="D144" s="623" t="s">
        <v>1141</v>
      </c>
      <c r="E144" s="3039" t="s">
        <v>2152</v>
      </c>
      <c r="F144" s="3041" t="s">
        <v>2153</v>
      </c>
      <c r="G144" s="2737" t="s">
        <v>194</v>
      </c>
      <c r="H144" s="74">
        <v>890</v>
      </c>
      <c r="I144" s="182" t="s">
        <v>368</v>
      </c>
      <c r="J144" s="685" t="s">
        <v>2154</v>
      </c>
      <c r="K144" s="363" t="s">
        <v>2155</v>
      </c>
      <c r="L144" s="229"/>
      <c r="M144" s="188">
        <v>2669.52</v>
      </c>
      <c r="N144" s="188">
        <f t="shared" si="11"/>
        <v>2589.4344000000001</v>
      </c>
      <c r="O144" s="189">
        <v>7.0000000000000007E-2</v>
      </c>
      <c r="P144" s="170">
        <f t="shared" si="12"/>
        <v>2770.6948080000002</v>
      </c>
    </row>
    <row r="145" spans="1:16">
      <c r="A145" s="221"/>
      <c r="B145" s="43" t="s">
        <v>2156</v>
      </c>
      <c r="C145" s="207" t="s">
        <v>2157</v>
      </c>
      <c r="D145" s="421" t="s">
        <v>40</v>
      </c>
      <c r="E145" s="3039" t="s">
        <v>2158</v>
      </c>
      <c r="F145" s="3041" t="s">
        <v>2159</v>
      </c>
      <c r="G145" s="2737" t="s">
        <v>1638</v>
      </c>
      <c r="H145" s="74">
        <v>1600</v>
      </c>
      <c r="I145" s="182" t="s">
        <v>368</v>
      </c>
      <c r="J145" s="685" t="s">
        <v>2160</v>
      </c>
      <c r="K145" s="3047" t="s">
        <v>2161</v>
      </c>
      <c r="L145" s="229"/>
      <c r="N145" s="188">
        <f t="shared" si="11"/>
        <v>0</v>
      </c>
      <c r="O145" s="189">
        <v>7.0000000000000007E-2</v>
      </c>
      <c r="P145" s="170">
        <f t="shared" si="12"/>
        <v>0</v>
      </c>
    </row>
    <row r="146" spans="1:16">
      <c r="A146" s="221"/>
      <c r="B146" s="43" t="s">
        <v>2156</v>
      </c>
      <c r="C146" s="207" t="s">
        <v>2162</v>
      </c>
      <c r="D146" s="422" t="s">
        <v>23</v>
      </c>
      <c r="E146" s="3039">
        <v>110</v>
      </c>
      <c r="F146" s="3041" t="s">
        <v>2163</v>
      </c>
      <c r="G146" s="2737" t="s">
        <v>2164</v>
      </c>
      <c r="H146" s="224">
        <v>1165</v>
      </c>
      <c r="I146" s="182" t="s">
        <v>361</v>
      </c>
      <c r="J146" s="686" t="s">
        <v>2165</v>
      </c>
      <c r="K146" s="378" t="s">
        <v>2166</v>
      </c>
      <c r="L146" s="229"/>
      <c r="M146" s="188">
        <v>12972.96</v>
      </c>
      <c r="N146" s="188">
        <f t="shared" si="11"/>
        <v>12583.771199999999</v>
      </c>
      <c r="O146" s="189">
        <v>7.0000000000000007E-2</v>
      </c>
      <c r="P146" s="170">
        <f t="shared" si="12"/>
        <v>13464.635183999999</v>
      </c>
    </row>
    <row r="147" spans="1:16">
      <c r="A147" s="221"/>
      <c r="B147" s="43" t="s">
        <v>2156</v>
      </c>
      <c r="C147" s="207" t="s">
        <v>2167</v>
      </c>
      <c r="D147" s="421" t="s">
        <v>23</v>
      </c>
      <c r="E147" s="3039">
        <v>65</v>
      </c>
      <c r="F147" s="3041" t="s">
        <v>2168</v>
      </c>
      <c r="G147" s="2737" t="s">
        <v>1677</v>
      </c>
      <c r="H147" s="74">
        <v>660</v>
      </c>
      <c r="I147" s="182" t="s">
        <v>361</v>
      </c>
      <c r="J147" s="686" t="s">
        <v>2169</v>
      </c>
      <c r="K147" s="365" t="s">
        <v>2170</v>
      </c>
      <c r="L147" s="229"/>
      <c r="M147" s="188">
        <v>12687.84</v>
      </c>
      <c r="N147" s="188">
        <f t="shared" si="11"/>
        <v>12307.2048</v>
      </c>
      <c r="O147" s="189">
        <v>7.0000000000000007E-2</v>
      </c>
      <c r="P147" s="170">
        <f t="shared" si="12"/>
        <v>13168.709135999999</v>
      </c>
    </row>
    <row r="148" spans="1:16">
      <c r="A148" s="221"/>
      <c r="B148" s="43" t="s">
        <v>2171</v>
      </c>
      <c r="C148" s="207" t="s">
        <v>2172</v>
      </c>
      <c r="D148" s="421" t="s">
        <v>18</v>
      </c>
      <c r="E148" s="3039">
        <v>55</v>
      </c>
      <c r="F148" s="3040"/>
      <c r="G148" s="206" t="s">
        <v>764</v>
      </c>
      <c r="H148" s="74"/>
      <c r="I148" s="182"/>
      <c r="J148" s="685" t="s">
        <v>2173</v>
      </c>
      <c r="K148" s="363" t="s">
        <v>2174</v>
      </c>
      <c r="L148" s="194"/>
      <c r="M148" s="188">
        <v>16572.599999999999</v>
      </c>
      <c r="N148" s="188">
        <f t="shared" si="11"/>
        <v>16075.421999999999</v>
      </c>
      <c r="O148" s="189">
        <v>7.0000000000000007E-2</v>
      </c>
      <c r="P148" s="170">
        <f t="shared" si="12"/>
        <v>17200.701539999998</v>
      </c>
    </row>
    <row r="149" spans="1:16">
      <c r="A149" s="221"/>
      <c r="B149" s="43" t="s">
        <v>2175</v>
      </c>
      <c r="C149" s="207" t="s">
        <v>2176</v>
      </c>
      <c r="D149" s="422" t="s">
        <v>390</v>
      </c>
      <c r="E149" s="3042" t="s">
        <v>1002</v>
      </c>
      <c r="F149" s="3043" t="s">
        <v>2177</v>
      </c>
      <c r="G149" s="2737" t="s">
        <v>2178</v>
      </c>
      <c r="H149" s="2729" t="s">
        <v>2179</v>
      </c>
      <c r="I149" s="2782" t="s">
        <v>381</v>
      </c>
      <c r="J149" s="2783" t="s">
        <v>2180</v>
      </c>
      <c r="K149" s="3413" t="s">
        <v>2181</v>
      </c>
      <c r="L149" s="194"/>
      <c r="M149" s="188">
        <v>6021.12</v>
      </c>
      <c r="N149" s="188">
        <f>M149-(M149*0.03)</f>
        <v>5840.4863999999998</v>
      </c>
      <c r="O149" s="189">
        <v>7.0000000000000007E-2</v>
      </c>
      <c r="P149" s="170">
        <f>(N149*O149)+N149</f>
        <v>6249.3204479999995</v>
      </c>
    </row>
    <row r="150" spans="1:16">
      <c r="A150" s="438"/>
      <c r="B150" s="383" t="s">
        <v>2182</v>
      </c>
      <c r="C150" s="207" t="s">
        <v>2167</v>
      </c>
      <c r="D150" s="421" t="s">
        <v>390</v>
      </c>
      <c r="E150" s="3042" t="s">
        <v>2183</v>
      </c>
      <c r="F150" s="3043" t="s">
        <v>591</v>
      </c>
      <c r="G150" s="2737" t="s">
        <v>1669</v>
      </c>
      <c r="H150" s="2729" t="s">
        <v>2184</v>
      </c>
      <c r="I150" s="2782" t="s">
        <v>2185</v>
      </c>
      <c r="J150" s="2783" t="s">
        <v>2186</v>
      </c>
      <c r="K150" s="2734" t="s">
        <v>2187</v>
      </c>
      <c r="L150" s="194"/>
      <c r="M150" s="188">
        <v>8714.16</v>
      </c>
      <c r="N150" s="188">
        <f>M150-(M150*0.03)</f>
        <v>8452.7351999999992</v>
      </c>
      <c r="O150" s="189">
        <v>7.0000000000000007E-2</v>
      </c>
      <c r="P150" s="170">
        <f>(N150*O150)+N150</f>
        <v>9044.4266639999987</v>
      </c>
    </row>
    <row r="151" spans="1:16">
      <c r="A151" s="438"/>
      <c r="B151" s="43" t="s">
        <v>2171</v>
      </c>
      <c r="C151" s="207" t="s">
        <v>2172</v>
      </c>
      <c r="D151" s="421" t="s">
        <v>18</v>
      </c>
      <c r="E151" s="3039">
        <v>55</v>
      </c>
      <c r="F151" s="3040"/>
      <c r="G151" s="206" t="s">
        <v>764</v>
      </c>
      <c r="H151" s="74"/>
      <c r="I151" s="182"/>
      <c r="J151" s="685" t="s">
        <v>2173</v>
      </c>
      <c r="K151" s="363" t="s">
        <v>2174</v>
      </c>
      <c r="L151" s="194"/>
      <c r="M151" s="188">
        <v>0</v>
      </c>
      <c r="N151" s="188">
        <f>M151-(M151*0.03)</f>
        <v>0</v>
      </c>
      <c r="O151" s="189">
        <v>7.0000000000000007E-2</v>
      </c>
      <c r="P151" s="170">
        <f t="shared" ref="P151:P157" si="13">(N151*O151)+N151</f>
        <v>0</v>
      </c>
    </row>
    <row r="152" spans="1:16">
      <c r="A152" s="221"/>
      <c r="B152" s="1462" t="s">
        <v>2201</v>
      </c>
      <c r="C152" s="1422"/>
      <c r="D152" s="1423" t="s">
        <v>30</v>
      </c>
      <c r="E152" s="3042">
        <v>220</v>
      </c>
      <c r="F152" s="3043"/>
      <c r="G152" s="799" t="s">
        <v>2202</v>
      </c>
      <c r="H152" s="1424"/>
      <c r="I152" s="1425"/>
      <c r="J152" s="1426">
        <v>800</v>
      </c>
      <c r="K152" s="1427">
        <f>J152/4</f>
        <v>200</v>
      </c>
      <c r="L152" s="194"/>
      <c r="M152" s="188">
        <v>18537.7</v>
      </c>
      <c r="N152" s="188">
        <f>M152-(M152*0.03)</f>
        <v>17981.569</v>
      </c>
      <c r="O152" s="189">
        <v>7.0000000000000007E-2</v>
      </c>
      <c r="P152" s="170">
        <f t="shared" si="13"/>
        <v>19240.278829999999</v>
      </c>
    </row>
    <row r="153" spans="1:16">
      <c r="A153" s="221"/>
      <c r="B153" s="742" t="s">
        <v>2203</v>
      </c>
      <c r="C153" s="1422"/>
      <c r="D153" s="1423" t="s">
        <v>18</v>
      </c>
      <c r="E153" s="3042">
        <v>30</v>
      </c>
      <c r="F153" s="3043"/>
      <c r="G153" s="799" t="s">
        <v>2204</v>
      </c>
      <c r="H153" s="1424"/>
      <c r="I153" s="1425"/>
      <c r="J153" s="1426">
        <v>560</v>
      </c>
      <c r="K153" s="1427">
        <v>23.33</v>
      </c>
      <c r="L153" s="194"/>
      <c r="M153" s="188">
        <v>9031.68</v>
      </c>
      <c r="N153" s="188">
        <f t="shared" ref="N153:N162" si="14">M153-(M153*0.03)</f>
        <v>8760.7296000000006</v>
      </c>
      <c r="O153" s="189">
        <v>7.0000000000000007E-2</v>
      </c>
      <c r="P153" s="170">
        <f t="shared" si="13"/>
        <v>9373.9806720000015</v>
      </c>
    </row>
    <row r="154" spans="1:16" ht="35.25" thickBot="1">
      <c r="A154" s="157"/>
      <c r="B154" s="742" t="s">
        <v>2205</v>
      </c>
      <c r="C154" s="1422"/>
      <c r="D154" s="1423" t="s">
        <v>23</v>
      </c>
      <c r="E154" s="3042">
        <v>50</v>
      </c>
      <c r="F154" s="3043"/>
      <c r="G154" s="799" t="s">
        <v>2206</v>
      </c>
      <c r="H154" s="1424"/>
      <c r="I154" s="1425"/>
      <c r="J154" s="1426">
        <v>540</v>
      </c>
      <c r="K154" s="1427">
        <v>45</v>
      </c>
      <c r="L154" s="194"/>
      <c r="N154" s="188">
        <f t="shared" si="14"/>
        <v>0</v>
      </c>
      <c r="O154" s="189">
        <v>7.0000000000000007E-2</v>
      </c>
      <c r="P154" s="170">
        <f t="shared" si="13"/>
        <v>0</v>
      </c>
    </row>
    <row r="155" spans="1:16">
      <c r="A155" s="158"/>
      <c r="B155" s="74" t="s">
        <v>2188</v>
      </c>
      <c r="C155" s="207" t="s">
        <v>2024</v>
      </c>
      <c r="D155" s="421" t="s">
        <v>40</v>
      </c>
      <c r="E155" s="3044">
        <v>690</v>
      </c>
      <c r="F155" s="3045" t="s">
        <v>2189</v>
      </c>
      <c r="G155" s="2737" t="s">
        <v>1677</v>
      </c>
      <c r="H155" s="74">
        <v>3700</v>
      </c>
      <c r="I155" s="182" t="s">
        <v>2190</v>
      </c>
      <c r="J155" s="685">
        <v>3737</v>
      </c>
      <c r="K155" s="367">
        <v>622.83000000000004</v>
      </c>
      <c r="L155" s="194"/>
      <c r="M155" s="188">
        <v>8478.9599999999991</v>
      </c>
      <c r="N155" s="188">
        <f t="shared" si="14"/>
        <v>8224.5911999999989</v>
      </c>
      <c r="O155" s="189">
        <v>7.0000000000000007E-2</v>
      </c>
      <c r="P155" s="170">
        <f t="shared" si="13"/>
        <v>8800.3125839999993</v>
      </c>
    </row>
    <row r="156" spans="1:16">
      <c r="A156" s="3461"/>
      <c r="B156" s="74" t="s">
        <v>2188</v>
      </c>
      <c r="C156" s="207" t="s">
        <v>2191</v>
      </c>
      <c r="D156" s="421" t="s">
        <v>23</v>
      </c>
      <c r="E156" s="2324">
        <v>160</v>
      </c>
      <c r="F156" s="1497" t="s">
        <v>2192</v>
      </c>
      <c r="G156" s="2737" t="s">
        <v>1677</v>
      </c>
      <c r="H156" s="74">
        <v>1560</v>
      </c>
      <c r="I156" s="182" t="s">
        <v>381</v>
      </c>
      <c r="J156" s="685" t="s">
        <v>2193</v>
      </c>
      <c r="K156" s="365">
        <v>132.91999999999999</v>
      </c>
      <c r="L156" s="194"/>
      <c r="M156" s="188">
        <v>11122.62</v>
      </c>
      <c r="N156" s="188">
        <f t="shared" si="14"/>
        <v>10788.941400000002</v>
      </c>
      <c r="O156" s="189">
        <v>7.0000000000000007E-2</v>
      </c>
      <c r="P156" s="170">
        <f t="shared" si="13"/>
        <v>11544.167298000002</v>
      </c>
    </row>
    <row r="157" spans="1:16">
      <c r="A157" s="3461"/>
      <c r="B157" s="74" t="s">
        <v>2194</v>
      </c>
      <c r="C157" s="207" t="s">
        <v>2191</v>
      </c>
      <c r="D157" s="421" t="s">
        <v>2195</v>
      </c>
      <c r="E157" s="2324">
        <v>45</v>
      </c>
      <c r="F157" s="861" t="s">
        <v>2196</v>
      </c>
      <c r="G157" s="3038" t="s">
        <v>2197</v>
      </c>
      <c r="H157" s="341" t="s">
        <v>2198</v>
      </c>
      <c r="I157" s="182" t="s">
        <v>2199</v>
      </c>
      <c r="J157" s="604" t="s">
        <v>2200</v>
      </c>
      <c r="K157" s="378">
        <v>35.380000000000003</v>
      </c>
      <c r="L157" s="194"/>
      <c r="M157" s="188">
        <v>3813.12</v>
      </c>
      <c r="N157" s="188">
        <f t="shared" si="14"/>
        <v>3698.7264</v>
      </c>
      <c r="O157" s="189">
        <v>7.0000000000000007E-2</v>
      </c>
      <c r="P157" s="170">
        <f t="shared" si="13"/>
        <v>3957.637248</v>
      </c>
    </row>
    <row r="158" spans="1:16">
      <c r="A158" s="200"/>
      <c r="B158" s="43"/>
      <c r="C158" s="207"/>
      <c r="D158" s="421"/>
      <c r="E158" s="145"/>
      <c r="F158" s="61"/>
      <c r="G158" s="206"/>
      <c r="H158" s="74"/>
      <c r="I158" s="182"/>
      <c r="J158" s="686"/>
      <c r="K158" s="365"/>
      <c r="L158" s="194"/>
    </row>
    <row r="159" spans="1:16">
      <c r="A159" s="157"/>
      <c r="B159" s="43"/>
      <c r="C159" s="207"/>
      <c r="D159" s="421"/>
      <c r="E159" s="145"/>
      <c r="F159" s="61"/>
      <c r="G159" s="206"/>
      <c r="H159" s="74"/>
      <c r="I159" s="182"/>
      <c r="J159" s="685"/>
      <c r="K159" s="363"/>
      <c r="L159" s="194"/>
    </row>
    <row r="160" spans="1:16">
      <c r="A160" s="157"/>
      <c r="B160" s="2780"/>
      <c r="C160" s="2781"/>
      <c r="D160" s="3456"/>
      <c r="E160" s="145"/>
      <c r="F160" s="121"/>
      <c r="G160" s="2731"/>
      <c r="H160" s="2729"/>
      <c r="I160" s="2782"/>
      <c r="J160" s="2783"/>
      <c r="K160" s="2734"/>
      <c r="L160" s="194"/>
    </row>
    <row r="161" spans="1:16">
      <c r="A161" s="157"/>
      <c r="B161" s="2705"/>
      <c r="C161" s="2781"/>
      <c r="D161" s="3456"/>
      <c r="E161" s="145"/>
      <c r="F161" s="61"/>
      <c r="G161" s="2731"/>
      <c r="H161" s="2729"/>
      <c r="I161" s="2782"/>
      <c r="J161" s="2783"/>
      <c r="K161" s="2734"/>
      <c r="L161" s="194"/>
    </row>
    <row r="162" spans="1:16" ht="35.25" thickBot="1">
      <c r="A162" s="157"/>
      <c r="B162" s="2705"/>
      <c r="C162" s="2781"/>
      <c r="D162" s="3456"/>
      <c r="E162" s="145"/>
      <c r="F162" s="61"/>
      <c r="G162" s="2731"/>
      <c r="H162" s="2729"/>
      <c r="I162" s="2782"/>
      <c r="J162" s="2783"/>
      <c r="K162" s="2734"/>
      <c r="L162" s="194"/>
      <c r="M162" s="188">
        <v>8640</v>
      </c>
      <c r="N162" s="188">
        <f t="shared" si="14"/>
        <v>8380.7999999999993</v>
      </c>
      <c r="O162" s="189">
        <v>7.0000000000000007E-2</v>
      </c>
      <c r="P162" s="170">
        <f>(N162*O162)+N162</f>
        <v>8967.4559999999983</v>
      </c>
    </row>
    <row r="163" spans="1:16" ht="33.75" customHeight="1">
      <c r="A163" s="160"/>
      <c r="B163" s="74"/>
      <c r="C163" s="207"/>
      <c r="D163" s="421"/>
      <c r="E163" s="143"/>
      <c r="F163" s="69"/>
      <c r="G163" s="206"/>
      <c r="H163" s="74"/>
      <c r="I163" s="182"/>
      <c r="J163" s="685"/>
      <c r="K163" s="367"/>
      <c r="L163" s="194"/>
    </row>
    <row r="164" spans="1:16" ht="33.75" customHeight="1">
      <c r="A164" s="204"/>
      <c r="B164" s="74"/>
      <c r="C164" s="207"/>
      <c r="D164" s="421"/>
      <c r="E164" s="2324"/>
      <c r="F164" s="861"/>
      <c r="G164" s="206"/>
      <c r="H164" s="74"/>
      <c r="I164" s="182"/>
      <c r="J164" s="685"/>
      <c r="K164" s="365"/>
      <c r="L164" s="194"/>
    </row>
    <row r="165" spans="1:16" ht="33.75" customHeight="1" thickBot="1">
      <c r="A165" s="204"/>
      <c r="B165" s="43"/>
      <c r="C165" s="207"/>
      <c r="D165" s="421"/>
      <c r="E165" s="145"/>
      <c r="F165" s="61"/>
      <c r="G165" s="206"/>
      <c r="H165" s="74"/>
      <c r="I165" s="182"/>
      <c r="J165" s="685"/>
      <c r="K165" s="365"/>
      <c r="L165" s="194"/>
    </row>
    <row r="166" spans="1:16">
      <c r="A166" s="204"/>
      <c r="B166" s="1139" t="s">
        <v>2057</v>
      </c>
      <c r="C166" s="1413"/>
      <c r="D166" s="1574"/>
      <c r="E166" s="143"/>
      <c r="F166" s="69"/>
      <c r="G166" s="206"/>
      <c r="H166" s="74"/>
      <c r="I166" s="182"/>
      <c r="J166" s="685"/>
      <c r="K166" s="367"/>
      <c r="L166" s="194"/>
      <c r="M166" s="3444"/>
    </row>
    <row r="167" spans="1:16">
      <c r="B167" s="115" t="s">
        <v>2058</v>
      </c>
      <c r="C167" s="207" t="s">
        <v>2059</v>
      </c>
      <c r="D167" s="421" t="s">
        <v>1141</v>
      </c>
      <c r="E167" s="145">
        <v>120</v>
      </c>
      <c r="F167" s="61"/>
      <c r="G167" s="206" t="s">
        <v>2060</v>
      </c>
      <c r="H167" s="74"/>
      <c r="I167" s="182"/>
      <c r="J167" s="685" t="s">
        <v>2061</v>
      </c>
      <c r="K167" s="756" t="s">
        <v>2062</v>
      </c>
      <c r="L167" s="194"/>
    </row>
    <row r="168" spans="1:16">
      <c r="B168" s="115" t="s">
        <v>2058</v>
      </c>
      <c r="C168" s="207" t="s">
        <v>2063</v>
      </c>
      <c r="D168" s="421" t="s">
        <v>1141</v>
      </c>
      <c r="E168" s="145">
        <v>50</v>
      </c>
      <c r="F168" s="61"/>
      <c r="G168" s="206" t="s">
        <v>1121</v>
      </c>
      <c r="H168" s="74" t="s">
        <v>641</v>
      </c>
      <c r="I168" s="182"/>
      <c r="J168" s="685" t="s">
        <v>2064</v>
      </c>
      <c r="K168" s="756" t="s">
        <v>2065</v>
      </c>
      <c r="L168" s="168"/>
    </row>
    <row r="169" spans="1:16">
      <c r="A169" s="44" t="s">
        <v>0</v>
      </c>
      <c r="B169" s="127"/>
      <c r="C169" s="104"/>
      <c r="F169" s="68"/>
      <c r="I169" s="179"/>
      <c r="K169" s="163"/>
      <c r="L169" s="168"/>
    </row>
    <row r="170" spans="1:16">
      <c r="A170" s="3480" t="s">
        <v>2494</v>
      </c>
      <c r="B170" s="3480"/>
      <c r="C170" s="44"/>
      <c r="D170" s="109"/>
      <c r="F170" s="68"/>
      <c r="I170" s="179"/>
      <c r="K170" s="163"/>
      <c r="L170" s="168"/>
    </row>
    <row r="171" spans="1:16" ht="35.25" thickBot="1">
      <c r="F171" s="68"/>
    </row>
    <row r="172" spans="1:16">
      <c r="A172" s="3493" t="s">
        <v>2</v>
      </c>
      <c r="B172" s="3482"/>
      <c r="C172" s="48" t="s">
        <v>3</v>
      </c>
      <c r="D172" s="128" t="s">
        <v>4</v>
      </c>
      <c r="E172" s="77" t="s">
        <v>5</v>
      </c>
      <c r="F172" s="78" t="s">
        <v>5</v>
      </c>
      <c r="G172" s="211" t="s">
        <v>6</v>
      </c>
      <c r="H172" s="140" t="s">
        <v>7</v>
      </c>
      <c r="I172" s="180" t="s">
        <v>1511</v>
      </c>
      <c r="J172" s="172" t="s">
        <v>9</v>
      </c>
      <c r="K172" s="186" t="s">
        <v>9</v>
      </c>
      <c r="L172" s="192" t="s">
        <v>2495</v>
      </c>
      <c r="M172" s="190"/>
    </row>
    <row r="173" spans="1:16" ht="35.25" thickBot="1">
      <c r="A173" s="155"/>
      <c r="B173" s="138"/>
      <c r="C173" s="50"/>
      <c r="D173" s="129" t="s">
        <v>10</v>
      </c>
      <c r="E173" s="79" t="s">
        <v>11</v>
      </c>
      <c r="F173" s="80" t="s">
        <v>12</v>
      </c>
      <c r="G173" s="212"/>
      <c r="H173" s="141" t="s">
        <v>13</v>
      </c>
      <c r="I173" s="181" t="s">
        <v>1512</v>
      </c>
      <c r="J173" s="173" t="s">
        <v>15</v>
      </c>
      <c r="K173" s="187" t="s">
        <v>14</v>
      </c>
      <c r="L173" s="193" t="s">
        <v>2496</v>
      </c>
      <c r="M173" s="190"/>
    </row>
    <row r="174" spans="1:16">
      <c r="A174" s="156"/>
      <c r="B174" s="781" t="s">
        <v>2564</v>
      </c>
      <c r="C174" s="207"/>
      <c r="D174" s="421"/>
      <c r="E174" s="332"/>
      <c r="F174" s="767"/>
      <c r="G174" s="310"/>
      <c r="H174" s="207"/>
      <c r="I174" s="431"/>
      <c r="J174" s="586"/>
      <c r="K174" s="365"/>
      <c r="L174" s="194"/>
      <c r="M174" s="188">
        <v>3552</v>
      </c>
      <c r="N174" s="188">
        <f t="shared" ref="N174:N190" si="15">M174-(M174*0.03)</f>
        <v>3445.44</v>
      </c>
      <c r="O174" s="189">
        <v>7.0000000000000007E-2</v>
      </c>
      <c r="P174" s="170">
        <f t="shared" ref="P174:P190" si="16">(N174*O174)+N174</f>
        <v>3686.6208000000001</v>
      </c>
    </row>
    <row r="175" spans="1:16">
      <c r="A175" s="157"/>
      <c r="B175" s="362" t="s">
        <v>2565</v>
      </c>
      <c r="C175" s="207" t="s">
        <v>2129</v>
      </c>
      <c r="D175" s="421" t="s">
        <v>18</v>
      </c>
      <c r="E175" s="332">
        <v>30</v>
      </c>
      <c r="F175" s="1497" t="s">
        <v>138</v>
      </c>
      <c r="G175" s="310" t="s">
        <v>2125</v>
      </c>
      <c r="H175" s="639">
        <v>622</v>
      </c>
      <c r="I175" s="431"/>
      <c r="J175" s="586">
        <v>632.26</v>
      </c>
      <c r="K175" s="365">
        <v>26.34</v>
      </c>
      <c r="L175" s="194"/>
      <c r="N175" s="188">
        <f t="shared" si="15"/>
        <v>0</v>
      </c>
      <c r="O175" s="189">
        <v>7.0000000000000007E-2</v>
      </c>
      <c r="P175" s="170">
        <f t="shared" si="16"/>
        <v>0</v>
      </c>
    </row>
    <row r="176" spans="1:16">
      <c r="A176" s="157"/>
      <c r="B176" s="362" t="s">
        <v>2565</v>
      </c>
      <c r="C176" s="207" t="s">
        <v>2566</v>
      </c>
      <c r="D176" s="421" t="s">
        <v>23</v>
      </c>
      <c r="E176" s="332">
        <v>52</v>
      </c>
      <c r="F176" s="1497" t="s">
        <v>2567</v>
      </c>
      <c r="G176" s="310" t="s">
        <v>1486</v>
      </c>
      <c r="H176" s="639">
        <v>1040</v>
      </c>
      <c r="I176" s="431"/>
      <c r="J176" s="789" t="s">
        <v>2568</v>
      </c>
      <c r="K176" s="365">
        <v>44.04</v>
      </c>
      <c r="L176" s="194"/>
      <c r="M176" s="188">
        <v>9498.06</v>
      </c>
      <c r="N176" s="188">
        <f t="shared" si="15"/>
        <v>9213.118199999999</v>
      </c>
      <c r="O176" s="189">
        <v>7.0000000000000007E-2</v>
      </c>
      <c r="P176" s="170">
        <f t="shared" si="16"/>
        <v>9858.0364739999986</v>
      </c>
    </row>
    <row r="177" spans="1:17">
      <c r="A177" s="157"/>
      <c r="B177" s="362" t="s">
        <v>2569</v>
      </c>
      <c r="C177" s="207" t="s">
        <v>284</v>
      </c>
      <c r="D177" s="421" t="s">
        <v>23</v>
      </c>
      <c r="E177" s="332">
        <v>92</v>
      </c>
      <c r="F177" s="1497" t="s">
        <v>2570</v>
      </c>
      <c r="G177" s="310" t="s">
        <v>1486</v>
      </c>
      <c r="H177" s="639">
        <v>946</v>
      </c>
      <c r="I177" s="431"/>
      <c r="J177" s="789" t="s">
        <v>2571</v>
      </c>
      <c r="K177" s="365">
        <v>80.13</v>
      </c>
      <c r="L177" s="194"/>
      <c r="M177" s="188">
        <v>15305.4</v>
      </c>
      <c r="N177" s="188">
        <f t="shared" si="15"/>
        <v>14846.237999999999</v>
      </c>
      <c r="O177" s="189">
        <v>7.0000000000000007E-2</v>
      </c>
      <c r="P177" s="170">
        <f t="shared" si="16"/>
        <v>15885.47466</v>
      </c>
    </row>
    <row r="178" spans="1:17">
      <c r="A178" s="157"/>
      <c r="B178" s="362" t="s">
        <v>2569</v>
      </c>
      <c r="C178" s="207" t="s">
        <v>2129</v>
      </c>
      <c r="D178" s="421" t="s">
        <v>18</v>
      </c>
      <c r="E178" s="332">
        <v>30</v>
      </c>
      <c r="F178" s="1497" t="s">
        <v>138</v>
      </c>
      <c r="G178" s="310" t="s">
        <v>2125</v>
      </c>
      <c r="H178" s="639">
        <v>622</v>
      </c>
      <c r="I178" s="431"/>
      <c r="J178" s="586">
        <v>632.26</v>
      </c>
      <c r="K178" s="365">
        <v>26.34</v>
      </c>
      <c r="L178" s="194"/>
      <c r="N178" s="188">
        <f t="shared" si="15"/>
        <v>0</v>
      </c>
      <c r="O178" s="189">
        <v>7.0000000000000007E-2</v>
      </c>
      <c r="P178" s="170">
        <f t="shared" si="16"/>
        <v>0</v>
      </c>
    </row>
    <row r="179" spans="1:17">
      <c r="A179" s="157"/>
      <c r="B179" s="362" t="s">
        <v>2569</v>
      </c>
      <c r="C179" s="207" t="s">
        <v>2566</v>
      </c>
      <c r="D179" s="421" t="s">
        <v>23</v>
      </c>
      <c r="E179" s="332">
        <v>52</v>
      </c>
      <c r="F179" s="1497" t="s">
        <v>2567</v>
      </c>
      <c r="G179" s="310" t="s">
        <v>1486</v>
      </c>
      <c r="H179" s="639">
        <v>1040</v>
      </c>
      <c r="I179" s="431"/>
      <c r="J179" s="707" t="s">
        <v>2568</v>
      </c>
      <c r="K179" s="365">
        <v>44.04</v>
      </c>
      <c r="L179" s="194"/>
      <c r="N179" s="188">
        <f t="shared" si="15"/>
        <v>0</v>
      </c>
      <c r="O179" s="189">
        <v>7.0000000000000007E-2</v>
      </c>
      <c r="P179" s="170">
        <f t="shared" si="16"/>
        <v>0</v>
      </c>
    </row>
    <row r="180" spans="1:17">
      <c r="A180" s="157"/>
      <c r="B180" s="362" t="s">
        <v>2569</v>
      </c>
      <c r="C180" s="207" t="s">
        <v>284</v>
      </c>
      <c r="D180" s="421" t="s">
        <v>23</v>
      </c>
      <c r="E180" s="332">
        <v>92</v>
      </c>
      <c r="F180" s="1497" t="s">
        <v>2570</v>
      </c>
      <c r="G180" s="310" t="s">
        <v>1486</v>
      </c>
      <c r="H180" s="639">
        <v>946</v>
      </c>
      <c r="I180" s="431"/>
      <c r="J180" s="789" t="s">
        <v>2571</v>
      </c>
      <c r="K180" s="365">
        <v>80.13</v>
      </c>
      <c r="L180" s="194"/>
      <c r="N180" s="188">
        <f t="shared" si="15"/>
        <v>0</v>
      </c>
      <c r="O180" s="189">
        <v>7.0000000000000007E-2</v>
      </c>
      <c r="P180" s="170">
        <f t="shared" si="16"/>
        <v>0</v>
      </c>
    </row>
    <row r="181" spans="1:17">
      <c r="A181" s="157"/>
      <c r="B181" s="880" t="s">
        <v>2572</v>
      </c>
      <c r="C181" s="880" t="s">
        <v>2573</v>
      </c>
      <c r="D181" s="320" t="s">
        <v>23</v>
      </c>
      <c r="E181" s="1355">
        <v>25</v>
      </c>
      <c r="F181" s="320"/>
      <c r="G181" s="3466" t="s">
        <v>2097</v>
      </c>
      <c r="H181" s="341">
        <v>245</v>
      </c>
      <c r="I181" s="431" t="s">
        <v>2574</v>
      </c>
      <c r="J181" s="1498" t="s">
        <v>2575</v>
      </c>
      <c r="K181" s="378">
        <v>21.31</v>
      </c>
      <c r="M181" s="188">
        <v>14244.12</v>
      </c>
      <c r="N181" s="188">
        <f t="shared" si="15"/>
        <v>13816.796400000001</v>
      </c>
      <c r="O181" s="189">
        <v>7.0000000000000007E-2</v>
      </c>
      <c r="P181" s="170">
        <f t="shared" si="16"/>
        <v>14783.972148000001</v>
      </c>
    </row>
    <row r="182" spans="1:17">
      <c r="A182" s="157"/>
      <c r="B182" s="880" t="s">
        <v>2576</v>
      </c>
      <c r="C182" s="880" t="s">
        <v>2573</v>
      </c>
      <c r="D182" s="320" t="s">
        <v>23</v>
      </c>
      <c r="E182" s="1355">
        <v>25</v>
      </c>
      <c r="F182" s="320"/>
      <c r="G182" s="3466" t="s">
        <v>2097</v>
      </c>
      <c r="H182" s="341">
        <v>245</v>
      </c>
      <c r="I182" s="431" t="s">
        <v>2574</v>
      </c>
      <c r="J182" s="1498" t="s">
        <v>2575</v>
      </c>
      <c r="K182" s="378">
        <v>21.31</v>
      </c>
      <c r="L182" s="194"/>
      <c r="M182" s="188">
        <v>3240</v>
      </c>
      <c r="N182" s="188">
        <f t="shared" si="15"/>
        <v>3142.8</v>
      </c>
      <c r="O182" s="189">
        <v>7.0000000000000007E-2</v>
      </c>
      <c r="P182" s="170">
        <f t="shared" si="16"/>
        <v>3362.7960000000003</v>
      </c>
    </row>
    <row r="183" spans="1:17">
      <c r="A183" s="157"/>
      <c r="B183" s="95"/>
      <c r="C183" s="63"/>
      <c r="D183" s="199"/>
      <c r="E183" s="145"/>
      <c r="F183" s="61"/>
      <c r="G183" s="206"/>
      <c r="H183" s="74"/>
      <c r="I183" s="183"/>
      <c r="J183" s="175"/>
      <c r="K183" s="197"/>
      <c r="L183" s="194"/>
      <c r="M183" s="188">
        <v>14700</v>
      </c>
      <c r="N183" s="188">
        <f t="shared" si="15"/>
        <v>14259</v>
      </c>
      <c r="O183" s="189">
        <v>7.0000000000000007E-2</v>
      </c>
      <c r="P183" s="170">
        <f t="shared" si="16"/>
        <v>15257.130000000001</v>
      </c>
    </row>
    <row r="184" spans="1:17">
      <c r="A184" s="157"/>
      <c r="B184" s="268"/>
      <c r="C184" s="222"/>
      <c r="D184" s="3464"/>
      <c r="E184" s="237"/>
      <c r="F184" s="238"/>
      <c r="G184" s="223"/>
      <c r="H184" s="224"/>
      <c r="I184" s="225"/>
      <c r="J184" s="209"/>
      <c r="K184" s="226"/>
      <c r="L184" s="229"/>
      <c r="M184" s="188">
        <v>14582.7</v>
      </c>
      <c r="N184" s="188">
        <f t="shared" si="15"/>
        <v>14145.219000000001</v>
      </c>
      <c r="O184" s="189">
        <v>7.0000000000000007E-2</v>
      </c>
      <c r="P184" s="170">
        <f t="shared" si="16"/>
        <v>15135.384330000001</v>
      </c>
    </row>
    <row r="185" spans="1:17">
      <c r="A185" s="157"/>
      <c r="B185" s="781" t="s">
        <v>1706</v>
      </c>
      <c r="C185" s="130" t="s">
        <v>2577</v>
      </c>
      <c r="D185" s="322"/>
      <c r="E185" s="728"/>
      <c r="F185" s="767"/>
      <c r="G185" s="310"/>
      <c r="H185" s="207"/>
      <c r="I185" s="431"/>
      <c r="J185" s="586"/>
      <c r="K185" s="365"/>
      <c r="L185" s="229"/>
      <c r="M185" s="188">
        <v>13483.8</v>
      </c>
      <c r="N185" s="188">
        <f t="shared" si="15"/>
        <v>13079.286</v>
      </c>
      <c r="O185" s="189">
        <v>7.0000000000000007E-2</v>
      </c>
      <c r="P185" s="170">
        <f t="shared" si="16"/>
        <v>13994.836020000001</v>
      </c>
    </row>
    <row r="186" spans="1:17">
      <c r="A186" s="157"/>
      <c r="B186" s="43" t="s">
        <v>2578</v>
      </c>
      <c r="C186" s="130" t="s">
        <v>236</v>
      </c>
      <c r="D186" s="322" t="s">
        <v>1287</v>
      </c>
      <c r="E186" s="728"/>
      <c r="F186" s="767"/>
      <c r="G186" s="310" t="s">
        <v>2579</v>
      </c>
      <c r="H186" s="207">
        <v>575</v>
      </c>
      <c r="I186" s="431" t="s">
        <v>2580</v>
      </c>
      <c r="J186" s="810" t="s">
        <v>2581</v>
      </c>
      <c r="K186" s="365">
        <v>13.61</v>
      </c>
      <c r="L186" s="229"/>
      <c r="M186" s="188">
        <v>2669.52</v>
      </c>
      <c r="N186" s="188">
        <f t="shared" si="15"/>
        <v>2589.4344000000001</v>
      </c>
      <c r="O186" s="189">
        <v>7.0000000000000007E-2</v>
      </c>
      <c r="P186" s="170">
        <f t="shared" si="16"/>
        <v>2770.6948080000002</v>
      </c>
    </row>
    <row r="187" spans="1:17">
      <c r="A187" s="157"/>
      <c r="B187" s="43" t="s">
        <v>2582</v>
      </c>
      <c r="C187" s="207" t="s">
        <v>2583</v>
      </c>
      <c r="D187" s="322" t="s">
        <v>23</v>
      </c>
      <c r="E187" s="728">
        <v>20</v>
      </c>
      <c r="F187" s="767"/>
      <c r="G187" s="310" t="s">
        <v>2584</v>
      </c>
      <c r="H187" s="207">
        <v>230</v>
      </c>
      <c r="I187" s="431" t="s">
        <v>2585</v>
      </c>
      <c r="J187" s="586">
        <v>182.69</v>
      </c>
      <c r="K187" s="365">
        <v>15.22</v>
      </c>
      <c r="L187" s="229"/>
      <c r="N187" s="188">
        <f t="shared" si="15"/>
        <v>0</v>
      </c>
      <c r="O187" s="189">
        <v>7.0000000000000007E-2</v>
      </c>
      <c r="P187" s="170">
        <f t="shared" si="16"/>
        <v>0</v>
      </c>
    </row>
    <row r="188" spans="1:17">
      <c r="A188" s="221"/>
      <c r="B188" s="95"/>
      <c r="C188" s="222"/>
      <c r="D188" s="3464"/>
      <c r="E188" s="145"/>
      <c r="F188" s="61"/>
      <c r="G188" s="223"/>
      <c r="H188" s="224"/>
      <c r="I188" s="225"/>
      <c r="J188" s="209"/>
      <c r="K188" s="226"/>
      <c r="L188" s="229"/>
      <c r="M188" s="188">
        <v>12972.96</v>
      </c>
      <c r="N188" s="188">
        <f t="shared" si="15"/>
        <v>12583.771199999999</v>
      </c>
      <c r="O188" s="189">
        <v>7.0000000000000007E-2</v>
      </c>
      <c r="P188" s="170">
        <f t="shared" si="16"/>
        <v>13464.635183999999</v>
      </c>
      <c r="Q188" s="76">
        <f>598.5/12</f>
        <v>49.875</v>
      </c>
    </row>
    <row r="189" spans="1:17">
      <c r="A189" s="157"/>
      <c r="B189" s="95"/>
      <c r="C189" s="63"/>
      <c r="D189" s="199"/>
      <c r="E189" s="145"/>
      <c r="F189" s="61"/>
      <c r="G189" s="206"/>
      <c r="H189" s="74"/>
      <c r="I189" s="183"/>
      <c r="J189" s="209"/>
      <c r="K189" s="197"/>
      <c r="L189" s="229"/>
      <c r="M189" s="188">
        <v>12687.84</v>
      </c>
      <c r="N189" s="188">
        <f t="shared" si="15"/>
        <v>12307.2048</v>
      </c>
      <c r="O189" s="189">
        <v>7.0000000000000007E-2</v>
      </c>
      <c r="P189" s="170">
        <f t="shared" si="16"/>
        <v>13168.709135999999</v>
      </c>
      <c r="Q189" s="76">
        <f>450/12</f>
        <v>37.5</v>
      </c>
    </row>
    <row r="190" spans="1:17">
      <c r="A190" s="157"/>
      <c r="B190" s="95"/>
      <c r="C190" s="63"/>
      <c r="D190" s="199"/>
      <c r="E190" s="145"/>
      <c r="F190" s="61"/>
      <c r="G190" s="206"/>
      <c r="H190" s="74"/>
      <c r="I190" s="183"/>
      <c r="J190" s="175"/>
      <c r="K190" s="197"/>
      <c r="L190" s="194"/>
      <c r="M190" s="188">
        <v>16572.599999999999</v>
      </c>
      <c r="N190" s="188">
        <f t="shared" si="15"/>
        <v>16075.421999999999</v>
      </c>
      <c r="O190" s="189">
        <v>7.0000000000000007E-2</v>
      </c>
      <c r="P190" s="170">
        <f t="shared" si="16"/>
        <v>17200.701539999998</v>
      </c>
    </row>
    <row r="191" spans="1:17">
      <c r="A191" s="157"/>
      <c r="B191" s="95"/>
      <c r="C191" s="63"/>
      <c r="D191" s="199"/>
      <c r="E191" s="90"/>
      <c r="F191" s="61"/>
      <c r="G191" s="206"/>
      <c r="H191" s="74"/>
      <c r="I191" s="203"/>
      <c r="J191" s="175"/>
      <c r="K191" s="197"/>
      <c r="L191" s="194"/>
      <c r="M191" s="188">
        <v>6021.12</v>
      </c>
      <c r="N191" s="188">
        <f>M191-(M191*0.03)</f>
        <v>5840.4863999999998</v>
      </c>
      <c r="O191" s="189">
        <v>7.0000000000000007E-2</v>
      </c>
      <c r="P191" s="170">
        <f>(N191*O191)+N191</f>
        <v>6249.3204479999995</v>
      </c>
    </row>
    <row r="192" spans="1:17">
      <c r="A192" s="157"/>
      <c r="B192" s="95"/>
      <c r="C192" s="63"/>
      <c r="D192" s="199"/>
      <c r="E192" s="90"/>
      <c r="F192" s="61"/>
      <c r="G192" s="206"/>
      <c r="H192" s="74"/>
      <c r="I192" s="183"/>
      <c r="J192" s="175"/>
      <c r="K192" s="197"/>
      <c r="L192" s="194"/>
      <c r="M192" s="188">
        <v>8714.16</v>
      </c>
      <c r="N192" s="188">
        <f>M192-(M192*0.03)</f>
        <v>8452.7351999999992</v>
      </c>
      <c r="O192" s="189">
        <v>7.0000000000000007E-2</v>
      </c>
      <c r="P192" s="170">
        <f>(N192*O192)+N192</f>
        <v>9044.4266639999987</v>
      </c>
    </row>
    <row r="193" spans="1:16">
      <c r="A193" s="157"/>
      <c r="B193" s="95"/>
      <c r="C193" s="63"/>
      <c r="D193" s="199"/>
      <c r="E193" s="90"/>
      <c r="F193" s="61"/>
      <c r="G193" s="206"/>
      <c r="H193" s="74"/>
      <c r="I193" s="183"/>
      <c r="J193" s="175"/>
      <c r="K193" s="197"/>
      <c r="L193" s="194"/>
      <c r="M193" s="188">
        <v>0</v>
      </c>
      <c r="N193" s="188">
        <f>M193-(M193*0.03)</f>
        <v>0</v>
      </c>
      <c r="O193" s="189">
        <v>7.0000000000000007E-2</v>
      </c>
      <c r="P193" s="170">
        <f t="shared" ref="P193:P199" si="17">(N193*O193)+N193</f>
        <v>0</v>
      </c>
    </row>
    <row r="194" spans="1:16">
      <c r="A194" s="157"/>
      <c r="B194" s="95"/>
      <c r="C194" s="63"/>
      <c r="D194" s="199"/>
      <c r="E194" s="90"/>
      <c r="F194" s="61"/>
      <c r="G194" s="206"/>
      <c r="H194" s="74"/>
      <c r="I194" s="183"/>
      <c r="J194" s="175"/>
      <c r="K194" s="197"/>
      <c r="L194" s="194"/>
      <c r="M194" s="188">
        <v>18537.7</v>
      </c>
      <c r="N194" s="188">
        <f>M194-(M194*0.03)</f>
        <v>17981.569</v>
      </c>
      <c r="O194" s="189">
        <v>7.0000000000000007E-2</v>
      </c>
      <c r="P194" s="170">
        <f t="shared" si="17"/>
        <v>19240.278829999999</v>
      </c>
    </row>
    <row r="195" spans="1:16">
      <c r="A195" s="158"/>
      <c r="B195" s="95"/>
      <c r="C195" s="63"/>
      <c r="D195" s="199"/>
      <c r="E195" s="91"/>
      <c r="F195" s="61"/>
      <c r="G195" s="206"/>
      <c r="H195" s="74"/>
      <c r="I195" s="183"/>
      <c r="J195" s="175"/>
      <c r="K195" s="197"/>
      <c r="L195" s="194"/>
      <c r="M195" s="188">
        <v>9031.68</v>
      </c>
      <c r="N195" s="188">
        <f t="shared" ref="N195:N207" si="18">M195-(M195*0.03)</f>
        <v>8760.7296000000006</v>
      </c>
      <c r="O195" s="189">
        <v>7.0000000000000007E-2</v>
      </c>
      <c r="P195" s="170">
        <f t="shared" si="17"/>
        <v>9373.9806720000015</v>
      </c>
    </row>
    <row r="196" spans="1:16">
      <c r="A196" s="200"/>
      <c r="B196" s="95"/>
      <c r="C196" s="63"/>
      <c r="D196" s="199"/>
      <c r="E196" s="153"/>
      <c r="F196" s="61"/>
      <c r="G196" s="206"/>
      <c r="H196" s="88"/>
      <c r="I196" s="184"/>
      <c r="J196" s="201"/>
      <c r="K196" s="202"/>
      <c r="L196" s="194"/>
      <c r="N196" s="188">
        <f t="shared" si="18"/>
        <v>0</v>
      </c>
      <c r="O196" s="189">
        <v>7.0000000000000007E-2</v>
      </c>
      <c r="P196" s="170">
        <f t="shared" si="17"/>
        <v>0</v>
      </c>
    </row>
    <row r="197" spans="1:16">
      <c r="A197" s="157"/>
      <c r="B197" s="95"/>
      <c r="C197" s="63"/>
      <c r="D197" s="199"/>
      <c r="E197" s="198"/>
      <c r="F197" s="61"/>
      <c r="G197" s="206"/>
      <c r="H197" s="74"/>
      <c r="I197" s="183"/>
      <c r="J197" s="175"/>
      <c r="K197" s="197"/>
      <c r="L197" s="194"/>
      <c r="M197" s="188">
        <v>8478.9599999999991</v>
      </c>
      <c r="N197" s="188">
        <f t="shared" si="18"/>
        <v>8224.5911999999989</v>
      </c>
      <c r="O197" s="189">
        <v>7.0000000000000007E-2</v>
      </c>
      <c r="P197" s="170">
        <f t="shared" si="17"/>
        <v>8800.3125839999993</v>
      </c>
    </row>
    <row r="198" spans="1:16">
      <c r="A198" s="157"/>
      <c r="B198" s="95"/>
      <c r="C198" s="63"/>
      <c r="D198" s="199"/>
      <c r="E198" s="142"/>
      <c r="F198" s="61"/>
      <c r="G198" s="206"/>
      <c r="H198" s="74"/>
      <c r="I198" s="183"/>
      <c r="J198" s="175"/>
      <c r="K198" s="197"/>
      <c r="L198" s="194"/>
      <c r="M198" s="188">
        <v>11122.62</v>
      </c>
      <c r="N198" s="188">
        <f t="shared" si="18"/>
        <v>10788.941400000002</v>
      </c>
      <c r="O198" s="189">
        <v>7.0000000000000007E-2</v>
      </c>
      <c r="P198" s="170">
        <f t="shared" si="17"/>
        <v>11544.167298000002</v>
      </c>
    </row>
    <row r="199" spans="1:16">
      <c r="A199" s="157"/>
      <c r="B199" s="268"/>
      <c r="C199" s="63"/>
      <c r="D199" s="196"/>
      <c r="E199" s="120"/>
      <c r="F199" s="121"/>
      <c r="G199" s="206"/>
      <c r="H199" s="115"/>
      <c r="I199" s="185"/>
      <c r="J199" s="175"/>
      <c r="K199" s="197"/>
      <c r="L199" s="194"/>
      <c r="M199" s="188">
        <v>3813.12</v>
      </c>
      <c r="N199" s="188">
        <f t="shared" si="18"/>
        <v>3698.7264</v>
      </c>
      <c r="O199" s="189">
        <v>7.0000000000000007E-2</v>
      </c>
      <c r="P199" s="170">
        <f t="shared" si="17"/>
        <v>3957.637248</v>
      </c>
    </row>
    <row r="200" spans="1:16">
      <c r="A200" s="157"/>
      <c r="B200" s="95"/>
      <c r="C200" s="63"/>
      <c r="D200" s="196"/>
      <c r="E200" s="249"/>
      <c r="F200" s="121"/>
      <c r="G200" s="206"/>
      <c r="H200" s="115"/>
      <c r="I200" s="185"/>
      <c r="J200" s="175"/>
      <c r="K200" s="197"/>
      <c r="L200" s="194"/>
    </row>
    <row r="201" spans="1:16">
      <c r="A201" s="157"/>
      <c r="B201" s="95"/>
      <c r="C201" s="63"/>
      <c r="D201" s="196"/>
      <c r="E201" s="249"/>
      <c r="F201" s="121"/>
      <c r="G201" s="206"/>
      <c r="H201" s="115"/>
      <c r="I201" s="185"/>
      <c r="J201" s="175"/>
      <c r="K201" s="197"/>
      <c r="L201" s="194"/>
    </row>
    <row r="202" spans="1:16">
      <c r="A202" s="157"/>
      <c r="B202" s="95"/>
      <c r="C202" s="63"/>
      <c r="D202" s="196"/>
      <c r="E202" s="249"/>
      <c r="F202" s="121"/>
      <c r="G202" s="206"/>
      <c r="H202" s="115"/>
      <c r="I202" s="185"/>
      <c r="J202" s="175"/>
      <c r="K202" s="197"/>
      <c r="L202" s="194"/>
    </row>
    <row r="203" spans="1:16">
      <c r="A203" s="157"/>
      <c r="B203" s="95"/>
      <c r="C203" s="63"/>
      <c r="D203" s="196"/>
      <c r="E203" s="249"/>
      <c r="F203" s="121"/>
      <c r="G203" s="206"/>
      <c r="H203" s="115"/>
      <c r="I203" s="185"/>
      <c r="J203" s="175"/>
      <c r="K203" s="197"/>
      <c r="L203" s="194"/>
    </row>
    <row r="204" spans="1:16">
      <c r="A204" s="157"/>
      <c r="B204" s="95"/>
      <c r="C204" s="63"/>
      <c r="D204" s="196"/>
      <c r="E204" s="249"/>
      <c r="F204" s="121"/>
      <c r="G204" s="206"/>
      <c r="H204" s="115"/>
      <c r="I204" s="185"/>
      <c r="J204" s="175"/>
      <c r="K204" s="197"/>
      <c r="L204" s="194"/>
    </row>
    <row r="205" spans="1:16">
      <c r="A205" s="157"/>
      <c r="B205" s="95"/>
      <c r="C205" s="63"/>
      <c r="D205" s="196"/>
      <c r="E205" s="142"/>
      <c r="F205" s="61"/>
      <c r="G205" s="206"/>
      <c r="H205" s="74"/>
      <c r="I205" s="183"/>
      <c r="J205" s="175"/>
      <c r="K205" s="197"/>
      <c r="L205" s="194"/>
    </row>
    <row r="206" spans="1:16">
      <c r="A206" s="157"/>
      <c r="B206" s="95"/>
      <c r="C206" s="63"/>
      <c r="D206" s="196"/>
      <c r="E206" s="142"/>
      <c r="F206" s="61"/>
      <c r="G206" s="206"/>
      <c r="H206" s="74"/>
      <c r="I206" s="183"/>
      <c r="J206" s="175"/>
      <c r="K206" s="197"/>
      <c r="L206" s="194"/>
    </row>
    <row r="207" spans="1:16">
      <c r="A207" s="157"/>
      <c r="B207" s="95"/>
      <c r="C207" s="63"/>
      <c r="D207" s="196"/>
      <c r="E207" s="142"/>
      <c r="F207" s="61"/>
      <c r="G207" s="206"/>
      <c r="H207" s="74"/>
      <c r="I207" s="183"/>
      <c r="J207" s="175"/>
      <c r="K207" s="197"/>
      <c r="L207" s="194"/>
      <c r="M207" s="188">
        <v>8640</v>
      </c>
      <c r="N207" s="188">
        <f t="shared" si="18"/>
        <v>8380.7999999999993</v>
      </c>
      <c r="O207" s="189">
        <v>7.0000000000000007E-2</v>
      </c>
      <c r="P207" s="170">
        <f>(N207*O207)+N207</f>
        <v>8967.4559999999983</v>
      </c>
    </row>
    <row r="208" spans="1:16">
      <c r="A208" s="157"/>
      <c r="B208" s="95"/>
      <c r="C208" s="63"/>
      <c r="D208" s="196"/>
      <c r="E208" s="142"/>
      <c r="F208" s="61"/>
      <c r="G208" s="206"/>
      <c r="H208" s="74"/>
      <c r="I208" s="183"/>
      <c r="J208" s="175"/>
      <c r="K208" s="197"/>
      <c r="L208" s="194"/>
    </row>
    <row r="209" spans="1:16" ht="34.5" customHeight="1">
      <c r="A209" s="160"/>
      <c r="B209" s="95"/>
      <c r="C209" s="63"/>
      <c r="D209" s="196"/>
      <c r="E209" s="120"/>
      <c r="F209" s="121"/>
      <c r="G209" s="206"/>
      <c r="H209" s="115"/>
      <c r="I209" s="185"/>
      <c r="J209" s="174"/>
      <c r="K209" s="195"/>
      <c r="L209" s="194"/>
    </row>
    <row r="210" spans="1:16">
      <c r="A210" s="204"/>
      <c r="B210" s="3444"/>
      <c r="C210" s="3444"/>
      <c r="D210" s="3444"/>
      <c r="E210" s="3444"/>
      <c r="F210" s="3444"/>
      <c r="G210" s="213"/>
      <c r="H210" s="109"/>
      <c r="I210" s="3444"/>
      <c r="J210" s="234"/>
      <c r="K210" s="3444"/>
      <c r="L210" s="235"/>
      <c r="M210" s="3444"/>
    </row>
    <row r="211" spans="1:16">
      <c r="A211" s="44" t="s">
        <v>0</v>
      </c>
      <c r="B211" s="127"/>
      <c r="C211" s="104"/>
      <c r="F211" s="68"/>
      <c r="I211" s="179"/>
      <c r="K211" s="163"/>
      <c r="L211" s="168"/>
    </row>
    <row r="212" spans="1:16">
      <c r="A212" s="3480" t="s">
        <v>2512</v>
      </c>
      <c r="B212" s="3480"/>
      <c r="C212" s="44"/>
      <c r="D212" s="109"/>
      <c r="F212" s="68"/>
      <c r="I212" s="179"/>
      <c r="K212" s="163"/>
      <c r="L212" s="168"/>
    </row>
    <row r="213" spans="1:16" ht="35.25" thickBot="1">
      <c r="F213" s="68"/>
    </row>
    <row r="214" spans="1:16">
      <c r="A214" s="3493" t="s">
        <v>2</v>
      </c>
      <c r="B214" s="3482"/>
      <c r="C214" s="48" t="s">
        <v>3</v>
      </c>
      <c r="D214" s="128" t="s">
        <v>4</v>
      </c>
      <c r="E214" s="77" t="s">
        <v>5</v>
      </c>
      <c r="F214" s="78" t="s">
        <v>5</v>
      </c>
      <c r="G214" s="211" t="s">
        <v>6</v>
      </c>
      <c r="H214" s="140" t="s">
        <v>7</v>
      </c>
      <c r="I214" s="180" t="s">
        <v>1511</v>
      </c>
      <c r="J214" s="172" t="s">
        <v>9</v>
      </c>
      <c r="K214" s="186" t="s">
        <v>9</v>
      </c>
      <c r="L214" s="192" t="s">
        <v>2495</v>
      </c>
      <c r="M214" s="190"/>
    </row>
    <row r="215" spans="1:16" ht="35.25" thickBot="1">
      <c r="A215" s="155"/>
      <c r="B215" s="138"/>
      <c r="C215" s="50"/>
      <c r="D215" s="129" t="s">
        <v>10</v>
      </c>
      <c r="E215" s="79" t="s">
        <v>11</v>
      </c>
      <c r="F215" s="80" t="s">
        <v>12</v>
      </c>
      <c r="G215" s="212"/>
      <c r="H215" s="141" t="s">
        <v>13</v>
      </c>
      <c r="I215" s="181" t="s">
        <v>1512</v>
      </c>
      <c r="J215" s="173" t="s">
        <v>15</v>
      </c>
      <c r="K215" s="187" t="s">
        <v>14</v>
      </c>
      <c r="L215" s="193" t="s">
        <v>2496</v>
      </c>
      <c r="M215" s="190"/>
    </row>
    <row r="216" spans="1:16">
      <c r="A216" s="156"/>
      <c r="B216" s="276"/>
      <c r="C216" s="63"/>
      <c r="D216" s="199"/>
      <c r="E216" s="143"/>
      <c r="F216" s="69"/>
      <c r="G216" s="206"/>
      <c r="H216" s="74"/>
      <c r="I216" s="183"/>
      <c r="J216" s="175"/>
      <c r="K216" s="172"/>
      <c r="L216" s="194"/>
      <c r="M216" s="188">
        <v>3552</v>
      </c>
      <c r="N216" s="188">
        <f t="shared" ref="N216:N232" si="19">M216-(M216*0.03)</f>
        <v>3445.44</v>
      </c>
      <c r="O216" s="189">
        <v>7.0000000000000007E-2</v>
      </c>
      <c r="P216" s="170">
        <f t="shared" ref="P216:P232" si="20">(N216*O216)+N216</f>
        <v>3686.6208000000001</v>
      </c>
    </row>
    <row r="217" spans="1:16">
      <c r="A217" s="157"/>
      <c r="B217" s="95"/>
      <c r="C217" s="63"/>
      <c r="D217" s="199"/>
      <c r="E217" s="145"/>
      <c r="F217" s="61"/>
      <c r="G217" s="206"/>
      <c r="H217" s="74"/>
      <c r="I217" s="183"/>
      <c r="J217" s="175"/>
      <c r="K217" s="176"/>
      <c r="L217" s="194"/>
      <c r="N217" s="188">
        <f t="shared" si="19"/>
        <v>0</v>
      </c>
      <c r="O217" s="189">
        <v>7.0000000000000007E-2</v>
      </c>
      <c r="P217" s="170">
        <f t="shared" si="20"/>
        <v>0</v>
      </c>
    </row>
    <row r="218" spans="1:16">
      <c r="A218" s="157"/>
      <c r="B218" s="95"/>
      <c r="C218" s="63"/>
      <c r="D218" s="199"/>
      <c r="E218" s="145"/>
      <c r="F218" s="61"/>
      <c r="G218" s="206"/>
      <c r="H218" s="74"/>
      <c r="I218" s="183"/>
      <c r="J218" s="175"/>
      <c r="K218" s="245"/>
      <c r="L218" s="194"/>
      <c r="M218" s="188">
        <v>9498.06</v>
      </c>
      <c r="N218" s="188">
        <f t="shared" si="19"/>
        <v>9213.118199999999</v>
      </c>
      <c r="O218" s="189">
        <v>7.0000000000000007E-2</v>
      </c>
      <c r="P218" s="170">
        <f t="shared" si="20"/>
        <v>9858.0364739999986</v>
      </c>
    </row>
    <row r="219" spans="1:16">
      <c r="A219" s="157"/>
      <c r="B219" s="95"/>
      <c r="C219" s="63"/>
      <c r="D219" s="199"/>
      <c r="E219" s="145"/>
      <c r="F219" s="61"/>
      <c r="G219" s="206"/>
      <c r="H219" s="74"/>
      <c r="I219" s="183"/>
      <c r="J219" s="175"/>
      <c r="K219" s="197"/>
      <c r="L219" s="194"/>
      <c r="M219" s="188">
        <v>15305.4</v>
      </c>
      <c r="N219" s="188">
        <f t="shared" si="19"/>
        <v>14846.237999999999</v>
      </c>
      <c r="O219" s="189">
        <v>7.0000000000000007E-2</v>
      </c>
      <c r="P219" s="170">
        <f t="shared" si="20"/>
        <v>15885.47466</v>
      </c>
    </row>
    <row r="220" spans="1:16">
      <c r="A220" s="157"/>
      <c r="B220" s="95"/>
      <c r="C220" s="63"/>
      <c r="D220" s="199"/>
      <c r="E220" s="145"/>
      <c r="F220" s="61"/>
      <c r="G220" s="206"/>
      <c r="H220" s="74"/>
      <c r="I220" s="183"/>
      <c r="J220" s="175"/>
      <c r="K220" s="197"/>
      <c r="L220" s="194"/>
      <c r="N220" s="188">
        <f t="shared" si="19"/>
        <v>0</v>
      </c>
      <c r="O220" s="189">
        <v>7.0000000000000007E-2</v>
      </c>
      <c r="P220" s="170">
        <f t="shared" si="20"/>
        <v>0</v>
      </c>
    </row>
    <row r="221" spans="1:16">
      <c r="A221" s="157"/>
      <c r="B221" s="95"/>
      <c r="C221" s="63"/>
      <c r="D221" s="199"/>
      <c r="E221" s="145"/>
      <c r="F221" s="61"/>
      <c r="G221" s="206"/>
      <c r="H221" s="74"/>
      <c r="I221" s="183"/>
      <c r="J221" s="175"/>
      <c r="K221" s="197"/>
      <c r="L221" s="194"/>
      <c r="N221" s="188">
        <f t="shared" si="19"/>
        <v>0</v>
      </c>
      <c r="O221" s="189">
        <v>7.0000000000000007E-2</v>
      </c>
      <c r="P221" s="170">
        <f t="shared" si="20"/>
        <v>0</v>
      </c>
    </row>
    <row r="222" spans="1:16">
      <c r="A222" s="157"/>
      <c r="B222" s="95"/>
      <c r="C222" s="63"/>
      <c r="D222" s="199"/>
      <c r="E222" s="145"/>
      <c r="F222" s="61"/>
      <c r="G222" s="206"/>
      <c r="H222" s="74"/>
      <c r="I222" s="183"/>
      <c r="J222" s="175"/>
      <c r="K222" s="197"/>
      <c r="L222" s="194"/>
      <c r="N222" s="188">
        <f t="shared" si="19"/>
        <v>0</v>
      </c>
      <c r="O222" s="189">
        <v>7.0000000000000007E-2</v>
      </c>
      <c r="P222" s="170">
        <f t="shared" si="20"/>
        <v>0</v>
      </c>
    </row>
    <row r="223" spans="1:16">
      <c r="A223" s="157"/>
      <c r="B223" s="95"/>
      <c r="C223" s="222"/>
      <c r="D223" s="3464"/>
      <c r="E223" s="145"/>
      <c r="F223" s="61"/>
      <c r="G223" s="223"/>
      <c r="H223" s="224"/>
      <c r="I223" s="225"/>
      <c r="J223" s="209"/>
      <c r="K223" s="244"/>
      <c r="M223" s="188">
        <v>14244.12</v>
      </c>
      <c r="N223" s="188">
        <f t="shared" si="19"/>
        <v>13816.796400000001</v>
      </c>
      <c r="O223" s="189">
        <v>7.0000000000000007E-2</v>
      </c>
      <c r="P223" s="170">
        <f t="shared" si="20"/>
        <v>14783.972148000001</v>
      </c>
    </row>
    <row r="224" spans="1:16">
      <c r="A224" s="157"/>
      <c r="B224" s="95"/>
      <c r="C224" s="63"/>
      <c r="D224" s="199"/>
      <c r="E224" s="145"/>
      <c r="F224" s="61"/>
      <c r="G224" s="206"/>
      <c r="H224" s="74"/>
      <c r="I224" s="183"/>
      <c r="J224" s="175"/>
      <c r="K224" s="197"/>
      <c r="L224" s="194"/>
      <c r="M224" s="188">
        <v>3240</v>
      </c>
      <c r="N224" s="188">
        <f t="shared" si="19"/>
        <v>3142.8</v>
      </c>
      <c r="O224" s="189">
        <v>7.0000000000000007E-2</v>
      </c>
      <c r="P224" s="170">
        <f t="shared" si="20"/>
        <v>3362.7960000000003</v>
      </c>
    </row>
    <row r="225" spans="1:16">
      <c r="A225" s="157"/>
      <c r="B225" s="95"/>
      <c r="C225" s="63"/>
      <c r="D225" s="199"/>
      <c r="E225" s="145"/>
      <c r="F225" s="61"/>
      <c r="G225" s="206"/>
      <c r="H225" s="74"/>
      <c r="I225" s="183"/>
      <c r="J225" s="175"/>
      <c r="K225" s="197"/>
      <c r="L225" s="194"/>
      <c r="M225" s="188">
        <v>14700</v>
      </c>
      <c r="N225" s="188">
        <f t="shared" si="19"/>
        <v>14259</v>
      </c>
      <c r="O225" s="189">
        <v>7.0000000000000007E-2</v>
      </c>
      <c r="P225" s="170">
        <f t="shared" si="20"/>
        <v>15257.130000000001</v>
      </c>
    </row>
    <row r="226" spans="1:16">
      <c r="A226" s="157"/>
      <c r="B226" s="95"/>
      <c r="C226" s="222"/>
      <c r="D226" s="3464"/>
      <c r="E226" s="237"/>
      <c r="F226" s="238"/>
      <c r="G226" s="223"/>
      <c r="H226" s="224"/>
      <c r="I226" s="225"/>
      <c r="J226" s="209"/>
      <c r="K226" s="226"/>
      <c r="L226" s="229"/>
      <c r="M226" s="188">
        <v>14582.7</v>
      </c>
      <c r="N226" s="188">
        <f t="shared" si="19"/>
        <v>14145.219000000001</v>
      </c>
      <c r="O226" s="189">
        <v>7.0000000000000007E-2</v>
      </c>
      <c r="P226" s="170">
        <f t="shared" si="20"/>
        <v>15135.384330000001</v>
      </c>
    </row>
    <row r="227" spans="1:16">
      <c r="A227" s="157"/>
      <c r="B227" s="162"/>
      <c r="C227" s="63"/>
      <c r="D227" s="199"/>
      <c r="E227" s="145"/>
      <c r="F227" s="61"/>
      <c r="G227" s="206"/>
      <c r="H227" s="74"/>
      <c r="I227" s="183"/>
      <c r="J227" s="175"/>
      <c r="K227" s="197"/>
      <c r="L227" s="229"/>
      <c r="M227" s="188">
        <v>13483.8</v>
      </c>
      <c r="N227" s="188">
        <f t="shared" si="19"/>
        <v>13079.286</v>
      </c>
      <c r="O227" s="189">
        <v>7.0000000000000007E-2</v>
      </c>
      <c r="P227" s="170">
        <f t="shared" si="20"/>
        <v>13994.836020000001</v>
      </c>
    </row>
    <row r="228" spans="1:16">
      <c r="A228" s="157"/>
      <c r="B228" s="154"/>
      <c r="C228" s="222"/>
      <c r="D228" s="3464"/>
      <c r="E228" s="145"/>
      <c r="F228" s="61"/>
      <c r="G228" s="223"/>
      <c r="H228" s="224"/>
      <c r="I228" s="225"/>
      <c r="J228" s="209"/>
      <c r="K228" s="226"/>
      <c r="L228" s="229"/>
      <c r="M228" s="188">
        <v>2669.52</v>
      </c>
      <c r="N228" s="188">
        <f t="shared" si="19"/>
        <v>2589.4344000000001</v>
      </c>
      <c r="O228" s="189">
        <v>7.0000000000000007E-2</v>
      </c>
      <c r="P228" s="170">
        <f t="shared" si="20"/>
        <v>2770.6948080000002</v>
      </c>
    </row>
    <row r="229" spans="1:16" ht="35.25" customHeight="1">
      <c r="A229" s="157"/>
      <c r="B229" s="154"/>
      <c r="C229" s="222"/>
      <c r="D229" s="3464"/>
      <c r="E229" s="145"/>
      <c r="F229" s="61"/>
      <c r="G229" s="223"/>
      <c r="H229" s="224"/>
      <c r="I229" s="225"/>
      <c r="J229" s="209"/>
      <c r="K229" s="226"/>
      <c r="L229" s="229"/>
      <c r="N229" s="188">
        <f t="shared" si="19"/>
        <v>0</v>
      </c>
      <c r="O229" s="189">
        <v>7.0000000000000007E-2</v>
      </c>
      <c r="P229" s="170">
        <f t="shared" si="20"/>
        <v>0</v>
      </c>
    </row>
    <row r="230" spans="1:16">
      <c r="A230" s="221"/>
      <c r="B230" s="240"/>
      <c r="C230" s="222"/>
      <c r="D230" s="3464"/>
      <c r="E230" s="145"/>
      <c r="F230" s="61"/>
      <c r="G230" s="223"/>
      <c r="H230" s="224"/>
      <c r="I230" s="225"/>
      <c r="J230" s="209"/>
      <c r="K230" s="226"/>
      <c r="L230" s="229"/>
      <c r="M230" s="188">
        <v>12972.96</v>
      </c>
      <c r="N230" s="188">
        <f t="shared" si="19"/>
        <v>12583.771199999999</v>
      </c>
      <c r="O230" s="189">
        <v>7.0000000000000007E-2</v>
      </c>
      <c r="P230" s="170">
        <f t="shared" si="20"/>
        <v>13464.635183999999</v>
      </c>
    </row>
    <row r="231" spans="1:16">
      <c r="A231" s="157"/>
      <c r="B231" s="154"/>
      <c r="C231" s="63"/>
      <c r="D231" s="199"/>
      <c r="E231" s="145"/>
      <c r="F231" s="61"/>
      <c r="G231" s="206"/>
      <c r="H231" s="74"/>
      <c r="I231" s="183"/>
      <c r="J231" s="209"/>
      <c r="K231" s="197"/>
      <c r="L231" s="229"/>
      <c r="M231" s="188">
        <v>12687.84</v>
      </c>
      <c r="N231" s="188">
        <f t="shared" si="19"/>
        <v>12307.2048</v>
      </c>
      <c r="O231" s="189">
        <v>7.0000000000000007E-2</v>
      </c>
      <c r="P231" s="170">
        <f t="shared" si="20"/>
        <v>13168.709135999999</v>
      </c>
    </row>
    <row r="232" spans="1:16">
      <c r="A232" s="157"/>
      <c r="B232" s="154"/>
      <c r="C232" s="63"/>
      <c r="D232" s="199"/>
      <c r="E232" s="145"/>
      <c r="F232" s="61"/>
      <c r="G232" s="206"/>
      <c r="H232" s="74"/>
      <c r="I232" s="183"/>
      <c r="J232" s="175"/>
      <c r="K232" s="197"/>
      <c r="L232" s="194"/>
      <c r="M232" s="188">
        <v>16572.599999999999</v>
      </c>
      <c r="N232" s="188">
        <f t="shared" si="19"/>
        <v>16075.421999999999</v>
      </c>
      <c r="O232" s="189">
        <v>7.0000000000000007E-2</v>
      </c>
      <c r="P232" s="170">
        <f t="shared" si="20"/>
        <v>17200.701539999998</v>
      </c>
    </row>
    <row r="233" spans="1:16">
      <c r="A233" s="157"/>
      <c r="B233" s="154"/>
      <c r="C233" s="63"/>
      <c r="D233" s="199"/>
      <c r="E233" s="90"/>
      <c r="F233" s="61"/>
      <c r="G233" s="206"/>
      <c r="H233" s="74"/>
      <c r="I233" s="203"/>
      <c r="J233" s="175"/>
      <c r="K233" s="197"/>
      <c r="L233" s="194"/>
      <c r="M233" s="188">
        <v>6021.12</v>
      </c>
      <c r="N233" s="188">
        <f>M233-(M233*0.03)</f>
        <v>5840.4863999999998</v>
      </c>
      <c r="O233" s="189">
        <v>7.0000000000000007E-2</v>
      </c>
      <c r="P233" s="170">
        <f>(N233*O233)+N233</f>
        <v>6249.3204479999995</v>
      </c>
    </row>
    <row r="234" spans="1:16">
      <c r="A234" s="157"/>
      <c r="B234" s="154"/>
      <c r="C234" s="63"/>
      <c r="D234" s="199"/>
      <c r="E234" s="90"/>
      <c r="F234" s="61"/>
      <c r="G234" s="206"/>
      <c r="H234" s="74"/>
      <c r="I234" s="183"/>
      <c r="J234" s="175"/>
      <c r="K234" s="197"/>
      <c r="L234" s="194"/>
      <c r="M234" s="188">
        <v>8714.16</v>
      </c>
      <c r="N234" s="188">
        <f>M234-(M234*0.03)</f>
        <v>8452.7351999999992</v>
      </c>
      <c r="O234" s="189">
        <v>7.0000000000000007E-2</v>
      </c>
      <c r="P234" s="170">
        <f>(N234*O234)+N234</f>
        <v>9044.4266639999987</v>
      </c>
    </row>
    <row r="235" spans="1:16">
      <c r="A235" s="157"/>
      <c r="B235" s="154"/>
      <c r="C235" s="63"/>
      <c r="D235" s="199"/>
      <c r="E235" s="90"/>
      <c r="F235" s="61"/>
      <c r="G235" s="206"/>
      <c r="H235" s="74"/>
      <c r="I235" s="183"/>
      <c r="J235" s="175"/>
      <c r="K235" s="197"/>
      <c r="L235" s="194"/>
      <c r="M235" s="188">
        <v>0</v>
      </c>
      <c r="N235" s="188">
        <f>M235-(M235*0.03)</f>
        <v>0</v>
      </c>
      <c r="O235" s="189">
        <v>7.0000000000000007E-2</v>
      </c>
      <c r="P235" s="170">
        <f t="shared" ref="P235:P241" si="21">(N235*O235)+N235</f>
        <v>0</v>
      </c>
    </row>
    <row r="236" spans="1:16">
      <c r="A236" s="157"/>
      <c r="B236" s="154"/>
      <c r="C236" s="63"/>
      <c r="D236" s="199"/>
      <c r="E236" s="90"/>
      <c r="F236" s="61"/>
      <c r="G236" s="206"/>
      <c r="H236" s="74"/>
      <c r="I236" s="183"/>
      <c r="J236" s="175"/>
      <c r="K236" s="197"/>
      <c r="L236" s="194"/>
      <c r="M236" s="188">
        <v>18537.7</v>
      </c>
      <c r="N236" s="188">
        <f>M236-(M236*0.03)</f>
        <v>17981.569</v>
      </c>
      <c r="O236" s="189">
        <v>7.0000000000000007E-2</v>
      </c>
      <c r="P236" s="170">
        <f t="shared" si="21"/>
        <v>19240.278829999999</v>
      </c>
    </row>
    <row r="237" spans="1:16">
      <c r="A237" s="158"/>
      <c r="B237" s="154"/>
      <c r="C237" s="63"/>
      <c r="D237" s="199"/>
      <c r="E237" s="91"/>
      <c r="F237" s="61"/>
      <c r="G237" s="206"/>
      <c r="H237" s="74"/>
      <c r="I237" s="183"/>
      <c r="J237" s="175"/>
      <c r="K237" s="197"/>
      <c r="L237" s="194"/>
      <c r="M237" s="188">
        <v>9031.68</v>
      </c>
      <c r="N237" s="188">
        <f t="shared" ref="N237:N246" si="22">M237-(M237*0.03)</f>
        <v>8760.7296000000006</v>
      </c>
      <c r="O237" s="189">
        <v>7.0000000000000007E-2</v>
      </c>
      <c r="P237" s="170">
        <f t="shared" si="21"/>
        <v>9373.9806720000015</v>
      </c>
    </row>
    <row r="238" spans="1:16">
      <c r="A238" s="200"/>
      <c r="B238" s="154"/>
      <c r="C238" s="63"/>
      <c r="D238" s="199"/>
      <c r="E238" s="153"/>
      <c r="F238" s="61"/>
      <c r="G238" s="206"/>
      <c r="H238" s="88"/>
      <c r="I238" s="184"/>
      <c r="J238" s="201"/>
      <c r="K238" s="202"/>
      <c r="L238" s="194"/>
      <c r="N238" s="188">
        <f t="shared" si="22"/>
        <v>0</v>
      </c>
      <c r="O238" s="189">
        <v>7.0000000000000007E-2</v>
      </c>
      <c r="P238" s="170">
        <f t="shared" si="21"/>
        <v>0</v>
      </c>
    </row>
    <row r="239" spans="1:16">
      <c r="A239" s="157"/>
      <c r="B239" s="154"/>
      <c r="C239" s="63"/>
      <c r="D239" s="199"/>
      <c r="E239" s="198"/>
      <c r="F239" s="61"/>
      <c r="G239" s="206"/>
      <c r="H239" s="74"/>
      <c r="I239" s="183"/>
      <c r="J239" s="175"/>
      <c r="K239" s="197"/>
      <c r="L239" s="194"/>
      <c r="M239" s="188">
        <v>8478.9599999999991</v>
      </c>
      <c r="N239" s="188">
        <f t="shared" si="22"/>
        <v>8224.5911999999989</v>
      </c>
      <c r="O239" s="189">
        <v>7.0000000000000007E-2</v>
      </c>
      <c r="P239" s="170">
        <f t="shared" si="21"/>
        <v>8800.3125839999993</v>
      </c>
    </row>
    <row r="240" spans="1:16">
      <c r="A240" s="157"/>
      <c r="B240" s="154"/>
      <c r="C240" s="63"/>
      <c r="D240" s="199"/>
      <c r="E240" s="142"/>
      <c r="F240" s="61"/>
      <c r="G240" s="206"/>
      <c r="H240" s="74"/>
      <c r="I240" s="183"/>
      <c r="J240" s="175"/>
      <c r="K240" s="197"/>
      <c r="L240" s="194"/>
      <c r="M240" s="188">
        <v>11122.62</v>
      </c>
      <c r="N240" s="188">
        <f t="shared" si="22"/>
        <v>10788.941400000002</v>
      </c>
      <c r="O240" s="189">
        <v>7.0000000000000007E-2</v>
      </c>
      <c r="P240" s="170">
        <f t="shared" si="21"/>
        <v>11544.167298000002</v>
      </c>
    </row>
    <row r="241" spans="1:16">
      <c r="A241" s="157"/>
      <c r="B241" s="154"/>
      <c r="C241" s="63"/>
      <c r="D241" s="196"/>
      <c r="E241" s="120"/>
      <c r="F241" s="121"/>
      <c r="G241" s="206"/>
      <c r="H241" s="115"/>
      <c r="I241" s="185"/>
      <c r="J241" s="175"/>
      <c r="K241" s="197"/>
      <c r="L241" s="194"/>
      <c r="M241" s="188">
        <v>3813.12</v>
      </c>
      <c r="N241" s="188">
        <f t="shared" si="22"/>
        <v>3698.7264</v>
      </c>
      <c r="O241" s="189">
        <v>7.0000000000000007E-2</v>
      </c>
      <c r="P241" s="170">
        <f t="shared" si="21"/>
        <v>3957.637248</v>
      </c>
    </row>
    <row r="242" spans="1:16">
      <c r="A242" s="157"/>
      <c r="B242" s="154"/>
      <c r="C242" s="63"/>
      <c r="D242" s="196"/>
      <c r="E242" s="249"/>
      <c r="F242" s="121"/>
      <c r="G242" s="206"/>
      <c r="H242" s="115"/>
      <c r="I242" s="185"/>
      <c r="J242" s="175"/>
      <c r="K242" s="197"/>
      <c r="L242" s="194"/>
    </row>
    <row r="243" spans="1:16" ht="28.5" customHeight="1">
      <c r="A243" s="157"/>
      <c r="B243" s="154"/>
      <c r="C243" s="63"/>
      <c r="D243" s="196"/>
      <c r="E243" s="249"/>
      <c r="F243" s="121"/>
      <c r="G243" s="206"/>
      <c r="H243" s="115"/>
      <c r="I243" s="185"/>
      <c r="J243" s="175"/>
      <c r="K243" s="197"/>
      <c r="L243" s="194"/>
    </row>
    <row r="244" spans="1:16">
      <c r="A244" s="157"/>
      <c r="B244" s="154"/>
      <c r="C244" s="63"/>
      <c r="D244" s="196"/>
      <c r="E244" s="249"/>
      <c r="F244" s="121"/>
      <c r="G244" s="206"/>
      <c r="H244" s="115"/>
      <c r="I244" s="185"/>
      <c r="J244" s="175"/>
      <c r="K244" s="197"/>
      <c r="L244" s="194"/>
    </row>
    <row r="245" spans="1:16">
      <c r="A245" s="157"/>
      <c r="B245" s="154"/>
      <c r="C245" s="63"/>
      <c r="D245" s="196"/>
      <c r="E245" s="142"/>
      <c r="F245" s="61"/>
      <c r="G245" s="206"/>
      <c r="H245" s="74"/>
      <c r="I245" s="183"/>
      <c r="J245" s="175"/>
      <c r="K245" s="197"/>
      <c r="L245" s="194"/>
    </row>
    <row r="246" spans="1:16">
      <c r="A246" s="157"/>
      <c r="B246" s="161"/>
      <c r="C246" s="63"/>
      <c r="D246" s="196"/>
      <c r="E246" s="142"/>
      <c r="F246" s="61"/>
      <c r="G246" s="206"/>
      <c r="H246" s="74"/>
      <c r="I246" s="183"/>
      <c r="J246" s="175"/>
      <c r="K246" s="197"/>
      <c r="L246" s="194"/>
      <c r="M246" s="188">
        <v>8640</v>
      </c>
      <c r="N246" s="188">
        <f t="shared" si="22"/>
        <v>8380.7999999999993</v>
      </c>
      <c r="O246" s="189">
        <v>7.0000000000000007E-2</v>
      </c>
      <c r="P246" s="170">
        <f>(N246*O246)+N246</f>
        <v>8967.4559999999983</v>
      </c>
    </row>
    <row r="247" spans="1:16">
      <c r="A247" s="157"/>
      <c r="B247" s="161"/>
      <c r="C247" s="63"/>
      <c r="D247" s="196"/>
      <c r="E247" s="142"/>
      <c r="F247" s="61"/>
      <c r="G247" s="206"/>
      <c r="H247" s="74"/>
      <c r="I247" s="183"/>
      <c r="J247" s="175"/>
      <c r="K247" s="197"/>
      <c r="L247" s="194"/>
    </row>
    <row r="248" spans="1:16">
      <c r="A248" s="157"/>
      <c r="B248" s="161"/>
      <c r="C248" s="63"/>
      <c r="D248" s="196"/>
      <c r="E248" s="142"/>
      <c r="F248" s="61"/>
      <c r="G248" s="206"/>
      <c r="H248" s="74"/>
      <c r="I248" s="183"/>
      <c r="J248" s="175"/>
      <c r="K248" s="197"/>
      <c r="L248" s="194"/>
    </row>
    <row r="249" spans="1:16">
      <c r="A249" s="157"/>
      <c r="B249" s="161"/>
      <c r="C249" s="63"/>
      <c r="D249" s="196"/>
      <c r="E249" s="142"/>
      <c r="F249" s="61"/>
      <c r="G249" s="206"/>
      <c r="H249" s="74"/>
      <c r="I249" s="183"/>
      <c r="J249" s="175"/>
      <c r="K249" s="197"/>
      <c r="L249" s="194"/>
    </row>
    <row r="250" spans="1:16">
      <c r="A250" s="157"/>
      <c r="B250" s="161"/>
      <c r="C250" s="63"/>
      <c r="D250" s="196"/>
      <c r="E250" s="142"/>
      <c r="F250" s="61"/>
      <c r="G250" s="206"/>
      <c r="H250" s="74"/>
      <c r="I250" s="183"/>
      <c r="J250" s="175"/>
      <c r="K250" s="197"/>
      <c r="L250" s="194"/>
    </row>
    <row r="251" spans="1:16">
      <c r="A251" s="160"/>
      <c r="B251" s="154"/>
      <c r="C251" s="63"/>
      <c r="D251" s="196"/>
      <c r="E251" s="120"/>
      <c r="F251" s="121"/>
      <c r="G251" s="206"/>
      <c r="H251" s="115"/>
      <c r="I251" s="185"/>
      <c r="J251" s="174"/>
      <c r="K251" s="195"/>
      <c r="L251" s="194"/>
    </row>
    <row r="252" spans="1:16">
      <c r="F252" s="68"/>
    </row>
    <row r="253" spans="1:16">
      <c r="A253" s="44" t="s">
        <v>0</v>
      </c>
      <c r="B253" s="127"/>
      <c r="C253" s="104"/>
      <c r="F253" s="68"/>
      <c r="I253" s="179"/>
      <c r="K253" s="163"/>
      <c r="L253" s="168"/>
    </row>
    <row r="254" spans="1:16">
      <c r="A254" s="3480" t="s">
        <v>2512</v>
      </c>
      <c r="B254" s="3480"/>
      <c r="C254" s="44"/>
      <c r="D254" s="109"/>
      <c r="F254" s="68"/>
      <c r="I254" s="179"/>
      <c r="K254" s="163"/>
      <c r="L254" s="168"/>
    </row>
    <row r="255" spans="1:16" ht="35.25" thickBot="1">
      <c r="F255" s="68"/>
    </row>
    <row r="256" spans="1:16">
      <c r="A256" s="3493" t="s">
        <v>2</v>
      </c>
      <c r="B256" s="3482"/>
      <c r="C256" s="48" t="s">
        <v>3</v>
      </c>
      <c r="D256" s="128" t="s">
        <v>4</v>
      </c>
      <c r="E256" s="77" t="s">
        <v>5</v>
      </c>
      <c r="F256" s="78" t="s">
        <v>5</v>
      </c>
      <c r="G256" s="211" t="s">
        <v>6</v>
      </c>
      <c r="H256" s="140" t="s">
        <v>7</v>
      </c>
      <c r="I256" s="180" t="s">
        <v>1511</v>
      </c>
      <c r="J256" s="172" t="s">
        <v>9</v>
      </c>
      <c r="K256" s="186" t="s">
        <v>9</v>
      </c>
      <c r="L256" s="192" t="s">
        <v>2495</v>
      </c>
      <c r="M256" s="190"/>
    </row>
    <row r="257" spans="1:16" ht="35.25" thickBot="1">
      <c r="A257" s="155"/>
      <c r="B257" s="138"/>
      <c r="C257" s="50"/>
      <c r="D257" s="129" t="s">
        <v>10</v>
      </c>
      <c r="E257" s="79" t="s">
        <v>11</v>
      </c>
      <c r="F257" s="80" t="s">
        <v>12</v>
      </c>
      <c r="G257" s="212"/>
      <c r="H257" s="141" t="s">
        <v>13</v>
      </c>
      <c r="I257" s="181" t="s">
        <v>1512</v>
      </c>
      <c r="J257" s="173" t="s">
        <v>15</v>
      </c>
      <c r="K257" s="187" t="s">
        <v>14</v>
      </c>
      <c r="L257" s="193" t="s">
        <v>2496</v>
      </c>
      <c r="M257" s="190"/>
    </row>
    <row r="258" spans="1:16">
      <c r="A258" s="156"/>
      <c r="B258" s="154"/>
      <c r="C258" s="63"/>
      <c r="D258" s="199"/>
      <c r="E258" s="143"/>
      <c r="F258" s="69"/>
      <c r="G258" s="206"/>
      <c r="H258" s="74"/>
      <c r="I258" s="183"/>
      <c r="J258" s="175"/>
      <c r="K258" s="172"/>
      <c r="L258" s="194"/>
      <c r="M258" s="188">
        <v>3552</v>
      </c>
      <c r="N258" s="188">
        <f t="shared" ref="N258:N274" si="23">M258-(M258*0.03)</f>
        <v>3445.44</v>
      </c>
      <c r="O258" s="189">
        <v>7.0000000000000007E-2</v>
      </c>
      <c r="P258" s="170">
        <f t="shared" ref="P258:P274" si="24">(N258*O258)+N258</f>
        <v>3686.6208000000001</v>
      </c>
    </row>
    <row r="259" spans="1:16">
      <c r="A259" s="157"/>
      <c r="B259" s="154"/>
      <c r="C259" s="63"/>
      <c r="D259" s="199"/>
      <c r="E259" s="145"/>
      <c r="F259" s="61"/>
      <c r="G259" s="206"/>
      <c r="H259" s="74"/>
      <c r="I259" s="183"/>
      <c r="J259" s="175"/>
      <c r="K259" s="176"/>
      <c r="L259" s="194"/>
      <c r="N259" s="188">
        <f t="shared" si="23"/>
        <v>0</v>
      </c>
      <c r="O259" s="189">
        <v>7.0000000000000007E-2</v>
      </c>
      <c r="P259" s="170">
        <f t="shared" si="24"/>
        <v>0</v>
      </c>
    </row>
    <row r="260" spans="1:16">
      <c r="A260" s="157"/>
      <c r="B260" s="239"/>
      <c r="C260" s="63"/>
      <c r="D260" s="199"/>
      <c r="E260" s="145"/>
      <c r="F260" s="61"/>
      <c r="G260" s="206"/>
      <c r="H260" s="74"/>
      <c r="I260" s="183"/>
      <c r="J260" s="175"/>
      <c r="K260" s="245"/>
      <c r="L260" s="194"/>
      <c r="M260" s="188">
        <v>9498.06</v>
      </c>
      <c r="N260" s="188">
        <f t="shared" si="23"/>
        <v>9213.118199999999</v>
      </c>
      <c r="O260" s="189">
        <v>7.0000000000000007E-2</v>
      </c>
      <c r="P260" s="170">
        <f t="shared" si="24"/>
        <v>9858.0364739999986</v>
      </c>
    </row>
    <row r="261" spans="1:16">
      <c r="A261" s="157"/>
      <c r="B261" s="239"/>
      <c r="C261" s="63"/>
      <c r="D261" s="199"/>
      <c r="E261" s="145"/>
      <c r="F261" s="61"/>
      <c r="G261" s="206"/>
      <c r="H261" s="74"/>
      <c r="I261" s="183"/>
      <c r="J261" s="175"/>
      <c r="K261" s="197"/>
      <c r="L261" s="194"/>
      <c r="M261" s="188">
        <v>15305.4</v>
      </c>
      <c r="N261" s="188">
        <f t="shared" si="23"/>
        <v>14846.237999999999</v>
      </c>
      <c r="O261" s="189">
        <v>7.0000000000000007E-2</v>
      </c>
      <c r="P261" s="170">
        <f t="shared" si="24"/>
        <v>15885.47466</v>
      </c>
    </row>
    <row r="262" spans="1:16">
      <c r="A262" s="157"/>
      <c r="B262" s="154"/>
      <c r="C262" s="63"/>
      <c r="D262" s="199"/>
      <c r="E262" s="145"/>
      <c r="F262" s="61"/>
      <c r="G262" s="206"/>
      <c r="H262" s="74"/>
      <c r="I262" s="183"/>
      <c r="J262" s="175"/>
      <c r="K262" s="197"/>
      <c r="L262" s="194"/>
      <c r="N262" s="188">
        <f t="shared" si="23"/>
        <v>0</v>
      </c>
      <c r="O262" s="189">
        <v>7.0000000000000007E-2</v>
      </c>
      <c r="P262" s="170">
        <f t="shared" si="24"/>
        <v>0</v>
      </c>
    </row>
    <row r="263" spans="1:16">
      <c r="A263" s="157"/>
      <c r="B263" s="154"/>
      <c r="C263" s="63"/>
      <c r="D263" s="199"/>
      <c r="E263" s="145"/>
      <c r="F263" s="61"/>
      <c r="G263" s="206"/>
      <c r="H263" s="74"/>
      <c r="I263" s="183"/>
      <c r="J263" s="175"/>
      <c r="K263" s="197"/>
      <c r="L263" s="194"/>
      <c r="N263" s="188">
        <f t="shared" si="23"/>
        <v>0</v>
      </c>
      <c r="O263" s="189">
        <v>7.0000000000000007E-2</v>
      </c>
      <c r="P263" s="170">
        <f t="shared" si="24"/>
        <v>0</v>
      </c>
    </row>
    <row r="264" spans="1:16">
      <c r="A264" s="157"/>
      <c r="B264" s="154"/>
      <c r="C264" s="63"/>
      <c r="D264" s="199"/>
      <c r="E264" s="145"/>
      <c r="F264" s="61"/>
      <c r="G264" s="206"/>
      <c r="H264" s="74"/>
      <c r="I264" s="183"/>
      <c r="J264" s="175"/>
      <c r="K264" s="197"/>
      <c r="L264" s="194"/>
      <c r="N264" s="188">
        <f t="shared" si="23"/>
        <v>0</v>
      </c>
      <c r="O264" s="189">
        <v>7.0000000000000007E-2</v>
      </c>
      <c r="P264" s="170">
        <f t="shared" si="24"/>
        <v>0</v>
      </c>
    </row>
    <row r="265" spans="1:16">
      <c r="A265" s="157"/>
      <c r="B265" s="239"/>
      <c r="C265" s="222"/>
      <c r="D265" s="3464"/>
      <c r="E265" s="145"/>
      <c r="F265" s="61"/>
      <c r="G265" s="223"/>
      <c r="H265" s="224"/>
      <c r="I265" s="225"/>
      <c r="J265" s="209"/>
      <c r="K265" s="244"/>
      <c r="M265" s="188">
        <v>14244.12</v>
      </c>
      <c r="N265" s="188">
        <f t="shared" si="23"/>
        <v>13816.796400000001</v>
      </c>
      <c r="O265" s="189">
        <v>7.0000000000000007E-2</v>
      </c>
      <c r="P265" s="170">
        <f t="shared" si="24"/>
        <v>14783.972148000001</v>
      </c>
    </row>
    <row r="266" spans="1:16">
      <c r="A266" s="157"/>
      <c r="B266" s="162"/>
      <c r="C266" s="63"/>
      <c r="D266" s="199"/>
      <c r="E266" s="145"/>
      <c r="F266" s="61"/>
      <c r="G266" s="206"/>
      <c r="H266" s="74"/>
      <c r="I266" s="183"/>
      <c r="J266" s="175"/>
      <c r="K266" s="197"/>
      <c r="L266" s="194"/>
      <c r="M266" s="188">
        <v>3240</v>
      </c>
      <c r="N266" s="188">
        <f t="shared" si="23"/>
        <v>3142.8</v>
      </c>
      <c r="O266" s="189">
        <v>7.0000000000000007E-2</v>
      </c>
      <c r="P266" s="170">
        <f t="shared" si="24"/>
        <v>3362.7960000000003</v>
      </c>
    </row>
    <row r="267" spans="1:16">
      <c r="A267" s="157"/>
      <c r="B267" s="162"/>
      <c r="C267" s="63"/>
      <c r="D267" s="199"/>
      <c r="E267" s="145"/>
      <c r="F267" s="61"/>
      <c r="G267" s="206"/>
      <c r="H267" s="74"/>
      <c r="I267" s="183"/>
      <c r="J267" s="175"/>
      <c r="K267" s="197"/>
      <c r="L267" s="194"/>
      <c r="M267" s="188">
        <v>14700</v>
      </c>
      <c r="N267" s="188">
        <f t="shared" si="23"/>
        <v>14259</v>
      </c>
      <c r="O267" s="189">
        <v>7.0000000000000007E-2</v>
      </c>
      <c r="P267" s="170">
        <f t="shared" si="24"/>
        <v>15257.130000000001</v>
      </c>
    </row>
    <row r="268" spans="1:16">
      <c r="A268" s="157"/>
      <c r="B268" s="162"/>
      <c r="C268" s="222"/>
      <c r="D268" s="3464"/>
      <c r="E268" s="237"/>
      <c r="F268" s="238"/>
      <c r="G268" s="223"/>
      <c r="H268" s="224"/>
      <c r="I268" s="225"/>
      <c r="J268" s="209"/>
      <c r="K268" s="226"/>
      <c r="L268" s="229"/>
      <c r="M268" s="188">
        <v>14582.7</v>
      </c>
      <c r="N268" s="188">
        <f t="shared" si="23"/>
        <v>14145.219000000001</v>
      </c>
      <c r="O268" s="189">
        <v>7.0000000000000007E-2</v>
      </c>
      <c r="P268" s="170">
        <f t="shared" si="24"/>
        <v>15135.384330000001</v>
      </c>
    </row>
    <row r="269" spans="1:16">
      <c r="A269" s="157"/>
      <c r="B269" s="162"/>
      <c r="C269" s="63"/>
      <c r="D269" s="199"/>
      <c r="E269" s="145"/>
      <c r="F269" s="61"/>
      <c r="G269" s="206"/>
      <c r="H269" s="74"/>
      <c r="I269" s="183"/>
      <c r="J269" s="175"/>
      <c r="K269" s="197"/>
      <c r="L269" s="229"/>
      <c r="M269" s="188">
        <v>13483.8</v>
      </c>
      <c r="N269" s="188">
        <f t="shared" si="23"/>
        <v>13079.286</v>
      </c>
      <c r="O269" s="189">
        <v>7.0000000000000007E-2</v>
      </c>
      <c r="P269" s="170">
        <f t="shared" si="24"/>
        <v>13994.836020000001</v>
      </c>
    </row>
    <row r="270" spans="1:16">
      <c r="A270" s="157"/>
      <c r="B270" s="154"/>
      <c r="C270" s="222"/>
      <c r="D270" s="3464"/>
      <c r="E270" s="145"/>
      <c r="F270" s="61"/>
      <c r="G270" s="223"/>
      <c r="H270" s="224"/>
      <c r="I270" s="225"/>
      <c r="J270" s="209"/>
      <c r="K270" s="226"/>
      <c r="L270" s="229"/>
      <c r="M270" s="188">
        <v>2669.52</v>
      </c>
      <c r="N270" s="188">
        <f t="shared" si="23"/>
        <v>2589.4344000000001</v>
      </c>
      <c r="O270" s="189">
        <v>7.0000000000000007E-2</v>
      </c>
      <c r="P270" s="170">
        <f t="shared" si="24"/>
        <v>2770.6948080000002</v>
      </c>
    </row>
    <row r="271" spans="1:16">
      <c r="A271" s="157"/>
      <c r="B271" s="154"/>
      <c r="C271" s="222"/>
      <c r="D271" s="3464"/>
      <c r="E271" s="145"/>
      <c r="F271" s="61"/>
      <c r="G271" s="223"/>
      <c r="H271" s="224"/>
      <c r="I271" s="225"/>
      <c r="J271" s="209"/>
      <c r="K271" s="226"/>
      <c r="L271" s="229"/>
      <c r="N271" s="188">
        <f t="shared" si="23"/>
        <v>0</v>
      </c>
      <c r="O271" s="189">
        <v>7.0000000000000007E-2</v>
      </c>
      <c r="P271" s="170">
        <f t="shared" si="24"/>
        <v>0</v>
      </c>
    </row>
    <row r="272" spans="1:16">
      <c r="A272" s="221"/>
      <c r="B272" s="240"/>
      <c r="C272" s="222"/>
      <c r="D272" s="3464"/>
      <c r="E272" s="145"/>
      <c r="F272" s="61"/>
      <c r="G272" s="223"/>
      <c r="H272" s="224"/>
      <c r="I272" s="225"/>
      <c r="J272" s="209"/>
      <c r="K272" s="226"/>
      <c r="L272" s="229"/>
      <c r="M272" s="188">
        <v>12972.96</v>
      </c>
      <c r="N272" s="188">
        <f t="shared" si="23"/>
        <v>12583.771199999999</v>
      </c>
      <c r="O272" s="189">
        <v>7.0000000000000007E-2</v>
      </c>
      <c r="P272" s="170">
        <f t="shared" si="24"/>
        <v>13464.635183999999</v>
      </c>
    </row>
    <row r="273" spans="1:16">
      <c r="A273" s="157"/>
      <c r="B273" s="154"/>
      <c r="C273" s="63"/>
      <c r="D273" s="199"/>
      <c r="E273" s="145"/>
      <c r="F273" s="61"/>
      <c r="G273" s="206"/>
      <c r="H273" s="74"/>
      <c r="I273" s="183"/>
      <c r="J273" s="209"/>
      <c r="K273" s="197"/>
      <c r="L273" s="229"/>
      <c r="M273" s="188">
        <v>12687.84</v>
      </c>
      <c r="N273" s="188">
        <f t="shared" si="23"/>
        <v>12307.2048</v>
      </c>
      <c r="O273" s="189">
        <v>7.0000000000000007E-2</v>
      </c>
      <c r="P273" s="170">
        <f t="shared" si="24"/>
        <v>13168.709135999999</v>
      </c>
    </row>
    <row r="274" spans="1:16">
      <c r="A274" s="157"/>
      <c r="B274" s="154"/>
      <c r="C274" s="63"/>
      <c r="D274" s="199"/>
      <c r="E274" s="145"/>
      <c r="F274" s="61"/>
      <c r="G274" s="206"/>
      <c r="H274" s="74"/>
      <c r="I274" s="183"/>
      <c r="J274" s="175"/>
      <c r="K274" s="197"/>
      <c r="L274" s="194"/>
      <c r="M274" s="188">
        <v>16572.599999999999</v>
      </c>
      <c r="N274" s="188">
        <f t="shared" si="23"/>
        <v>16075.421999999999</v>
      </c>
      <c r="O274" s="189">
        <v>7.0000000000000007E-2</v>
      </c>
      <c r="P274" s="170">
        <f t="shared" si="24"/>
        <v>17200.701539999998</v>
      </c>
    </row>
    <row r="275" spans="1:16">
      <c r="A275" s="157"/>
      <c r="B275" s="154"/>
      <c r="C275" s="63"/>
      <c r="D275" s="199"/>
      <c r="E275" s="90"/>
      <c r="F275" s="61"/>
      <c r="G275" s="206"/>
      <c r="H275" s="74"/>
      <c r="I275" s="203"/>
      <c r="J275" s="175"/>
      <c r="K275" s="197"/>
      <c r="L275" s="194"/>
      <c r="M275" s="188">
        <v>6021.12</v>
      </c>
      <c r="N275" s="188">
        <f>M275-(M275*0.03)</f>
        <v>5840.4863999999998</v>
      </c>
      <c r="O275" s="189">
        <v>7.0000000000000007E-2</v>
      </c>
      <c r="P275" s="170">
        <f>(N275*O275)+N275</f>
        <v>6249.3204479999995</v>
      </c>
    </row>
    <row r="276" spans="1:16">
      <c r="A276" s="157"/>
      <c r="B276" s="154"/>
      <c r="C276" s="63"/>
      <c r="D276" s="199"/>
      <c r="E276" s="90"/>
      <c r="F276" s="61"/>
      <c r="G276" s="206"/>
      <c r="H276" s="74"/>
      <c r="I276" s="183"/>
      <c r="J276" s="175"/>
      <c r="K276" s="197"/>
      <c r="L276" s="194"/>
      <c r="M276" s="188">
        <v>8714.16</v>
      </c>
      <c r="N276" s="188">
        <f>M276-(M276*0.03)</f>
        <v>8452.7351999999992</v>
      </c>
      <c r="O276" s="189">
        <v>7.0000000000000007E-2</v>
      </c>
      <c r="P276" s="170">
        <f>(N276*O276)+N276</f>
        <v>9044.4266639999987</v>
      </c>
    </row>
    <row r="277" spans="1:16">
      <c r="A277" s="157"/>
      <c r="B277" s="154"/>
      <c r="C277" s="63"/>
      <c r="D277" s="199"/>
      <c r="E277" s="90"/>
      <c r="F277" s="61"/>
      <c r="G277" s="206"/>
      <c r="H277" s="74"/>
      <c r="I277" s="183"/>
      <c r="J277" s="175"/>
      <c r="K277" s="197"/>
      <c r="L277" s="194"/>
      <c r="M277" s="188">
        <v>0</v>
      </c>
      <c r="N277" s="188">
        <f>M277-(M277*0.03)</f>
        <v>0</v>
      </c>
      <c r="O277" s="189">
        <v>7.0000000000000007E-2</v>
      </c>
      <c r="P277" s="170">
        <f t="shared" ref="P277:P283" si="25">(N277*O277)+N277</f>
        <v>0</v>
      </c>
    </row>
    <row r="278" spans="1:16">
      <c r="A278" s="157"/>
      <c r="B278" s="154"/>
      <c r="C278" s="63"/>
      <c r="D278" s="199"/>
      <c r="E278" s="90"/>
      <c r="F278" s="61"/>
      <c r="G278" s="206"/>
      <c r="H278" s="74"/>
      <c r="I278" s="183"/>
      <c r="J278" s="175"/>
      <c r="K278" s="197"/>
      <c r="L278" s="194"/>
      <c r="M278" s="188">
        <v>18537.7</v>
      </c>
      <c r="N278" s="188">
        <f>M278-(M278*0.03)</f>
        <v>17981.569</v>
      </c>
      <c r="O278" s="189">
        <v>7.0000000000000007E-2</v>
      </c>
      <c r="P278" s="170">
        <f t="shared" si="25"/>
        <v>19240.278829999999</v>
      </c>
    </row>
    <row r="279" spans="1:16" ht="35.25" customHeight="1">
      <c r="A279" s="158"/>
      <c r="B279" s="154"/>
      <c r="C279" s="63"/>
      <c r="D279" s="199"/>
      <c r="E279" s="91"/>
      <c r="F279" s="61"/>
      <c r="G279" s="206"/>
      <c r="H279" s="74"/>
      <c r="I279" s="183"/>
      <c r="J279" s="175"/>
      <c r="K279" s="197"/>
      <c r="L279" s="194"/>
      <c r="M279" s="188">
        <v>9031.68</v>
      </c>
      <c r="N279" s="188">
        <f t="shared" ref="N279:N289" si="26">M279-(M279*0.03)</f>
        <v>8760.7296000000006</v>
      </c>
      <c r="O279" s="189">
        <v>7.0000000000000007E-2</v>
      </c>
      <c r="P279" s="170">
        <f t="shared" si="25"/>
        <v>9373.9806720000015</v>
      </c>
    </row>
    <row r="280" spans="1:16">
      <c r="A280" s="200"/>
      <c r="B280" s="154"/>
      <c r="C280" s="63"/>
      <c r="D280" s="199"/>
      <c r="E280" s="153"/>
      <c r="F280" s="61"/>
      <c r="G280" s="206"/>
      <c r="H280" s="88"/>
      <c r="I280" s="184"/>
      <c r="J280" s="201"/>
      <c r="K280" s="202"/>
      <c r="L280" s="194"/>
      <c r="N280" s="188">
        <f t="shared" si="26"/>
        <v>0</v>
      </c>
      <c r="O280" s="189">
        <v>7.0000000000000007E-2</v>
      </c>
      <c r="P280" s="170">
        <f t="shared" si="25"/>
        <v>0</v>
      </c>
    </row>
    <row r="281" spans="1:16">
      <c r="A281" s="157"/>
      <c r="B281" s="154"/>
      <c r="C281" s="63"/>
      <c r="D281" s="199"/>
      <c r="E281" s="198"/>
      <c r="F281" s="61"/>
      <c r="G281" s="206"/>
      <c r="H281" s="74"/>
      <c r="I281" s="183"/>
      <c r="J281" s="175"/>
      <c r="K281" s="197"/>
      <c r="L281" s="194"/>
      <c r="M281" s="188">
        <v>8478.9599999999991</v>
      </c>
      <c r="N281" s="188">
        <f t="shared" si="26"/>
        <v>8224.5911999999989</v>
      </c>
      <c r="O281" s="189">
        <v>7.0000000000000007E-2</v>
      </c>
      <c r="P281" s="170">
        <f t="shared" si="25"/>
        <v>8800.3125839999993</v>
      </c>
    </row>
    <row r="282" spans="1:16" ht="35.25" customHeight="1">
      <c r="A282" s="157"/>
      <c r="B282" s="154"/>
      <c r="C282" s="63"/>
      <c r="D282" s="199"/>
      <c r="E282" s="142"/>
      <c r="F282" s="61"/>
      <c r="G282" s="206"/>
      <c r="H282" s="74"/>
      <c r="I282" s="183"/>
      <c r="J282" s="175"/>
      <c r="K282" s="197"/>
      <c r="L282" s="194"/>
      <c r="M282" s="188">
        <v>11122.62</v>
      </c>
      <c r="N282" s="188">
        <f t="shared" si="26"/>
        <v>10788.941400000002</v>
      </c>
      <c r="O282" s="189">
        <v>7.0000000000000007E-2</v>
      </c>
      <c r="P282" s="170">
        <f t="shared" si="25"/>
        <v>11544.167298000002</v>
      </c>
    </row>
    <row r="283" spans="1:16">
      <c r="A283" s="157"/>
      <c r="B283" s="154"/>
      <c r="C283" s="63"/>
      <c r="D283" s="196"/>
      <c r="E283" s="120"/>
      <c r="F283" s="121"/>
      <c r="G283" s="206"/>
      <c r="H283" s="115"/>
      <c r="I283" s="185"/>
      <c r="J283" s="175"/>
      <c r="K283" s="197"/>
      <c r="L283" s="194"/>
      <c r="M283" s="188">
        <v>3813.12</v>
      </c>
      <c r="N283" s="188">
        <f t="shared" si="26"/>
        <v>3698.7264</v>
      </c>
      <c r="O283" s="189">
        <v>7.0000000000000007E-2</v>
      </c>
      <c r="P283" s="170">
        <f t="shared" si="25"/>
        <v>3957.637248</v>
      </c>
    </row>
    <row r="284" spans="1:16">
      <c r="A284" s="157"/>
      <c r="B284" s="154"/>
      <c r="C284" s="63"/>
      <c r="D284" s="196"/>
      <c r="E284" s="249"/>
      <c r="F284" s="121"/>
      <c r="G284" s="206"/>
      <c r="H284" s="115"/>
      <c r="I284" s="185"/>
      <c r="J284" s="175"/>
      <c r="K284" s="197"/>
      <c r="L284" s="194"/>
    </row>
    <row r="285" spans="1:16">
      <c r="A285" s="157"/>
      <c r="B285" s="154"/>
      <c r="C285" s="63"/>
      <c r="D285" s="196"/>
      <c r="E285" s="249"/>
      <c r="F285" s="121"/>
      <c r="G285" s="206"/>
      <c r="H285" s="115"/>
      <c r="I285" s="185"/>
      <c r="J285" s="175"/>
      <c r="K285" s="197"/>
      <c r="L285" s="194"/>
    </row>
    <row r="286" spans="1:16">
      <c r="A286" s="157"/>
      <c r="B286" s="154"/>
      <c r="C286" s="63"/>
      <c r="D286" s="196"/>
      <c r="E286" s="249"/>
      <c r="F286" s="121"/>
      <c r="G286" s="206"/>
      <c r="H286" s="115"/>
      <c r="I286" s="185"/>
      <c r="J286" s="175"/>
      <c r="K286" s="197"/>
      <c r="L286" s="194"/>
    </row>
    <row r="287" spans="1:16">
      <c r="A287" s="157"/>
      <c r="B287" s="154"/>
      <c r="C287" s="63"/>
      <c r="D287" s="196"/>
      <c r="E287" s="142"/>
      <c r="F287" s="61"/>
      <c r="G287" s="206"/>
      <c r="H287" s="74"/>
      <c r="I287" s="183"/>
      <c r="J287" s="175"/>
      <c r="K287" s="197"/>
      <c r="L287" s="194"/>
    </row>
    <row r="288" spans="1:16">
      <c r="A288" s="157"/>
      <c r="B288" s="154"/>
      <c r="C288" s="63"/>
      <c r="D288" s="196"/>
      <c r="E288" s="142"/>
      <c r="F288" s="61"/>
      <c r="G288" s="206"/>
      <c r="H288" s="74"/>
      <c r="I288" s="183"/>
      <c r="J288" s="175"/>
      <c r="K288" s="197"/>
      <c r="L288" s="194"/>
    </row>
    <row r="289" spans="1:16">
      <c r="A289" s="157"/>
      <c r="B289" s="161"/>
      <c r="C289" s="63"/>
      <c r="D289" s="196"/>
      <c r="E289" s="142"/>
      <c r="F289" s="61"/>
      <c r="G289" s="206"/>
      <c r="H289" s="74"/>
      <c r="I289" s="183"/>
      <c r="J289" s="175"/>
      <c r="K289" s="197"/>
      <c r="L289" s="194"/>
      <c r="M289" s="188">
        <v>8640</v>
      </c>
      <c r="N289" s="188">
        <f t="shared" si="26"/>
        <v>8380.7999999999993</v>
      </c>
      <c r="O289" s="189">
        <v>7.0000000000000007E-2</v>
      </c>
      <c r="P289" s="170">
        <f>(N289*O289)+N289</f>
        <v>8967.4559999999983</v>
      </c>
    </row>
    <row r="290" spans="1:16">
      <c r="A290" s="157"/>
      <c r="B290" s="161"/>
      <c r="C290" s="63"/>
      <c r="D290" s="196"/>
      <c r="E290" s="142"/>
      <c r="F290" s="61"/>
      <c r="G290" s="206"/>
      <c r="H290" s="74"/>
      <c r="I290" s="183"/>
      <c r="J290" s="175"/>
      <c r="K290" s="197"/>
      <c r="L290" s="194"/>
    </row>
    <row r="291" spans="1:16">
      <c r="A291" s="157"/>
      <c r="B291" s="161"/>
      <c r="C291" s="63"/>
      <c r="D291" s="196"/>
      <c r="E291" s="142"/>
      <c r="F291" s="61"/>
      <c r="G291" s="206"/>
      <c r="H291" s="74"/>
      <c r="I291" s="183"/>
      <c r="J291" s="175"/>
      <c r="K291" s="197"/>
      <c r="L291" s="194"/>
    </row>
    <row r="292" spans="1:16">
      <c r="A292" s="157"/>
      <c r="B292" s="161"/>
      <c r="C292" s="63"/>
      <c r="D292" s="196"/>
      <c r="E292" s="142"/>
      <c r="F292" s="61"/>
      <c r="G292" s="206"/>
      <c r="H292" s="74"/>
      <c r="I292" s="183"/>
      <c r="J292" s="175"/>
      <c r="K292" s="197"/>
      <c r="L292" s="194"/>
    </row>
    <row r="293" spans="1:16">
      <c r="A293" s="160"/>
      <c r="B293" s="154"/>
      <c r="C293" s="63"/>
      <c r="D293" s="196"/>
      <c r="E293" s="120"/>
      <c r="F293" s="121"/>
      <c r="G293" s="206"/>
      <c r="H293" s="115"/>
      <c r="I293" s="185"/>
      <c r="J293" s="174"/>
      <c r="K293" s="195"/>
      <c r="L293" s="194"/>
    </row>
    <row r="294" spans="1:16">
      <c r="A294" s="204"/>
      <c r="B294" s="3444"/>
      <c r="C294" s="3444"/>
      <c r="D294" s="3444"/>
      <c r="E294" s="3444"/>
      <c r="F294" s="3444"/>
      <c r="G294" s="213"/>
      <c r="H294" s="109"/>
      <c r="I294" s="3444"/>
      <c r="J294" s="234"/>
      <c r="K294" s="3444"/>
      <c r="L294" s="235"/>
      <c r="M294" s="3444"/>
    </row>
    <row r="295" spans="1:16">
      <c r="A295" s="44" t="s">
        <v>0</v>
      </c>
      <c r="B295" s="127"/>
      <c r="C295" s="104"/>
      <c r="F295" s="68"/>
      <c r="I295" s="179"/>
      <c r="K295" s="163"/>
      <c r="L295" s="168"/>
    </row>
    <row r="296" spans="1:16">
      <c r="A296" s="3480" t="s">
        <v>2512</v>
      </c>
      <c r="B296" s="3480"/>
      <c r="C296" s="44"/>
      <c r="D296" s="109"/>
      <c r="F296" s="68"/>
      <c r="I296" s="179"/>
      <c r="K296" s="163"/>
      <c r="L296" s="168"/>
    </row>
    <row r="297" spans="1:16" ht="35.25" thickBot="1">
      <c r="F297" s="68"/>
    </row>
    <row r="298" spans="1:16">
      <c r="A298" s="3493" t="s">
        <v>2</v>
      </c>
      <c r="B298" s="3482"/>
      <c r="C298" s="48" t="s">
        <v>3</v>
      </c>
      <c r="D298" s="128" t="s">
        <v>4</v>
      </c>
      <c r="E298" s="77" t="s">
        <v>5</v>
      </c>
      <c r="F298" s="78" t="s">
        <v>5</v>
      </c>
      <c r="G298" s="211" t="s">
        <v>6</v>
      </c>
      <c r="H298" s="140" t="s">
        <v>7</v>
      </c>
      <c r="I298" s="180" t="s">
        <v>1511</v>
      </c>
      <c r="J298" s="172" t="s">
        <v>9</v>
      </c>
      <c r="K298" s="186" t="s">
        <v>9</v>
      </c>
      <c r="L298" s="192" t="s">
        <v>2495</v>
      </c>
      <c r="M298" s="190"/>
    </row>
    <row r="299" spans="1:16" ht="35.25" thickBot="1">
      <c r="A299" s="155"/>
      <c r="B299" s="138"/>
      <c r="C299" s="50"/>
      <c r="D299" s="129" t="s">
        <v>10</v>
      </c>
      <c r="E299" s="79" t="s">
        <v>11</v>
      </c>
      <c r="F299" s="80" t="s">
        <v>12</v>
      </c>
      <c r="G299" s="212"/>
      <c r="H299" s="141" t="s">
        <v>13</v>
      </c>
      <c r="I299" s="181" t="s">
        <v>1512</v>
      </c>
      <c r="J299" s="173" t="s">
        <v>15</v>
      </c>
      <c r="K299" s="187" t="s">
        <v>14</v>
      </c>
      <c r="L299" s="193" t="s">
        <v>2496</v>
      </c>
      <c r="M299" s="190"/>
    </row>
    <row r="300" spans="1:16">
      <c r="A300" s="156"/>
      <c r="B300" s="154"/>
      <c r="C300" s="63"/>
      <c r="D300" s="199"/>
      <c r="E300" s="143"/>
      <c r="F300" s="69"/>
      <c r="G300" s="206"/>
      <c r="H300" s="74"/>
      <c r="I300" s="183"/>
      <c r="J300" s="175"/>
      <c r="K300" s="172"/>
      <c r="L300" s="194"/>
      <c r="M300" s="188">
        <v>3552</v>
      </c>
      <c r="N300" s="188">
        <f t="shared" ref="N300:N316" si="27">M300-(M300*0.03)</f>
        <v>3445.44</v>
      </c>
      <c r="O300" s="189">
        <v>7.0000000000000007E-2</v>
      </c>
      <c r="P300" s="170">
        <f t="shared" ref="P300:P316" si="28">(N300*O300)+N300</f>
        <v>3686.6208000000001</v>
      </c>
    </row>
    <row r="301" spans="1:16">
      <c r="A301" s="157"/>
      <c r="B301" s="154"/>
      <c r="C301" s="63"/>
      <c r="D301" s="199"/>
      <c r="E301" s="145"/>
      <c r="F301" s="61"/>
      <c r="G301" s="206"/>
      <c r="H301" s="74"/>
      <c r="I301" s="183"/>
      <c r="J301" s="175"/>
      <c r="K301" s="176"/>
      <c r="L301" s="194"/>
      <c r="N301" s="188">
        <f t="shared" si="27"/>
        <v>0</v>
      </c>
      <c r="O301" s="189">
        <v>7.0000000000000007E-2</v>
      </c>
      <c r="P301" s="170">
        <f t="shared" si="28"/>
        <v>0</v>
      </c>
    </row>
    <row r="302" spans="1:16">
      <c r="A302" s="157"/>
      <c r="B302" s="239"/>
      <c r="C302" s="63"/>
      <c r="D302" s="199"/>
      <c r="E302" s="145"/>
      <c r="F302" s="61"/>
      <c r="G302" s="206"/>
      <c r="H302" s="74"/>
      <c r="I302" s="183"/>
      <c r="J302" s="175"/>
      <c r="K302" s="245"/>
      <c r="L302" s="194"/>
      <c r="M302" s="188">
        <v>9498.06</v>
      </c>
      <c r="N302" s="188">
        <f t="shared" si="27"/>
        <v>9213.118199999999</v>
      </c>
      <c r="O302" s="189">
        <v>7.0000000000000007E-2</v>
      </c>
      <c r="P302" s="170">
        <f t="shared" si="28"/>
        <v>9858.0364739999986</v>
      </c>
    </row>
    <row r="303" spans="1:16">
      <c r="A303" s="157"/>
      <c r="B303" s="239"/>
      <c r="C303" s="63"/>
      <c r="D303" s="199"/>
      <c r="E303" s="145"/>
      <c r="F303" s="61"/>
      <c r="G303" s="206"/>
      <c r="H303" s="74"/>
      <c r="I303" s="183"/>
      <c r="J303" s="175"/>
      <c r="K303" s="197"/>
      <c r="L303" s="194"/>
      <c r="M303" s="188">
        <v>15305.4</v>
      </c>
      <c r="N303" s="188">
        <f t="shared" si="27"/>
        <v>14846.237999999999</v>
      </c>
      <c r="O303" s="189">
        <v>7.0000000000000007E-2</v>
      </c>
      <c r="P303" s="170">
        <f t="shared" si="28"/>
        <v>15885.47466</v>
      </c>
    </row>
    <row r="304" spans="1:16">
      <c r="A304" s="157"/>
      <c r="B304" s="154"/>
      <c r="C304" s="63"/>
      <c r="D304" s="199"/>
      <c r="E304" s="145"/>
      <c r="F304" s="61"/>
      <c r="G304" s="206"/>
      <c r="H304" s="74"/>
      <c r="I304" s="183"/>
      <c r="J304" s="175"/>
      <c r="K304" s="197"/>
      <c r="L304" s="194"/>
      <c r="N304" s="188">
        <f t="shared" si="27"/>
        <v>0</v>
      </c>
      <c r="O304" s="189">
        <v>7.0000000000000007E-2</v>
      </c>
      <c r="P304" s="170">
        <f t="shared" si="28"/>
        <v>0</v>
      </c>
    </row>
    <row r="305" spans="1:16">
      <c r="A305" s="157"/>
      <c r="B305" s="154"/>
      <c r="C305" s="63"/>
      <c r="D305" s="199"/>
      <c r="E305" s="145"/>
      <c r="F305" s="61"/>
      <c r="G305" s="206"/>
      <c r="H305" s="74"/>
      <c r="I305" s="183"/>
      <c r="J305" s="175"/>
      <c r="K305" s="197"/>
      <c r="L305" s="194"/>
      <c r="N305" s="188">
        <f t="shared" si="27"/>
        <v>0</v>
      </c>
      <c r="O305" s="189">
        <v>7.0000000000000007E-2</v>
      </c>
      <c r="P305" s="170">
        <f t="shared" si="28"/>
        <v>0</v>
      </c>
    </row>
    <row r="306" spans="1:16">
      <c r="A306" s="157"/>
      <c r="B306" s="154"/>
      <c r="C306" s="63"/>
      <c r="D306" s="199"/>
      <c r="E306" s="145"/>
      <c r="F306" s="61"/>
      <c r="G306" s="206"/>
      <c r="H306" s="74"/>
      <c r="I306" s="183"/>
      <c r="J306" s="175"/>
      <c r="K306" s="197"/>
      <c r="L306" s="194"/>
      <c r="N306" s="188">
        <f t="shared" si="27"/>
        <v>0</v>
      </c>
      <c r="O306" s="189">
        <v>7.0000000000000007E-2</v>
      </c>
      <c r="P306" s="170">
        <f t="shared" si="28"/>
        <v>0</v>
      </c>
    </row>
    <row r="307" spans="1:16">
      <c r="A307" s="157"/>
      <c r="B307" s="239"/>
      <c r="C307" s="222"/>
      <c r="D307" s="3464"/>
      <c r="E307" s="145"/>
      <c r="F307" s="61"/>
      <c r="G307" s="223"/>
      <c r="H307" s="224"/>
      <c r="I307" s="225"/>
      <c r="J307" s="209"/>
      <c r="K307" s="244"/>
      <c r="M307" s="188">
        <v>14244.12</v>
      </c>
      <c r="N307" s="188">
        <f t="shared" si="27"/>
        <v>13816.796400000001</v>
      </c>
      <c r="O307" s="189">
        <v>7.0000000000000007E-2</v>
      </c>
      <c r="P307" s="170">
        <f t="shared" si="28"/>
        <v>14783.972148000001</v>
      </c>
    </row>
    <row r="308" spans="1:16">
      <c r="A308" s="157"/>
      <c r="B308" s="162"/>
      <c r="C308" s="63"/>
      <c r="D308" s="199"/>
      <c r="E308" s="145"/>
      <c r="F308" s="61"/>
      <c r="G308" s="206"/>
      <c r="H308" s="74"/>
      <c r="I308" s="183"/>
      <c r="J308" s="175"/>
      <c r="K308" s="197"/>
      <c r="L308" s="194"/>
      <c r="M308" s="188">
        <v>3240</v>
      </c>
      <c r="N308" s="188">
        <f t="shared" si="27"/>
        <v>3142.8</v>
      </c>
      <c r="O308" s="189">
        <v>7.0000000000000007E-2</v>
      </c>
      <c r="P308" s="170">
        <f t="shared" si="28"/>
        <v>3362.7960000000003</v>
      </c>
    </row>
    <row r="309" spans="1:16">
      <c r="A309" s="157"/>
      <c r="B309" s="162"/>
      <c r="C309" s="63"/>
      <c r="D309" s="199"/>
      <c r="E309" s="145"/>
      <c r="F309" s="61"/>
      <c r="G309" s="206"/>
      <c r="H309" s="74"/>
      <c r="I309" s="183"/>
      <c r="J309" s="175"/>
      <c r="K309" s="197"/>
      <c r="L309" s="194"/>
      <c r="M309" s="188">
        <v>14700</v>
      </c>
      <c r="N309" s="188">
        <f t="shared" si="27"/>
        <v>14259</v>
      </c>
      <c r="O309" s="189">
        <v>7.0000000000000007E-2</v>
      </c>
      <c r="P309" s="170">
        <f t="shared" si="28"/>
        <v>15257.130000000001</v>
      </c>
    </row>
    <row r="310" spans="1:16">
      <c r="A310" s="157"/>
      <c r="B310" s="162"/>
      <c r="C310" s="222"/>
      <c r="D310" s="3464"/>
      <c r="E310" s="237"/>
      <c r="F310" s="238"/>
      <c r="G310" s="223"/>
      <c r="H310" s="224"/>
      <c r="I310" s="225"/>
      <c r="J310" s="209"/>
      <c r="K310" s="226"/>
      <c r="L310" s="229"/>
      <c r="M310" s="188">
        <v>14582.7</v>
      </c>
      <c r="N310" s="188">
        <f t="shared" si="27"/>
        <v>14145.219000000001</v>
      </c>
      <c r="O310" s="189">
        <v>7.0000000000000007E-2</v>
      </c>
      <c r="P310" s="170">
        <f t="shared" si="28"/>
        <v>15135.384330000001</v>
      </c>
    </row>
    <row r="311" spans="1:16">
      <c r="A311" s="157"/>
      <c r="B311" s="162"/>
      <c r="C311" s="63"/>
      <c r="D311" s="199"/>
      <c r="E311" s="145"/>
      <c r="F311" s="61"/>
      <c r="G311" s="206"/>
      <c r="H311" s="74"/>
      <c r="I311" s="183"/>
      <c r="J311" s="175"/>
      <c r="K311" s="197"/>
      <c r="L311" s="229"/>
      <c r="M311" s="188">
        <v>13483.8</v>
      </c>
      <c r="N311" s="188">
        <f t="shared" si="27"/>
        <v>13079.286</v>
      </c>
      <c r="O311" s="189">
        <v>7.0000000000000007E-2</v>
      </c>
      <c r="P311" s="170">
        <f t="shared" si="28"/>
        <v>13994.836020000001</v>
      </c>
    </row>
    <row r="312" spans="1:16">
      <c r="A312" s="157"/>
      <c r="B312" s="154"/>
      <c r="C312" s="222"/>
      <c r="D312" s="3464"/>
      <c r="E312" s="145"/>
      <c r="F312" s="61"/>
      <c r="G312" s="223"/>
      <c r="H312" s="224"/>
      <c r="I312" s="225"/>
      <c r="J312" s="209"/>
      <c r="K312" s="226"/>
      <c r="L312" s="229"/>
      <c r="M312" s="188">
        <v>2669.52</v>
      </c>
      <c r="N312" s="188">
        <f t="shared" si="27"/>
        <v>2589.4344000000001</v>
      </c>
      <c r="O312" s="189">
        <v>7.0000000000000007E-2</v>
      </c>
      <c r="P312" s="170">
        <f t="shared" si="28"/>
        <v>2770.6948080000002</v>
      </c>
    </row>
    <row r="313" spans="1:16">
      <c r="A313" s="157"/>
      <c r="B313" s="154"/>
      <c r="C313" s="222"/>
      <c r="D313" s="3464"/>
      <c r="E313" s="145"/>
      <c r="F313" s="61"/>
      <c r="G313" s="223"/>
      <c r="H313" s="224"/>
      <c r="I313" s="225"/>
      <c r="J313" s="209"/>
      <c r="K313" s="226"/>
      <c r="L313" s="229"/>
      <c r="N313" s="188">
        <f t="shared" si="27"/>
        <v>0</v>
      </c>
      <c r="O313" s="189">
        <v>7.0000000000000007E-2</v>
      </c>
      <c r="P313" s="170">
        <f t="shared" si="28"/>
        <v>0</v>
      </c>
    </row>
    <row r="314" spans="1:16">
      <c r="A314" s="221"/>
      <c r="B314" s="240"/>
      <c r="C314" s="222"/>
      <c r="D314" s="3464"/>
      <c r="E314" s="145"/>
      <c r="F314" s="61"/>
      <c r="G314" s="223"/>
      <c r="H314" s="224"/>
      <c r="I314" s="225"/>
      <c r="J314" s="209"/>
      <c r="K314" s="226"/>
      <c r="L314" s="229"/>
      <c r="M314" s="188">
        <v>12972.96</v>
      </c>
      <c r="N314" s="188">
        <f t="shared" si="27"/>
        <v>12583.771199999999</v>
      </c>
      <c r="O314" s="189">
        <v>7.0000000000000007E-2</v>
      </c>
      <c r="P314" s="170">
        <f t="shared" si="28"/>
        <v>13464.635183999999</v>
      </c>
    </row>
    <row r="315" spans="1:16">
      <c r="A315" s="157"/>
      <c r="B315" s="154"/>
      <c r="C315" s="63"/>
      <c r="D315" s="199"/>
      <c r="E315" s="145"/>
      <c r="F315" s="61"/>
      <c r="G315" s="206"/>
      <c r="H315" s="74"/>
      <c r="I315" s="183"/>
      <c r="J315" s="209"/>
      <c r="K315" s="197"/>
      <c r="L315" s="229"/>
      <c r="M315" s="188">
        <v>12687.84</v>
      </c>
      <c r="N315" s="188">
        <f t="shared" si="27"/>
        <v>12307.2048</v>
      </c>
      <c r="O315" s="189">
        <v>7.0000000000000007E-2</v>
      </c>
      <c r="P315" s="170">
        <f t="shared" si="28"/>
        <v>13168.709135999999</v>
      </c>
    </row>
    <row r="316" spans="1:16">
      <c r="A316" s="157"/>
      <c r="B316" s="154"/>
      <c r="C316" s="63"/>
      <c r="D316" s="199"/>
      <c r="E316" s="145"/>
      <c r="F316" s="61"/>
      <c r="G316" s="206"/>
      <c r="H316" s="74"/>
      <c r="I316" s="183"/>
      <c r="J316" s="175"/>
      <c r="K316" s="197"/>
      <c r="L316" s="194"/>
      <c r="M316" s="188">
        <v>16572.599999999999</v>
      </c>
      <c r="N316" s="188">
        <f t="shared" si="27"/>
        <v>16075.421999999999</v>
      </c>
      <c r="O316" s="189">
        <v>7.0000000000000007E-2</v>
      </c>
      <c r="P316" s="170">
        <f t="shared" si="28"/>
        <v>17200.701539999998</v>
      </c>
    </row>
    <row r="317" spans="1:16">
      <c r="A317" s="157"/>
      <c r="B317" s="154"/>
      <c r="C317" s="63"/>
      <c r="D317" s="199"/>
      <c r="E317" s="90"/>
      <c r="F317" s="61"/>
      <c r="G317" s="206"/>
      <c r="H317" s="74"/>
      <c r="I317" s="203"/>
      <c r="J317" s="175"/>
      <c r="K317" s="197"/>
      <c r="L317" s="194"/>
      <c r="M317" s="188">
        <v>6021.12</v>
      </c>
      <c r="N317" s="188">
        <f t="shared" ref="N317:N325" si="29">M317-(M317*0.03)</f>
        <v>5840.4863999999998</v>
      </c>
      <c r="O317" s="189">
        <v>7.0000000000000007E-2</v>
      </c>
      <c r="P317" s="170">
        <f>(N317*O317)+N317</f>
        <v>6249.3204479999995</v>
      </c>
    </row>
    <row r="318" spans="1:16">
      <c r="A318" s="157"/>
      <c r="B318" s="154"/>
      <c r="C318" s="63"/>
      <c r="D318" s="199"/>
      <c r="E318" s="90"/>
      <c r="F318" s="61"/>
      <c r="G318" s="206"/>
      <c r="H318" s="74"/>
      <c r="I318" s="183"/>
      <c r="J318" s="175"/>
      <c r="K318" s="197"/>
      <c r="L318" s="194"/>
      <c r="M318" s="188">
        <v>8714.16</v>
      </c>
      <c r="N318" s="188">
        <f t="shared" si="29"/>
        <v>8452.7351999999992</v>
      </c>
      <c r="O318" s="189">
        <v>7.0000000000000007E-2</v>
      </c>
      <c r="P318" s="170">
        <f>(N318*O318)+N318</f>
        <v>9044.4266639999987</v>
      </c>
    </row>
    <row r="319" spans="1:16">
      <c r="A319" s="157"/>
      <c r="B319" s="154"/>
      <c r="C319" s="63"/>
      <c r="D319" s="199"/>
      <c r="E319" s="90"/>
      <c r="F319" s="61"/>
      <c r="G319" s="206"/>
      <c r="H319" s="74"/>
      <c r="I319" s="183"/>
      <c r="J319" s="175"/>
      <c r="K319" s="197"/>
      <c r="L319" s="194"/>
      <c r="M319" s="188">
        <v>0</v>
      </c>
      <c r="N319" s="188">
        <f t="shared" si="29"/>
        <v>0</v>
      </c>
      <c r="O319" s="189">
        <v>7.0000000000000007E-2</v>
      </c>
      <c r="P319" s="170">
        <f t="shared" ref="P319:P325" si="30">(N319*O319)+N319</f>
        <v>0</v>
      </c>
    </row>
    <row r="320" spans="1:16" ht="35.25" customHeight="1">
      <c r="A320" s="157"/>
      <c r="B320" s="154"/>
      <c r="C320" s="63"/>
      <c r="D320" s="199"/>
      <c r="E320" s="90"/>
      <c r="F320" s="61"/>
      <c r="G320" s="206"/>
      <c r="H320" s="74"/>
      <c r="I320" s="183"/>
      <c r="J320" s="175"/>
      <c r="K320" s="197"/>
      <c r="L320" s="194"/>
      <c r="M320" s="188">
        <v>18537.7</v>
      </c>
      <c r="N320" s="188">
        <f t="shared" si="29"/>
        <v>17981.569</v>
      </c>
      <c r="O320" s="189">
        <v>7.0000000000000007E-2</v>
      </c>
      <c r="P320" s="170">
        <f t="shared" si="30"/>
        <v>19240.278829999999</v>
      </c>
    </row>
    <row r="321" spans="1:16">
      <c r="A321" s="158"/>
      <c r="B321" s="154"/>
      <c r="C321" s="63"/>
      <c r="D321" s="199"/>
      <c r="E321" s="91"/>
      <c r="F321" s="61"/>
      <c r="G321" s="206"/>
      <c r="H321" s="74"/>
      <c r="I321" s="183"/>
      <c r="J321" s="175"/>
      <c r="K321" s="197"/>
      <c r="L321" s="194"/>
      <c r="M321" s="188">
        <v>9031.68</v>
      </c>
      <c r="N321" s="188">
        <f t="shared" si="29"/>
        <v>8760.7296000000006</v>
      </c>
      <c r="O321" s="189">
        <v>7.0000000000000007E-2</v>
      </c>
      <c r="P321" s="170">
        <f t="shared" si="30"/>
        <v>9373.9806720000015</v>
      </c>
    </row>
    <row r="322" spans="1:16">
      <c r="A322" s="200"/>
      <c r="B322" s="154"/>
      <c r="C322" s="63"/>
      <c r="D322" s="199"/>
      <c r="E322" s="153"/>
      <c r="F322" s="61"/>
      <c r="G322" s="206"/>
      <c r="H322" s="88"/>
      <c r="I322" s="184"/>
      <c r="J322" s="201"/>
      <c r="K322" s="202"/>
      <c r="L322" s="194"/>
      <c r="N322" s="188">
        <f t="shared" si="29"/>
        <v>0</v>
      </c>
      <c r="O322" s="189">
        <v>7.0000000000000007E-2</v>
      </c>
      <c r="P322" s="170">
        <f t="shared" si="30"/>
        <v>0</v>
      </c>
    </row>
    <row r="323" spans="1:16">
      <c r="A323" s="157"/>
      <c r="B323" s="154"/>
      <c r="C323" s="63"/>
      <c r="D323" s="199"/>
      <c r="E323" s="198"/>
      <c r="F323" s="61"/>
      <c r="G323" s="206"/>
      <c r="H323" s="74"/>
      <c r="I323" s="183"/>
      <c r="J323" s="175"/>
      <c r="K323" s="197"/>
      <c r="L323" s="194"/>
      <c r="M323" s="188">
        <v>8478.9599999999991</v>
      </c>
      <c r="N323" s="188">
        <f t="shared" si="29"/>
        <v>8224.5911999999989</v>
      </c>
      <c r="O323" s="189">
        <v>7.0000000000000007E-2</v>
      </c>
      <c r="P323" s="170">
        <f t="shared" si="30"/>
        <v>8800.3125839999993</v>
      </c>
    </row>
    <row r="324" spans="1:16">
      <c r="A324" s="157"/>
      <c r="B324" s="154"/>
      <c r="C324" s="63"/>
      <c r="D324" s="199"/>
      <c r="E324" s="142"/>
      <c r="F324" s="61"/>
      <c r="G324" s="206"/>
      <c r="H324" s="74"/>
      <c r="I324" s="183"/>
      <c r="J324" s="175"/>
      <c r="K324" s="197"/>
      <c r="L324" s="194"/>
      <c r="M324" s="188">
        <v>11122.62</v>
      </c>
      <c r="N324" s="188">
        <f t="shared" si="29"/>
        <v>10788.941400000002</v>
      </c>
      <c r="O324" s="189">
        <v>7.0000000000000007E-2</v>
      </c>
      <c r="P324" s="170">
        <f t="shared" si="30"/>
        <v>11544.167298000002</v>
      </c>
    </row>
    <row r="325" spans="1:16">
      <c r="A325" s="157"/>
      <c r="B325" s="154"/>
      <c r="C325" s="63"/>
      <c r="D325" s="196"/>
      <c r="E325" s="120"/>
      <c r="F325" s="121"/>
      <c r="G325" s="206"/>
      <c r="H325" s="115"/>
      <c r="I325" s="185"/>
      <c r="J325" s="175"/>
      <c r="K325" s="197"/>
      <c r="L325" s="194"/>
      <c r="M325" s="188">
        <v>3813.12</v>
      </c>
      <c r="N325" s="188">
        <f t="shared" si="29"/>
        <v>3698.7264</v>
      </c>
      <c r="O325" s="189">
        <v>7.0000000000000007E-2</v>
      </c>
      <c r="P325" s="170">
        <f t="shared" si="30"/>
        <v>3957.637248</v>
      </c>
    </row>
    <row r="326" spans="1:16">
      <c r="A326" s="157"/>
      <c r="B326" s="154"/>
      <c r="C326" s="63"/>
      <c r="D326" s="196"/>
      <c r="E326" s="249"/>
      <c r="F326" s="121"/>
      <c r="G326" s="206"/>
      <c r="H326" s="115"/>
      <c r="I326" s="185"/>
      <c r="J326" s="175"/>
      <c r="K326" s="197"/>
      <c r="L326" s="194"/>
    </row>
    <row r="327" spans="1:16">
      <c r="A327" s="157"/>
      <c r="B327" s="154"/>
      <c r="C327" s="63"/>
      <c r="D327" s="196"/>
      <c r="E327" s="249"/>
      <c r="F327" s="121"/>
      <c r="G327" s="206"/>
      <c r="H327" s="115"/>
      <c r="I327" s="185"/>
      <c r="J327" s="175"/>
      <c r="K327" s="197"/>
      <c r="L327" s="194"/>
    </row>
    <row r="328" spans="1:16">
      <c r="A328" s="157"/>
      <c r="B328" s="154"/>
      <c r="C328" s="63"/>
      <c r="D328" s="196"/>
      <c r="E328" s="249"/>
      <c r="F328" s="121"/>
      <c r="G328" s="206"/>
      <c r="H328" s="115"/>
      <c r="I328" s="185"/>
      <c r="J328" s="175"/>
      <c r="K328" s="197"/>
      <c r="L328" s="194"/>
    </row>
    <row r="329" spans="1:16">
      <c r="A329" s="157"/>
      <c r="B329" s="154"/>
      <c r="C329" s="63"/>
      <c r="D329" s="196"/>
      <c r="E329" s="249"/>
      <c r="F329" s="121"/>
      <c r="G329" s="206"/>
      <c r="H329" s="115"/>
      <c r="I329" s="185"/>
      <c r="J329" s="175"/>
      <c r="K329" s="197"/>
      <c r="L329" s="194"/>
    </row>
    <row r="330" spans="1:16">
      <c r="A330" s="157"/>
      <c r="B330" s="154"/>
      <c r="C330" s="63"/>
      <c r="D330" s="196"/>
      <c r="E330" s="249"/>
      <c r="F330" s="121"/>
      <c r="G330" s="206"/>
      <c r="H330" s="115"/>
      <c r="I330" s="185"/>
      <c r="J330" s="175"/>
      <c r="K330" s="197"/>
      <c r="L330" s="194"/>
    </row>
    <row r="331" spans="1:16">
      <c r="A331" s="157"/>
      <c r="B331" s="154"/>
      <c r="C331" s="63"/>
      <c r="D331" s="196"/>
      <c r="E331" s="142"/>
      <c r="F331" s="61"/>
      <c r="G331" s="206"/>
      <c r="H331" s="74"/>
      <c r="I331" s="183"/>
      <c r="J331" s="175"/>
      <c r="K331" s="197"/>
      <c r="L331" s="194"/>
    </row>
    <row r="332" spans="1:16">
      <c r="A332" s="157"/>
      <c r="B332" s="154"/>
      <c r="C332" s="63"/>
      <c r="D332" s="196"/>
      <c r="E332" s="142"/>
      <c r="F332" s="61"/>
      <c r="G332" s="206"/>
      <c r="H332" s="74"/>
      <c r="I332" s="183"/>
      <c r="J332" s="175"/>
      <c r="K332" s="197"/>
      <c r="L332" s="194"/>
    </row>
    <row r="333" spans="1:16">
      <c r="A333" s="157"/>
      <c r="B333" s="154"/>
      <c r="C333" s="63"/>
      <c r="D333" s="196"/>
      <c r="E333" s="142"/>
      <c r="F333" s="61"/>
      <c r="G333" s="206"/>
      <c r="H333" s="74"/>
      <c r="I333" s="183"/>
      <c r="J333" s="175"/>
      <c r="K333" s="197"/>
      <c r="L333" s="194"/>
    </row>
    <row r="334" spans="1:16">
      <c r="A334" s="157"/>
      <c r="B334" s="161"/>
      <c r="C334" s="63"/>
      <c r="D334" s="196"/>
      <c r="E334" s="142"/>
      <c r="F334" s="61"/>
      <c r="G334" s="206"/>
      <c r="H334" s="74"/>
      <c r="I334" s="183"/>
      <c r="J334" s="175"/>
      <c r="K334" s="197"/>
      <c r="L334" s="194"/>
      <c r="M334" s="188">
        <v>8640</v>
      </c>
      <c r="N334" s="188">
        <f>M334-(M334*0.03)</f>
        <v>8380.7999999999993</v>
      </c>
      <c r="O334" s="189">
        <v>7.0000000000000007E-2</v>
      </c>
      <c r="P334" s="170">
        <f>(N334*O334)+N334</f>
        <v>8967.4559999999983</v>
      </c>
    </row>
    <row r="335" spans="1:16">
      <c r="A335" s="160"/>
      <c r="B335" s="154"/>
      <c r="C335" s="63"/>
      <c r="D335" s="196"/>
      <c r="E335" s="120"/>
      <c r="F335" s="121"/>
      <c r="G335" s="206"/>
      <c r="H335" s="115"/>
      <c r="I335" s="185"/>
      <c r="J335" s="174"/>
      <c r="K335" s="195"/>
      <c r="L335" s="194"/>
    </row>
    <row r="336" spans="1:16">
      <c r="F336" s="68"/>
    </row>
    <row r="337" spans="1:16">
      <c r="A337" s="44" t="s">
        <v>0</v>
      </c>
      <c r="B337" s="127"/>
      <c r="C337" s="104"/>
      <c r="F337" s="68"/>
      <c r="I337" s="179"/>
      <c r="K337" s="163"/>
      <c r="L337" s="168"/>
    </row>
    <row r="338" spans="1:16">
      <c r="A338" s="3480" t="s">
        <v>2512</v>
      </c>
      <c r="B338" s="3480"/>
      <c r="C338" s="44"/>
      <c r="D338" s="109"/>
      <c r="F338" s="68"/>
      <c r="I338" s="179"/>
      <c r="K338" s="163"/>
      <c r="L338" s="168"/>
    </row>
    <row r="339" spans="1:16" ht="35.25" thickBot="1">
      <c r="F339" s="68"/>
    </row>
    <row r="340" spans="1:16">
      <c r="A340" s="3493" t="s">
        <v>2</v>
      </c>
      <c r="B340" s="3482"/>
      <c r="C340" s="48" t="s">
        <v>3</v>
      </c>
      <c r="D340" s="128" t="s">
        <v>4</v>
      </c>
      <c r="E340" s="77" t="s">
        <v>5</v>
      </c>
      <c r="F340" s="78" t="s">
        <v>5</v>
      </c>
      <c r="G340" s="211" t="s">
        <v>6</v>
      </c>
      <c r="H340" s="140" t="s">
        <v>7</v>
      </c>
      <c r="I340" s="180" t="s">
        <v>1511</v>
      </c>
      <c r="J340" s="172" t="s">
        <v>9</v>
      </c>
      <c r="K340" s="186" t="s">
        <v>9</v>
      </c>
      <c r="L340" s="192" t="s">
        <v>2495</v>
      </c>
      <c r="M340" s="190"/>
    </row>
    <row r="341" spans="1:16" ht="35.25" thickBot="1">
      <c r="A341" s="155"/>
      <c r="B341" s="138"/>
      <c r="C341" s="50"/>
      <c r="D341" s="129" t="s">
        <v>10</v>
      </c>
      <c r="E341" s="79" t="s">
        <v>11</v>
      </c>
      <c r="F341" s="80" t="s">
        <v>12</v>
      </c>
      <c r="G341" s="212"/>
      <c r="H341" s="141" t="s">
        <v>13</v>
      </c>
      <c r="I341" s="181" t="s">
        <v>1512</v>
      </c>
      <c r="J341" s="173" t="s">
        <v>15</v>
      </c>
      <c r="K341" s="187" t="s">
        <v>14</v>
      </c>
      <c r="L341" s="193" t="s">
        <v>2496</v>
      </c>
      <c r="M341" s="190"/>
    </row>
    <row r="342" spans="1:16">
      <c r="A342" s="156"/>
      <c r="B342" s="154"/>
      <c r="C342" s="63"/>
      <c r="D342" s="199"/>
      <c r="E342" s="143"/>
      <c r="F342" s="69"/>
      <c r="G342" s="206"/>
      <c r="H342" s="74"/>
      <c r="I342" s="183"/>
      <c r="J342" s="175"/>
      <c r="K342" s="172"/>
      <c r="L342" s="194"/>
      <c r="M342" s="188">
        <v>3552</v>
      </c>
      <c r="N342" s="188">
        <f t="shared" ref="N342:N358" si="31">M342-(M342*0.03)</f>
        <v>3445.44</v>
      </c>
      <c r="O342" s="189">
        <v>7.0000000000000007E-2</v>
      </c>
      <c r="P342" s="170">
        <f t="shared" ref="P342:P358" si="32">(N342*O342)+N342</f>
        <v>3686.6208000000001</v>
      </c>
    </row>
    <row r="343" spans="1:16">
      <c r="A343" s="157"/>
      <c r="B343" s="154"/>
      <c r="C343" s="63"/>
      <c r="D343" s="199"/>
      <c r="E343" s="145"/>
      <c r="F343" s="61"/>
      <c r="G343" s="206"/>
      <c r="H343" s="74"/>
      <c r="I343" s="183"/>
      <c r="J343" s="175"/>
      <c r="K343" s="176"/>
      <c r="L343" s="194"/>
      <c r="N343" s="188">
        <f t="shared" si="31"/>
        <v>0</v>
      </c>
      <c r="O343" s="189">
        <v>7.0000000000000007E-2</v>
      </c>
      <c r="P343" s="170">
        <f t="shared" si="32"/>
        <v>0</v>
      </c>
    </row>
    <row r="344" spans="1:16">
      <c r="A344" s="157"/>
      <c r="B344" s="239"/>
      <c r="C344" s="63"/>
      <c r="D344" s="199"/>
      <c r="E344" s="145"/>
      <c r="F344" s="61"/>
      <c r="G344" s="206"/>
      <c r="H344" s="74"/>
      <c r="I344" s="183"/>
      <c r="J344" s="175"/>
      <c r="K344" s="245"/>
      <c r="L344" s="194"/>
      <c r="M344" s="188">
        <v>9498.06</v>
      </c>
      <c r="N344" s="188">
        <f t="shared" si="31"/>
        <v>9213.118199999999</v>
      </c>
      <c r="O344" s="189">
        <v>7.0000000000000007E-2</v>
      </c>
      <c r="P344" s="170">
        <f t="shared" si="32"/>
        <v>9858.0364739999986</v>
      </c>
    </row>
    <row r="345" spans="1:16">
      <c r="A345" s="157"/>
      <c r="B345" s="239"/>
      <c r="C345" s="63"/>
      <c r="D345" s="199"/>
      <c r="E345" s="145"/>
      <c r="F345" s="61"/>
      <c r="G345" s="206"/>
      <c r="H345" s="74"/>
      <c r="I345" s="183"/>
      <c r="J345" s="175"/>
      <c r="K345" s="197"/>
      <c r="L345" s="194"/>
      <c r="M345" s="188">
        <v>15305.4</v>
      </c>
      <c r="N345" s="188">
        <f t="shared" si="31"/>
        <v>14846.237999999999</v>
      </c>
      <c r="O345" s="189">
        <v>7.0000000000000007E-2</v>
      </c>
      <c r="P345" s="170">
        <f t="shared" si="32"/>
        <v>15885.47466</v>
      </c>
    </row>
    <row r="346" spans="1:16">
      <c r="A346" s="157"/>
      <c r="B346" s="154"/>
      <c r="C346" s="63"/>
      <c r="D346" s="199"/>
      <c r="E346" s="145"/>
      <c r="F346" s="61"/>
      <c r="G346" s="206"/>
      <c r="H346" s="74"/>
      <c r="I346" s="183"/>
      <c r="J346" s="175"/>
      <c r="K346" s="197"/>
      <c r="L346" s="194"/>
      <c r="N346" s="188">
        <f t="shared" si="31"/>
        <v>0</v>
      </c>
      <c r="O346" s="189">
        <v>7.0000000000000007E-2</v>
      </c>
      <c r="P346" s="170">
        <f t="shared" si="32"/>
        <v>0</v>
      </c>
    </row>
    <row r="347" spans="1:16">
      <c r="A347" s="157"/>
      <c r="B347" s="154"/>
      <c r="C347" s="63"/>
      <c r="D347" s="199"/>
      <c r="E347" s="145"/>
      <c r="F347" s="61"/>
      <c r="G347" s="206"/>
      <c r="H347" s="74"/>
      <c r="I347" s="183"/>
      <c r="J347" s="175"/>
      <c r="K347" s="197"/>
      <c r="L347" s="194"/>
      <c r="N347" s="188">
        <f t="shared" si="31"/>
        <v>0</v>
      </c>
      <c r="O347" s="189">
        <v>7.0000000000000007E-2</v>
      </c>
      <c r="P347" s="170">
        <f t="shared" si="32"/>
        <v>0</v>
      </c>
    </row>
    <row r="348" spans="1:16">
      <c r="A348" s="157"/>
      <c r="B348" s="154"/>
      <c r="C348" s="63"/>
      <c r="D348" s="199"/>
      <c r="E348" s="145"/>
      <c r="F348" s="61"/>
      <c r="G348" s="206"/>
      <c r="H348" s="74"/>
      <c r="I348" s="183"/>
      <c r="J348" s="175"/>
      <c r="K348" s="197"/>
      <c r="L348" s="194"/>
      <c r="N348" s="188">
        <f t="shared" si="31"/>
        <v>0</v>
      </c>
      <c r="O348" s="189">
        <v>7.0000000000000007E-2</v>
      </c>
      <c r="P348" s="170">
        <f t="shared" si="32"/>
        <v>0</v>
      </c>
    </row>
    <row r="349" spans="1:16">
      <c r="A349" s="157"/>
      <c r="B349" s="239"/>
      <c r="C349" s="222"/>
      <c r="D349" s="3464"/>
      <c r="E349" s="145"/>
      <c r="F349" s="61"/>
      <c r="G349" s="223"/>
      <c r="H349" s="224"/>
      <c r="I349" s="225"/>
      <c r="J349" s="209"/>
      <c r="K349" s="244"/>
      <c r="M349" s="188">
        <v>14244.12</v>
      </c>
      <c r="N349" s="188">
        <f t="shared" si="31"/>
        <v>13816.796400000001</v>
      </c>
      <c r="O349" s="189">
        <v>7.0000000000000007E-2</v>
      </c>
      <c r="P349" s="170">
        <f t="shared" si="32"/>
        <v>14783.972148000001</v>
      </c>
    </row>
    <row r="350" spans="1:16">
      <c r="A350" s="157"/>
      <c r="B350" s="162"/>
      <c r="C350" s="63"/>
      <c r="D350" s="199"/>
      <c r="E350" s="145"/>
      <c r="F350" s="61"/>
      <c r="G350" s="206"/>
      <c r="H350" s="74"/>
      <c r="I350" s="183"/>
      <c r="J350" s="175"/>
      <c r="K350" s="197"/>
      <c r="L350" s="194"/>
      <c r="M350" s="188">
        <v>3240</v>
      </c>
      <c r="N350" s="188">
        <f t="shared" si="31"/>
        <v>3142.8</v>
      </c>
      <c r="O350" s="189">
        <v>7.0000000000000007E-2</v>
      </c>
      <c r="P350" s="170">
        <f t="shared" si="32"/>
        <v>3362.7960000000003</v>
      </c>
    </row>
    <row r="351" spans="1:16">
      <c r="A351" s="157"/>
      <c r="B351" s="162"/>
      <c r="C351" s="63"/>
      <c r="D351" s="199"/>
      <c r="E351" s="145"/>
      <c r="F351" s="61"/>
      <c r="G351" s="206"/>
      <c r="H351" s="74"/>
      <c r="I351" s="183"/>
      <c r="J351" s="175"/>
      <c r="K351" s="197"/>
      <c r="L351" s="194"/>
      <c r="M351" s="188">
        <v>14700</v>
      </c>
      <c r="N351" s="188">
        <f t="shared" si="31"/>
        <v>14259</v>
      </c>
      <c r="O351" s="189">
        <v>7.0000000000000007E-2</v>
      </c>
      <c r="P351" s="170">
        <f t="shared" si="32"/>
        <v>15257.130000000001</v>
      </c>
    </row>
    <row r="352" spans="1:16">
      <c r="A352" s="157"/>
      <c r="B352" s="162"/>
      <c r="C352" s="222"/>
      <c r="D352" s="3464"/>
      <c r="E352" s="237"/>
      <c r="F352" s="238"/>
      <c r="G352" s="223"/>
      <c r="H352" s="224"/>
      <c r="I352" s="225"/>
      <c r="J352" s="209"/>
      <c r="K352" s="226"/>
      <c r="L352" s="229"/>
      <c r="M352" s="188">
        <v>14582.7</v>
      </c>
      <c r="N352" s="188">
        <f t="shared" si="31"/>
        <v>14145.219000000001</v>
      </c>
      <c r="O352" s="189">
        <v>7.0000000000000007E-2</v>
      </c>
      <c r="P352" s="170">
        <f t="shared" si="32"/>
        <v>15135.384330000001</v>
      </c>
    </row>
    <row r="353" spans="1:16">
      <c r="A353" s="157"/>
      <c r="B353" s="162"/>
      <c r="C353" s="63"/>
      <c r="D353" s="199"/>
      <c r="E353" s="145"/>
      <c r="F353" s="61"/>
      <c r="G353" s="206"/>
      <c r="H353" s="74"/>
      <c r="I353" s="183"/>
      <c r="J353" s="175"/>
      <c r="K353" s="197"/>
      <c r="L353" s="229"/>
      <c r="M353" s="188">
        <v>13483.8</v>
      </c>
      <c r="N353" s="188">
        <f t="shared" si="31"/>
        <v>13079.286</v>
      </c>
      <c r="O353" s="189">
        <v>7.0000000000000007E-2</v>
      </c>
      <c r="P353" s="170">
        <f t="shared" si="32"/>
        <v>13994.836020000001</v>
      </c>
    </row>
    <row r="354" spans="1:16">
      <c r="A354" s="157"/>
      <c r="B354" s="154"/>
      <c r="C354" s="222"/>
      <c r="D354" s="3464"/>
      <c r="E354" s="145"/>
      <c r="F354" s="61"/>
      <c r="G354" s="223"/>
      <c r="H354" s="224"/>
      <c r="I354" s="225"/>
      <c r="J354" s="209"/>
      <c r="K354" s="226"/>
      <c r="L354" s="229"/>
      <c r="M354" s="188">
        <v>2669.52</v>
      </c>
      <c r="N354" s="188">
        <f t="shared" si="31"/>
        <v>2589.4344000000001</v>
      </c>
      <c r="O354" s="189">
        <v>7.0000000000000007E-2</v>
      </c>
      <c r="P354" s="170">
        <f t="shared" si="32"/>
        <v>2770.6948080000002</v>
      </c>
    </row>
    <row r="355" spans="1:16">
      <c r="A355" s="157"/>
      <c r="B355" s="154"/>
      <c r="C355" s="222"/>
      <c r="D355" s="3464"/>
      <c r="E355" s="145"/>
      <c r="F355" s="61"/>
      <c r="G355" s="223"/>
      <c r="H355" s="224"/>
      <c r="I355" s="225"/>
      <c r="J355" s="209"/>
      <c r="K355" s="226"/>
      <c r="L355" s="229"/>
      <c r="N355" s="188">
        <f t="shared" si="31"/>
        <v>0</v>
      </c>
      <c r="O355" s="189">
        <v>7.0000000000000007E-2</v>
      </c>
      <c r="P355" s="170">
        <f t="shared" si="32"/>
        <v>0</v>
      </c>
    </row>
    <row r="356" spans="1:16">
      <c r="A356" s="221"/>
      <c r="B356" s="240"/>
      <c r="C356" s="222"/>
      <c r="D356" s="3464"/>
      <c r="E356" s="145"/>
      <c r="F356" s="61"/>
      <c r="G356" s="223"/>
      <c r="H356" s="224"/>
      <c r="I356" s="225"/>
      <c r="J356" s="209"/>
      <c r="K356" s="226"/>
      <c r="L356" s="229"/>
      <c r="M356" s="188">
        <v>12972.96</v>
      </c>
      <c r="N356" s="188">
        <f t="shared" si="31"/>
        <v>12583.771199999999</v>
      </c>
      <c r="O356" s="189">
        <v>7.0000000000000007E-2</v>
      </c>
      <c r="P356" s="170">
        <f t="shared" si="32"/>
        <v>13464.635183999999</v>
      </c>
    </row>
    <row r="357" spans="1:16">
      <c r="A357" s="157"/>
      <c r="B357" s="154"/>
      <c r="C357" s="63"/>
      <c r="D357" s="199"/>
      <c r="E357" s="145"/>
      <c r="F357" s="61"/>
      <c r="G357" s="206"/>
      <c r="H357" s="74"/>
      <c r="I357" s="183"/>
      <c r="J357" s="209"/>
      <c r="K357" s="197"/>
      <c r="L357" s="229"/>
      <c r="M357" s="188">
        <v>12687.84</v>
      </c>
      <c r="N357" s="188">
        <f t="shared" si="31"/>
        <v>12307.2048</v>
      </c>
      <c r="O357" s="189">
        <v>7.0000000000000007E-2</v>
      </c>
      <c r="P357" s="170">
        <f t="shared" si="32"/>
        <v>13168.709135999999</v>
      </c>
    </row>
    <row r="358" spans="1:16" ht="35.25" customHeight="1">
      <c r="A358" s="157"/>
      <c r="B358" s="154"/>
      <c r="C358" s="63"/>
      <c r="D358" s="199"/>
      <c r="E358" s="145"/>
      <c r="F358" s="61"/>
      <c r="G358" s="206"/>
      <c r="H358" s="74"/>
      <c r="I358" s="183"/>
      <c r="J358" s="175"/>
      <c r="K358" s="197"/>
      <c r="L358" s="194"/>
      <c r="M358" s="188">
        <v>16572.599999999999</v>
      </c>
      <c r="N358" s="188">
        <f t="shared" si="31"/>
        <v>16075.421999999999</v>
      </c>
      <c r="O358" s="189">
        <v>7.0000000000000007E-2</v>
      </c>
      <c r="P358" s="170">
        <f t="shared" si="32"/>
        <v>17200.701539999998</v>
      </c>
    </row>
    <row r="359" spans="1:16">
      <c r="A359" s="157"/>
      <c r="B359" s="154"/>
      <c r="C359" s="63"/>
      <c r="D359" s="199"/>
      <c r="E359" s="90"/>
      <c r="F359" s="61"/>
      <c r="G359" s="206"/>
      <c r="H359" s="74"/>
      <c r="I359" s="203"/>
      <c r="J359" s="175"/>
      <c r="K359" s="197"/>
      <c r="L359" s="194"/>
      <c r="M359" s="188">
        <v>6021.12</v>
      </c>
      <c r="N359" s="188">
        <f>M359-(M359*0.03)</f>
        <v>5840.4863999999998</v>
      </c>
      <c r="O359" s="189">
        <v>7.0000000000000007E-2</v>
      </c>
      <c r="P359" s="170">
        <f>(N359*O359)+N359</f>
        <v>6249.3204479999995</v>
      </c>
    </row>
    <row r="360" spans="1:16">
      <c r="A360" s="157"/>
      <c r="B360" s="154"/>
      <c r="C360" s="63"/>
      <c r="D360" s="199"/>
      <c r="E360" s="90"/>
      <c r="F360" s="61"/>
      <c r="G360" s="206"/>
      <c r="H360" s="74"/>
      <c r="I360" s="183"/>
      <c r="J360" s="175"/>
      <c r="K360" s="197"/>
      <c r="L360" s="194"/>
      <c r="M360" s="188">
        <v>8714.16</v>
      </c>
      <c r="N360" s="188">
        <f>M360-(M360*0.03)</f>
        <v>8452.7351999999992</v>
      </c>
      <c r="O360" s="189">
        <v>7.0000000000000007E-2</v>
      </c>
      <c r="P360" s="170">
        <f>(N360*O360)+N360</f>
        <v>9044.4266639999987</v>
      </c>
    </row>
    <row r="361" spans="1:16">
      <c r="A361" s="157"/>
      <c r="B361" s="154"/>
      <c r="C361" s="63"/>
      <c r="D361" s="199"/>
      <c r="E361" s="90"/>
      <c r="F361" s="61"/>
      <c r="G361" s="206"/>
      <c r="H361" s="74"/>
      <c r="I361" s="183"/>
      <c r="J361" s="175"/>
      <c r="K361" s="197"/>
      <c r="L361" s="194"/>
      <c r="M361" s="188">
        <v>0</v>
      </c>
      <c r="N361" s="188">
        <f>M361-(M361*0.03)</f>
        <v>0</v>
      </c>
      <c r="O361" s="189">
        <v>7.0000000000000007E-2</v>
      </c>
      <c r="P361" s="170">
        <f t="shared" ref="P361:P367" si="33">(N361*O361)+N361</f>
        <v>0</v>
      </c>
    </row>
    <row r="362" spans="1:16">
      <c r="A362" s="157"/>
      <c r="B362" s="154"/>
      <c r="C362" s="63"/>
      <c r="D362" s="199"/>
      <c r="E362" s="90"/>
      <c r="F362" s="61"/>
      <c r="G362" s="206"/>
      <c r="H362" s="74"/>
      <c r="I362" s="183"/>
      <c r="J362" s="175"/>
      <c r="K362" s="197"/>
      <c r="L362" s="194"/>
      <c r="M362" s="188">
        <v>18537.7</v>
      </c>
      <c r="N362" s="188">
        <f>M362-(M362*0.03)</f>
        <v>17981.569</v>
      </c>
      <c r="O362" s="189">
        <v>7.0000000000000007E-2</v>
      </c>
      <c r="P362" s="170">
        <f t="shared" si="33"/>
        <v>19240.278829999999</v>
      </c>
    </row>
    <row r="363" spans="1:16">
      <c r="A363" s="158"/>
      <c r="B363" s="154"/>
      <c r="C363" s="63"/>
      <c r="D363" s="199"/>
      <c r="E363" s="91"/>
      <c r="F363" s="61"/>
      <c r="G363" s="206"/>
      <c r="H363" s="74"/>
      <c r="I363" s="183"/>
      <c r="J363" s="175"/>
      <c r="K363" s="197"/>
      <c r="L363" s="194"/>
      <c r="M363" s="188">
        <v>9031.68</v>
      </c>
      <c r="N363" s="188">
        <f t="shared" ref="N363:N373" si="34">M363-(M363*0.03)</f>
        <v>8760.7296000000006</v>
      </c>
      <c r="O363" s="189">
        <v>7.0000000000000007E-2</v>
      </c>
      <c r="P363" s="170">
        <f t="shared" si="33"/>
        <v>9373.9806720000015</v>
      </c>
    </row>
    <row r="364" spans="1:16">
      <c r="A364" s="200"/>
      <c r="B364" s="154"/>
      <c r="C364" s="63"/>
      <c r="D364" s="199"/>
      <c r="E364" s="153"/>
      <c r="F364" s="61"/>
      <c r="G364" s="206"/>
      <c r="H364" s="88"/>
      <c r="I364" s="184"/>
      <c r="J364" s="201"/>
      <c r="K364" s="202"/>
      <c r="L364" s="194"/>
      <c r="N364" s="188">
        <f t="shared" si="34"/>
        <v>0</v>
      </c>
      <c r="O364" s="189">
        <v>7.0000000000000007E-2</v>
      </c>
      <c r="P364" s="170">
        <f t="shared" si="33"/>
        <v>0</v>
      </c>
    </row>
    <row r="365" spans="1:16">
      <c r="A365" s="157"/>
      <c r="B365" s="154"/>
      <c r="C365" s="63"/>
      <c r="D365" s="199"/>
      <c r="E365" s="198"/>
      <c r="F365" s="61"/>
      <c r="G365" s="206"/>
      <c r="H365" s="74"/>
      <c r="I365" s="183"/>
      <c r="J365" s="175"/>
      <c r="K365" s="197"/>
      <c r="L365" s="194"/>
      <c r="M365" s="188">
        <v>8478.9599999999991</v>
      </c>
      <c r="N365" s="188">
        <f t="shared" si="34"/>
        <v>8224.5911999999989</v>
      </c>
      <c r="O365" s="189">
        <v>7.0000000000000007E-2</v>
      </c>
      <c r="P365" s="170">
        <f t="shared" si="33"/>
        <v>8800.3125839999993</v>
      </c>
    </row>
    <row r="366" spans="1:16">
      <c r="A366" s="157"/>
      <c r="B366" s="154"/>
      <c r="C366" s="63"/>
      <c r="D366" s="199"/>
      <c r="E366" s="142"/>
      <c r="F366" s="61"/>
      <c r="G366" s="206"/>
      <c r="H366" s="74"/>
      <c r="I366" s="183"/>
      <c r="J366" s="175"/>
      <c r="K366" s="197"/>
      <c r="L366" s="194"/>
      <c r="M366" s="188">
        <v>11122.62</v>
      </c>
      <c r="N366" s="188">
        <f t="shared" si="34"/>
        <v>10788.941400000002</v>
      </c>
      <c r="O366" s="189">
        <v>7.0000000000000007E-2</v>
      </c>
      <c r="P366" s="170">
        <f t="shared" si="33"/>
        <v>11544.167298000002</v>
      </c>
    </row>
    <row r="367" spans="1:16">
      <c r="A367" s="157"/>
      <c r="B367" s="154"/>
      <c r="C367" s="63"/>
      <c r="D367" s="196"/>
      <c r="E367" s="120"/>
      <c r="F367" s="121"/>
      <c r="G367" s="206"/>
      <c r="H367" s="115"/>
      <c r="I367" s="185"/>
      <c r="J367" s="175"/>
      <c r="K367" s="197"/>
      <c r="L367" s="194"/>
      <c r="M367" s="188">
        <v>3813.12</v>
      </c>
      <c r="N367" s="188">
        <f t="shared" si="34"/>
        <v>3698.7264</v>
      </c>
      <c r="O367" s="189">
        <v>7.0000000000000007E-2</v>
      </c>
      <c r="P367" s="170">
        <f t="shared" si="33"/>
        <v>3957.637248</v>
      </c>
    </row>
    <row r="368" spans="1:16">
      <c r="A368" s="157"/>
      <c r="B368" s="154"/>
      <c r="C368" s="63"/>
      <c r="D368" s="196"/>
      <c r="E368" s="249"/>
      <c r="F368" s="121"/>
      <c r="G368" s="206"/>
      <c r="H368" s="115"/>
      <c r="I368" s="185"/>
      <c r="J368" s="175"/>
      <c r="K368" s="197"/>
      <c r="L368" s="194"/>
    </row>
    <row r="369" spans="1:16">
      <c r="A369" s="157"/>
      <c r="B369" s="154"/>
      <c r="C369" s="63"/>
      <c r="D369" s="196"/>
      <c r="E369" s="249"/>
      <c r="F369" s="121"/>
      <c r="G369" s="206"/>
      <c r="H369" s="115"/>
      <c r="I369" s="185"/>
      <c r="J369" s="175"/>
      <c r="K369" s="197"/>
      <c r="L369" s="194"/>
    </row>
    <row r="370" spans="1:16">
      <c r="A370" s="157"/>
      <c r="B370" s="154"/>
      <c r="C370" s="63"/>
      <c r="D370" s="196"/>
      <c r="E370" s="249"/>
      <c r="F370" s="121"/>
      <c r="G370" s="206"/>
      <c r="H370" s="115"/>
      <c r="I370" s="185"/>
      <c r="J370" s="175"/>
      <c r="K370" s="197"/>
      <c r="L370" s="194"/>
    </row>
    <row r="371" spans="1:16">
      <c r="A371" s="157"/>
      <c r="B371" s="154"/>
      <c r="C371" s="63"/>
      <c r="D371" s="196"/>
      <c r="E371" s="142"/>
      <c r="F371" s="61"/>
      <c r="G371" s="206"/>
      <c r="H371" s="74"/>
      <c r="I371" s="183"/>
      <c r="J371" s="175"/>
      <c r="K371" s="197"/>
      <c r="L371" s="194"/>
    </row>
    <row r="372" spans="1:16">
      <c r="A372" s="157"/>
      <c r="B372" s="154"/>
      <c r="C372" s="63"/>
      <c r="D372" s="196"/>
      <c r="E372" s="142"/>
      <c r="F372" s="61"/>
      <c r="G372" s="206"/>
      <c r="H372" s="74"/>
      <c r="I372" s="183"/>
      <c r="J372" s="175"/>
      <c r="K372" s="197"/>
      <c r="L372" s="194"/>
    </row>
    <row r="373" spans="1:16">
      <c r="A373" s="157"/>
      <c r="B373" s="161"/>
      <c r="C373" s="63"/>
      <c r="D373" s="196"/>
      <c r="E373" s="142"/>
      <c r="F373" s="61"/>
      <c r="G373" s="206"/>
      <c r="H373" s="74"/>
      <c r="I373" s="183"/>
      <c r="J373" s="175"/>
      <c r="K373" s="197"/>
      <c r="L373" s="194"/>
      <c r="M373" s="188">
        <v>8640</v>
      </c>
      <c r="N373" s="188">
        <f t="shared" si="34"/>
        <v>8380.7999999999993</v>
      </c>
      <c r="O373" s="189">
        <v>7.0000000000000007E-2</v>
      </c>
      <c r="P373" s="170">
        <f>(N373*O373)+N373</f>
        <v>8967.4559999999983</v>
      </c>
    </row>
    <row r="374" spans="1:16">
      <c r="A374" s="157"/>
      <c r="B374" s="161"/>
      <c r="C374" s="63"/>
      <c r="D374" s="196"/>
      <c r="E374" s="142"/>
      <c r="F374" s="61"/>
      <c r="G374" s="206"/>
      <c r="H374" s="74"/>
      <c r="I374" s="183"/>
      <c r="J374" s="175"/>
      <c r="K374" s="197"/>
      <c r="L374" s="194"/>
    </row>
    <row r="375" spans="1:16">
      <c r="A375" s="157"/>
      <c r="B375" s="161"/>
      <c r="C375" s="63"/>
      <c r="D375" s="196"/>
      <c r="E375" s="142"/>
      <c r="F375" s="61"/>
      <c r="G375" s="206"/>
      <c r="H375" s="74"/>
      <c r="I375" s="183"/>
      <c r="J375" s="175"/>
      <c r="K375" s="197"/>
      <c r="L375" s="194"/>
    </row>
    <row r="376" spans="1:16">
      <c r="A376" s="157"/>
      <c r="B376" s="161"/>
      <c r="C376" s="63"/>
      <c r="D376" s="196"/>
      <c r="E376" s="142"/>
      <c r="F376" s="61"/>
      <c r="G376" s="206"/>
      <c r="H376" s="74"/>
      <c r="I376" s="183"/>
      <c r="J376" s="175"/>
      <c r="K376" s="197"/>
      <c r="L376" s="194"/>
    </row>
    <row r="377" spans="1:16">
      <c r="A377" s="160"/>
      <c r="B377" s="154"/>
      <c r="C377" s="63"/>
      <c r="D377" s="196"/>
      <c r="E377" s="120"/>
      <c r="F377" s="121"/>
      <c r="G377" s="206"/>
      <c r="H377" s="115"/>
      <c r="I377" s="185"/>
      <c r="J377" s="174"/>
      <c r="K377" s="195"/>
      <c r="L377" s="194"/>
    </row>
    <row r="378" spans="1:16">
      <c r="A378" s="204"/>
      <c r="B378" s="3444"/>
      <c r="C378" s="3444"/>
      <c r="D378" s="3444"/>
      <c r="E378" s="3444"/>
      <c r="F378" s="3444"/>
      <c r="G378" s="213"/>
      <c r="H378" s="109"/>
      <c r="I378" s="3444"/>
      <c r="J378" s="234"/>
      <c r="K378" s="3444"/>
      <c r="L378" s="235"/>
      <c r="M378" s="3444"/>
    </row>
    <row r="379" spans="1:16">
      <c r="A379" s="44" t="s">
        <v>0</v>
      </c>
      <c r="B379" s="127"/>
      <c r="C379" s="104"/>
      <c r="F379" s="68"/>
      <c r="I379" s="179"/>
      <c r="K379" s="163"/>
      <c r="L379" s="168"/>
    </row>
    <row r="380" spans="1:16">
      <c r="A380" s="3480" t="s">
        <v>2512</v>
      </c>
      <c r="B380" s="3480"/>
      <c r="C380" s="44"/>
      <c r="D380" s="109"/>
      <c r="F380" s="68"/>
      <c r="I380" s="179"/>
      <c r="K380" s="163"/>
      <c r="L380" s="168"/>
    </row>
    <row r="381" spans="1:16" ht="35.25" thickBot="1">
      <c r="F381" s="68"/>
    </row>
    <row r="382" spans="1:16">
      <c r="A382" s="3493" t="s">
        <v>2</v>
      </c>
      <c r="B382" s="3482"/>
      <c r="C382" s="48" t="s">
        <v>3</v>
      </c>
      <c r="D382" s="128" t="s">
        <v>4</v>
      </c>
      <c r="E382" s="77" t="s">
        <v>5</v>
      </c>
      <c r="F382" s="78" t="s">
        <v>5</v>
      </c>
      <c r="G382" s="211" t="s">
        <v>6</v>
      </c>
      <c r="H382" s="140" t="s">
        <v>7</v>
      </c>
      <c r="I382" s="180" t="s">
        <v>1511</v>
      </c>
      <c r="J382" s="172" t="s">
        <v>9</v>
      </c>
      <c r="K382" s="186" t="s">
        <v>9</v>
      </c>
      <c r="L382" s="192" t="s">
        <v>2495</v>
      </c>
      <c r="M382" s="190"/>
    </row>
    <row r="383" spans="1:16" ht="35.25" thickBot="1">
      <c r="A383" s="155"/>
      <c r="B383" s="138"/>
      <c r="C383" s="50"/>
      <c r="D383" s="129" t="s">
        <v>10</v>
      </c>
      <c r="E383" s="79" t="s">
        <v>11</v>
      </c>
      <c r="F383" s="80" t="s">
        <v>12</v>
      </c>
      <c r="G383" s="212"/>
      <c r="H383" s="141" t="s">
        <v>13</v>
      </c>
      <c r="I383" s="181" t="s">
        <v>1512</v>
      </c>
      <c r="J383" s="173" t="s">
        <v>15</v>
      </c>
      <c r="K383" s="187" t="s">
        <v>14</v>
      </c>
      <c r="L383" s="193" t="s">
        <v>2496</v>
      </c>
      <c r="M383" s="190"/>
    </row>
    <row r="384" spans="1:16">
      <c r="A384" s="156"/>
      <c r="B384" s="154"/>
      <c r="C384" s="63"/>
      <c r="D384" s="199"/>
      <c r="E384" s="143"/>
      <c r="F384" s="69"/>
      <c r="G384" s="206"/>
      <c r="H384" s="74"/>
      <c r="I384" s="183"/>
      <c r="J384" s="175"/>
      <c r="K384" s="172"/>
      <c r="L384" s="194"/>
      <c r="M384" s="188">
        <v>3552</v>
      </c>
      <c r="N384" s="188">
        <f t="shared" ref="N384:N400" si="35">M384-(M384*0.03)</f>
        <v>3445.44</v>
      </c>
      <c r="O384" s="189">
        <v>7.0000000000000007E-2</v>
      </c>
      <c r="P384" s="170">
        <f t="shared" ref="P384:P400" si="36">(N384*O384)+N384</f>
        <v>3686.6208000000001</v>
      </c>
    </row>
    <row r="385" spans="1:16">
      <c r="A385" s="157"/>
      <c r="B385" s="154"/>
      <c r="C385" s="63"/>
      <c r="D385" s="199"/>
      <c r="E385" s="145"/>
      <c r="F385" s="61"/>
      <c r="G385" s="206"/>
      <c r="H385" s="74"/>
      <c r="I385" s="183"/>
      <c r="J385" s="175"/>
      <c r="K385" s="176"/>
      <c r="L385" s="194"/>
      <c r="N385" s="188">
        <f t="shared" si="35"/>
        <v>0</v>
      </c>
      <c r="O385" s="189">
        <v>7.0000000000000007E-2</v>
      </c>
      <c r="P385" s="170">
        <f t="shared" si="36"/>
        <v>0</v>
      </c>
    </row>
    <row r="386" spans="1:16">
      <c r="A386" s="157"/>
      <c r="B386" s="239"/>
      <c r="C386" s="63"/>
      <c r="D386" s="199"/>
      <c r="E386" s="145"/>
      <c r="F386" s="61"/>
      <c r="G386" s="206"/>
      <c r="H386" s="74"/>
      <c r="I386" s="183"/>
      <c r="J386" s="175"/>
      <c r="K386" s="245"/>
      <c r="L386" s="194"/>
      <c r="M386" s="188">
        <v>9498.06</v>
      </c>
      <c r="N386" s="188">
        <f t="shared" si="35"/>
        <v>9213.118199999999</v>
      </c>
      <c r="O386" s="189">
        <v>7.0000000000000007E-2</v>
      </c>
      <c r="P386" s="170">
        <f t="shared" si="36"/>
        <v>9858.0364739999986</v>
      </c>
    </row>
    <row r="387" spans="1:16">
      <c r="A387" s="157"/>
      <c r="B387" s="239"/>
      <c r="C387" s="63"/>
      <c r="D387" s="199"/>
      <c r="E387" s="145"/>
      <c r="F387" s="61"/>
      <c r="G387" s="206"/>
      <c r="H387" s="74"/>
      <c r="I387" s="183"/>
      <c r="J387" s="175"/>
      <c r="K387" s="197"/>
      <c r="L387" s="194"/>
      <c r="M387" s="188">
        <v>15305.4</v>
      </c>
      <c r="N387" s="188">
        <f t="shared" si="35"/>
        <v>14846.237999999999</v>
      </c>
      <c r="O387" s="189">
        <v>7.0000000000000007E-2</v>
      </c>
      <c r="P387" s="170">
        <f t="shared" si="36"/>
        <v>15885.47466</v>
      </c>
    </row>
    <row r="388" spans="1:16">
      <c r="A388" s="157"/>
      <c r="B388" s="154"/>
      <c r="C388" s="63"/>
      <c r="D388" s="199"/>
      <c r="E388" s="145"/>
      <c r="F388" s="61"/>
      <c r="G388" s="206"/>
      <c r="H388" s="74"/>
      <c r="I388" s="183"/>
      <c r="J388" s="175"/>
      <c r="K388" s="197"/>
      <c r="L388" s="194"/>
      <c r="N388" s="188">
        <f t="shared" si="35"/>
        <v>0</v>
      </c>
      <c r="O388" s="189">
        <v>7.0000000000000007E-2</v>
      </c>
      <c r="P388" s="170">
        <f t="shared" si="36"/>
        <v>0</v>
      </c>
    </row>
    <row r="389" spans="1:16">
      <c r="A389" s="157"/>
      <c r="B389" s="154"/>
      <c r="C389" s="63"/>
      <c r="D389" s="199"/>
      <c r="E389" s="145"/>
      <c r="F389" s="61"/>
      <c r="G389" s="206"/>
      <c r="H389" s="74"/>
      <c r="I389" s="183"/>
      <c r="J389" s="175"/>
      <c r="K389" s="197"/>
      <c r="L389" s="194"/>
      <c r="N389" s="188">
        <f t="shared" si="35"/>
        <v>0</v>
      </c>
      <c r="O389" s="189">
        <v>7.0000000000000007E-2</v>
      </c>
      <c r="P389" s="170">
        <f t="shared" si="36"/>
        <v>0</v>
      </c>
    </row>
    <row r="390" spans="1:16">
      <c r="A390" s="157"/>
      <c r="B390" s="154"/>
      <c r="C390" s="63"/>
      <c r="D390" s="199"/>
      <c r="E390" s="145"/>
      <c r="F390" s="61"/>
      <c r="G390" s="206"/>
      <c r="H390" s="74"/>
      <c r="I390" s="183"/>
      <c r="J390" s="175"/>
      <c r="K390" s="197"/>
      <c r="L390" s="194"/>
      <c r="N390" s="188">
        <f t="shared" si="35"/>
        <v>0</v>
      </c>
      <c r="O390" s="189">
        <v>7.0000000000000007E-2</v>
      </c>
      <c r="P390" s="170">
        <f t="shared" si="36"/>
        <v>0</v>
      </c>
    </row>
    <row r="391" spans="1:16">
      <c r="A391" s="157"/>
      <c r="B391" s="239"/>
      <c r="C391" s="222"/>
      <c r="D391" s="3464"/>
      <c r="E391" s="145"/>
      <c r="F391" s="61"/>
      <c r="G391" s="223"/>
      <c r="H391" s="224"/>
      <c r="I391" s="225"/>
      <c r="J391" s="209"/>
      <c r="K391" s="244"/>
      <c r="M391" s="188">
        <v>14244.12</v>
      </c>
      <c r="N391" s="188">
        <f t="shared" si="35"/>
        <v>13816.796400000001</v>
      </c>
      <c r="O391" s="189">
        <v>7.0000000000000007E-2</v>
      </c>
      <c r="P391" s="170">
        <f t="shared" si="36"/>
        <v>14783.972148000001</v>
      </c>
    </row>
    <row r="392" spans="1:16">
      <c r="A392" s="157"/>
      <c r="B392" s="162"/>
      <c r="C392" s="63"/>
      <c r="D392" s="199"/>
      <c r="E392" s="145"/>
      <c r="F392" s="61"/>
      <c r="G392" s="206"/>
      <c r="H392" s="74"/>
      <c r="I392" s="183"/>
      <c r="J392" s="175"/>
      <c r="K392" s="197"/>
      <c r="L392" s="194"/>
      <c r="M392" s="188">
        <v>3240</v>
      </c>
      <c r="N392" s="188">
        <f t="shared" si="35"/>
        <v>3142.8</v>
      </c>
      <c r="O392" s="189">
        <v>7.0000000000000007E-2</v>
      </c>
      <c r="P392" s="170">
        <f t="shared" si="36"/>
        <v>3362.7960000000003</v>
      </c>
    </row>
    <row r="393" spans="1:16">
      <c r="A393" s="157"/>
      <c r="B393" s="162"/>
      <c r="C393" s="63"/>
      <c r="D393" s="199"/>
      <c r="E393" s="145"/>
      <c r="F393" s="61"/>
      <c r="G393" s="206"/>
      <c r="H393" s="74"/>
      <c r="I393" s="183"/>
      <c r="J393" s="175"/>
      <c r="K393" s="197"/>
      <c r="L393" s="194"/>
      <c r="M393" s="188">
        <v>14700</v>
      </c>
      <c r="N393" s="188">
        <f t="shared" si="35"/>
        <v>14259</v>
      </c>
      <c r="O393" s="189">
        <v>7.0000000000000007E-2</v>
      </c>
      <c r="P393" s="170">
        <f t="shared" si="36"/>
        <v>15257.130000000001</v>
      </c>
    </row>
    <row r="394" spans="1:16">
      <c r="A394" s="157"/>
      <c r="B394" s="162"/>
      <c r="C394" s="222"/>
      <c r="D394" s="3464"/>
      <c r="E394" s="237"/>
      <c r="F394" s="238"/>
      <c r="G394" s="223"/>
      <c r="H394" s="224"/>
      <c r="I394" s="225"/>
      <c r="J394" s="209"/>
      <c r="K394" s="226"/>
      <c r="L394" s="229"/>
      <c r="M394" s="188">
        <v>14582.7</v>
      </c>
      <c r="N394" s="188">
        <f t="shared" si="35"/>
        <v>14145.219000000001</v>
      </c>
      <c r="O394" s="189">
        <v>7.0000000000000007E-2</v>
      </c>
      <c r="P394" s="170">
        <f t="shared" si="36"/>
        <v>15135.384330000001</v>
      </c>
    </row>
    <row r="395" spans="1:16">
      <c r="A395" s="157"/>
      <c r="B395" s="162"/>
      <c r="C395" s="63"/>
      <c r="D395" s="199"/>
      <c r="E395" s="145"/>
      <c r="F395" s="61"/>
      <c r="G395" s="206"/>
      <c r="H395" s="74"/>
      <c r="I395" s="183"/>
      <c r="J395" s="175"/>
      <c r="K395" s="197"/>
      <c r="L395" s="229"/>
      <c r="M395" s="188">
        <v>13483.8</v>
      </c>
      <c r="N395" s="188">
        <f t="shared" si="35"/>
        <v>13079.286</v>
      </c>
      <c r="O395" s="189">
        <v>7.0000000000000007E-2</v>
      </c>
      <c r="P395" s="170">
        <f t="shared" si="36"/>
        <v>13994.836020000001</v>
      </c>
    </row>
    <row r="396" spans="1:16">
      <c r="A396" s="157"/>
      <c r="B396" s="154"/>
      <c r="C396" s="222"/>
      <c r="D396" s="3464"/>
      <c r="E396" s="145"/>
      <c r="F396" s="61"/>
      <c r="G396" s="223"/>
      <c r="H396" s="224"/>
      <c r="I396" s="225"/>
      <c r="J396" s="209"/>
      <c r="K396" s="226"/>
      <c r="L396" s="229"/>
      <c r="M396" s="188">
        <v>2669.52</v>
      </c>
      <c r="N396" s="188">
        <f t="shared" si="35"/>
        <v>2589.4344000000001</v>
      </c>
      <c r="O396" s="189">
        <v>7.0000000000000007E-2</v>
      </c>
      <c r="P396" s="170">
        <f t="shared" si="36"/>
        <v>2770.6948080000002</v>
      </c>
    </row>
    <row r="397" spans="1:16">
      <c r="A397" s="157"/>
      <c r="B397" s="154"/>
      <c r="C397" s="222"/>
      <c r="D397" s="3464"/>
      <c r="E397" s="145"/>
      <c r="F397" s="61"/>
      <c r="G397" s="223"/>
      <c r="H397" s="224"/>
      <c r="I397" s="225"/>
      <c r="J397" s="209"/>
      <c r="K397" s="226"/>
      <c r="L397" s="229"/>
      <c r="N397" s="188">
        <f t="shared" si="35"/>
        <v>0</v>
      </c>
      <c r="O397" s="189">
        <v>7.0000000000000007E-2</v>
      </c>
      <c r="P397" s="170">
        <f t="shared" si="36"/>
        <v>0</v>
      </c>
    </row>
    <row r="398" spans="1:16">
      <c r="A398" s="221"/>
      <c r="B398" s="240"/>
      <c r="C398" s="222"/>
      <c r="D398" s="3464"/>
      <c r="E398" s="145"/>
      <c r="F398" s="61"/>
      <c r="G398" s="223"/>
      <c r="H398" s="224"/>
      <c r="I398" s="225"/>
      <c r="J398" s="209"/>
      <c r="K398" s="226"/>
      <c r="L398" s="229"/>
      <c r="M398" s="188">
        <v>12972.96</v>
      </c>
      <c r="N398" s="188">
        <f t="shared" si="35"/>
        <v>12583.771199999999</v>
      </c>
      <c r="O398" s="189">
        <v>7.0000000000000007E-2</v>
      </c>
      <c r="P398" s="170">
        <f t="shared" si="36"/>
        <v>13464.635183999999</v>
      </c>
    </row>
    <row r="399" spans="1:16">
      <c r="A399" s="157"/>
      <c r="B399" s="154"/>
      <c r="C399" s="63"/>
      <c r="D399" s="199"/>
      <c r="E399" s="145"/>
      <c r="F399" s="61"/>
      <c r="G399" s="206"/>
      <c r="H399" s="74"/>
      <c r="I399" s="183"/>
      <c r="J399" s="209"/>
      <c r="K399" s="197"/>
      <c r="L399" s="229"/>
      <c r="M399" s="188">
        <v>12687.84</v>
      </c>
      <c r="N399" s="188">
        <f t="shared" si="35"/>
        <v>12307.2048</v>
      </c>
      <c r="O399" s="189">
        <v>7.0000000000000007E-2</v>
      </c>
      <c r="P399" s="170">
        <f t="shared" si="36"/>
        <v>13168.709135999999</v>
      </c>
    </row>
    <row r="400" spans="1:16">
      <c r="A400" s="157"/>
      <c r="B400" s="154"/>
      <c r="C400" s="63"/>
      <c r="D400" s="199"/>
      <c r="E400" s="145"/>
      <c r="F400" s="61"/>
      <c r="G400" s="206"/>
      <c r="H400" s="74"/>
      <c r="I400" s="183"/>
      <c r="J400" s="175"/>
      <c r="K400" s="197"/>
      <c r="L400" s="194"/>
      <c r="M400" s="188">
        <v>16572.599999999999</v>
      </c>
      <c r="N400" s="188">
        <f t="shared" si="35"/>
        <v>16075.421999999999</v>
      </c>
      <c r="O400" s="189">
        <v>7.0000000000000007E-2</v>
      </c>
      <c r="P400" s="170">
        <f t="shared" si="36"/>
        <v>17200.701539999998</v>
      </c>
    </row>
    <row r="401" spans="1:16">
      <c r="A401" s="157"/>
      <c r="B401" s="154"/>
      <c r="C401" s="63"/>
      <c r="D401" s="199"/>
      <c r="E401" s="90"/>
      <c r="F401" s="61"/>
      <c r="G401" s="206"/>
      <c r="H401" s="74"/>
      <c r="I401" s="203"/>
      <c r="J401" s="175"/>
      <c r="K401" s="197"/>
      <c r="L401" s="194"/>
      <c r="M401" s="188">
        <v>6021.12</v>
      </c>
      <c r="N401" s="188">
        <f>M401-(M401*0.03)</f>
        <v>5840.4863999999998</v>
      </c>
      <c r="O401" s="189">
        <v>7.0000000000000007E-2</v>
      </c>
      <c r="P401" s="170">
        <f>(N401*O401)+N401</f>
        <v>6249.3204479999995</v>
      </c>
    </row>
    <row r="402" spans="1:16">
      <c r="A402" s="157"/>
      <c r="B402" s="154"/>
      <c r="C402" s="63"/>
      <c r="D402" s="199"/>
      <c r="E402" s="90"/>
      <c r="F402" s="61"/>
      <c r="G402" s="206"/>
      <c r="H402" s="74"/>
      <c r="I402" s="183"/>
      <c r="J402" s="175"/>
      <c r="K402" s="197"/>
      <c r="L402" s="194"/>
      <c r="M402" s="188">
        <v>8714.16</v>
      </c>
      <c r="N402" s="188">
        <f>M402-(M402*0.03)</f>
        <v>8452.7351999999992</v>
      </c>
      <c r="O402" s="189">
        <v>7.0000000000000007E-2</v>
      </c>
      <c r="P402" s="170">
        <f>(N402*O402)+N402</f>
        <v>9044.4266639999987</v>
      </c>
    </row>
    <row r="403" spans="1:16">
      <c r="A403" s="157"/>
      <c r="B403" s="154"/>
      <c r="C403" s="63"/>
      <c r="D403" s="199"/>
      <c r="E403" s="90"/>
      <c r="F403" s="61"/>
      <c r="G403" s="206"/>
      <c r="H403" s="74"/>
      <c r="I403" s="183"/>
      <c r="J403" s="175"/>
      <c r="K403" s="197"/>
      <c r="L403" s="194"/>
      <c r="M403" s="188">
        <v>0</v>
      </c>
      <c r="N403" s="188">
        <f>M403-(M403*0.03)</f>
        <v>0</v>
      </c>
      <c r="O403" s="189">
        <v>7.0000000000000007E-2</v>
      </c>
      <c r="P403" s="170">
        <f t="shared" ref="P403:P409" si="37">(N403*O403)+N403</f>
        <v>0</v>
      </c>
    </row>
    <row r="404" spans="1:16">
      <c r="A404" s="157"/>
      <c r="B404" s="154"/>
      <c r="C404" s="63"/>
      <c r="D404" s="199"/>
      <c r="E404" s="90"/>
      <c r="F404" s="61"/>
      <c r="G404" s="206"/>
      <c r="H404" s="74"/>
      <c r="I404" s="183"/>
      <c r="J404" s="175"/>
      <c r="K404" s="197"/>
      <c r="L404" s="194"/>
      <c r="M404" s="188">
        <v>18537.7</v>
      </c>
      <c r="N404" s="188">
        <f>M404-(M404*0.03)</f>
        <v>17981.569</v>
      </c>
      <c r="O404" s="189">
        <v>7.0000000000000007E-2</v>
      </c>
      <c r="P404" s="170">
        <f t="shared" si="37"/>
        <v>19240.278829999999</v>
      </c>
    </row>
    <row r="405" spans="1:16">
      <c r="A405" s="158"/>
      <c r="B405" s="154"/>
      <c r="C405" s="63"/>
      <c r="D405" s="199"/>
      <c r="E405" s="91"/>
      <c r="F405" s="61"/>
      <c r="G405" s="206"/>
      <c r="H405" s="74"/>
      <c r="I405" s="183"/>
      <c r="J405" s="175"/>
      <c r="K405" s="197"/>
      <c r="L405" s="194"/>
      <c r="M405" s="188">
        <v>9031.68</v>
      </c>
      <c r="N405" s="188">
        <f t="shared" ref="N405:N416" si="38">M405-(M405*0.03)</f>
        <v>8760.7296000000006</v>
      </c>
      <c r="O405" s="189">
        <v>7.0000000000000007E-2</v>
      </c>
      <c r="P405" s="170">
        <f t="shared" si="37"/>
        <v>9373.9806720000015</v>
      </c>
    </row>
    <row r="406" spans="1:16">
      <c r="A406" s="200"/>
      <c r="B406" s="154"/>
      <c r="C406" s="63"/>
      <c r="D406" s="199"/>
      <c r="E406" s="153"/>
      <c r="F406" s="61"/>
      <c r="G406" s="206"/>
      <c r="H406" s="88"/>
      <c r="I406" s="184"/>
      <c r="J406" s="201"/>
      <c r="K406" s="202"/>
      <c r="L406" s="194"/>
      <c r="N406" s="188">
        <f t="shared" si="38"/>
        <v>0</v>
      </c>
      <c r="O406" s="189">
        <v>7.0000000000000007E-2</v>
      </c>
      <c r="P406" s="170">
        <f t="shared" si="37"/>
        <v>0</v>
      </c>
    </row>
    <row r="407" spans="1:16">
      <c r="A407" s="157"/>
      <c r="B407" s="154"/>
      <c r="C407" s="63"/>
      <c r="D407" s="199"/>
      <c r="E407" s="198"/>
      <c r="F407" s="61"/>
      <c r="G407" s="206"/>
      <c r="H407" s="74"/>
      <c r="I407" s="183"/>
      <c r="J407" s="175"/>
      <c r="K407" s="197"/>
      <c r="L407" s="194"/>
      <c r="M407" s="188">
        <v>8478.9599999999991</v>
      </c>
      <c r="N407" s="188">
        <f t="shared" si="38"/>
        <v>8224.5911999999989</v>
      </c>
      <c r="O407" s="189">
        <v>7.0000000000000007E-2</v>
      </c>
      <c r="P407" s="170">
        <f t="shared" si="37"/>
        <v>8800.3125839999993</v>
      </c>
    </row>
    <row r="408" spans="1:16">
      <c r="A408" s="157"/>
      <c r="B408" s="154"/>
      <c r="C408" s="63"/>
      <c r="D408" s="199"/>
      <c r="E408" s="142"/>
      <c r="F408" s="61"/>
      <c r="G408" s="206"/>
      <c r="H408" s="74"/>
      <c r="I408" s="183"/>
      <c r="J408" s="175"/>
      <c r="K408" s="197"/>
      <c r="L408" s="194"/>
      <c r="M408" s="188">
        <v>11122.62</v>
      </c>
      <c r="N408" s="188">
        <f t="shared" si="38"/>
        <v>10788.941400000002</v>
      </c>
      <c r="O408" s="189">
        <v>7.0000000000000007E-2</v>
      </c>
      <c r="P408" s="170">
        <f t="shared" si="37"/>
        <v>11544.167298000002</v>
      </c>
    </row>
    <row r="409" spans="1:16">
      <c r="A409" s="157"/>
      <c r="B409" s="154"/>
      <c r="C409" s="63"/>
      <c r="D409" s="196"/>
      <c r="E409" s="120"/>
      <c r="F409" s="121"/>
      <c r="G409" s="206"/>
      <c r="H409" s="115"/>
      <c r="I409" s="185"/>
      <c r="J409" s="175"/>
      <c r="K409" s="197"/>
      <c r="L409" s="194"/>
      <c r="M409" s="188">
        <v>3813.12</v>
      </c>
      <c r="N409" s="188">
        <f t="shared" si="38"/>
        <v>3698.7264</v>
      </c>
      <c r="O409" s="189">
        <v>7.0000000000000007E-2</v>
      </c>
      <c r="P409" s="170">
        <f t="shared" si="37"/>
        <v>3957.637248</v>
      </c>
    </row>
    <row r="410" spans="1:16">
      <c r="A410" s="157"/>
      <c r="B410" s="154"/>
      <c r="C410" s="63"/>
      <c r="D410" s="196"/>
      <c r="E410" s="249"/>
      <c r="F410" s="121"/>
      <c r="G410" s="206"/>
      <c r="H410" s="115"/>
      <c r="I410" s="185"/>
      <c r="J410" s="175"/>
      <c r="K410" s="197"/>
      <c r="L410" s="194"/>
    </row>
    <row r="411" spans="1:16">
      <c r="A411" s="157"/>
      <c r="B411" s="154"/>
      <c r="C411" s="63"/>
      <c r="D411" s="196"/>
      <c r="E411" s="249"/>
      <c r="F411" s="121"/>
      <c r="G411" s="206"/>
      <c r="H411" s="115"/>
      <c r="I411" s="185"/>
      <c r="J411" s="175"/>
      <c r="K411" s="197"/>
      <c r="L411" s="194"/>
    </row>
    <row r="412" spans="1:16">
      <c r="A412" s="157"/>
      <c r="B412" s="154"/>
      <c r="C412" s="63"/>
      <c r="D412" s="196"/>
      <c r="E412" s="249"/>
      <c r="F412" s="121"/>
      <c r="G412" s="206"/>
      <c r="H412" s="115"/>
      <c r="I412" s="185"/>
      <c r="J412" s="175"/>
      <c r="K412" s="197"/>
      <c r="L412" s="194"/>
    </row>
    <row r="413" spans="1:16">
      <c r="A413" s="157"/>
      <c r="B413" s="154"/>
      <c r="C413" s="63"/>
      <c r="D413" s="196"/>
      <c r="E413" s="249"/>
      <c r="F413" s="121"/>
      <c r="G413" s="206"/>
      <c r="H413" s="115"/>
      <c r="I413" s="185"/>
      <c r="J413" s="175"/>
      <c r="K413" s="197"/>
      <c r="L413" s="194"/>
    </row>
    <row r="414" spans="1:16">
      <c r="A414" s="157"/>
      <c r="B414" s="154"/>
      <c r="C414" s="63"/>
      <c r="D414" s="196"/>
      <c r="E414" s="142"/>
      <c r="F414" s="61"/>
      <c r="G414" s="206"/>
      <c r="H414" s="74"/>
      <c r="I414" s="183"/>
      <c r="J414" s="175"/>
      <c r="K414" s="197"/>
      <c r="L414" s="194"/>
    </row>
    <row r="415" spans="1:16">
      <c r="A415" s="157"/>
      <c r="B415" s="154"/>
      <c r="C415" s="63"/>
      <c r="D415" s="196"/>
      <c r="E415" s="142"/>
      <c r="F415" s="61"/>
      <c r="G415" s="206"/>
      <c r="H415" s="74"/>
      <c r="I415" s="183"/>
      <c r="J415" s="175"/>
      <c r="K415" s="197"/>
      <c r="L415" s="194"/>
    </row>
    <row r="416" spans="1:16">
      <c r="A416" s="157"/>
      <c r="B416" s="161"/>
      <c r="C416" s="63"/>
      <c r="D416" s="196"/>
      <c r="E416" s="142"/>
      <c r="F416" s="61"/>
      <c r="G416" s="206"/>
      <c r="H416" s="74"/>
      <c r="I416" s="183"/>
      <c r="J416" s="175"/>
      <c r="K416" s="197"/>
      <c r="L416" s="194"/>
      <c r="M416" s="188">
        <v>8640</v>
      </c>
      <c r="N416" s="188">
        <f t="shared" si="38"/>
        <v>8380.7999999999993</v>
      </c>
      <c r="O416" s="189">
        <v>7.0000000000000007E-2</v>
      </c>
      <c r="P416" s="170">
        <f>(N416*O416)+N416</f>
        <v>8967.4559999999983</v>
      </c>
    </row>
    <row r="417" spans="1:16">
      <c r="A417" s="157"/>
      <c r="B417" s="161"/>
      <c r="C417" s="63"/>
      <c r="D417" s="196"/>
      <c r="E417" s="142"/>
      <c r="F417" s="61"/>
      <c r="G417" s="206"/>
      <c r="H417" s="74"/>
      <c r="I417" s="183"/>
      <c r="J417" s="175"/>
      <c r="K417" s="197"/>
      <c r="L417" s="194"/>
    </row>
    <row r="418" spans="1:16">
      <c r="A418" s="160"/>
      <c r="B418" s="154"/>
      <c r="C418" s="63"/>
      <c r="D418" s="196"/>
      <c r="E418" s="120"/>
      <c r="F418" s="121"/>
      <c r="G418" s="206"/>
      <c r="H418" s="115"/>
      <c r="I418" s="185"/>
      <c r="J418" s="174"/>
      <c r="K418" s="195"/>
      <c r="L418" s="194"/>
    </row>
    <row r="419" spans="1:16">
      <c r="F419" s="68"/>
    </row>
    <row r="420" spans="1:16">
      <c r="F420" s="68"/>
    </row>
    <row r="421" spans="1:16">
      <c r="A421" s="44" t="s">
        <v>0</v>
      </c>
      <c r="B421" s="127"/>
      <c r="C421" s="104"/>
      <c r="F421" s="68"/>
      <c r="I421" s="179"/>
      <c r="K421" s="163"/>
      <c r="L421" s="168"/>
    </row>
    <row r="422" spans="1:16">
      <c r="A422" s="3480" t="s">
        <v>2512</v>
      </c>
      <c r="B422" s="3480"/>
      <c r="C422" s="44"/>
      <c r="D422" s="109"/>
      <c r="F422" s="68"/>
      <c r="I422" s="179"/>
      <c r="K422" s="163"/>
      <c r="L422" s="168"/>
    </row>
    <row r="423" spans="1:16" ht="35.25" thickBot="1">
      <c r="F423" s="68"/>
    </row>
    <row r="424" spans="1:16">
      <c r="A424" s="3493" t="s">
        <v>2</v>
      </c>
      <c r="B424" s="3482"/>
      <c r="C424" s="48" t="s">
        <v>3</v>
      </c>
      <c r="D424" s="128" t="s">
        <v>4</v>
      </c>
      <c r="E424" s="77" t="s">
        <v>5</v>
      </c>
      <c r="F424" s="78" t="s">
        <v>5</v>
      </c>
      <c r="G424" s="211" t="s">
        <v>6</v>
      </c>
      <c r="H424" s="140" t="s">
        <v>7</v>
      </c>
      <c r="I424" s="180" t="s">
        <v>1511</v>
      </c>
      <c r="J424" s="172" t="s">
        <v>9</v>
      </c>
      <c r="K424" s="186" t="s">
        <v>9</v>
      </c>
      <c r="L424" s="192" t="s">
        <v>2495</v>
      </c>
      <c r="M424" s="190"/>
    </row>
    <row r="425" spans="1:16" ht="35.25" thickBot="1">
      <c r="A425" s="155"/>
      <c r="B425" s="138"/>
      <c r="C425" s="50"/>
      <c r="D425" s="129" t="s">
        <v>10</v>
      </c>
      <c r="E425" s="79" t="s">
        <v>11</v>
      </c>
      <c r="F425" s="80" t="s">
        <v>12</v>
      </c>
      <c r="G425" s="212"/>
      <c r="H425" s="141" t="s">
        <v>13</v>
      </c>
      <c r="I425" s="181" t="s">
        <v>1512</v>
      </c>
      <c r="J425" s="173" t="s">
        <v>15</v>
      </c>
      <c r="K425" s="187" t="s">
        <v>14</v>
      </c>
      <c r="L425" s="193" t="s">
        <v>2496</v>
      </c>
      <c r="M425" s="190"/>
    </row>
    <row r="426" spans="1:16">
      <c r="A426" s="156"/>
      <c r="B426" s="154"/>
      <c r="C426" s="63"/>
      <c r="D426" s="199"/>
      <c r="E426" s="143"/>
      <c r="F426" s="69"/>
      <c r="G426" s="206"/>
      <c r="H426" s="74"/>
      <c r="I426" s="183"/>
      <c r="J426" s="175"/>
      <c r="K426" s="172"/>
      <c r="L426" s="194"/>
      <c r="M426" s="188">
        <v>3552</v>
      </c>
      <c r="N426" s="188">
        <f t="shared" ref="N426:N442" si="39">M426-(M426*0.03)</f>
        <v>3445.44</v>
      </c>
      <c r="O426" s="189">
        <v>7.0000000000000007E-2</v>
      </c>
      <c r="P426" s="170">
        <f t="shared" ref="P426:P442" si="40">(N426*O426)+N426</f>
        <v>3686.6208000000001</v>
      </c>
    </row>
    <row r="427" spans="1:16">
      <c r="A427" s="157"/>
      <c r="B427" s="154"/>
      <c r="C427" s="63"/>
      <c r="D427" s="199"/>
      <c r="E427" s="145"/>
      <c r="F427" s="61"/>
      <c r="G427" s="206"/>
      <c r="H427" s="74"/>
      <c r="I427" s="183"/>
      <c r="J427" s="175"/>
      <c r="K427" s="176"/>
      <c r="L427" s="194"/>
      <c r="N427" s="188">
        <f t="shared" si="39"/>
        <v>0</v>
      </c>
      <c r="O427" s="189">
        <v>7.0000000000000007E-2</v>
      </c>
      <c r="P427" s="170">
        <f t="shared" si="40"/>
        <v>0</v>
      </c>
    </row>
    <row r="428" spans="1:16">
      <c r="A428" s="157"/>
      <c r="B428" s="239"/>
      <c r="C428" s="63"/>
      <c r="D428" s="199"/>
      <c r="E428" s="145"/>
      <c r="F428" s="61"/>
      <c r="G428" s="206"/>
      <c r="H428" s="74"/>
      <c r="I428" s="183"/>
      <c r="J428" s="175"/>
      <c r="K428" s="245"/>
      <c r="L428" s="194"/>
      <c r="M428" s="188">
        <v>9498.06</v>
      </c>
      <c r="N428" s="188">
        <f t="shared" si="39"/>
        <v>9213.118199999999</v>
      </c>
      <c r="O428" s="189">
        <v>7.0000000000000007E-2</v>
      </c>
      <c r="P428" s="170">
        <f t="shared" si="40"/>
        <v>9858.0364739999986</v>
      </c>
    </row>
    <row r="429" spans="1:16">
      <c r="A429" s="157"/>
      <c r="B429" s="239"/>
      <c r="C429" s="63"/>
      <c r="D429" s="199"/>
      <c r="E429" s="145"/>
      <c r="F429" s="61"/>
      <c r="G429" s="206"/>
      <c r="H429" s="74"/>
      <c r="I429" s="183"/>
      <c r="J429" s="175"/>
      <c r="K429" s="197"/>
      <c r="L429" s="194"/>
      <c r="M429" s="188">
        <v>15305.4</v>
      </c>
      <c r="N429" s="188">
        <f t="shared" si="39"/>
        <v>14846.237999999999</v>
      </c>
      <c r="O429" s="189">
        <v>7.0000000000000007E-2</v>
      </c>
      <c r="P429" s="170">
        <f t="shared" si="40"/>
        <v>15885.47466</v>
      </c>
    </row>
    <row r="430" spans="1:16">
      <c r="A430" s="157"/>
      <c r="B430" s="154"/>
      <c r="C430" s="63"/>
      <c r="D430" s="199"/>
      <c r="E430" s="145"/>
      <c r="F430" s="61"/>
      <c r="G430" s="206"/>
      <c r="H430" s="74"/>
      <c r="I430" s="183"/>
      <c r="J430" s="175"/>
      <c r="K430" s="197"/>
      <c r="L430" s="194"/>
      <c r="N430" s="188">
        <f t="shared" si="39"/>
        <v>0</v>
      </c>
      <c r="O430" s="189">
        <v>7.0000000000000007E-2</v>
      </c>
      <c r="P430" s="170">
        <f t="shared" si="40"/>
        <v>0</v>
      </c>
    </row>
    <row r="431" spans="1:16">
      <c r="A431" s="157"/>
      <c r="B431" s="154"/>
      <c r="C431" s="63"/>
      <c r="D431" s="199"/>
      <c r="E431" s="145"/>
      <c r="F431" s="61"/>
      <c r="G431" s="206"/>
      <c r="H431" s="74"/>
      <c r="I431" s="183"/>
      <c r="J431" s="175"/>
      <c r="K431" s="197"/>
      <c r="L431" s="194"/>
      <c r="N431" s="188">
        <f t="shared" si="39"/>
        <v>0</v>
      </c>
      <c r="O431" s="189">
        <v>7.0000000000000007E-2</v>
      </c>
      <c r="P431" s="170">
        <f t="shared" si="40"/>
        <v>0</v>
      </c>
    </row>
    <row r="432" spans="1:16">
      <c r="A432" s="157"/>
      <c r="B432" s="154"/>
      <c r="C432" s="63"/>
      <c r="D432" s="199"/>
      <c r="E432" s="145"/>
      <c r="F432" s="61"/>
      <c r="G432" s="206"/>
      <c r="H432" s="74"/>
      <c r="I432" s="183"/>
      <c r="J432" s="175"/>
      <c r="K432" s="197"/>
      <c r="L432" s="194"/>
      <c r="N432" s="188">
        <f t="shared" si="39"/>
        <v>0</v>
      </c>
      <c r="O432" s="189">
        <v>7.0000000000000007E-2</v>
      </c>
      <c r="P432" s="170">
        <f t="shared" si="40"/>
        <v>0</v>
      </c>
    </row>
    <row r="433" spans="1:16">
      <c r="A433" s="157"/>
      <c r="B433" s="239"/>
      <c r="C433" s="222"/>
      <c r="D433" s="3464"/>
      <c r="E433" s="145"/>
      <c r="F433" s="61"/>
      <c r="G433" s="223"/>
      <c r="H433" s="224"/>
      <c r="I433" s="225"/>
      <c r="J433" s="209"/>
      <c r="K433" s="244"/>
      <c r="M433" s="188">
        <v>14244.12</v>
      </c>
      <c r="N433" s="188">
        <f t="shared" si="39"/>
        <v>13816.796400000001</v>
      </c>
      <c r="O433" s="189">
        <v>7.0000000000000007E-2</v>
      </c>
      <c r="P433" s="170">
        <f t="shared" si="40"/>
        <v>14783.972148000001</v>
      </c>
    </row>
    <row r="434" spans="1:16">
      <c r="A434" s="157"/>
      <c r="B434" s="162"/>
      <c r="C434" s="63"/>
      <c r="D434" s="199"/>
      <c r="E434" s="145"/>
      <c r="F434" s="61"/>
      <c r="G434" s="206"/>
      <c r="H434" s="74"/>
      <c r="I434" s="183"/>
      <c r="J434" s="175"/>
      <c r="K434" s="197"/>
      <c r="L434" s="194"/>
      <c r="M434" s="188">
        <v>3240</v>
      </c>
      <c r="N434" s="188">
        <f t="shared" si="39"/>
        <v>3142.8</v>
      </c>
      <c r="O434" s="189">
        <v>7.0000000000000007E-2</v>
      </c>
      <c r="P434" s="170">
        <f t="shared" si="40"/>
        <v>3362.7960000000003</v>
      </c>
    </row>
    <row r="435" spans="1:16">
      <c r="A435" s="157"/>
      <c r="B435" s="162"/>
      <c r="C435" s="63"/>
      <c r="D435" s="199"/>
      <c r="E435" s="145"/>
      <c r="F435" s="61"/>
      <c r="G435" s="206"/>
      <c r="H435" s="74"/>
      <c r="I435" s="183"/>
      <c r="J435" s="175"/>
      <c r="K435" s="197"/>
      <c r="L435" s="194"/>
      <c r="M435" s="188">
        <v>14700</v>
      </c>
      <c r="N435" s="188">
        <f t="shared" si="39"/>
        <v>14259</v>
      </c>
      <c r="O435" s="189">
        <v>7.0000000000000007E-2</v>
      </c>
      <c r="P435" s="170">
        <f t="shared" si="40"/>
        <v>15257.130000000001</v>
      </c>
    </row>
    <row r="436" spans="1:16">
      <c r="A436" s="157"/>
      <c r="B436" s="162"/>
      <c r="C436" s="222"/>
      <c r="D436" s="3464"/>
      <c r="E436" s="237"/>
      <c r="F436" s="238"/>
      <c r="G436" s="223"/>
      <c r="H436" s="224"/>
      <c r="I436" s="225"/>
      <c r="J436" s="209"/>
      <c r="K436" s="226"/>
      <c r="L436" s="229"/>
      <c r="M436" s="188">
        <v>14582.7</v>
      </c>
      <c r="N436" s="188">
        <f t="shared" si="39"/>
        <v>14145.219000000001</v>
      </c>
      <c r="O436" s="189">
        <v>7.0000000000000007E-2</v>
      </c>
      <c r="P436" s="170">
        <f t="shared" si="40"/>
        <v>15135.384330000001</v>
      </c>
    </row>
    <row r="437" spans="1:16">
      <c r="A437" s="157"/>
      <c r="B437" s="162"/>
      <c r="C437" s="63"/>
      <c r="D437" s="199"/>
      <c r="E437" s="145"/>
      <c r="F437" s="61"/>
      <c r="G437" s="206"/>
      <c r="H437" s="74"/>
      <c r="I437" s="183"/>
      <c r="J437" s="175"/>
      <c r="K437" s="197"/>
      <c r="L437" s="229"/>
      <c r="M437" s="188">
        <v>13483.8</v>
      </c>
      <c r="N437" s="188">
        <f t="shared" si="39"/>
        <v>13079.286</v>
      </c>
      <c r="O437" s="189">
        <v>7.0000000000000007E-2</v>
      </c>
      <c r="P437" s="170">
        <f t="shared" si="40"/>
        <v>13994.836020000001</v>
      </c>
    </row>
    <row r="438" spans="1:16">
      <c r="A438" s="157"/>
      <c r="B438" s="154"/>
      <c r="C438" s="222"/>
      <c r="D438" s="3464"/>
      <c r="E438" s="145"/>
      <c r="F438" s="61"/>
      <c r="G438" s="223"/>
      <c r="H438" s="224"/>
      <c r="I438" s="225"/>
      <c r="J438" s="209"/>
      <c r="K438" s="226"/>
      <c r="L438" s="229"/>
      <c r="M438" s="188">
        <v>2669.52</v>
      </c>
      <c r="N438" s="188">
        <f t="shared" si="39"/>
        <v>2589.4344000000001</v>
      </c>
      <c r="O438" s="189">
        <v>7.0000000000000007E-2</v>
      </c>
      <c r="P438" s="170">
        <f t="shared" si="40"/>
        <v>2770.6948080000002</v>
      </c>
    </row>
    <row r="439" spans="1:16">
      <c r="A439" s="157"/>
      <c r="B439" s="154"/>
      <c r="C439" s="222"/>
      <c r="D439" s="3464"/>
      <c r="E439" s="145"/>
      <c r="F439" s="61"/>
      <c r="G439" s="223"/>
      <c r="H439" s="224"/>
      <c r="I439" s="225"/>
      <c r="J439" s="209"/>
      <c r="K439" s="226"/>
      <c r="L439" s="229"/>
      <c r="N439" s="188">
        <f t="shared" si="39"/>
        <v>0</v>
      </c>
      <c r="O439" s="189">
        <v>7.0000000000000007E-2</v>
      </c>
      <c r="P439" s="170">
        <f t="shared" si="40"/>
        <v>0</v>
      </c>
    </row>
    <row r="440" spans="1:16">
      <c r="A440" s="221"/>
      <c r="B440" s="240"/>
      <c r="C440" s="222"/>
      <c r="D440" s="3464"/>
      <c r="E440" s="145"/>
      <c r="F440" s="61"/>
      <c r="G440" s="223"/>
      <c r="H440" s="224"/>
      <c r="I440" s="225"/>
      <c r="J440" s="209"/>
      <c r="K440" s="226"/>
      <c r="L440" s="229"/>
      <c r="M440" s="188">
        <v>12972.96</v>
      </c>
      <c r="N440" s="188">
        <f t="shared" si="39"/>
        <v>12583.771199999999</v>
      </c>
      <c r="O440" s="189">
        <v>7.0000000000000007E-2</v>
      </c>
      <c r="P440" s="170">
        <f t="shared" si="40"/>
        <v>13464.635183999999</v>
      </c>
    </row>
    <row r="441" spans="1:16">
      <c r="A441" s="157"/>
      <c r="B441" s="154"/>
      <c r="C441" s="63"/>
      <c r="D441" s="199"/>
      <c r="E441" s="145"/>
      <c r="F441" s="61"/>
      <c r="G441" s="206"/>
      <c r="H441" s="74"/>
      <c r="I441" s="183"/>
      <c r="J441" s="209"/>
      <c r="K441" s="197"/>
      <c r="L441" s="229"/>
      <c r="M441" s="188">
        <v>12687.84</v>
      </c>
      <c r="N441" s="188">
        <f t="shared" si="39"/>
        <v>12307.2048</v>
      </c>
      <c r="O441" s="189">
        <v>7.0000000000000007E-2</v>
      </c>
      <c r="P441" s="170">
        <f t="shared" si="40"/>
        <v>13168.709135999999</v>
      </c>
    </row>
    <row r="442" spans="1:16">
      <c r="A442" s="157"/>
      <c r="B442" s="154"/>
      <c r="C442" s="63"/>
      <c r="D442" s="199"/>
      <c r="E442" s="145"/>
      <c r="F442" s="61"/>
      <c r="G442" s="206"/>
      <c r="H442" s="74"/>
      <c r="I442" s="183"/>
      <c r="J442" s="175"/>
      <c r="K442" s="197"/>
      <c r="L442" s="194"/>
      <c r="M442" s="188">
        <v>16572.599999999999</v>
      </c>
      <c r="N442" s="188">
        <f t="shared" si="39"/>
        <v>16075.421999999999</v>
      </c>
      <c r="O442" s="189">
        <v>7.0000000000000007E-2</v>
      </c>
      <c r="P442" s="170">
        <f t="shared" si="40"/>
        <v>17200.701539999998</v>
      </c>
    </row>
    <row r="443" spans="1:16">
      <c r="A443" s="157"/>
      <c r="B443" s="154"/>
      <c r="C443" s="63"/>
      <c r="D443" s="199"/>
      <c r="E443" s="90"/>
      <c r="F443" s="61"/>
      <c r="G443" s="206"/>
      <c r="H443" s="74"/>
      <c r="I443" s="203"/>
      <c r="J443" s="175"/>
      <c r="K443" s="197"/>
      <c r="L443" s="194"/>
      <c r="M443" s="188">
        <v>6021.12</v>
      </c>
      <c r="N443" s="188">
        <f>M443-(M443*0.03)</f>
        <v>5840.4863999999998</v>
      </c>
      <c r="O443" s="189">
        <v>7.0000000000000007E-2</v>
      </c>
      <c r="P443" s="170">
        <f>(N443*O443)+N443</f>
        <v>6249.3204479999995</v>
      </c>
    </row>
    <row r="444" spans="1:16">
      <c r="A444" s="157"/>
      <c r="B444" s="154"/>
      <c r="C444" s="63"/>
      <c r="D444" s="199"/>
      <c r="E444" s="90"/>
      <c r="F444" s="61"/>
      <c r="G444" s="206"/>
      <c r="H444" s="74"/>
      <c r="I444" s="183"/>
      <c r="J444" s="175"/>
      <c r="K444" s="197"/>
      <c r="L444" s="194"/>
      <c r="M444" s="188">
        <v>8714.16</v>
      </c>
      <c r="N444" s="188">
        <f>M444-(M444*0.03)</f>
        <v>8452.7351999999992</v>
      </c>
      <c r="O444" s="189">
        <v>7.0000000000000007E-2</v>
      </c>
      <c r="P444" s="170">
        <f>(N444*O444)+N444</f>
        <v>9044.4266639999987</v>
      </c>
    </row>
    <row r="445" spans="1:16">
      <c r="A445" s="157"/>
      <c r="B445" s="154"/>
      <c r="C445" s="63"/>
      <c r="D445" s="199"/>
      <c r="E445" s="90"/>
      <c r="F445" s="61"/>
      <c r="G445" s="206"/>
      <c r="H445" s="74"/>
      <c r="I445" s="183"/>
      <c r="J445" s="175"/>
      <c r="K445" s="197"/>
      <c r="L445" s="194"/>
      <c r="M445" s="188">
        <v>0</v>
      </c>
      <c r="N445" s="188">
        <f>M445-(M445*0.03)</f>
        <v>0</v>
      </c>
      <c r="O445" s="189">
        <v>7.0000000000000007E-2</v>
      </c>
      <c r="P445" s="170">
        <f t="shared" ref="P445:P451" si="41">(N445*O445)+N445</f>
        <v>0</v>
      </c>
    </row>
    <row r="446" spans="1:16">
      <c r="A446" s="157"/>
      <c r="B446" s="154"/>
      <c r="C446" s="63"/>
      <c r="D446" s="199"/>
      <c r="E446" s="90"/>
      <c r="F446" s="61"/>
      <c r="G446" s="206"/>
      <c r="H446" s="74"/>
      <c r="I446" s="183"/>
      <c r="J446" s="175"/>
      <c r="K446" s="197"/>
      <c r="L446" s="194"/>
      <c r="M446" s="188">
        <v>18537.7</v>
      </c>
      <c r="N446" s="188">
        <f>M446-(M446*0.03)</f>
        <v>17981.569</v>
      </c>
      <c r="O446" s="189">
        <v>7.0000000000000007E-2</v>
      </c>
      <c r="P446" s="170">
        <f t="shared" si="41"/>
        <v>19240.278829999999</v>
      </c>
    </row>
    <row r="447" spans="1:16">
      <c r="A447" s="158"/>
      <c r="B447" s="154"/>
      <c r="C447" s="63"/>
      <c r="D447" s="199"/>
      <c r="E447" s="91"/>
      <c r="F447" s="61"/>
      <c r="G447" s="206"/>
      <c r="H447" s="74"/>
      <c r="I447" s="183"/>
      <c r="J447" s="175"/>
      <c r="K447" s="197"/>
      <c r="L447" s="194"/>
      <c r="M447" s="188">
        <v>9031.68</v>
      </c>
      <c r="N447" s="188">
        <f t="shared" ref="N447:N459" si="42">M447-(M447*0.03)</f>
        <v>8760.7296000000006</v>
      </c>
      <c r="O447" s="189">
        <v>7.0000000000000007E-2</v>
      </c>
      <c r="P447" s="170">
        <f t="shared" si="41"/>
        <v>9373.9806720000015</v>
      </c>
    </row>
    <row r="448" spans="1:16">
      <c r="A448" s="200"/>
      <c r="B448" s="154"/>
      <c r="C448" s="63"/>
      <c r="D448" s="199"/>
      <c r="E448" s="153"/>
      <c r="F448" s="61"/>
      <c r="G448" s="206"/>
      <c r="H448" s="88"/>
      <c r="I448" s="184"/>
      <c r="J448" s="201"/>
      <c r="K448" s="202"/>
      <c r="L448" s="194"/>
      <c r="N448" s="188">
        <f t="shared" si="42"/>
        <v>0</v>
      </c>
      <c r="O448" s="189">
        <v>7.0000000000000007E-2</v>
      </c>
      <c r="P448" s="170">
        <f t="shared" si="41"/>
        <v>0</v>
      </c>
    </row>
    <row r="449" spans="1:16">
      <c r="A449" s="157"/>
      <c r="B449" s="154"/>
      <c r="C449" s="63"/>
      <c r="D449" s="199"/>
      <c r="E449" s="198"/>
      <c r="F449" s="61"/>
      <c r="G449" s="206"/>
      <c r="H449" s="74"/>
      <c r="I449" s="183"/>
      <c r="J449" s="175"/>
      <c r="K449" s="197"/>
      <c r="L449" s="194"/>
      <c r="M449" s="188">
        <v>8478.9599999999991</v>
      </c>
      <c r="N449" s="188">
        <f t="shared" si="42"/>
        <v>8224.5911999999989</v>
      </c>
      <c r="O449" s="189">
        <v>7.0000000000000007E-2</v>
      </c>
      <c r="P449" s="170">
        <f t="shared" si="41"/>
        <v>8800.3125839999993</v>
      </c>
    </row>
    <row r="450" spans="1:16">
      <c r="A450" s="157"/>
      <c r="B450" s="154"/>
      <c r="C450" s="63"/>
      <c r="D450" s="199"/>
      <c r="E450" s="142"/>
      <c r="F450" s="61"/>
      <c r="G450" s="206"/>
      <c r="H450" s="74"/>
      <c r="I450" s="183"/>
      <c r="J450" s="175"/>
      <c r="K450" s="197"/>
      <c r="L450" s="194"/>
      <c r="M450" s="188">
        <v>11122.62</v>
      </c>
      <c r="N450" s="188">
        <f t="shared" si="42"/>
        <v>10788.941400000002</v>
      </c>
      <c r="O450" s="189">
        <v>7.0000000000000007E-2</v>
      </c>
      <c r="P450" s="170">
        <f t="shared" si="41"/>
        <v>11544.167298000002</v>
      </c>
    </row>
    <row r="451" spans="1:16">
      <c r="A451" s="157"/>
      <c r="B451" s="154"/>
      <c r="C451" s="63"/>
      <c r="D451" s="196"/>
      <c r="E451" s="120"/>
      <c r="F451" s="121"/>
      <c r="G451" s="206"/>
      <c r="H451" s="115"/>
      <c r="I451" s="185"/>
      <c r="J451" s="175"/>
      <c r="K451" s="197"/>
      <c r="L451" s="194"/>
      <c r="M451" s="188">
        <v>3813.12</v>
      </c>
      <c r="N451" s="188">
        <f t="shared" si="42"/>
        <v>3698.7264</v>
      </c>
      <c r="O451" s="189">
        <v>7.0000000000000007E-2</v>
      </c>
      <c r="P451" s="170">
        <f t="shared" si="41"/>
        <v>3957.637248</v>
      </c>
    </row>
    <row r="452" spans="1:16">
      <c r="A452" s="157"/>
      <c r="B452" s="154"/>
      <c r="C452" s="63"/>
      <c r="D452" s="196"/>
      <c r="E452" s="249"/>
      <c r="F452" s="121"/>
      <c r="G452" s="206"/>
      <c r="H452" s="115"/>
      <c r="I452" s="185"/>
      <c r="J452" s="175"/>
      <c r="K452" s="197"/>
      <c r="L452" s="194"/>
    </row>
    <row r="453" spans="1:16">
      <c r="A453" s="157"/>
      <c r="B453" s="154"/>
      <c r="C453" s="63"/>
      <c r="D453" s="196"/>
      <c r="E453" s="249"/>
      <c r="F453" s="121"/>
      <c r="G453" s="206"/>
      <c r="H453" s="115"/>
      <c r="I453" s="185"/>
      <c r="J453" s="175"/>
      <c r="K453" s="197"/>
      <c r="L453" s="194"/>
    </row>
    <row r="454" spans="1:16">
      <c r="A454" s="157"/>
      <c r="B454" s="154"/>
      <c r="C454" s="63"/>
      <c r="D454" s="196"/>
      <c r="E454" s="249"/>
      <c r="F454" s="121"/>
      <c r="G454" s="206"/>
      <c r="H454" s="115"/>
      <c r="I454" s="185"/>
      <c r="J454" s="175"/>
      <c r="K454" s="197"/>
      <c r="L454" s="194"/>
    </row>
    <row r="455" spans="1:16">
      <c r="A455" s="157"/>
      <c r="B455" s="154"/>
      <c r="C455" s="63"/>
      <c r="D455" s="196"/>
      <c r="E455" s="249"/>
      <c r="F455" s="121"/>
      <c r="G455" s="206"/>
      <c r="H455" s="115"/>
      <c r="I455" s="185"/>
      <c r="J455" s="175"/>
      <c r="K455" s="197"/>
      <c r="L455" s="194"/>
    </row>
    <row r="456" spans="1:16">
      <c r="A456" s="157"/>
      <c r="B456" s="154"/>
      <c r="C456" s="63"/>
      <c r="D456" s="196"/>
      <c r="E456" s="249"/>
      <c r="F456" s="121"/>
      <c r="G456" s="206"/>
      <c r="H456" s="115"/>
      <c r="I456" s="185"/>
      <c r="J456" s="175"/>
      <c r="K456" s="197"/>
      <c r="L456" s="194"/>
    </row>
    <row r="457" spans="1:16">
      <c r="A457" s="157"/>
      <c r="B457" s="154"/>
      <c r="C457" s="63"/>
      <c r="D457" s="196"/>
      <c r="E457" s="142"/>
      <c r="F457" s="61"/>
      <c r="G457" s="206"/>
      <c r="H457" s="74"/>
      <c r="I457" s="183"/>
      <c r="J457" s="175"/>
      <c r="K457" s="197"/>
      <c r="L457" s="194"/>
    </row>
    <row r="458" spans="1:16">
      <c r="A458" s="157"/>
      <c r="B458" s="154"/>
      <c r="C458" s="63"/>
      <c r="D458" s="196"/>
      <c r="E458" s="142"/>
      <c r="F458" s="61"/>
      <c r="G458" s="206"/>
      <c r="H458" s="74"/>
      <c r="I458" s="183"/>
      <c r="J458" s="175"/>
      <c r="K458" s="197"/>
      <c r="L458" s="194"/>
    </row>
    <row r="459" spans="1:16">
      <c r="A459" s="157"/>
      <c r="B459" s="161"/>
      <c r="C459" s="63"/>
      <c r="D459" s="196"/>
      <c r="E459" s="142"/>
      <c r="F459" s="61"/>
      <c r="G459" s="206"/>
      <c r="H459" s="74"/>
      <c r="I459" s="183"/>
      <c r="J459" s="175"/>
      <c r="K459" s="197"/>
      <c r="L459" s="194"/>
      <c r="M459" s="188">
        <v>8640</v>
      </c>
      <c r="N459" s="188">
        <f t="shared" si="42"/>
        <v>8380.7999999999993</v>
      </c>
      <c r="O459" s="189">
        <v>7.0000000000000007E-2</v>
      </c>
      <c r="P459" s="170">
        <f>(N459*O459)+N459</f>
        <v>8967.4559999999983</v>
      </c>
    </row>
    <row r="460" spans="1:16">
      <c r="A460" s="160"/>
      <c r="B460" s="154"/>
      <c r="C460" s="63"/>
      <c r="D460" s="196"/>
      <c r="E460" s="120"/>
      <c r="F460" s="121"/>
      <c r="G460" s="206"/>
      <c r="H460" s="115"/>
      <c r="I460" s="185"/>
      <c r="J460" s="174"/>
      <c r="K460" s="195"/>
      <c r="L460" s="194"/>
    </row>
    <row r="461" spans="1:16">
      <c r="F461" s="68"/>
    </row>
    <row r="462" spans="1:16">
      <c r="F462" s="68"/>
    </row>
    <row r="463" spans="1:16">
      <c r="A463" s="44" t="s">
        <v>0</v>
      </c>
      <c r="B463" s="127"/>
      <c r="C463" s="104"/>
      <c r="F463" s="68"/>
      <c r="I463" s="179"/>
      <c r="K463" s="163"/>
      <c r="L463" s="168"/>
    </row>
    <row r="464" spans="1:16">
      <c r="A464" s="3480" t="s">
        <v>2512</v>
      </c>
      <c r="B464" s="3480"/>
      <c r="C464" s="44"/>
      <c r="D464" s="109"/>
      <c r="F464" s="68"/>
      <c r="I464" s="179"/>
      <c r="K464" s="163"/>
      <c r="L464" s="168"/>
    </row>
    <row r="465" spans="1:16" ht="35.25" thickBot="1">
      <c r="F465" s="68"/>
    </row>
    <row r="466" spans="1:16">
      <c r="A466" s="3493" t="s">
        <v>2</v>
      </c>
      <c r="B466" s="3482"/>
      <c r="C466" s="48" t="s">
        <v>3</v>
      </c>
      <c r="D466" s="128" t="s">
        <v>4</v>
      </c>
      <c r="E466" s="77" t="s">
        <v>5</v>
      </c>
      <c r="F466" s="78" t="s">
        <v>5</v>
      </c>
      <c r="G466" s="211" t="s">
        <v>6</v>
      </c>
      <c r="H466" s="140" t="s">
        <v>7</v>
      </c>
      <c r="I466" s="180" t="s">
        <v>1511</v>
      </c>
      <c r="J466" s="172" t="s">
        <v>9</v>
      </c>
      <c r="K466" s="186" t="s">
        <v>9</v>
      </c>
      <c r="L466" s="192" t="s">
        <v>2495</v>
      </c>
      <c r="M466" s="190"/>
    </row>
    <row r="467" spans="1:16" ht="35.25" thickBot="1">
      <c r="A467" s="155"/>
      <c r="B467" s="138"/>
      <c r="C467" s="50"/>
      <c r="D467" s="129" t="s">
        <v>10</v>
      </c>
      <c r="E467" s="79" t="s">
        <v>11</v>
      </c>
      <c r="F467" s="80" t="s">
        <v>12</v>
      </c>
      <c r="G467" s="212"/>
      <c r="H467" s="141" t="s">
        <v>13</v>
      </c>
      <c r="I467" s="181" t="s">
        <v>1512</v>
      </c>
      <c r="J467" s="173" t="s">
        <v>15</v>
      </c>
      <c r="K467" s="187" t="s">
        <v>14</v>
      </c>
      <c r="L467" s="193" t="s">
        <v>2496</v>
      </c>
      <c r="M467" s="190"/>
    </row>
    <row r="468" spans="1:16">
      <c r="A468" s="156"/>
      <c r="B468" s="154"/>
      <c r="C468" s="63"/>
      <c r="D468" s="199"/>
      <c r="E468" s="143"/>
      <c r="F468" s="69"/>
      <c r="G468" s="206"/>
      <c r="H468" s="74"/>
      <c r="I468" s="183"/>
      <c r="J468" s="175"/>
      <c r="K468" s="172"/>
      <c r="L468" s="194"/>
      <c r="M468" s="188">
        <v>3552</v>
      </c>
      <c r="N468" s="188">
        <f t="shared" ref="N468:N484" si="43">M468-(M468*0.03)</f>
        <v>3445.44</v>
      </c>
      <c r="O468" s="189">
        <v>7.0000000000000007E-2</v>
      </c>
      <c r="P468" s="170">
        <f t="shared" ref="P468:P484" si="44">(N468*O468)+N468</f>
        <v>3686.6208000000001</v>
      </c>
    </row>
    <row r="469" spans="1:16">
      <c r="A469" s="157"/>
      <c r="B469" s="154"/>
      <c r="C469" s="63"/>
      <c r="D469" s="199"/>
      <c r="E469" s="145"/>
      <c r="F469" s="61"/>
      <c r="G469" s="206"/>
      <c r="H469" s="74"/>
      <c r="I469" s="183"/>
      <c r="J469" s="175"/>
      <c r="K469" s="176"/>
      <c r="L469" s="194"/>
      <c r="N469" s="188">
        <f t="shared" si="43"/>
        <v>0</v>
      </c>
      <c r="O469" s="189">
        <v>7.0000000000000007E-2</v>
      </c>
      <c r="P469" s="170">
        <f t="shared" si="44"/>
        <v>0</v>
      </c>
    </row>
    <row r="470" spans="1:16">
      <c r="A470" s="157"/>
      <c r="B470" s="239"/>
      <c r="C470" s="63"/>
      <c r="D470" s="199"/>
      <c r="E470" s="145"/>
      <c r="F470" s="61"/>
      <c r="G470" s="206"/>
      <c r="H470" s="74"/>
      <c r="I470" s="183"/>
      <c r="J470" s="175"/>
      <c r="K470" s="245"/>
      <c r="L470" s="194"/>
      <c r="M470" s="188">
        <v>9498.06</v>
      </c>
      <c r="N470" s="188">
        <f t="shared" si="43"/>
        <v>9213.118199999999</v>
      </c>
      <c r="O470" s="189">
        <v>7.0000000000000007E-2</v>
      </c>
      <c r="P470" s="170">
        <f t="shared" si="44"/>
        <v>9858.0364739999986</v>
      </c>
    </row>
    <row r="471" spans="1:16">
      <c r="A471" s="157"/>
      <c r="B471" s="239"/>
      <c r="C471" s="63"/>
      <c r="D471" s="199"/>
      <c r="E471" s="145"/>
      <c r="F471" s="61"/>
      <c r="G471" s="206"/>
      <c r="H471" s="74"/>
      <c r="I471" s="183"/>
      <c r="J471" s="175"/>
      <c r="K471" s="197"/>
      <c r="L471" s="194"/>
      <c r="M471" s="188">
        <v>15305.4</v>
      </c>
      <c r="N471" s="188">
        <f t="shared" si="43"/>
        <v>14846.237999999999</v>
      </c>
      <c r="O471" s="189">
        <v>7.0000000000000007E-2</v>
      </c>
      <c r="P471" s="170">
        <f t="shared" si="44"/>
        <v>15885.47466</v>
      </c>
    </row>
    <row r="472" spans="1:16">
      <c r="A472" s="157"/>
      <c r="B472" s="154"/>
      <c r="C472" s="63"/>
      <c r="D472" s="199"/>
      <c r="E472" s="145"/>
      <c r="F472" s="61"/>
      <c r="G472" s="206"/>
      <c r="H472" s="74"/>
      <c r="I472" s="183"/>
      <c r="J472" s="175"/>
      <c r="K472" s="197"/>
      <c r="L472" s="194"/>
      <c r="N472" s="188">
        <f t="shared" si="43"/>
        <v>0</v>
      </c>
      <c r="O472" s="189">
        <v>7.0000000000000007E-2</v>
      </c>
      <c r="P472" s="170">
        <f t="shared" si="44"/>
        <v>0</v>
      </c>
    </row>
    <row r="473" spans="1:16">
      <c r="A473" s="157"/>
      <c r="B473" s="154"/>
      <c r="C473" s="63"/>
      <c r="D473" s="199"/>
      <c r="E473" s="145"/>
      <c r="F473" s="61"/>
      <c r="G473" s="206"/>
      <c r="H473" s="74"/>
      <c r="I473" s="183"/>
      <c r="J473" s="175"/>
      <c r="K473" s="197"/>
      <c r="L473" s="194"/>
      <c r="N473" s="188">
        <f t="shared" si="43"/>
        <v>0</v>
      </c>
      <c r="O473" s="189">
        <v>7.0000000000000007E-2</v>
      </c>
      <c r="P473" s="170">
        <f t="shared" si="44"/>
        <v>0</v>
      </c>
    </row>
    <row r="474" spans="1:16">
      <c r="A474" s="157"/>
      <c r="B474" s="154"/>
      <c r="C474" s="63"/>
      <c r="D474" s="199"/>
      <c r="E474" s="145"/>
      <c r="F474" s="61"/>
      <c r="G474" s="206"/>
      <c r="H474" s="74"/>
      <c r="I474" s="183"/>
      <c r="J474" s="175"/>
      <c r="K474" s="197"/>
      <c r="L474" s="194"/>
      <c r="N474" s="188">
        <f t="shared" si="43"/>
        <v>0</v>
      </c>
      <c r="O474" s="189">
        <v>7.0000000000000007E-2</v>
      </c>
      <c r="P474" s="170">
        <f t="shared" si="44"/>
        <v>0</v>
      </c>
    </row>
    <row r="475" spans="1:16">
      <c r="A475" s="157"/>
      <c r="B475" s="239"/>
      <c r="C475" s="222"/>
      <c r="D475" s="3464"/>
      <c r="E475" s="145"/>
      <c r="F475" s="61"/>
      <c r="G475" s="223"/>
      <c r="H475" s="224"/>
      <c r="I475" s="225"/>
      <c r="J475" s="209"/>
      <c r="K475" s="244"/>
      <c r="M475" s="188">
        <v>14244.12</v>
      </c>
      <c r="N475" s="188">
        <f t="shared" si="43"/>
        <v>13816.796400000001</v>
      </c>
      <c r="O475" s="189">
        <v>7.0000000000000007E-2</v>
      </c>
      <c r="P475" s="170">
        <f t="shared" si="44"/>
        <v>14783.972148000001</v>
      </c>
    </row>
    <row r="476" spans="1:16">
      <c r="A476" s="157"/>
      <c r="B476" s="162"/>
      <c r="C476" s="63"/>
      <c r="D476" s="199"/>
      <c r="E476" s="145"/>
      <c r="F476" s="61"/>
      <c r="G476" s="206"/>
      <c r="H476" s="74"/>
      <c r="I476" s="183"/>
      <c r="J476" s="175"/>
      <c r="K476" s="197"/>
      <c r="L476" s="194"/>
      <c r="M476" s="188">
        <v>3240</v>
      </c>
      <c r="N476" s="188">
        <f t="shared" si="43"/>
        <v>3142.8</v>
      </c>
      <c r="O476" s="189">
        <v>7.0000000000000007E-2</v>
      </c>
      <c r="P476" s="170">
        <f t="shared" si="44"/>
        <v>3362.7960000000003</v>
      </c>
    </row>
    <row r="477" spans="1:16">
      <c r="A477" s="157"/>
      <c r="B477" s="162"/>
      <c r="C477" s="63"/>
      <c r="D477" s="199"/>
      <c r="E477" s="145"/>
      <c r="F477" s="61"/>
      <c r="G477" s="206"/>
      <c r="H477" s="74"/>
      <c r="I477" s="183"/>
      <c r="J477" s="175"/>
      <c r="K477" s="197"/>
      <c r="L477" s="194"/>
      <c r="M477" s="188">
        <v>14700</v>
      </c>
      <c r="N477" s="188">
        <f t="shared" si="43"/>
        <v>14259</v>
      </c>
      <c r="O477" s="189">
        <v>7.0000000000000007E-2</v>
      </c>
      <c r="P477" s="170">
        <f t="shared" si="44"/>
        <v>15257.130000000001</v>
      </c>
    </row>
    <row r="478" spans="1:16">
      <c r="A478" s="157"/>
      <c r="B478" s="162"/>
      <c r="C478" s="222"/>
      <c r="D478" s="3464"/>
      <c r="E478" s="237"/>
      <c r="F478" s="238"/>
      <c r="G478" s="223"/>
      <c r="H478" s="224"/>
      <c r="I478" s="225"/>
      <c r="J478" s="209"/>
      <c r="K478" s="226"/>
      <c r="L478" s="229"/>
      <c r="M478" s="188">
        <v>14582.7</v>
      </c>
      <c r="N478" s="188">
        <f t="shared" si="43"/>
        <v>14145.219000000001</v>
      </c>
      <c r="O478" s="189">
        <v>7.0000000000000007E-2</v>
      </c>
      <c r="P478" s="170">
        <f t="shared" si="44"/>
        <v>15135.384330000001</v>
      </c>
    </row>
    <row r="479" spans="1:16">
      <c r="A479" s="157"/>
      <c r="B479" s="162"/>
      <c r="C479" s="63"/>
      <c r="D479" s="199"/>
      <c r="E479" s="145"/>
      <c r="F479" s="61"/>
      <c r="G479" s="206"/>
      <c r="H479" s="74"/>
      <c r="I479" s="183"/>
      <c r="J479" s="175"/>
      <c r="K479" s="197"/>
      <c r="L479" s="229"/>
      <c r="M479" s="188">
        <v>13483.8</v>
      </c>
      <c r="N479" s="188">
        <f t="shared" si="43"/>
        <v>13079.286</v>
      </c>
      <c r="O479" s="189">
        <v>7.0000000000000007E-2</v>
      </c>
      <c r="P479" s="170">
        <f t="shared" si="44"/>
        <v>13994.836020000001</v>
      </c>
    </row>
    <row r="480" spans="1:16">
      <c r="A480" s="157"/>
      <c r="B480" s="154"/>
      <c r="C480" s="222"/>
      <c r="D480" s="3464"/>
      <c r="E480" s="145"/>
      <c r="F480" s="61"/>
      <c r="G480" s="223"/>
      <c r="H480" s="224"/>
      <c r="I480" s="225"/>
      <c r="J480" s="209"/>
      <c r="K480" s="226"/>
      <c r="L480" s="229"/>
      <c r="M480" s="188">
        <v>2669.52</v>
      </c>
      <c r="N480" s="188">
        <f t="shared" si="43"/>
        <v>2589.4344000000001</v>
      </c>
      <c r="O480" s="189">
        <v>7.0000000000000007E-2</v>
      </c>
      <c r="P480" s="170">
        <f t="shared" si="44"/>
        <v>2770.6948080000002</v>
      </c>
    </row>
    <row r="481" spans="1:16">
      <c r="A481" s="157"/>
      <c r="B481" s="154"/>
      <c r="C481" s="222"/>
      <c r="D481" s="3464"/>
      <c r="E481" s="145"/>
      <c r="F481" s="61"/>
      <c r="G481" s="223"/>
      <c r="H481" s="224"/>
      <c r="I481" s="225"/>
      <c r="J481" s="209"/>
      <c r="K481" s="226"/>
      <c r="L481" s="229"/>
      <c r="N481" s="188">
        <f t="shared" si="43"/>
        <v>0</v>
      </c>
      <c r="O481" s="189">
        <v>7.0000000000000007E-2</v>
      </c>
      <c r="P481" s="170">
        <f t="shared" si="44"/>
        <v>0</v>
      </c>
    </row>
    <row r="482" spans="1:16">
      <c r="A482" s="221"/>
      <c r="B482" s="240"/>
      <c r="C482" s="222"/>
      <c r="D482" s="3464"/>
      <c r="E482" s="145"/>
      <c r="F482" s="61"/>
      <c r="G482" s="223"/>
      <c r="H482" s="224"/>
      <c r="I482" s="225"/>
      <c r="J482" s="209"/>
      <c r="K482" s="226"/>
      <c r="L482" s="229"/>
      <c r="M482" s="188">
        <v>12972.96</v>
      </c>
      <c r="N482" s="188">
        <f t="shared" si="43"/>
        <v>12583.771199999999</v>
      </c>
      <c r="O482" s="189">
        <v>7.0000000000000007E-2</v>
      </c>
      <c r="P482" s="170">
        <f t="shared" si="44"/>
        <v>13464.635183999999</v>
      </c>
    </row>
    <row r="483" spans="1:16">
      <c r="A483" s="157"/>
      <c r="B483" s="154"/>
      <c r="C483" s="63"/>
      <c r="D483" s="199"/>
      <c r="E483" s="145"/>
      <c r="F483" s="61"/>
      <c r="G483" s="206"/>
      <c r="H483" s="74"/>
      <c r="I483" s="183"/>
      <c r="J483" s="209"/>
      <c r="K483" s="197"/>
      <c r="L483" s="229"/>
      <c r="M483" s="188">
        <v>12687.84</v>
      </c>
      <c r="N483" s="188">
        <f t="shared" si="43"/>
        <v>12307.2048</v>
      </c>
      <c r="O483" s="189">
        <v>7.0000000000000007E-2</v>
      </c>
      <c r="P483" s="170">
        <f t="shared" si="44"/>
        <v>13168.709135999999</v>
      </c>
    </row>
    <row r="484" spans="1:16">
      <c r="A484" s="157"/>
      <c r="B484" s="154"/>
      <c r="C484" s="63"/>
      <c r="D484" s="199"/>
      <c r="E484" s="145"/>
      <c r="F484" s="61"/>
      <c r="G484" s="206"/>
      <c r="H484" s="74"/>
      <c r="I484" s="183"/>
      <c r="J484" s="175"/>
      <c r="K484" s="197"/>
      <c r="L484" s="194"/>
      <c r="M484" s="188">
        <v>16572.599999999999</v>
      </c>
      <c r="N484" s="188">
        <f t="shared" si="43"/>
        <v>16075.421999999999</v>
      </c>
      <c r="O484" s="189">
        <v>7.0000000000000007E-2</v>
      </c>
      <c r="P484" s="170">
        <f t="shared" si="44"/>
        <v>17200.701539999998</v>
      </c>
    </row>
    <row r="485" spans="1:16">
      <c r="A485" s="157"/>
      <c r="B485" s="154"/>
      <c r="C485" s="63"/>
      <c r="D485" s="199"/>
      <c r="E485" s="90"/>
      <c r="F485" s="61"/>
      <c r="G485" s="206"/>
      <c r="H485" s="74"/>
      <c r="I485" s="203"/>
      <c r="J485" s="175"/>
      <c r="K485" s="197"/>
      <c r="L485" s="194"/>
      <c r="M485" s="188">
        <v>6021.12</v>
      </c>
      <c r="N485" s="188">
        <f>M485-(M485*0.03)</f>
        <v>5840.4863999999998</v>
      </c>
      <c r="O485" s="189">
        <v>7.0000000000000007E-2</v>
      </c>
      <c r="P485" s="170">
        <f>(N485*O485)+N485</f>
        <v>6249.3204479999995</v>
      </c>
    </row>
    <row r="486" spans="1:16">
      <c r="A486" s="157"/>
      <c r="B486" s="154"/>
      <c r="C486" s="63"/>
      <c r="D486" s="199"/>
      <c r="E486" s="90"/>
      <c r="F486" s="61"/>
      <c r="G486" s="206"/>
      <c r="H486" s="74"/>
      <c r="I486" s="183"/>
      <c r="J486" s="175"/>
      <c r="K486" s="197"/>
      <c r="L486" s="194"/>
      <c r="M486" s="188">
        <v>8714.16</v>
      </c>
      <c r="N486" s="188">
        <f>M486-(M486*0.03)</f>
        <v>8452.7351999999992</v>
      </c>
      <c r="O486" s="189">
        <v>7.0000000000000007E-2</v>
      </c>
      <c r="P486" s="170">
        <f>(N486*O486)+N486</f>
        <v>9044.4266639999987</v>
      </c>
    </row>
    <row r="487" spans="1:16">
      <c r="A487" s="157"/>
      <c r="B487" s="154"/>
      <c r="C487" s="63"/>
      <c r="D487" s="199"/>
      <c r="E487" s="90"/>
      <c r="F487" s="61"/>
      <c r="G487" s="206"/>
      <c r="H487" s="74"/>
      <c r="I487" s="183"/>
      <c r="J487" s="175"/>
      <c r="K487" s="197"/>
      <c r="L487" s="194"/>
      <c r="M487" s="188">
        <v>0</v>
      </c>
      <c r="N487" s="188">
        <f>M487-(M487*0.03)</f>
        <v>0</v>
      </c>
      <c r="O487" s="189">
        <v>7.0000000000000007E-2</v>
      </c>
      <c r="P487" s="170">
        <f t="shared" ref="P487:P493" si="45">(N487*O487)+N487</f>
        <v>0</v>
      </c>
    </row>
    <row r="488" spans="1:16">
      <c r="A488" s="157"/>
      <c r="B488" s="154"/>
      <c r="C488" s="63"/>
      <c r="D488" s="199"/>
      <c r="E488" s="90"/>
      <c r="F488" s="61"/>
      <c r="G488" s="206"/>
      <c r="H488" s="74"/>
      <c r="I488" s="183"/>
      <c r="J488" s="175"/>
      <c r="K488" s="197"/>
      <c r="L488" s="194"/>
      <c r="M488" s="188">
        <v>18537.7</v>
      </c>
      <c r="N488" s="188">
        <f>M488-(M488*0.03)</f>
        <v>17981.569</v>
      </c>
      <c r="O488" s="189">
        <v>7.0000000000000007E-2</v>
      </c>
      <c r="P488" s="170">
        <f t="shared" si="45"/>
        <v>19240.278829999999</v>
      </c>
    </row>
    <row r="489" spans="1:16">
      <c r="A489" s="158"/>
      <c r="B489" s="154"/>
      <c r="C489" s="63"/>
      <c r="D489" s="199"/>
      <c r="E489" s="91"/>
      <c r="F489" s="61"/>
      <c r="G489" s="206"/>
      <c r="H489" s="74"/>
      <c r="I489" s="183"/>
      <c r="J489" s="175"/>
      <c r="K489" s="197"/>
      <c r="L489" s="194"/>
      <c r="M489" s="188">
        <v>9031.68</v>
      </c>
      <c r="N489" s="188">
        <f t="shared" ref="N489:N501" si="46">M489-(M489*0.03)</f>
        <v>8760.7296000000006</v>
      </c>
      <c r="O489" s="189">
        <v>7.0000000000000007E-2</v>
      </c>
      <c r="P489" s="170">
        <f t="shared" si="45"/>
        <v>9373.9806720000015</v>
      </c>
    </row>
    <row r="490" spans="1:16">
      <c r="A490" s="200"/>
      <c r="B490" s="154"/>
      <c r="C490" s="63"/>
      <c r="D490" s="199"/>
      <c r="E490" s="153"/>
      <c r="F490" s="61"/>
      <c r="G490" s="206"/>
      <c r="H490" s="88"/>
      <c r="I490" s="184"/>
      <c r="J490" s="201"/>
      <c r="K490" s="202"/>
      <c r="L490" s="194"/>
      <c r="N490" s="188">
        <f t="shared" si="46"/>
        <v>0</v>
      </c>
      <c r="O490" s="189">
        <v>7.0000000000000007E-2</v>
      </c>
      <c r="P490" s="170">
        <f t="shared" si="45"/>
        <v>0</v>
      </c>
    </row>
    <row r="491" spans="1:16">
      <c r="A491" s="157"/>
      <c r="B491" s="154"/>
      <c r="C491" s="63"/>
      <c r="D491" s="199"/>
      <c r="E491" s="198"/>
      <c r="F491" s="61"/>
      <c r="G491" s="206"/>
      <c r="H491" s="74"/>
      <c r="I491" s="183"/>
      <c r="J491" s="175"/>
      <c r="K491" s="197"/>
      <c r="L491" s="194"/>
      <c r="M491" s="188">
        <v>8478.9599999999991</v>
      </c>
      <c r="N491" s="188">
        <f t="shared" si="46"/>
        <v>8224.5911999999989</v>
      </c>
      <c r="O491" s="189">
        <v>7.0000000000000007E-2</v>
      </c>
      <c r="P491" s="170">
        <f t="shared" si="45"/>
        <v>8800.3125839999993</v>
      </c>
    </row>
    <row r="492" spans="1:16">
      <c r="A492" s="157"/>
      <c r="B492" s="154"/>
      <c r="C492" s="63"/>
      <c r="D492" s="199"/>
      <c r="E492" s="142"/>
      <c r="F492" s="61"/>
      <c r="G492" s="206"/>
      <c r="H492" s="74"/>
      <c r="I492" s="183"/>
      <c r="J492" s="175"/>
      <c r="K492" s="197"/>
      <c r="L492" s="194"/>
      <c r="M492" s="188">
        <v>11122.62</v>
      </c>
      <c r="N492" s="188">
        <f t="shared" si="46"/>
        <v>10788.941400000002</v>
      </c>
      <c r="O492" s="189">
        <v>7.0000000000000007E-2</v>
      </c>
      <c r="P492" s="170">
        <f t="shared" si="45"/>
        <v>11544.167298000002</v>
      </c>
    </row>
    <row r="493" spans="1:16">
      <c r="A493" s="157"/>
      <c r="B493" s="154"/>
      <c r="C493" s="63"/>
      <c r="D493" s="196"/>
      <c r="E493" s="120"/>
      <c r="F493" s="121"/>
      <c r="G493" s="206"/>
      <c r="H493" s="115"/>
      <c r="I493" s="185"/>
      <c r="J493" s="175"/>
      <c r="K493" s="197"/>
      <c r="L493" s="194"/>
      <c r="M493" s="188">
        <v>3813.12</v>
      </c>
      <c r="N493" s="188">
        <f t="shared" si="46"/>
        <v>3698.7264</v>
      </c>
      <c r="O493" s="189">
        <v>7.0000000000000007E-2</v>
      </c>
      <c r="P493" s="170">
        <f t="shared" si="45"/>
        <v>3957.637248</v>
      </c>
    </row>
    <row r="494" spans="1:16">
      <c r="A494" s="157"/>
      <c r="B494" s="154"/>
      <c r="C494" s="63"/>
      <c r="D494" s="196"/>
      <c r="E494" s="249"/>
      <c r="F494" s="121"/>
      <c r="G494" s="206"/>
      <c r="H494" s="115"/>
      <c r="I494" s="185"/>
      <c r="J494" s="175"/>
      <c r="K494" s="197"/>
      <c r="L494" s="194"/>
    </row>
    <row r="495" spans="1:16">
      <c r="A495" s="157"/>
      <c r="B495" s="154"/>
      <c r="C495" s="63"/>
      <c r="D495" s="196"/>
      <c r="E495" s="249"/>
      <c r="F495" s="121"/>
      <c r="G495" s="206"/>
      <c r="H495" s="115"/>
      <c r="I495" s="185"/>
      <c r="J495" s="175"/>
      <c r="K495" s="197"/>
      <c r="L495" s="194"/>
    </row>
    <row r="496" spans="1:16">
      <c r="A496" s="157"/>
      <c r="B496" s="154"/>
      <c r="C496" s="63"/>
      <c r="D496" s="196"/>
      <c r="E496" s="249"/>
      <c r="F496" s="121"/>
      <c r="G496" s="206"/>
      <c r="H496" s="115"/>
      <c r="I496" s="185"/>
      <c r="J496" s="175"/>
      <c r="K496" s="197"/>
      <c r="L496" s="194"/>
    </row>
    <row r="497" spans="1:16">
      <c r="A497" s="157"/>
      <c r="B497" s="154"/>
      <c r="C497" s="63"/>
      <c r="D497" s="196"/>
      <c r="E497" s="249"/>
      <c r="F497" s="121"/>
      <c r="G497" s="206"/>
      <c r="H497" s="115"/>
      <c r="I497" s="185"/>
      <c r="J497" s="175"/>
      <c r="K497" s="197"/>
      <c r="L497" s="194"/>
    </row>
    <row r="498" spans="1:16">
      <c r="A498" s="157"/>
      <c r="B498" s="154"/>
      <c r="C498" s="63"/>
      <c r="D498" s="196"/>
      <c r="E498" s="249"/>
      <c r="F498" s="121"/>
      <c r="G498" s="206"/>
      <c r="H498" s="115"/>
      <c r="I498" s="185"/>
      <c r="J498" s="175"/>
      <c r="K498" s="197"/>
      <c r="L498" s="194"/>
    </row>
    <row r="499" spans="1:16">
      <c r="A499" s="157"/>
      <c r="B499" s="154"/>
      <c r="C499" s="63"/>
      <c r="D499" s="196"/>
      <c r="E499" s="249"/>
      <c r="F499" s="121"/>
      <c r="G499" s="206"/>
      <c r="H499" s="115"/>
      <c r="I499" s="185"/>
      <c r="J499" s="175"/>
      <c r="K499" s="197"/>
      <c r="L499" s="194"/>
    </row>
    <row r="500" spans="1:16">
      <c r="A500" s="157"/>
      <c r="B500" s="154"/>
      <c r="C500" s="63"/>
      <c r="D500" s="196"/>
      <c r="E500" s="142"/>
      <c r="F500" s="61"/>
      <c r="G500" s="206"/>
      <c r="H500" s="74"/>
      <c r="I500" s="183"/>
      <c r="J500" s="175"/>
      <c r="K500" s="197"/>
      <c r="L500" s="194"/>
    </row>
    <row r="501" spans="1:16">
      <c r="A501" s="157"/>
      <c r="B501" s="161"/>
      <c r="C501" s="63"/>
      <c r="D501" s="196"/>
      <c r="E501" s="142"/>
      <c r="F501" s="61"/>
      <c r="G501" s="206"/>
      <c r="H501" s="74"/>
      <c r="I501" s="183"/>
      <c r="J501" s="175"/>
      <c r="K501" s="197"/>
      <c r="L501" s="194"/>
      <c r="M501" s="188">
        <v>8640</v>
      </c>
      <c r="N501" s="188">
        <f t="shared" si="46"/>
        <v>8380.7999999999993</v>
      </c>
      <c r="O501" s="189">
        <v>7.0000000000000007E-2</v>
      </c>
      <c r="P501" s="170">
        <f>(N501*O501)+N501</f>
        <v>8967.4559999999983</v>
      </c>
    </row>
    <row r="502" spans="1:16">
      <c r="A502" s="160"/>
      <c r="B502" s="154"/>
      <c r="C502" s="63"/>
      <c r="D502" s="196"/>
      <c r="E502" s="120"/>
      <c r="F502" s="121"/>
      <c r="G502" s="206"/>
      <c r="H502" s="115"/>
      <c r="I502" s="185"/>
      <c r="J502" s="174"/>
      <c r="K502" s="195"/>
      <c r="L502" s="194"/>
    </row>
    <row r="503" spans="1:16">
      <c r="F503" s="68"/>
    </row>
    <row r="504" spans="1:16">
      <c r="F504" s="68"/>
    </row>
    <row r="505" spans="1:16">
      <c r="A505" s="44" t="s">
        <v>0</v>
      </c>
      <c r="B505" s="127"/>
      <c r="C505" s="104"/>
      <c r="F505" s="68"/>
      <c r="I505" s="179"/>
      <c r="K505" s="163"/>
      <c r="L505" s="168"/>
    </row>
    <row r="506" spans="1:16">
      <c r="A506" s="3480" t="s">
        <v>2512</v>
      </c>
      <c r="B506" s="3480"/>
      <c r="C506" s="44"/>
      <c r="D506" s="109"/>
      <c r="F506" s="68"/>
      <c r="I506" s="179"/>
      <c r="K506" s="163"/>
      <c r="L506" s="168"/>
    </row>
    <row r="507" spans="1:16" ht="35.25" thickBot="1">
      <c r="F507" s="68"/>
    </row>
    <row r="508" spans="1:16">
      <c r="A508" s="3493" t="s">
        <v>2</v>
      </c>
      <c r="B508" s="3482"/>
      <c r="C508" s="48" t="s">
        <v>3</v>
      </c>
      <c r="D508" s="128" t="s">
        <v>4</v>
      </c>
      <c r="E508" s="77" t="s">
        <v>5</v>
      </c>
      <c r="F508" s="78" t="s">
        <v>5</v>
      </c>
      <c r="G508" s="211" t="s">
        <v>6</v>
      </c>
      <c r="H508" s="140" t="s">
        <v>7</v>
      </c>
      <c r="I508" s="180" t="s">
        <v>1511</v>
      </c>
      <c r="J508" s="172" t="s">
        <v>9</v>
      </c>
      <c r="K508" s="186" t="s">
        <v>9</v>
      </c>
      <c r="L508" s="192" t="s">
        <v>2495</v>
      </c>
      <c r="M508" s="190"/>
    </row>
    <row r="509" spans="1:16" ht="35.25" thickBot="1">
      <c r="A509" s="155"/>
      <c r="B509" s="138"/>
      <c r="C509" s="50"/>
      <c r="D509" s="129" t="s">
        <v>10</v>
      </c>
      <c r="E509" s="79" t="s">
        <v>11</v>
      </c>
      <c r="F509" s="80" t="s">
        <v>12</v>
      </c>
      <c r="G509" s="212"/>
      <c r="H509" s="141" t="s">
        <v>13</v>
      </c>
      <c r="I509" s="181" t="s">
        <v>1512</v>
      </c>
      <c r="J509" s="173" t="s">
        <v>15</v>
      </c>
      <c r="K509" s="187" t="s">
        <v>14</v>
      </c>
      <c r="L509" s="193" t="s">
        <v>2496</v>
      </c>
      <c r="M509" s="190"/>
    </row>
    <row r="510" spans="1:16">
      <c r="A510" s="156"/>
      <c r="B510" s="154"/>
      <c r="C510" s="63"/>
      <c r="D510" s="199"/>
      <c r="E510" s="143"/>
      <c r="F510" s="69"/>
      <c r="G510" s="206"/>
      <c r="H510" s="74"/>
      <c r="I510" s="183"/>
      <c r="J510" s="175"/>
      <c r="K510" s="172"/>
      <c r="L510" s="194"/>
      <c r="M510" s="188">
        <v>3552</v>
      </c>
      <c r="N510" s="188">
        <f t="shared" ref="N510:N526" si="47">M510-(M510*0.03)</f>
        <v>3445.44</v>
      </c>
      <c r="O510" s="189">
        <v>7.0000000000000007E-2</v>
      </c>
      <c r="P510" s="170">
        <f t="shared" ref="P510:P526" si="48">(N510*O510)+N510</f>
        <v>3686.6208000000001</v>
      </c>
    </row>
    <row r="511" spans="1:16">
      <c r="A511" s="157"/>
      <c r="B511" s="154"/>
      <c r="C511" s="63"/>
      <c r="D511" s="199"/>
      <c r="E511" s="145"/>
      <c r="F511" s="61"/>
      <c r="G511" s="206"/>
      <c r="H511" s="74"/>
      <c r="I511" s="183"/>
      <c r="J511" s="175"/>
      <c r="K511" s="176"/>
      <c r="L511" s="194"/>
      <c r="N511" s="188">
        <f t="shared" si="47"/>
        <v>0</v>
      </c>
      <c r="O511" s="189">
        <v>7.0000000000000007E-2</v>
      </c>
      <c r="P511" s="170">
        <f t="shared" si="48"/>
        <v>0</v>
      </c>
    </row>
    <row r="512" spans="1:16">
      <c r="A512" s="157"/>
      <c r="B512" s="239"/>
      <c r="C512" s="63"/>
      <c r="D512" s="199"/>
      <c r="E512" s="145"/>
      <c r="F512" s="61"/>
      <c r="G512" s="206"/>
      <c r="H512" s="74"/>
      <c r="I512" s="183"/>
      <c r="J512" s="175"/>
      <c r="K512" s="245"/>
      <c r="L512" s="194"/>
      <c r="M512" s="188">
        <v>9498.06</v>
      </c>
      <c r="N512" s="188">
        <f t="shared" si="47"/>
        <v>9213.118199999999</v>
      </c>
      <c r="O512" s="189">
        <v>7.0000000000000007E-2</v>
      </c>
      <c r="P512" s="170">
        <f t="shared" si="48"/>
        <v>9858.0364739999986</v>
      </c>
    </row>
    <row r="513" spans="1:16">
      <c r="A513" s="157"/>
      <c r="B513" s="239"/>
      <c r="C513" s="63"/>
      <c r="D513" s="199"/>
      <c r="E513" s="145"/>
      <c r="F513" s="61"/>
      <c r="G513" s="206"/>
      <c r="H513" s="74"/>
      <c r="I513" s="183"/>
      <c r="J513" s="175"/>
      <c r="K513" s="197"/>
      <c r="L513" s="194"/>
      <c r="M513" s="188">
        <v>15305.4</v>
      </c>
      <c r="N513" s="188">
        <f t="shared" si="47"/>
        <v>14846.237999999999</v>
      </c>
      <c r="O513" s="189">
        <v>7.0000000000000007E-2</v>
      </c>
      <c r="P513" s="170">
        <f t="shared" si="48"/>
        <v>15885.47466</v>
      </c>
    </row>
    <row r="514" spans="1:16">
      <c r="A514" s="157"/>
      <c r="B514" s="154"/>
      <c r="C514" s="63"/>
      <c r="D514" s="199"/>
      <c r="E514" s="145"/>
      <c r="F514" s="61"/>
      <c r="G514" s="206"/>
      <c r="H514" s="74"/>
      <c r="I514" s="183"/>
      <c r="J514" s="175"/>
      <c r="K514" s="197"/>
      <c r="L514" s="194"/>
      <c r="N514" s="188">
        <f t="shared" si="47"/>
        <v>0</v>
      </c>
      <c r="O514" s="189">
        <v>7.0000000000000007E-2</v>
      </c>
      <c r="P514" s="170">
        <f t="shared" si="48"/>
        <v>0</v>
      </c>
    </row>
    <row r="515" spans="1:16">
      <c r="A515" s="157"/>
      <c r="B515" s="154"/>
      <c r="C515" s="63"/>
      <c r="D515" s="199"/>
      <c r="E515" s="145"/>
      <c r="F515" s="61"/>
      <c r="G515" s="206"/>
      <c r="H515" s="74"/>
      <c r="I515" s="183"/>
      <c r="J515" s="175"/>
      <c r="K515" s="197"/>
      <c r="L515" s="194"/>
      <c r="N515" s="188">
        <f t="shared" si="47"/>
        <v>0</v>
      </c>
      <c r="O515" s="189">
        <v>7.0000000000000007E-2</v>
      </c>
      <c r="P515" s="170">
        <f t="shared" si="48"/>
        <v>0</v>
      </c>
    </row>
    <row r="516" spans="1:16">
      <c r="A516" s="157"/>
      <c r="B516" s="154"/>
      <c r="C516" s="63"/>
      <c r="D516" s="199"/>
      <c r="E516" s="145"/>
      <c r="F516" s="61"/>
      <c r="G516" s="206"/>
      <c r="H516" s="74"/>
      <c r="I516" s="183"/>
      <c r="J516" s="175"/>
      <c r="K516" s="197"/>
      <c r="L516" s="194"/>
      <c r="N516" s="188">
        <f t="shared" si="47"/>
        <v>0</v>
      </c>
      <c r="O516" s="189">
        <v>7.0000000000000007E-2</v>
      </c>
      <c r="P516" s="170">
        <f t="shared" si="48"/>
        <v>0</v>
      </c>
    </row>
    <row r="517" spans="1:16">
      <c r="A517" s="157"/>
      <c r="B517" s="239"/>
      <c r="C517" s="222"/>
      <c r="D517" s="3464"/>
      <c r="E517" s="145"/>
      <c r="F517" s="61"/>
      <c r="G517" s="223"/>
      <c r="H517" s="224"/>
      <c r="I517" s="225"/>
      <c r="J517" s="209"/>
      <c r="K517" s="244"/>
      <c r="M517" s="188">
        <v>14244.12</v>
      </c>
      <c r="N517" s="188">
        <f t="shared" si="47"/>
        <v>13816.796400000001</v>
      </c>
      <c r="O517" s="189">
        <v>7.0000000000000007E-2</v>
      </c>
      <c r="P517" s="170">
        <f t="shared" si="48"/>
        <v>14783.972148000001</v>
      </c>
    </row>
    <row r="518" spans="1:16">
      <c r="A518" s="157"/>
      <c r="B518" s="162"/>
      <c r="C518" s="63"/>
      <c r="D518" s="199"/>
      <c r="E518" s="145"/>
      <c r="F518" s="61"/>
      <c r="G518" s="206"/>
      <c r="H518" s="74"/>
      <c r="I518" s="183"/>
      <c r="J518" s="175"/>
      <c r="K518" s="197"/>
      <c r="L518" s="194"/>
      <c r="M518" s="188">
        <v>3240</v>
      </c>
      <c r="N518" s="188">
        <f t="shared" si="47"/>
        <v>3142.8</v>
      </c>
      <c r="O518" s="189">
        <v>7.0000000000000007E-2</v>
      </c>
      <c r="P518" s="170">
        <f t="shared" si="48"/>
        <v>3362.7960000000003</v>
      </c>
    </row>
    <row r="519" spans="1:16">
      <c r="A519" s="157"/>
      <c r="B519" s="162"/>
      <c r="C519" s="63"/>
      <c r="D519" s="199"/>
      <c r="E519" s="145"/>
      <c r="F519" s="61"/>
      <c r="G519" s="206"/>
      <c r="H519" s="74"/>
      <c r="I519" s="183"/>
      <c r="J519" s="175"/>
      <c r="K519" s="197"/>
      <c r="L519" s="194"/>
      <c r="M519" s="188">
        <v>14700</v>
      </c>
      <c r="N519" s="188">
        <f t="shared" si="47"/>
        <v>14259</v>
      </c>
      <c r="O519" s="189">
        <v>7.0000000000000007E-2</v>
      </c>
      <c r="P519" s="170">
        <f t="shared" si="48"/>
        <v>15257.130000000001</v>
      </c>
    </row>
    <row r="520" spans="1:16">
      <c r="A520" s="157"/>
      <c r="B520" s="162"/>
      <c r="C520" s="222"/>
      <c r="D520" s="3464"/>
      <c r="E520" s="237"/>
      <c r="F520" s="238"/>
      <c r="G520" s="223"/>
      <c r="H520" s="224"/>
      <c r="I520" s="225"/>
      <c r="J520" s="209"/>
      <c r="K520" s="226"/>
      <c r="L520" s="229"/>
      <c r="M520" s="188">
        <v>14582.7</v>
      </c>
      <c r="N520" s="188">
        <f t="shared" si="47"/>
        <v>14145.219000000001</v>
      </c>
      <c r="O520" s="189">
        <v>7.0000000000000007E-2</v>
      </c>
      <c r="P520" s="170">
        <f t="shared" si="48"/>
        <v>15135.384330000001</v>
      </c>
    </row>
    <row r="521" spans="1:16">
      <c r="A521" s="157"/>
      <c r="B521" s="162"/>
      <c r="C521" s="63"/>
      <c r="D521" s="199"/>
      <c r="E521" s="145"/>
      <c r="F521" s="61"/>
      <c r="G521" s="206"/>
      <c r="H521" s="74"/>
      <c r="I521" s="183"/>
      <c r="J521" s="175"/>
      <c r="K521" s="197"/>
      <c r="L521" s="229"/>
      <c r="M521" s="188">
        <v>13483.8</v>
      </c>
      <c r="N521" s="188">
        <f t="shared" si="47"/>
        <v>13079.286</v>
      </c>
      <c r="O521" s="189">
        <v>7.0000000000000007E-2</v>
      </c>
      <c r="P521" s="170">
        <f t="shared" si="48"/>
        <v>13994.836020000001</v>
      </c>
    </row>
    <row r="522" spans="1:16">
      <c r="A522" s="157"/>
      <c r="B522" s="154"/>
      <c r="C522" s="222"/>
      <c r="D522" s="3464"/>
      <c r="E522" s="145"/>
      <c r="F522" s="61"/>
      <c r="G522" s="223"/>
      <c r="H522" s="224"/>
      <c r="I522" s="225"/>
      <c r="J522" s="209"/>
      <c r="K522" s="226"/>
      <c r="L522" s="229"/>
      <c r="M522" s="188">
        <v>2669.52</v>
      </c>
      <c r="N522" s="188">
        <f t="shared" si="47"/>
        <v>2589.4344000000001</v>
      </c>
      <c r="O522" s="189">
        <v>7.0000000000000007E-2</v>
      </c>
      <c r="P522" s="170">
        <f t="shared" si="48"/>
        <v>2770.6948080000002</v>
      </c>
    </row>
    <row r="523" spans="1:16">
      <c r="A523" s="157"/>
      <c r="B523" s="154"/>
      <c r="C523" s="222"/>
      <c r="D523" s="3464"/>
      <c r="E523" s="145"/>
      <c r="F523" s="61"/>
      <c r="G523" s="223"/>
      <c r="H523" s="224"/>
      <c r="I523" s="225"/>
      <c r="J523" s="209"/>
      <c r="K523" s="226"/>
      <c r="L523" s="229"/>
      <c r="N523" s="188">
        <f t="shared" si="47"/>
        <v>0</v>
      </c>
      <c r="O523" s="189">
        <v>7.0000000000000007E-2</v>
      </c>
      <c r="P523" s="170">
        <f t="shared" si="48"/>
        <v>0</v>
      </c>
    </row>
    <row r="524" spans="1:16">
      <c r="A524" s="221"/>
      <c r="B524" s="240"/>
      <c r="C524" s="222"/>
      <c r="D524" s="3464"/>
      <c r="E524" s="145"/>
      <c r="F524" s="61"/>
      <c r="G524" s="223"/>
      <c r="H524" s="224"/>
      <c r="I524" s="225"/>
      <c r="J524" s="209"/>
      <c r="K524" s="226"/>
      <c r="L524" s="229"/>
      <c r="M524" s="188">
        <v>12972.96</v>
      </c>
      <c r="N524" s="188">
        <f t="shared" si="47"/>
        <v>12583.771199999999</v>
      </c>
      <c r="O524" s="189">
        <v>7.0000000000000007E-2</v>
      </c>
      <c r="P524" s="170">
        <f t="shared" si="48"/>
        <v>13464.635183999999</v>
      </c>
    </row>
    <row r="525" spans="1:16">
      <c r="A525" s="157"/>
      <c r="B525" s="154"/>
      <c r="C525" s="63"/>
      <c r="D525" s="199"/>
      <c r="E525" s="145"/>
      <c r="F525" s="61"/>
      <c r="G525" s="206"/>
      <c r="H525" s="74"/>
      <c r="I525" s="183"/>
      <c r="J525" s="209"/>
      <c r="K525" s="197"/>
      <c r="L525" s="229"/>
      <c r="M525" s="188">
        <v>12687.84</v>
      </c>
      <c r="N525" s="188">
        <f t="shared" si="47"/>
        <v>12307.2048</v>
      </c>
      <c r="O525" s="189">
        <v>7.0000000000000007E-2</v>
      </c>
      <c r="P525" s="170">
        <f t="shared" si="48"/>
        <v>13168.709135999999</v>
      </c>
    </row>
    <row r="526" spans="1:16">
      <c r="A526" s="157"/>
      <c r="B526" s="154"/>
      <c r="C526" s="63"/>
      <c r="D526" s="199"/>
      <c r="E526" s="145"/>
      <c r="F526" s="61"/>
      <c r="G526" s="206"/>
      <c r="H526" s="74"/>
      <c r="I526" s="183"/>
      <c r="J526" s="175"/>
      <c r="K526" s="197"/>
      <c r="L526" s="194"/>
      <c r="M526" s="188">
        <v>16572.599999999999</v>
      </c>
      <c r="N526" s="188">
        <f t="shared" si="47"/>
        <v>16075.421999999999</v>
      </c>
      <c r="O526" s="189">
        <v>7.0000000000000007E-2</v>
      </c>
      <c r="P526" s="170">
        <f t="shared" si="48"/>
        <v>17200.701539999998</v>
      </c>
    </row>
    <row r="527" spans="1:16">
      <c r="A527" s="157"/>
      <c r="B527" s="154"/>
      <c r="C527" s="63"/>
      <c r="D527" s="199"/>
      <c r="E527" s="90"/>
      <c r="F527" s="61"/>
      <c r="G527" s="206"/>
      <c r="H527" s="74"/>
      <c r="I527" s="203"/>
      <c r="J527" s="175"/>
      <c r="K527" s="197"/>
      <c r="L527" s="194"/>
      <c r="M527" s="188">
        <v>6021.12</v>
      </c>
      <c r="N527" s="188">
        <f>M527-(M527*0.03)</f>
        <v>5840.4863999999998</v>
      </c>
      <c r="O527" s="189">
        <v>7.0000000000000007E-2</v>
      </c>
      <c r="P527" s="170">
        <f>(N527*O527)+N527</f>
        <v>6249.3204479999995</v>
      </c>
    </row>
    <row r="528" spans="1:16">
      <c r="A528" s="157"/>
      <c r="B528" s="154"/>
      <c r="C528" s="63"/>
      <c r="D528" s="199"/>
      <c r="E528" s="90"/>
      <c r="F528" s="61"/>
      <c r="G528" s="206"/>
      <c r="H528" s="74"/>
      <c r="I528" s="183"/>
      <c r="J528" s="175"/>
      <c r="K528" s="197"/>
      <c r="L528" s="194"/>
      <c r="M528" s="188">
        <v>8714.16</v>
      </c>
      <c r="N528" s="188">
        <f>M528-(M528*0.03)</f>
        <v>8452.7351999999992</v>
      </c>
      <c r="O528" s="189">
        <v>7.0000000000000007E-2</v>
      </c>
      <c r="P528" s="170">
        <f>(N528*O528)+N528</f>
        <v>9044.4266639999987</v>
      </c>
    </row>
    <row r="529" spans="1:16">
      <c r="A529" s="157"/>
      <c r="B529" s="154"/>
      <c r="C529" s="63"/>
      <c r="D529" s="199"/>
      <c r="E529" s="90"/>
      <c r="F529" s="61"/>
      <c r="G529" s="206"/>
      <c r="H529" s="74"/>
      <c r="I529" s="183"/>
      <c r="J529" s="175"/>
      <c r="K529" s="197"/>
      <c r="L529" s="194"/>
      <c r="M529" s="188">
        <v>0</v>
      </c>
      <c r="N529" s="188">
        <f>M529-(M529*0.03)</f>
        <v>0</v>
      </c>
      <c r="O529" s="189">
        <v>7.0000000000000007E-2</v>
      </c>
      <c r="P529" s="170">
        <f t="shared" ref="P529:P535" si="49">(N529*O529)+N529</f>
        <v>0</v>
      </c>
    </row>
    <row r="530" spans="1:16">
      <c r="A530" s="157"/>
      <c r="B530" s="154"/>
      <c r="C530" s="63"/>
      <c r="D530" s="199"/>
      <c r="E530" s="90"/>
      <c r="F530" s="61"/>
      <c r="G530" s="206"/>
      <c r="H530" s="74"/>
      <c r="I530" s="183"/>
      <c r="J530" s="175"/>
      <c r="K530" s="197"/>
      <c r="L530" s="194"/>
      <c r="M530" s="188">
        <v>18537.7</v>
      </c>
      <c r="N530" s="188">
        <f>M530-(M530*0.03)</f>
        <v>17981.569</v>
      </c>
      <c r="O530" s="189">
        <v>7.0000000000000007E-2</v>
      </c>
      <c r="P530" s="170">
        <f t="shared" si="49"/>
        <v>19240.278829999999</v>
      </c>
    </row>
    <row r="531" spans="1:16">
      <c r="A531" s="158"/>
      <c r="B531" s="154"/>
      <c r="C531" s="63"/>
      <c r="D531" s="199"/>
      <c r="E531" s="91"/>
      <c r="F531" s="61"/>
      <c r="G531" s="206"/>
      <c r="H531" s="74"/>
      <c r="I531" s="183"/>
      <c r="J531" s="175"/>
      <c r="K531" s="197"/>
      <c r="L531" s="194"/>
      <c r="M531" s="188">
        <v>9031.68</v>
      </c>
      <c r="N531" s="188">
        <f t="shared" ref="N531:N543" si="50">M531-(M531*0.03)</f>
        <v>8760.7296000000006</v>
      </c>
      <c r="O531" s="189">
        <v>7.0000000000000007E-2</v>
      </c>
      <c r="P531" s="170">
        <f t="shared" si="49"/>
        <v>9373.9806720000015</v>
      </c>
    </row>
    <row r="532" spans="1:16">
      <c r="A532" s="200"/>
      <c r="B532" s="154"/>
      <c r="C532" s="63"/>
      <c r="D532" s="199"/>
      <c r="E532" s="153"/>
      <c r="F532" s="61"/>
      <c r="G532" s="206"/>
      <c r="H532" s="88"/>
      <c r="I532" s="184"/>
      <c r="J532" s="201"/>
      <c r="K532" s="202"/>
      <c r="L532" s="194"/>
      <c r="N532" s="188">
        <f t="shared" si="50"/>
        <v>0</v>
      </c>
      <c r="O532" s="189">
        <v>7.0000000000000007E-2</v>
      </c>
      <c r="P532" s="170">
        <f t="shared" si="49"/>
        <v>0</v>
      </c>
    </row>
    <row r="533" spans="1:16">
      <c r="A533" s="157"/>
      <c r="B533" s="154"/>
      <c r="C533" s="63"/>
      <c r="D533" s="199"/>
      <c r="E533" s="198"/>
      <c r="F533" s="61"/>
      <c r="G533" s="206"/>
      <c r="H533" s="74"/>
      <c r="I533" s="183"/>
      <c r="J533" s="175"/>
      <c r="K533" s="197"/>
      <c r="L533" s="194"/>
      <c r="M533" s="188">
        <v>8478.9599999999991</v>
      </c>
      <c r="N533" s="188">
        <f t="shared" si="50"/>
        <v>8224.5911999999989</v>
      </c>
      <c r="O533" s="189">
        <v>7.0000000000000007E-2</v>
      </c>
      <c r="P533" s="170">
        <f t="shared" si="49"/>
        <v>8800.3125839999993</v>
      </c>
    </row>
    <row r="534" spans="1:16">
      <c r="A534" s="157"/>
      <c r="B534" s="154"/>
      <c r="C534" s="63"/>
      <c r="D534" s="199"/>
      <c r="E534" s="142"/>
      <c r="F534" s="61"/>
      <c r="G534" s="206"/>
      <c r="H534" s="74"/>
      <c r="I534" s="183"/>
      <c r="J534" s="175"/>
      <c r="K534" s="197"/>
      <c r="L534" s="194"/>
      <c r="M534" s="188">
        <v>11122.62</v>
      </c>
      <c r="N534" s="188">
        <f t="shared" si="50"/>
        <v>10788.941400000002</v>
      </c>
      <c r="O534" s="189">
        <v>7.0000000000000007E-2</v>
      </c>
      <c r="P534" s="170">
        <f t="shared" si="49"/>
        <v>11544.167298000002</v>
      </c>
    </row>
    <row r="535" spans="1:16">
      <c r="A535" s="157"/>
      <c r="B535" s="154"/>
      <c r="C535" s="63"/>
      <c r="D535" s="196"/>
      <c r="E535" s="120"/>
      <c r="F535" s="121"/>
      <c r="G535" s="206"/>
      <c r="H535" s="115"/>
      <c r="I535" s="185"/>
      <c r="J535" s="175"/>
      <c r="K535" s="197"/>
      <c r="L535" s="194"/>
      <c r="M535" s="188">
        <v>3813.12</v>
      </c>
      <c r="N535" s="188">
        <f t="shared" si="50"/>
        <v>3698.7264</v>
      </c>
      <c r="O535" s="189">
        <v>7.0000000000000007E-2</v>
      </c>
      <c r="P535" s="170">
        <f t="shared" si="49"/>
        <v>3957.637248</v>
      </c>
    </row>
    <row r="536" spans="1:16">
      <c r="A536" s="157"/>
      <c r="B536" s="154"/>
      <c r="C536" s="63"/>
      <c r="D536" s="196"/>
      <c r="E536" s="249"/>
      <c r="F536" s="121"/>
      <c r="G536" s="206"/>
      <c r="H536" s="115"/>
      <c r="I536" s="185"/>
      <c r="J536" s="175"/>
      <c r="K536" s="197"/>
      <c r="L536" s="194"/>
    </row>
    <row r="537" spans="1:16">
      <c r="A537" s="157"/>
      <c r="B537" s="154"/>
      <c r="C537" s="63"/>
      <c r="D537" s="196"/>
      <c r="E537" s="249"/>
      <c r="F537" s="121"/>
      <c r="G537" s="206"/>
      <c r="H537" s="115"/>
      <c r="I537" s="185"/>
      <c r="J537" s="175"/>
      <c r="K537" s="197"/>
      <c r="L537" s="194"/>
    </row>
    <row r="538" spans="1:16">
      <c r="A538" s="157"/>
      <c r="B538" s="154"/>
      <c r="C538" s="63"/>
      <c r="D538" s="196"/>
      <c r="E538" s="249"/>
      <c r="F538" s="121"/>
      <c r="G538" s="206"/>
      <c r="H538" s="115"/>
      <c r="I538" s="185"/>
      <c r="J538" s="175"/>
      <c r="K538" s="197"/>
      <c r="L538" s="194"/>
    </row>
    <row r="539" spans="1:16">
      <c r="A539" s="157"/>
      <c r="B539" s="154"/>
      <c r="C539" s="63"/>
      <c r="D539" s="196"/>
      <c r="E539" s="249"/>
      <c r="F539" s="121"/>
      <c r="G539" s="206"/>
      <c r="H539" s="115"/>
      <c r="I539" s="185"/>
      <c r="J539" s="175"/>
      <c r="K539" s="197"/>
      <c r="L539" s="194"/>
    </row>
    <row r="540" spans="1:16">
      <c r="A540" s="157"/>
      <c r="B540" s="154"/>
      <c r="C540" s="63"/>
      <c r="D540" s="196"/>
      <c r="E540" s="249"/>
      <c r="F540" s="121"/>
      <c r="G540" s="206"/>
      <c r="H540" s="115"/>
      <c r="I540" s="185"/>
      <c r="J540" s="175"/>
      <c r="K540" s="197"/>
      <c r="L540" s="194"/>
    </row>
    <row r="541" spans="1:16">
      <c r="A541" s="157"/>
      <c r="B541" s="154"/>
      <c r="C541" s="63"/>
      <c r="D541" s="196"/>
      <c r="E541" s="249"/>
      <c r="F541" s="121"/>
      <c r="G541" s="206"/>
      <c r="H541" s="115"/>
      <c r="I541" s="185"/>
      <c r="J541" s="175"/>
      <c r="K541" s="197"/>
      <c r="L541" s="194"/>
    </row>
    <row r="542" spans="1:16">
      <c r="A542" s="157"/>
      <c r="B542" s="154"/>
      <c r="C542" s="63"/>
      <c r="D542" s="196"/>
      <c r="E542" s="142"/>
      <c r="F542" s="61"/>
      <c r="G542" s="206"/>
      <c r="H542" s="74"/>
      <c r="I542" s="183"/>
      <c r="J542" s="175"/>
      <c r="K542" s="197"/>
      <c r="L542" s="194"/>
    </row>
    <row r="543" spans="1:16">
      <c r="A543" s="157"/>
      <c r="B543" s="161"/>
      <c r="C543" s="63"/>
      <c r="D543" s="196"/>
      <c r="E543" s="142"/>
      <c r="F543" s="61"/>
      <c r="G543" s="206"/>
      <c r="H543" s="74"/>
      <c r="I543" s="183"/>
      <c r="J543" s="175"/>
      <c r="K543" s="197"/>
      <c r="L543" s="194"/>
      <c r="M543" s="188">
        <v>8640</v>
      </c>
      <c r="N543" s="188">
        <f t="shared" si="50"/>
        <v>8380.7999999999993</v>
      </c>
      <c r="O543" s="189">
        <v>7.0000000000000007E-2</v>
      </c>
      <c r="P543" s="170">
        <f>(N543*O543)+N543</f>
        <v>8967.4559999999983</v>
      </c>
    </row>
    <row r="544" spans="1:16">
      <c r="A544" s="160"/>
      <c r="B544" s="154"/>
      <c r="C544" s="63"/>
      <c r="D544" s="196"/>
      <c r="E544" s="120"/>
      <c r="F544" s="121"/>
      <c r="G544" s="206"/>
      <c r="H544" s="115"/>
      <c r="I544" s="185"/>
      <c r="J544" s="174"/>
      <c r="K544" s="195"/>
      <c r="L544" s="194"/>
    </row>
    <row r="545" spans="1:16">
      <c r="F545" s="68"/>
    </row>
    <row r="546" spans="1:16">
      <c r="F546" s="68"/>
    </row>
    <row r="547" spans="1:16">
      <c r="A547" s="44" t="s">
        <v>0</v>
      </c>
      <c r="B547" s="127"/>
      <c r="C547" s="104"/>
      <c r="F547" s="68"/>
      <c r="I547" s="179"/>
      <c r="K547" s="163"/>
      <c r="L547" s="168"/>
    </row>
    <row r="548" spans="1:16">
      <c r="A548" s="3480" t="s">
        <v>2512</v>
      </c>
      <c r="B548" s="3480"/>
      <c r="C548" s="44"/>
      <c r="D548" s="109"/>
      <c r="F548" s="68"/>
      <c r="I548" s="179"/>
      <c r="K548" s="163"/>
      <c r="L548" s="168"/>
    </row>
    <row r="549" spans="1:16" ht="35.25" thickBot="1">
      <c r="F549" s="68"/>
    </row>
    <row r="550" spans="1:16">
      <c r="A550" s="3493" t="s">
        <v>2</v>
      </c>
      <c r="B550" s="3482"/>
      <c r="C550" s="48" t="s">
        <v>3</v>
      </c>
      <c r="D550" s="128" t="s">
        <v>4</v>
      </c>
      <c r="E550" s="77" t="s">
        <v>5</v>
      </c>
      <c r="F550" s="78" t="s">
        <v>5</v>
      </c>
      <c r="G550" s="211" t="s">
        <v>6</v>
      </c>
      <c r="H550" s="140" t="s">
        <v>7</v>
      </c>
      <c r="I550" s="180" t="s">
        <v>1511</v>
      </c>
      <c r="J550" s="172" t="s">
        <v>9</v>
      </c>
      <c r="K550" s="186" t="s">
        <v>9</v>
      </c>
      <c r="L550" s="192" t="s">
        <v>2495</v>
      </c>
      <c r="M550" s="190"/>
    </row>
    <row r="551" spans="1:16" ht="35.25" thickBot="1">
      <c r="A551" s="155"/>
      <c r="B551" s="138"/>
      <c r="C551" s="50"/>
      <c r="D551" s="129" t="s">
        <v>10</v>
      </c>
      <c r="E551" s="79" t="s">
        <v>11</v>
      </c>
      <c r="F551" s="80" t="s">
        <v>12</v>
      </c>
      <c r="G551" s="212"/>
      <c r="H551" s="141" t="s">
        <v>13</v>
      </c>
      <c r="I551" s="181" t="s">
        <v>1512</v>
      </c>
      <c r="J551" s="173" t="s">
        <v>15</v>
      </c>
      <c r="K551" s="187" t="s">
        <v>14</v>
      </c>
      <c r="L551" s="193" t="s">
        <v>2496</v>
      </c>
      <c r="M551" s="190"/>
    </row>
    <row r="552" spans="1:16">
      <c r="A552" s="156"/>
      <c r="B552" s="154"/>
      <c r="C552" s="63"/>
      <c r="D552" s="199"/>
      <c r="E552" s="143"/>
      <c r="F552" s="69"/>
      <c r="G552" s="206"/>
      <c r="H552" s="74"/>
      <c r="I552" s="183"/>
      <c r="J552" s="175"/>
      <c r="K552" s="172"/>
      <c r="L552" s="194"/>
      <c r="M552" s="188">
        <v>3552</v>
      </c>
      <c r="N552" s="188">
        <f t="shared" ref="N552:N568" si="51">M552-(M552*0.03)</f>
        <v>3445.44</v>
      </c>
      <c r="O552" s="189">
        <v>7.0000000000000007E-2</v>
      </c>
      <c r="P552" s="170">
        <f t="shared" ref="P552:P568" si="52">(N552*O552)+N552</f>
        <v>3686.6208000000001</v>
      </c>
    </row>
    <row r="553" spans="1:16">
      <c r="A553" s="157"/>
      <c r="B553" s="154"/>
      <c r="C553" s="63"/>
      <c r="D553" s="199"/>
      <c r="E553" s="145"/>
      <c r="F553" s="61"/>
      <c r="G553" s="206"/>
      <c r="H553" s="74"/>
      <c r="I553" s="183"/>
      <c r="J553" s="175"/>
      <c r="K553" s="176"/>
      <c r="L553" s="194"/>
      <c r="N553" s="188">
        <f t="shared" si="51"/>
        <v>0</v>
      </c>
      <c r="O553" s="189">
        <v>7.0000000000000007E-2</v>
      </c>
      <c r="P553" s="170">
        <f t="shared" si="52"/>
        <v>0</v>
      </c>
    </row>
    <row r="554" spans="1:16">
      <c r="A554" s="157"/>
      <c r="B554" s="239"/>
      <c r="C554" s="63"/>
      <c r="D554" s="199"/>
      <c r="E554" s="145"/>
      <c r="F554" s="61"/>
      <c r="G554" s="206"/>
      <c r="H554" s="74"/>
      <c r="I554" s="183"/>
      <c r="J554" s="175"/>
      <c r="K554" s="245"/>
      <c r="L554" s="194"/>
      <c r="M554" s="188">
        <v>9498.06</v>
      </c>
      <c r="N554" s="188">
        <f t="shared" si="51"/>
        <v>9213.118199999999</v>
      </c>
      <c r="O554" s="189">
        <v>7.0000000000000007E-2</v>
      </c>
      <c r="P554" s="170">
        <f t="shared" si="52"/>
        <v>9858.0364739999986</v>
      </c>
    </row>
    <row r="555" spans="1:16">
      <c r="A555" s="157"/>
      <c r="B555" s="239"/>
      <c r="C555" s="63"/>
      <c r="D555" s="199"/>
      <c r="E555" s="145"/>
      <c r="F555" s="61"/>
      <c r="G555" s="206"/>
      <c r="H555" s="74"/>
      <c r="I555" s="183"/>
      <c r="J555" s="175"/>
      <c r="K555" s="197"/>
      <c r="L555" s="194"/>
      <c r="M555" s="188">
        <v>15305.4</v>
      </c>
      <c r="N555" s="188">
        <f t="shared" si="51"/>
        <v>14846.237999999999</v>
      </c>
      <c r="O555" s="189">
        <v>7.0000000000000007E-2</v>
      </c>
      <c r="P555" s="170">
        <f t="shared" si="52"/>
        <v>15885.47466</v>
      </c>
    </row>
    <row r="556" spans="1:16">
      <c r="A556" s="157"/>
      <c r="B556" s="154"/>
      <c r="C556" s="63"/>
      <c r="D556" s="199"/>
      <c r="E556" s="145"/>
      <c r="F556" s="61"/>
      <c r="G556" s="206"/>
      <c r="H556" s="74"/>
      <c r="I556" s="183"/>
      <c r="J556" s="175"/>
      <c r="K556" s="197"/>
      <c r="L556" s="194"/>
      <c r="N556" s="188">
        <f t="shared" si="51"/>
        <v>0</v>
      </c>
      <c r="O556" s="189">
        <v>7.0000000000000007E-2</v>
      </c>
      <c r="P556" s="170">
        <f t="shared" si="52"/>
        <v>0</v>
      </c>
    </row>
    <row r="557" spans="1:16">
      <c r="A557" s="157"/>
      <c r="B557" s="154"/>
      <c r="C557" s="63"/>
      <c r="D557" s="199"/>
      <c r="E557" s="145"/>
      <c r="F557" s="61"/>
      <c r="G557" s="206"/>
      <c r="H557" s="74"/>
      <c r="I557" s="183"/>
      <c r="J557" s="175"/>
      <c r="K557" s="197"/>
      <c r="L557" s="194"/>
      <c r="N557" s="188">
        <f t="shared" si="51"/>
        <v>0</v>
      </c>
      <c r="O557" s="189">
        <v>7.0000000000000007E-2</v>
      </c>
      <c r="P557" s="170">
        <f t="shared" si="52"/>
        <v>0</v>
      </c>
    </row>
    <row r="558" spans="1:16">
      <c r="A558" s="157"/>
      <c r="B558" s="154"/>
      <c r="C558" s="63"/>
      <c r="D558" s="199"/>
      <c r="E558" s="145"/>
      <c r="F558" s="61"/>
      <c r="G558" s="206"/>
      <c r="H558" s="74"/>
      <c r="I558" s="183"/>
      <c r="J558" s="175"/>
      <c r="K558" s="197"/>
      <c r="L558" s="194"/>
      <c r="N558" s="188">
        <f t="shared" si="51"/>
        <v>0</v>
      </c>
      <c r="O558" s="189">
        <v>7.0000000000000007E-2</v>
      </c>
      <c r="P558" s="170">
        <f t="shared" si="52"/>
        <v>0</v>
      </c>
    </row>
    <row r="559" spans="1:16">
      <c r="A559" s="157"/>
      <c r="B559" s="239"/>
      <c r="C559" s="222"/>
      <c r="D559" s="3464"/>
      <c r="E559" s="145"/>
      <c r="F559" s="61"/>
      <c r="G559" s="223"/>
      <c r="H559" s="224"/>
      <c r="I559" s="225"/>
      <c r="J559" s="209"/>
      <c r="K559" s="244"/>
      <c r="M559" s="188">
        <v>14244.12</v>
      </c>
      <c r="N559" s="188">
        <f t="shared" si="51"/>
        <v>13816.796400000001</v>
      </c>
      <c r="O559" s="189">
        <v>7.0000000000000007E-2</v>
      </c>
      <c r="P559" s="170">
        <f t="shared" si="52"/>
        <v>14783.972148000001</v>
      </c>
    </row>
    <row r="560" spans="1:16">
      <c r="A560" s="157"/>
      <c r="B560" s="162"/>
      <c r="C560" s="63"/>
      <c r="D560" s="199"/>
      <c r="E560" s="145"/>
      <c r="F560" s="61"/>
      <c r="G560" s="206"/>
      <c r="H560" s="74"/>
      <c r="I560" s="183"/>
      <c r="J560" s="175"/>
      <c r="K560" s="197"/>
      <c r="L560" s="194"/>
      <c r="M560" s="188">
        <v>3240</v>
      </c>
      <c r="N560" s="188">
        <f t="shared" si="51"/>
        <v>3142.8</v>
      </c>
      <c r="O560" s="189">
        <v>7.0000000000000007E-2</v>
      </c>
      <c r="P560" s="170">
        <f t="shared" si="52"/>
        <v>3362.7960000000003</v>
      </c>
    </row>
    <row r="561" spans="1:16">
      <c r="A561" s="157"/>
      <c r="B561" s="162"/>
      <c r="C561" s="63"/>
      <c r="D561" s="199"/>
      <c r="E561" s="145"/>
      <c r="F561" s="61"/>
      <c r="G561" s="206"/>
      <c r="H561" s="74"/>
      <c r="I561" s="183"/>
      <c r="J561" s="175"/>
      <c r="K561" s="197"/>
      <c r="L561" s="194"/>
      <c r="M561" s="188">
        <v>14700</v>
      </c>
      <c r="N561" s="188">
        <f t="shared" si="51"/>
        <v>14259</v>
      </c>
      <c r="O561" s="189">
        <v>7.0000000000000007E-2</v>
      </c>
      <c r="P561" s="170">
        <f t="shared" si="52"/>
        <v>15257.130000000001</v>
      </c>
    </row>
    <row r="562" spans="1:16">
      <c r="A562" s="157"/>
      <c r="B562" s="162"/>
      <c r="C562" s="222"/>
      <c r="D562" s="3464"/>
      <c r="E562" s="237"/>
      <c r="F562" s="238"/>
      <c r="G562" s="223"/>
      <c r="H562" s="224"/>
      <c r="I562" s="225"/>
      <c r="J562" s="209"/>
      <c r="K562" s="226"/>
      <c r="L562" s="229"/>
      <c r="M562" s="188">
        <v>14582.7</v>
      </c>
      <c r="N562" s="188">
        <f t="shared" si="51"/>
        <v>14145.219000000001</v>
      </c>
      <c r="O562" s="189">
        <v>7.0000000000000007E-2</v>
      </c>
      <c r="P562" s="170">
        <f t="shared" si="52"/>
        <v>15135.384330000001</v>
      </c>
    </row>
    <row r="563" spans="1:16">
      <c r="A563" s="157"/>
      <c r="B563" s="162"/>
      <c r="C563" s="63"/>
      <c r="D563" s="199"/>
      <c r="E563" s="145"/>
      <c r="F563" s="61"/>
      <c r="G563" s="206"/>
      <c r="H563" s="74"/>
      <c r="I563" s="183"/>
      <c r="J563" s="175"/>
      <c r="K563" s="197"/>
      <c r="L563" s="229"/>
      <c r="M563" s="188">
        <v>13483.8</v>
      </c>
      <c r="N563" s="188">
        <f t="shared" si="51"/>
        <v>13079.286</v>
      </c>
      <c r="O563" s="189">
        <v>7.0000000000000007E-2</v>
      </c>
      <c r="P563" s="170">
        <f t="shared" si="52"/>
        <v>13994.836020000001</v>
      </c>
    </row>
    <row r="564" spans="1:16">
      <c r="A564" s="157"/>
      <c r="B564" s="154"/>
      <c r="C564" s="222"/>
      <c r="D564" s="3464"/>
      <c r="E564" s="145"/>
      <c r="F564" s="61"/>
      <c r="G564" s="223"/>
      <c r="H564" s="224"/>
      <c r="I564" s="225"/>
      <c r="J564" s="209"/>
      <c r="K564" s="226"/>
      <c r="L564" s="229"/>
      <c r="M564" s="188">
        <v>2669.52</v>
      </c>
      <c r="N564" s="188">
        <f t="shared" si="51"/>
        <v>2589.4344000000001</v>
      </c>
      <c r="O564" s="189">
        <v>7.0000000000000007E-2</v>
      </c>
      <c r="P564" s="170">
        <f t="shared" si="52"/>
        <v>2770.6948080000002</v>
      </c>
    </row>
    <row r="565" spans="1:16">
      <c r="A565" s="157"/>
      <c r="B565" s="154"/>
      <c r="C565" s="222"/>
      <c r="D565" s="3464"/>
      <c r="E565" s="145"/>
      <c r="F565" s="61"/>
      <c r="G565" s="223"/>
      <c r="H565" s="224"/>
      <c r="I565" s="225"/>
      <c r="J565" s="209"/>
      <c r="K565" s="226"/>
      <c r="L565" s="229"/>
      <c r="N565" s="188">
        <f t="shared" si="51"/>
        <v>0</v>
      </c>
      <c r="O565" s="189">
        <v>7.0000000000000007E-2</v>
      </c>
      <c r="P565" s="170">
        <f t="shared" si="52"/>
        <v>0</v>
      </c>
    </row>
    <row r="566" spans="1:16">
      <c r="A566" s="221"/>
      <c r="B566" s="240"/>
      <c r="C566" s="222"/>
      <c r="D566" s="3464"/>
      <c r="E566" s="145"/>
      <c r="F566" s="61"/>
      <c r="G566" s="223"/>
      <c r="H566" s="224"/>
      <c r="I566" s="225"/>
      <c r="J566" s="209"/>
      <c r="K566" s="226"/>
      <c r="L566" s="229"/>
      <c r="M566" s="188">
        <v>12972.96</v>
      </c>
      <c r="N566" s="188">
        <f t="shared" si="51"/>
        <v>12583.771199999999</v>
      </c>
      <c r="O566" s="189">
        <v>7.0000000000000007E-2</v>
      </c>
      <c r="P566" s="170">
        <f t="shared" si="52"/>
        <v>13464.635183999999</v>
      </c>
    </row>
    <row r="567" spans="1:16">
      <c r="A567" s="157"/>
      <c r="B567" s="154"/>
      <c r="C567" s="63"/>
      <c r="D567" s="199"/>
      <c r="E567" s="145"/>
      <c r="F567" s="61"/>
      <c r="G567" s="206"/>
      <c r="H567" s="74"/>
      <c r="I567" s="183"/>
      <c r="J567" s="209"/>
      <c r="K567" s="197"/>
      <c r="L567" s="229"/>
      <c r="M567" s="188">
        <v>12687.84</v>
      </c>
      <c r="N567" s="188">
        <f t="shared" si="51"/>
        <v>12307.2048</v>
      </c>
      <c r="O567" s="189">
        <v>7.0000000000000007E-2</v>
      </c>
      <c r="P567" s="170">
        <f t="shared" si="52"/>
        <v>13168.709135999999</v>
      </c>
    </row>
    <row r="568" spans="1:16">
      <c r="A568" s="157"/>
      <c r="B568" s="154"/>
      <c r="C568" s="63"/>
      <c r="D568" s="199"/>
      <c r="E568" s="145"/>
      <c r="F568" s="61"/>
      <c r="G568" s="206"/>
      <c r="H568" s="74"/>
      <c r="I568" s="183"/>
      <c r="J568" s="175"/>
      <c r="K568" s="197"/>
      <c r="L568" s="194"/>
      <c r="M568" s="188">
        <v>16572.599999999999</v>
      </c>
      <c r="N568" s="188">
        <f t="shared" si="51"/>
        <v>16075.421999999999</v>
      </c>
      <c r="O568" s="189">
        <v>7.0000000000000007E-2</v>
      </c>
      <c r="P568" s="170">
        <f t="shared" si="52"/>
        <v>17200.701539999998</v>
      </c>
    </row>
    <row r="569" spans="1:16">
      <c r="A569" s="157"/>
      <c r="B569" s="154"/>
      <c r="C569" s="63"/>
      <c r="D569" s="199"/>
      <c r="E569" s="90"/>
      <c r="F569" s="61"/>
      <c r="G569" s="206"/>
      <c r="H569" s="74"/>
      <c r="I569" s="203"/>
      <c r="J569" s="175"/>
      <c r="K569" s="197"/>
      <c r="L569" s="194"/>
      <c r="M569" s="188">
        <v>6021.12</v>
      </c>
      <c r="N569" s="188">
        <f>M569-(M569*0.03)</f>
        <v>5840.4863999999998</v>
      </c>
      <c r="O569" s="189">
        <v>7.0000000000000007E-2</v>
      </c>
      <c r="P569" s="170">
        <f>(N569*O569)+N569</f>
        <v>6249.3204479999995</v>
      </c>
    </row>
    <row r="570" spans="1:16">
      <c r="A570" s="157"/>
      <c r="B570" s="154"/>
      <c r="C570" s="63"/>
      <c r="D570" s="199"/>
      <c r="E570" s="90"/>
      <c r="F570" s="61"/>
      <c r="G570" s="206"/>
      <c r="H570" s="74"/>
      <c r="I570" s="183"/>
      <c r="J570" s="175"/>
      <c r="K570" s="197"/>
      <c r="L570" s="194"/>
      <c r="M570" s="188">
        <v>8714.16</v>
      </c>
      <c r="N570" s="188">
        <f>M570-(M570*0.03)</f>
        <v>8452.7351999999992</v>
      </c>
      <c r="O570" s="189">
        <v>7.0000000000000007E-2</v>
      </c>
      <c r="P570" s="170">
        <f>(N570*O570)+N570</f>
        <v>9044.4266639999987</v>
      </c>
    </row>
    <row r="571" spans="1:16">
      <c r="A571" s="157"/>
      <c r="B571" s="154"/>
      <c r="C571" s="63"/>
      <c r="D571" s="199"/>
      <c r="E571" s="90"/>
      <c r="F571" s="61"/>
      <c r="G571" s="206"/>
      <c r="H571" s="74"/>
      <c r="I571" s="183"/>
      <c r="J571" s="175"/>
      <c r="K571" s="197"/>
      <c r="L571" s="194"/>
      <c r="M571" s="188">
        <v>0</v>
      </c>
      <c r="N571" s="188">
        <f>M571-(M571*0.03)</f>
        <v>0</v>
      </c>
      <c r="O571" s="189">
        <v>7.0000000000000007E-2</v>
      </c>
      <c r="P571" s="170">
        <f t="shared" ref="P571:P577" si="53">(N571*O571)+N571</f>
        <v>0</v>
      </c>
    </row>
    <row r="572" spans="1:16">
      <c r="A572" s="157"/>
      <c r="B572" s="154"/>
      <c r="C572" s="63"/>
      <c r="D572" s="199"/>
      <c r="E572" s="90"/>
      <c r="F572" s="61"/>
      <c r="G572" s="206"/>
      <c r="H572" s="74"/>
      <c r="I572" s="183"/>
      <c r="J572" s="175"/>
      <c r="K572" s="197"/>
      <c r="L572" s="194"/>
      <c r="M572" s="188">
        <v>18537.7</v>
      </c>
      <c r="N572" s="188">
        <f>M572-(M572*0.03)</f>
        <v>17981.569</v>
      </c>
      <c r="O572" s="189">
        <v>7.0000000000000007E-2</v>
      </c>
      <c r="P572" s="170">
        <f t="shared" si="53"/>
        <v>19240.278829999999</v>
      </c>
    </row>
    <row r="573" spans="1:16">
      <c r="A573" s="158"/>
      <c r="B573" s="154"/>
      <c r="C573" s="63"/>
      <c r="D573" s="199"/>
      <c r="E573" s="91"/>
      <c r="F573" s="61"/>
      <c r="G573" s="206"/>
      <c r="H573" s="74"/>
      <c r="I573" s="183"/>
      <c r="J573" s="175"/>
      <c r="K573" s="197"/>
      <c r="L573" s="194"/>
      <c r="M573" s="188">
        <v>9031.68</v>
      </c>
      <c r="N573" s="188">
        <f t="shared" ref="N573:N583" si="54">M573-(M573*0.03)</f>
        <v>8760.7296000000006</v>
      </c>
      <c r="O573" s="189">
        <v>7.0000000000000007E-2</v>
      </c>
      <c r="P573" s="170">
        <f t="shared" si="53"/>
        <v>9373.9806720000015</v>
      </c>
    </row>
    <row r="574" spans="1:16">
      <c r="A574" s="200"/>
      <c r="B574" s="154"/>
      <c r="C574" s="63"/>
      <c r="D574" s="199"/>
      <c r="E574" s="153"/>
      <c r="F574" s="61"/>
      <c r="G574" s="206"/>
      <c r="H574" s="88"/>
      <c r="I574" s="184"/>
      <c r="J574" s="201"/>
      <c r="K574" s="202"/>
      <c r="L574" s="194"/>
      <c r="N574" s="188">
        <f t="shared" si="54"/>
        <v>0</v>
      </c>
      <c r="O574" s="189">
        <v>7.0000000000000007E-2</v>
      </c>
      <c r="P574" s="170">
        <f t="shared" si="53"/>
        <v>0</v>
      </c>
    </row>
    <row r="575" spans="1:16">
      <c r="A575" s="157"/>
      <c r="B575" s="154"/>
      <c r="C575" s="63"/>
      <c r="D575" s="199"/>
      <c r="E575" s="198"/>
      <c r="F575" s="61"/>
      <c r="G575" s="206"/>
      <c r="H575" s="74"/>
      <c r="I575" s="183"/>
      <c r="J575" s="175"/>
      <c r="K575" s="197"/>
      <c r="L575" s="194"/>
      <c r="M575" s="188">
        <v>8478.9599999999991</v>
      </c>
      <c r="N575" s="188">
        <f t="shared" si="54"/>
        <v>8224.5911999999989</v>
      </c>
      <c r="O575" s="189">
        <v>7.0000000000000007E-2</v>
      </c>
      <c r="P575" s="170">
        <f t="shared" si="53"/>
        <v>8800.3125839999993</v>
      </c>
    </row>
    <row r="576" spans="1:16">
      <c r="A576" s="157"/>
      <c r="B576" s="154"/>
      <c r="C576" s="63"/>
      <c r="D576" s="199"/>
      <c r="E576" s="142"/>
      <c r="F576" s="61"/>
      <c r="G576" s="206"/>
      <c r="H576" s="74"/>
      <c r="I576" s="183"/>
      <c r="J576" s="175"/>
      <c r="K576" s="197"/>
      <c r="L576" s="194"/>
      <c r="M576" s="188">
        <v>11122.62</v>
      </c>
      <c r="N576" s="188">
        <f t="shared" si="54"/>
        <v>10788.941400000002</v>
      </c>
      <c r="O576" s="189">
        <v>7.0000000000000007E-2</v>
      </c>
      <c r="P576" s="170">
        <f t="shared" si="53"/>
        <v>11544.167298000002</v>
      </c>
    </row>
    <row r="577" spans="1:16">
      <c r="A577" s="157"/>
      <c r="B577" s="154"/>
      <c r="C577" s="63"/>
      <c r="D577" s="196"/>
      <c r="E577" s="120"/>
      <c r="F577" s="121"/>
      <c r="G577" s="206"/>
      <c r="H577" s="115"/>
      <c r="I577" s="185"/>
      <c r="J577" s="175"/>
      <c r="K577" s="197"/>
      <c r="L577" s="194"/>
      <c r="M577" s="188">
        <v>3813.12</v>
      </c>
      <c r="N577" s="188">
        <f t="shared" si="54"/>
        <v>3698.7264</v>
      </c>
      <c r="O577" s="189">
        <v>7.0000000000000007E-2</v>
      </c>
      <c r="P577" s="170">
        <f t="shared" si="53"/>
        <v>3957.637248</v>
      </c>
    </row>
    <row r="578" spans="1:16">
      <c r="A578" s="157"/>
      <c r="B578" s="154"/>
      <c r="C578" s="63"/>
      <c r="D578" s="196"/>
      <c r="E578" s="249"/>
      <c r="F578" s="121"/>
      <c r="G578" s="206"/>
      <c r="H578" s="115"/>
      <c r="I578" s="185"/>
      <c r="J578" s="175"/>
      <c r="K578" s="197"/>
      <c r="L578" s="194"/>
    </row>
    <row r="579" spans="1:16">
      <c r="A579" s="157"/>
      <c r="B579" s="154"/>
      <c r="C579" s="63"/>
      <c r="D579" s="196"/>
      <c r="E579" s="249"/>
      <c r="F579" s="121"/>
      <c r="G579" s="206"/>
      <c r="H579" s="115"/>
      <c r="I579" s="185"/>
      <c r="J579" s="175"/>
      <c r="K579" s="197"/>
      <c r="L579" s="194"/>
    </row>
    <row r="580" spans="1:16">
      <c r="A580" s="157"/>
      <c r="B580" s="154"/>
      <c r="C580" s="63"/>
      <c r="D580" s="196"/>
      <c r="E580" s="249"/>
      <c r="F580" s="121"/>
      <c r="G580" s="206"/>
      <c r="H580" s="115"/>
      <c r="I580" s="185"/>
      <c r="J580" s="175"/>
      <c r="K580" s="197"/>
      <c r="L580" s="194"/>
    </row>
    <row r="581" spans="1:16">
      <c r="A581" s="157"/>
      <c r="B581" s="154"/>
      <c r="C581" s="63"/>
      <c r="D581" s="196"/>
      <c r="E581" s="142"/>
      <c r="F581" s="61"/>
      <c r="G581" s="206"/>
      <c r="H581" s="74"/>
      <c r="I581" s="183"/>
      <c r="J581" s="175"/>
      <c r="K581" s="197"/>
      <c r="L581" s="194"/>
    </row>
    <row r="582" spans="1:16">
      <c r="A582" s="157"/>
      <c r="B582" s="154"/>
      <c r="C582" s="63"/>
      <c r="D582" s="196"/>
      <c r="E582" s="142"/>
      <c r="F582" s="61"/>
      <c r="G582" s="206"/>
      <c r="H582" s="74"/>
      <c r="I582" s="183"/>
      <c r="J582" s="175"/>
      <c r="K582" s="197"/>
      <c r="L582" s="194"/>
    </row>
    <row r="583" spans="1:16">
      <c r="A583" s="157"/>
      <c r="B583" s="161"/>
      <c r="C583" s="63"/>
      <c r="D583" s="196"/>
      <c r="E583" s="142"/>
      <c r="F583" s="61"/>
      <c r="G583" s="206"/>
      <c r="H583" s="74"/>
      <c r="I583" s="183"/>
      <c r="J583" s="175"/>
      <c r="K583" s="197"/>
      <c r="L583" s="194"/>
      <c r="M583" s="188">
        <v>8640</v>
      </c>
      <c r="N583" s="188">
        <f t="shared" si="54"/>
        <v>8380.7999999999993</v>
      </c>
      <c r="O583" s="189">
        <v>7.0000000000000007E-2</v>
      </c>
      <c r="P583" s="170">
        <f>(N583*O583)+N583</f>
        <v>8967.4559999999983</v>
      </c>
    </row>
    <row r="584" spans="1:16">
      <c r="A584" s="157"/>
      <c r="B584" s="161"/>
      <c r="C584" s="63"/>
      <c r="D584" s="196"/>
      <c r="E584" s="142"/>
      <c r="F584" s="61"/>
      <c r="G584" s="206"/>
      <c r="H584" s="74"/>
      <c r="I584" s="183"/>
      <c r="J584" s="175"/>
      <c r="K584" s="197"/>
      <c r="L584" s="194"/>
    </row>
    <row r="585" spans="1:16">
      <c r="A585" s="157"/>
      <c r="B585" s="161"/>
      <c r="C585" s="63"/>
      <c r="D585" s="196"/>
      <c r="E585" s="142"/>
      <c r="F585" s="61"/>
      <c r="G585" s="206"/>
      <c r="H585" s="74"/>
      <c r="I585" s="183"/>
      <c r="J585" s="175"/>
      <c r="K585" s="197"/>
      <c r="L585" s="194"/>
    </row>
    <row r="586" spans="1:16">
      <c r="A586" s="160"/>
      <c r="B586" s="154"/>
      <c r="C586" s="63"/>
      <c r="D586" s="196"/>
      <c r="E586" s="120"/>
      <c r="F586" s="121"/>
      <c r="G586" s="206"/>
      <c r="H586" s="115"/>
      <c r="I586" s="185"/>
      <c r="J586" s="174"/>
      <c r="K586" s="195"/>
      <c r="L586" s="194"/>
    </row>
    <row r="587" spans="1:16">
      <c r="F587" s="68"/>
    </row>
    <row r="588" spans="1:16">
      <c r="F588" s="68"/>
    </row>
    <row r="589" spans="1:16">
      <c r="A589" s="44" t="s">
        <v>0</v>
      </c>
      <c r="B589" s="127"/>
      <c r="C589" s="104"/>
      <c r="F589" s="68"/>
      <c r="I589" s="179"/>
      <c r="K589" s="163"/>
      <c r="L589" s="168"/>
    </row>
    <row r="590" spans="1:16">
      <c r="A590" s="3480" t="s">
        <v>2512</v>
      </c>
      <c r="B590" s="3480"/>
      <c r="C590" s="44"/>
      <c r="D590" s="109"/>
      <c r="F590" s="68"/>
      <c r="I590" s="179"/>
      <c r="K590" s="163"/>
      <c r="L590" s="168"/>
    </row>
    <row r="591" spans="1:16" ht="35.25" thickBot="1">
      <c r="F591" s="68"/>
    </row>
    <row r="592" spans="1:16">
      <c r="A592" s="3493" t="s">
        <v>2</v>
      </c>
      <c r="B592" s="3482"/>
      <c r="C592" s="48" t="s">
        <v>3</v>
      </c>
      <c r="D592" s="128" t="s">
        <v>4</v>
      </c>
      <c r="E592" s="77" t="s">
        <v>5</v>
      </c>
      <c r="F592" s="78" t="s">
        <v>5</v>
      </c>
      <c r="G592" s="211" t="s">
        <v>6</v>
      </c>
      <c r="H592" s="140" t="s">
        <v>7</v>
      </c>
      <c r="I592" s="180" t="s">
        <v>1511</v>
      </c>
      <c r="J592" s="172" t="s">
        <v>9</v>
      </c>
      <c r="K592" s="186" t="s">
        <v>9</v>
      </c>
      <c r="L592" s="192" t="s">
        <v>2495</v>
      </c>
      <c r="M592" s="190"/>
    </row>
    <row r="593" spans="1:16" ht="35.25" thickBot="1">
      <c r="A593" s="155"/>
      <c r="B593" s="138"/>
      <c r="C593" s="50"/>
      <c r="D593" s="129" t="s">
        <v>10</v>
      </c>
      <c r="E593" s="79" t="s">
        <v>11</v>
      </c>
      <c r="F593" s="80" t="s">
        <v>12</v>
      </c>
      <c r="G593" s="212"/>
      <c r="H593" s="141" t="s">
        <v>13</v>
      </c>
      <c r="I593" s="181" t="s">
        <v>1512</v>
      </c>
      <c r="J593" s="173" t="s">
        <v>15</v>
      </c>
      <c r="K593" s="187" t="s">
        <v>14</v>
      </c>
      <c r="L593" s="193" t="s">
        <v>2496</v>
      </c>
      <c r="M593" s="190"/>
    </row>
    <row r="594" spans="1:16">
      <c r="A594" s="156"/>
      <c r="B594" s="154"/>
      <c r="C594" s="63"/>
      <c r="D594" s="199"/>
      <c r="E594" s="143"/>
      <c r="F594" s="69"/>
      <c r="G594" s="206"/>
      <c r="H594" s="74"/>
      <c r="I594" s="183"/>
      <c r="J594" s="175"/>
      <c r="K594" s="172"/>
      <c r="L594" s="194"/>
      <c r="M594" s="188">
        <v>3552</v>
      </c>
      <c r="N594" s="188">
        <f t="shared" ref="N594:N610" si="55">M594-(M594*0.03)</f>
        <v>3445.44</v>
      </c>
      <c r="O594" s="189">
        <v>7.0000000000000007E-2</v>
      </c>
      <c r="P594" s="170">
        <f t="shared" ref="P594:P610" si="56">(N594*O594)+N594</f>
        <v>3686.6208000000001</v>
      </c>
    </row>
    <row r="595" spans="1:16">
      <c r="A595" s="157"/>
      <c r="B595" s="154"/>
      <c r="C595" s="63"/>
      <c r="D595" s="199"/>
      <c r="E595" s="145"/>
      <c r="F595" s="61"/>
      <c r="G595" s="206"/>
      <c r="H595" s="74"/>
      <c r="I595" s="183"/>
      <c r="J595" s="175"/>
      <c r="K595" s="176"/>
      <c r="L595" s="194"/>
      <c r="N595" s="188">
        <f t="shared" si="55"/>
        <v>0</v>
      </c>
      <c r="O595" s="189">
        <v>7.0000000000000007E-2</v>
      </c>
      <c r="P595" s="170">
        <f t="shared" si="56"/>
        <v>0</v>
      </c>
    </row>
    <row r="596" spans="1:16">
      <c r="A596" s="157"/>
      <c r="B596" s="239"/>
      <c r="C596" s="63"/>
      <c r="D596" s="199"/>
      <c r="E596" s="145"/>
      <c r="F596" s="61"/>
      <c r="G596" s="206"/>
      <c r="H596" s="74"/>
      <c r="I596" s="183"/>
      <c r="J596" s="175"/>
      <c r="K596" s="245"/>
      <c r="L596" s="194"/>
      <c r="M596" s="188">
        <v>9498.06</v>
      </c>
      <c r="N596" s="188">
        <f t="shared" si="55"/>
        <v>9213.118199999999</v>
      </c>
      <c r="O596" s="189">
        <v>7.0000000000000007E-2</v>
      </c>
      <c r="P596" s="170">
        <f t="shared" si="56"/>
        <v>9858.0364739999986</v>
      </c>
    </row>
    <row r="597" spans="1:16">
      <c r="A597" s="157"/>
      <c r="B597" s="239"/>
      <c r="C597" s="63"/>
      <c r="D597" s="199"/>
      <c r="E597" s="145"/>
      <c r="F597" s="61"/>
      <c r="G597" s="206"/>
      <c r="H597" s="74"/>
      <c r="I597" s="183"/>
      <c r="J597" s="175"/>
      <c r="K597" s="197"/>
      <c r="L597" s="194"/>
      <c r="M597" s="188">
        <v>15305.4</v>
      </c>
      <c r="N597" s="188">
        <f t="shared" si="55"/>
        <v>14846.237999999999</v>
      </c>
      <c r="O597" s="189">
        <v>7.0000000000000007E-2</v>
      </c>
      <c r="P597" s="170">
        <f t="shared" si="56"/>
        <v>15885.47466</v>
      </c>
    </row>
    <row r="598" spans="1:16">
      <c r="A598" s="157"/>
      <c r="B598" s="154"/>
      <c r="C598" s="63"/>
      <c r="D598" s="199"/>
      <c r="E598" s="145"/>
      <c r="F598" s="61"/>
      <c r="G598" s="206"/>
      <c r="H598" s="74"/>
      <c r="I598" s="183"/>
      <c r="J598" s="175"/>
      <c r="K598" s="197"/>
      <c r="L598" s="194"/>
      <c r="N598" s="188">
        <f t="shared" si="55"/>
        <v>0</v>
      </c>
      <c r="O598" s="189">
        <v>7.0000000000000007E-2</v>
      </c>
      <c r="P598" s="170">
        <f t="shared" si="56"/>
        <v>0</v>
      </c>
    </row>
    <row r="599" spans="1:16">
      <c r="A599" s="157"/>
      <c r="B599" s="154"/>
      <c r="C599" s="63"/>
      <c r="D599" s="199"/>
      <c r="E599" s="145"/>
      <c r="F599" s="61"/>
      <c r="G599" s="206"/>
      <c r="H599" s="74"/>
      <c r="I599" s="183"/>
      <c r="J599" s="175"/>
      <c r="K599" s="197"/>
      <c r="L599" s="194"/>
      <c r="N599" s="188">
        <f t="shared" si="55"/>
        <v>0</v>
      </c>
      <c r="O599" s="189">
        <v>7.0000000000000007E-2</v>
      </c>
      <c r="P599" s="170">
        <f t="shared" si="56"/>
        <v>0</v>
      </c>
    </row>
    <row r="600" spans="1:16">
      <c r="A600" s="157"/>
      <c r="B600" s="154"/>
      <c r="C600" s="63"/>
      <c r="D600" s="199"/>
      <c r="E600" s="145"/>
      <c r="F600" s="61"/>
      <c r="G600" s="206"/>
      <c r="H600" s="74"/>
      <c r="I600" s="183"/>
      <c r="J600" s="175"/>
      <c r="K600" s="197"/>
      <c r="L600" s="194"/>
      <c r="N600" s="188">
        <f t="shared" si="55"/>
        <v>0</v>
      </c>
      <c r="O600" s="189">
        <v>7.0000000000000007E-2</v>
      </c>
      <c r="P600" s="170">
        <f t="shared" si="56"/>
        <v>0</v>
      </c>
    </row>
    <row r="601" spans="1:16">
      <c r="A601" s="157"/>
      <c r="B601" s="239"/>
      <c r="C601" s="222"/>
      <c r="D601" s="3464"/>
      <c r="E601" s="145"/>
      <c r="F601" s="61"/>
      <c r="G601" s="223"/>
      <c r="H601" s="224"/>
      <c r="I601" s="225"/>
      <c r="J601" s="209"/>
      <c r="K601" s="244"/>
      <c r="M601" s="188">
        <v>14244.12</v>
      </c>
      <c r="N601" s="188">
        <f t="shared" si="55"/>
        <v>13816.796400000001</v>
      </c>
      <c r="O601" s="189">
        <v>7.0000000000000007E-2</v>
      </c>
      <c r="P601" s="170">
        <f t="shared" si="56"/>
        <v>14783.972148000001</v>
      </c>
    </row>
    <row r="602" spans="1:16">
      <c r="A602" s="157"/>
      <c r="B602" s="162"/>
      <c r="C602" s="63"/>
      <c r="D602" s="199"/>
      <c r="E602" s="145"/>
      <c r="F602" s="61"/>
      <c r="G602" s="206"/>
      <c r="H602" s="74"/>
      <c r="I602" s="183"/>
      <c r="J602" s="175"/>
      <c r="K602" s="197"/>
      <c r="L602" s="194"/>
      <c r="M602" s="188">
        <v>3240</v>
      </c>
      <c r="N602" s="188">
        <f t="shared" si="55"/>
        <v>3142.8</v>
      </c>
      <c r="O602" s="189">
        <v>7.0000000000000007E-2</v>
      </c>
      <c r="P602" s="170">
        <f t="shared" si="56"/>
        <v>3362.7960000000003</v>
      </c>
    </row>
    <row r="603" spans="1:16">
      <c r="A603" s="157"/>
      <c r="B603" s="162"/>
      <c r="C603" s="63"/>
      <c r="D603" s="199"/>
      <c r="E603" s="145"/>
      <c r="F603" s="61"/>
      <c r="G603" s="206"/>
      <c r="H603" s="74"/>
      <c r="I603" s="183"/>
      <c r="J603" s="175"/>
      <c r="K603" s="197"/>
      <c r="L603" s="194"/>
      <c r="M603" s="188">
        <v>14700</v>
      </c>
      <c r="N603" s="188">
        <f t="shared" si="55"/>
        <v>14259</v>
      </c>
      <c r="O603" s="189">
        <v>7.0000000000000007E-2</v>
      </c>
      <c r="P603" s="170">
        <f t="shared" si="56"/>
        <v>15257.130000000001</v>
      </c>
    </row>
    <row r="604" spans="1:16">
      <c r="A604" s="157"/>
      <c r="B604" s="162"/>
      <c r="C604" s="222"/>
      <c r="D604" s="3464"/>
      <c r="E604" s="237"/>
      <c r="F604" s="238"/>
      <c r="G604" s="223"/>
      <c r="H604" s="224"/>
      <c r="I604" s="225"/>
      <c r="J604" s="209"/>
      <c r="K604" s="226"/>
      <c r="L604" s="229"/>
      <c r="M604" s="188">
        <v>14582.7</v>
      </c>
      <c r="N604" s="188">
        <f t="shared" si="55"/>
        <v>14145.219000000001</v>
      </c>
      <c r="O604" s="189">
        <v>7.0000000000000007E-2</v>
      </c>
      <c r="P604" s="170">
        <f t="shared" si="56"/>
        <v>15135.384330000001</v>
      </c>
    </row>
    <row r="605" spans="1:16">
      <c r="A605" s="157"/>
      <c r="B605" s="162"/>
      <c r="C605" s="63"/>
      <c r="D605" s="199"/>
      <c r="E605" s="145"/>
      <c r="F605" s="61"/>
      <c r="G605" s="206"/>
      <c r="H605" s="74"/>
      <c r="I605" s="183"/>
      <c r="J605" s="175"/>
      <c r="K605" s="197"/>
      <c r="L605" s="229"/>
      <c r="M605" s="188">
        <v>13483.8</v>
      </c>
      <c r="N605" s="188">
        <f t="shared" si="55"/>
        <v>13079.286</v>
      </c>
      <c r="O605" s="189">
        <v>7.0000000000000007E-2</v>
      </c>
      <c r="P605" s="170">
        <f t="shared" si="56"/>
        <v>13994.836020000001</v>
      </c>
    </row>
    <row r="606" spans="1:16">
      <c r="A606" s="157"/>
      <c r="B606" s="154"/>
      <c r="C606" s="222"/>
      <c r="D606" s="3464"/>
      <c r="E606" s="145"/>
      <c r="F606" s="61"/>
      <c r="G606" s="223"/>
      <c r="H606" s="224"/>
      <c r="I606" s="225"/>
      <c r="J606" s="209"/>
      <c r="K606" s="226"/>
      <c r="L606" s="229"/>
      <c r="M606" s="188">
        <v>2669.52</v>
      </c>
      <c r="N606" s="188">
        <f t="shared" si="55"/>
        <v>2589.4344000000001</v>
      </c>
      <c r="O606" s="189">
        <v>7.0000000000000007E-2</v>
      </c>
      <c r="P606" s="170">
        <f t="shared" si="56"/>
        <v>2770.6948080000002</v>
      </c>
    </row>
    <row r="607" spans="1:16">
      <c r="A607" s="157"/>
      <c r="B607" s="154"/>
      <c r="C607" s="222"/>
      <c r="D607" s="3464"/>
      <c r="E607" s="145"/>
      <c r="F607" s="61"/>
      <c r="G607" s="223"/>
      <c r="H607" s="224"/>
      <c r="I607" s="225"/>
      <c r="J607" s="209"/>
      <c r="K607" s="226"/>
      <c r="L607" s="229"/>
      <c r="N607" s="188">
        <f t="shared" si="55"/>
        <v>0</v>
      </c>
      <c r="O607" s="189">
        <v>7.0000000000000007E-2</v>
      </c>
      <c r="P607" s="170">
        <f t="shared" si="56"/>
        <v>0</v>
      </c>
    </row>
    <row r="608" spans="1:16">
      <c r="A608" s="221"/>
      <c r="B608" s="240"/>
      <c r="C608" s="222"/>
      <c r="D608" s="3464"/>
      <c r="E608" s="145"/>
      <c r="F608" s="61"/>
      <c r="G608" s="223"/>
      <c r="H608" s="224"/>
      <c r="I608" s="225"/>
      <c r="J608" s="209"/>
      <c r="K608" s="226"/>
      <c r="L608" s="229"/>
      <c r="M608" s="188">
        <v>12972.96</v>
      </c>
      <c r="N608" s="188">
        <f t="shared" si="55"/>
        <v>12583.771199999999</v>
      </c>
      <c r="O608" s="189">
        <v>7.0000000000000007E-2</v>
      </c>
      <c r="P608" s="170">
        <f t="shared" si="56"/>
        <v>13464.635183999999</v>
      </c>
    </row>
    <row r="609" spans="1:16">
      <c r="A609" s="157"/>
      <c r="B609" s="154"/>
      <c r="C609" s="63"/>
      <c r="D609" s="199"/>
      <c r="E609" s="145"/>
      <c r="F609" s="61"/>
      <c r="G609" s="206"/>
      <c r="H609" s="74"/>
      <c r="I609" s="183"/>
      <c r="J609" s="209"/>
      <c r="K609" s="197"/>
      <c r="L609" s="229"/>
      <c r="M609" s="188">
        <v>12687.84</v>
      </c>
      <c r="N609" s="188">
        <f t="shared" si="55"/>
        <v>12307.2048</v>
      </c>
      <c r="O609" s="189">
        <v>7.0000000000000007E-2</v>
      </c>
      <c r="P609" s="170">
        <f t="shared" si="56"/>
        <v>13168.709135999999</v>
      </c>
    </row>
    <row r="610" spans="1:16">
      <c r="A610" s="157"/>
      <c r="B610" s="154"/>
      <c r="C610" s="63"/>
      <c r="D610" s="199"/>
      <c r="E610" s="145"/>
      <c r="F610" s="61"/>
      <c r="G610" s="206"/>
      <c r="H610" s="74"/>
      <c r="I610" s="183"/>
      <c r="J610" s="175"/>
      <c r="K610" s="197"/>
      <c r="L610" s="194"/>
      <c r="M610" s="188">
        <v>16572.599999999999</v>
      </c>
      <c r="N610" s="188">
        <f t="shared" si="55"/>
        <v>16075.421999999999</v>
      </c>
      <c r="O610" s="189">
        <v>7.0000000000000007E-2</v>
      </c>
      <c r="P610" s="170">
        <f t="shared" si="56"/>
        <v>17200.701539999998</v>
      </c>
    </row>
    <row r="611" spans="1:16">
      <c r="A611" s="157"/>
      <c r="B611" s="154"/>
      <c r="C611" s="63"/>
      <c r="D611" s="199"/>
      <c r="E611" s="90"/>
      <c r="F611" s="61"/>
      <c r="G611" s="206"/>
      <c r="H611" s="74"/>
      <c r="I611" s="203"/>
      <c r="J611" s="175"/>
      <c r="K611" s="197"/>
      <c r="L611" s="194"/>
      <c r="M611" s="188">
        <v>6021.12</v>
      </c>
      <c r="N611" s="188">
        <f>M611-(M611*0.03)</f>
        <v>5840.4863999999998</v>
      </c>
      <c r="O611" s="189">
        <v>7.0000000000000007E-2</v>
      </c>
      <c r="P611" s="170">
        <f>(N611*O611)+N611</f>
        <v>6249.3204479999995</v>
      </c>
    </row>
    <row r="612" spans="1:16">
      <c r="A612" s="157"/>
      <c r="B612" s="154"/>
      <c r="C612" s="63"/>
      <c r="D612" s="199"/>
      <c r="E612" s="90"/>
      <c r="F612" s="61"/>
      <c r="G612" s="206"/>
      <c r="H612" s="74"/>
      <c r="I612" s="183"/>
      <c r="J612" s="175"/>
      <c r="K612" s="197"/>
      <c r="L612" s="194"/>
      <c r="M612" s="188">
        <v>8714.16</v>
      </c>
      <c r="N612" s="188">
        <f>M612-(M612*0.03)</f>
        <v>8452.7351999999992</v>
      </c>
      <c r="O612" s="189">
        <v>7.0000000000000007E-2</v>
      </c>
      <c r="P612" s="170">
        <f>(N612*O612)+N612</f>
        <v>9044.4266639999987</v>
      </c>
    </row>
    <row r="613" spans="1:16">
      <c r="A613" s="157"/>
      <c r="B613" s="154"/>
      <c r="C613" s="63"/>
      <c r="D613" s="199"/>
      <c r="E613" s="90"/>
      <c r="F613" s="61"/>
      <c r="G613" s="206"/>
      <c r="H613" s="74"/>
      <c r="I613" s="183"/>
      <c r="J613" s="175"/>
      <c r="K613" s="197"/>
      <c r="L613" s="194"/>
      <c r="M613" s="188">
        <v>0</v>
      </c>
      <c r="N613" s="188">
        <f>M613-(M613*0.03)</f>
        <v>0</v>
      </c>
      <c r="O613" s="189">
        <v>7.0000000000000007E-2</v>
      </c>
      <c r="P613" s="170">
        <f t="shared" ref="P613:P619" si="57">(N613*O613)+N613</f>
        <v>0</v>
      </c>
    </row>
    <row r="614" spans="1:16">
      <c r="A614" s="157"/>
      <c r="B614" s="154"/>
      <c r="C614" s="63"/>
      <c r="D614" s="199"/>
      <c r="E614" s="90"/>
      <c r="F614" s="61"/>
      <c r="G614" s="206"/>
      <c r="H614" s="74"/>
      <c r="I614" s="183"/>
      <c r="J614" s="175"/>
      <c r="K614" s="197"/>
      <c r="L614" s="194"/>
      <c r="M614" s="188">
        <v>18537.7</v>
      </c>
      <c r="N614" s="188">
        <f>M614-(M614*0.03)</f>
        <v>17981.569</v>
      </c>
      <c r="O614" s="189">
        <v>7.0000000000000007E-2</v>
      </c>
      <c r="P614" s="170">
        <f t="shared" si="57"/>
        <v>19240.278829999999</v>
      </c>
    </row>
    <row r="615" spans="1:16">
      <c r="A615" s="158"/>
      <c r="B615" s="154"/>
      <c r="C615" s="63"/>
      <c r="D615" s="199"/>
      <c r="E615" s="91"/>
      <c r="F615" s="61"/>
      <c r="G615" s="206"/>
      <c r="H615" s="74"/>
      <c r="I615" s="183"/>
      <c r="J615" s="175"/>
      <c r="K615" s="197"/>
      <c r="L615" s="194"/>
      <c r="M615" s="188">
        <v>9031.68</v>
      </c>
      <c r="N615" s="188">
        <f t="shared" ref="N615:N624" si="58">M615-(M615*0.03)</f>
        <v>8760.7296000000006</v>
      </c>
      <c r="O615" s="189">
        <v>7.0000000000000007E-2</v>
      </c>
      <c r="P615" s="170">
        <f t="shared" si="57"/>
        <v>9373.9806720000015</v>
      </c>
    </row>
    <row r="616" spans="1:16">
      <c r="A616" s="200"/>
      <c r="B616" s="154"/>
      <c r="C616" s="63"/>
      <c r="D616" s="199"/>
      <c r="E616" s="153"/>
      <c r="F616" s="61"/>
      <c r="G616" s="206"/>
      <c r="H616" s="88"/>
      <c r="I616" s="184"/>
      <c r="J616" s="201"/>
      <c r="K616" s="202"/>
      <c r="L616" s="194"/>
      <c r="N616" s="188">
        <f t="shared" si="58"/>
        <v>0</v>
      </c>
      <c r="O616" s="189">
        <v>7.0000000000000007E-2</v>
      </c>
      <c r="P616" s="170">
        <f t="shared" si="57"/>
        <v>0</v>
      </c>
    </row>
    <row r="617" spans="1:16">
      <c r="A617" s="157"/>
      <c r="B617" s="154"/>
      <c r="C617" s="63"/>
      <c r="D617" s="199"/>
      <c r="E617" s="198"/>
      <c r="F617" s="61"/>
      <c r="G617" s="206"/>
      <c r="H617" s="74"/>
      <c r="I617" s="183"/>
      <c r="J617" s="175"/>
      <c r="K617" s="197"/>
      <c r="L617" s="194"/>
      <c r="M617" s="188">
        <v>8478.9599999999991</v>
      </c>
      <c r="N617" s="188">
        <f t="shared" si="58"/>
        <v>8224.5911999999989</v>
      </c>
      <c r="O617" s="189">
        <v>7.0000000000000007E-2</v>
      </c>
      <c r="P617" s="170">
        <f t="shared" si="57"/>
        <v>8800.3125839999993</v>
      </c>
    </row>
    <row r="618" spans="1:16">
      <c r="A618" s="157"/>
      <c r="B618" s="154"/>
      <c r="C618" s="63"/>
      <c r="D618" s="199"/>
      <c r="E618" s="142"/>
      <c r="F618" s="61"/>
      <c r="G618" s="206"/>
      <c r="H618" s="74"/>
      <c r="I618" s="183"/>
      <c r="J618" s="175"/>
      <c r="K618" s="197"/>
      <c r="L618" s="194"/>
      <c r="M618" s="188">
        <v>11122.62</v>
      </c>
      <c r="N618" s="188">
        <f t="shared" si="58"/>
        <v>10788.941400000002</v>
      </c>
      <c r="O618" s="189">
        <v>7.0000000000000007E-2</v>
      </c>
      <c r="P618" s="170">
        <f t="shared" si="57"/>
        <v>11544.167298000002</v>
      </c>
    </row>
    <row r="619" spans="1:16">
      <c r="A619" s="157"/>
      <c r="B619" s="154"/>
      <c r="C619" s="63"/>
      <c r="D619" s="196"/>
      <c r="E619" s="120"/>
      <c r="F619" s="121"/>
      <c r="G619" s="206"/>
      <c r="H619" s="115"/>
      <c r="I619" s="185"/>
      <c r="J619" s="175"/>
      <c r="K619" s="197"/>
      <c r="L619" s="194"/>
      <c r="M619" s="188">
        <v>3813.12</v>
      </c>
      <c r="N619" s="188">
        <f t="shared" si="58"/>
        <v>3698.7264</v>
      </c>
      <c r="O619" s="189">
        <v>7.0000000000000007E-2</v>
      </c>
      <c r="P619" s="170">
        <f t="shared" si="57"/>
        <v>3957.637248</v>
      </c>
    </row>
    <row r="620" spans="1:16">
      <c r="A620" s="157"/>
      <c r="B620" s="154"/>
      <c r="C620" s="63"/>
      <c r="D620" s="196"/>
      <c r="E620" s="249"/>
      <c r="F620" s="121"/>
      <c r="G620" s="206"/>
      <c r="H620" s="115"/>
      <c r="I620" s="185"/>
      <c r="J620" s="175"/>
      <c r="K620" s="197"/>
      <c r="L620" s="194"/>
    </row>
    <row r="621" spans="1:16">
      <c r="A621" s="157"/>
      <c r="B621" s="154"/>
      <c r="C621" s="63"/>
      <c r="D621" s="196"/>
      <c r="E621" s="249"/>
      <c r="F621" s="121"/>
      <c r="G621" s="206"/>
      <c r="H621" s="115"/>
      <c r="I621" s="185"/>
      <c r="J621" s="175"/>
      <c r="K621" s="197"/>
      <c r="L621" s="194"/>
    </row>
    <row r="622" spans="1:16">
      <c r="A622" s="157"/>
      <c r="B622" s="154"/>
      <c r="C622" s="63"/>
      <c r="D622" s="196"/>
      <c r="E622" s="249"/>
      <c r="F622" s="121"/>
      <c r="G622" s="206"/>
      <c r="H622" s="115"/>
      <c r="I622" s="185"/>
      <c r="J622" s="175"/>
      <c r="K622" s="197"/>
      <c r="L622" s="194"/>
    </row>
    <row r="623" spans="1:16">
      <c r="A623" s="157"/>
      <c r="B623" s="154"/>
      <c r="C623" s="63"/>
      <c r="D623" s="196"/>
      <c r="E623" s="142"/>
      <c r="F623" s="61"/>
      <c r="G623" s="206"/>
      <c r="H623" s="74"/>
      <c r="I623" s="183"/>
      <c r="J623" s="175"/>
      <c r="K623" s="197"/>
      <c r="L623" s="194"/>
    </row>
    <row r="624" spans="1:16">
      <c r="A624" s="157"/>
      <c r="B624" s="161"/>
      <c r="C624" s="63"/>
      <c r="D624" s="196"/>
      <c r="E624" s="142"/>
      <c r="F624" s="61"/>
      <c r="G624" s="206"/>
      <c r="H624" s="74"/>
      <c r="I624" s="183"/>
      <c r="J624" s="175"/>
      <c r="K624" s="197"/>
      <c r="L624" s="194"/>
      <c r="M624" s="188">
        <v>8640</v>
      </c>
      <c r="N624" s="188">
        <f t="shared" si="58"/>
        <v>8380.7999999999993</v>
      </c>
      <c r="O624" s="189">
        <v>7.0000000000000007E-2</v>
      </c>
      <c r="P624" s="170">
        <f>(N624*O624)+N624</f>
        <v>8967.4559999999983</v>
      </c>
    </row>
    <row r="625" spans="1:13">
      <c r="A625" s="160"/>
      <c r="B625" s="154"/>
      <c r="C625" s="63"/>
      <c r="D625" s="196"/>
      <c r="E625" s="120"/>
      <c r="F625" s="121"/>
      <c r="G625" s="206"/>
      <c r="H625" s="115"/>
      <c r="I625" s="185"/>
      <c r="J625" s="174"/>
      <c r="K625" s="195"/>
      <c r="L625" s="194"/>
    </row>
    <row r="626" spans="1:13">
      <c r="A626" s="204"/>
      <c r="B626" s="3444"/>
      <c r="C626" s="3444"/>
      <c r="D626" s="3444"/>
      <c r="E626" s="3444"/>
      <c r="F626" s="3444"/>
      <c r="G626" s="213"/>
      <c r="H626" s="109"/>
      <c r="I626" s="3444"/>
      <c r="J626" s="234"/>
      <c r="K626" s="3444"/>
      <c r="L626" s="235"/>
      <c r="M626" s="3444"/>
    </row>
  </sheetData>
  <mergeCells count="30">
    <mergeCell ref="A89:B89"/>
    <mergeCell ref="A3:B3"/>
    <mergeCell ref="A5:B5"/>
    <mergeCell ref="A45:B45"/>
    <mergeCell ref="A47:B47"/>
    <mergeCell ref="A87:B87"/>
    <mergeCell ref="A340:B340"/>
    <mergeCell ref="A128:B128"/>
    <mergeCell ref="A130:B130"/>
    <mergeCell ref="A170:B170"/>
    <mergeCell ref="A172:B172"/>
    <mergeCell ref="A212:B212"/>
    <mergeCell ref="A214:B214"/>
    <mergeCell ref="A254:B254"/>
    <mergeCell ref="A256:B256"/>
    <mergeCell ref="A296:B296"/>
    <mergeCell ref="A298:B298"/>
    <mergeCell ref="A338:B338"/>
    <mergeCell ref="A592:B592"/>
    <mergeCell ref="A380:B380"/>
    <mergeCell ref="A382:B382"/>
    <mergeCell ref="A422:B422"/>
    <mergeCell ref="A424:B424"/>
    <mergeCell ref="A464:B464"/>
    <mergeCell ref="A466:B466"/>
    <mergeCell ref="A506:B506"/>
    <mergeCell ref="A508:B508"/>
    <mergeCell ref="A548:B548"/>
    <mergeCell ref="A550:B550"/>
    <mergeCell ref="A590:B590"/>
  </mergeCells>
  <phoneticPr fontId="6" type="noConversion"/>
  <pageMargins left="0.7" right="0.7" top="0.75" bottom="0.75" header="0.3" footer="0.3"/>
  <pageSetup paperSize="9" scale="51" orientation="portrait" r:id="rId1"/>
  <rowBreaks count="5" manualBreakCount="5">
    <brk id="42" max="16383" man="1"/>
    <brk id="84" max="16383" man="1"/>
    <brk id="126" max="16383" man="1"/>
    <brk id="209" max="16" man="1"/>
    <brk id="2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BCEF-678A-4C50-81E4-BDBE95931E7B}">
  <sheetPr>
    <tabColor indexed="11"/>
  </sheetPr>
  <dimension ref="A1:M637"/>
  <sheetViews>
    <sheetView view="pageBreakPreview" topLeftCell="A43" zoomScale="112" zoomScaleNormal="65" zoomScaleSheetLayoutView="112" workbookViewId="0">
      <selection activeCell="F49" sqref="F49"/>
    </sheetView>
  </sheetViews>
  <sheetFormatPr defaultColWidth="12.140625" defaultRowHeight="33" customHeight="1"/>
  <cols>
    <col min="1" max="1" width="1.140625" style="75" customWidth="1"/>
    <col min="2" max="2" width="29.7109375" style="125" customWidth="1"/>
    <col min="3" max="4" width="10.5703125" style="335" customWidth="1"/>
    <col min="5" max="5" width="13" style="102" customWidth="1"/>
    <col min="6" max="6" width="12.85546875" style="863" customWidth="1"/>
    <col min="7" max="7" width="12.85546875" style="302" customWidth="1"/>
    <col min="8" max="8" width="13.28515625" style="335" customWidth="1"/>
    <col min="9" max="9" width="18.7109375" style="497" customWidth="1"/>
    <col min="10" max="10" width="13" style="545" customWidth="1"/>
    <col min="11" max="11" width="13" style="366" customWidth="1"/>
    <col min="12" max="12" width="21.140625" style="366" customWidth="1"/>
    <col min="13" max="13" width="17.5703125" style="76" customWidth="1"/>
    <col min="14" max="16384" width="12.140625" style="76"/>
  </cols>
  <sheetData>
    <row r="1" spans="1:12" ht="33" customHeight="1">
      <c r="F1" s="104"/>
    </row>
    <row r="2" spans="1:12" s="305" customFormat="1" ht="33" customHeight="1">
      <c r="A2" s="303" t="s">
        <v>0</v>
      </c>
      <c r="B2" s="304"/>
      <c r="C2" s="167"/>
      <c r="D2" s="335"/>
      <c r="E2" s="614"/>
      <c r="F2" s="848"/>
      <c r="G2" s="306"/>
      <c r="H2" s="335"/>
      <c r="I2" s="497"/>
      <c r="J2" s="698"/>
      <c r="K2" s="366"/>
      <c r="L2" s="373"/>
    </row>
    <row r="3" spans="1:12" s="305" customFormat="1" ht="33" customHeight="1">
      <c r="A3" s="632" t="s">
        <v>2586</v>
      </c>
      <c r="B3" s="633" t="s">
        <v>2587</v>
      </c>
      <c r="C3" s="634"/>
      <c r="D3" s="634"/>
      <c r="E3" s="614"/>
      <c r="F3" s="848"/>
      <c r="G3" s="306"/>
      <c r="H3" s="335"/>
      <c r="I3" s="497"/>
      <c r="J3" s="698"/>
      <c r="K3" s="366"/>
      <c r="L3" s="373"/>
    </row>
    <row r="4" spans="1:12" ht="33" customHeight="1" thickBot="1">
      <c r="F4" s="104"/>
    </row>
    <row r="5" spans="1:12" ht="33" customHeight="1">
      <c r="A5" s="3481" t="s">
        <v>2</v>
      </c>
      <c r="B5" s="3482"/>
      <c r="C5" s="344" t="s">
        <v>3</v>
      </c>
      <c r="D5" s="408" t="s">
        <v>4</v>
      </c>
      <c r="E5" s="828" t="s">
        <v>5</v>
      </c>
      <c r="F5" s="849" t="s">
        <v>5</v>
      </c>
      <c r="G5" s="434" t="s">
        <v>6</v>
      </c>
      <c r="H5" s="336" t="s">
        <v>7</v>
      </c>
      <c r="I5" s="507" t="s">
        <v>1511</v>
      </c>
      <c r="J5" s="699" t="s">
        <v>9</v>
      </c>
      <c r="K5" s="346" t="s">
        <v>9</v>
      </c>
      <c r="L5" s="177"/>
    </row>
    <row r="6" spans="1:12" ht="33" customHeight="1" thickBot="1">
      <c r="A6" s="51"/>
      <c r="B6" s="138"/>
      <c r="C6" s="345"/>
      <c r="D6" s="409" t="s">
        <v>10</v>
      </c>
      <c r="E6" s="829" t="s">
        <v>11</v>
      </c>
      <c r="F6" s="850" t="s">
        <v>12</v>
      </c>
      <c r="G6" s="435"/>
      <c r="H6" s="337" t="s">
        <v>13</v>
      </c>
      <c r="I6" s="508" t="s">
        <v>1512</v>
      </c>
      <c r="J6" s="700" t="s">
        <v>14</v>
      </c>
      <c r="K6" s="347" t="s">
        <v>15</v>
      </c>
      <c r="L6" s="177"/>
    </row>
    <row r="7" spans="1:12" ht="33" customHeight="1">
      <c r="A7" s="325" t="s">
        <v>2588</v>
      </c>
      <c r="B7" s="326"/>
      <c r="C7" s="117"/>
      <c r="D7" s="412"/>
      <c r="E7" s="833"/>
      <c r="F7" s="855"/>
      <c r="G7" s="310"/>
      <c r="H7" s="207"/>
      <c r="I7" s="431"/>
      <c r="J7" s="704"/>
      <c r="K7" s="365"/>
    </row>
    <row r="8" spans="1:12" ht="33" customHeight="1">
      <c r="A8" s="1578" t="s">
        <v>2589</v>
      </c>
      <c r="B8" s="1582"/>
      <c r="C8" s="207"/>
      <c r="D8" s="413" t="s">
        <v>2590</v>
      </c>
      <c r="E8" s="728"/>
      <c r="F8" s="767"/>
      <c r="G8" s="248"/>
      <c r="H8" s="207"/>
      <c r="I8" s="431"/>
      <c r="J8" s="586"/>
      <c r="K8" s="365"/>
      <c r="L8" s="380"/>
    </row>
    <row r="9" spans="1:12" ht="33" customHeight="1">
      <c r="A9" s="83"/>
      <c r="B9" s="43" t="s">
        <v>2591</v>
      </c>
      <c r="C9" s="207" t="s">
        <v>2592</v>
      </c>
      <c r="D9" s="322" t="s">
        <v>70</v>
      </c>
      <c r="E9" s="728">
        <v>20</v>
      </c>
      <c r="F9" s="767" t="s">
        <v>109</v>
      </c>
      <c r="G9" s="318" t="s">
        <v>2593</v>
      </c>
      <c r="H9" s="117"/>
      <c r="I9" s="432" t="s">
        <v>2594</v>
      </c>
      <c r="J9" s="2237" t="s">
        <v>2595</v>
      </c>
      <c r="K9" s="2330">
        <v>17.579999999999998</v>
      </c>
      <c r="L9" s="380"/>
    </row>
    <row r="10" spans="1:12" ht="33" customHeight="1">
      <c r="A10" s="83"/>
      <c r="B10" s="43" t="s">
        <v>2591</v>
      </c>
      <c r="C10" s="207" t="s">
        <v>2390</v>
      </c>
      <c r="D10" s="322" t="s">
        <v>18</v>
      </c>
      <c r="E10" s="728">
        <v>42</v>
      </c>
      <c r="F10" s="767" t="s">
        <v>2596</v>
      </c>
      <c r="G10" s="318" t="s">
        <v>2593</v>
      </c>
      <c r="H10" s="117"/>
      <c r="I10" s="432" t="s">
        <v>2597</v>
      </c>
      <c r="J10" s="2237" t="s">
        <v>2598</v>
      </c>
      <c r="K10" s="370">
        <v>36.06</v>
      </c>
      <c r="L10" s="380"/>
    </row>
    <row r="11" spans="1:12" ht="33" customHeight="1">
      <c r="A11" s="83"/>
      <c r="B11" s="43" t="s">
        <v>2591</v>
      </c>
      <c r="C11" s="207" t="s">
        <v>276</v>
      </c>
      <c r="D11" s="322" t="s">
        <v>23</v>
      </c>
      <c r="E11" s="728">
        <v>85</v>
      </c>
      <c r="F11" s="767" t="s">
        <v>2599</v>
      </c>
      <c r="G11" s="318" t="s">
        <v>2593</v>
      </c>
      <c r="H11" s="207"/>
      <c r="I11" s="432" t="s">
        <v>2600</v>
      </c>
      <c r="J11" s="789" t="s">
        <v>2601</v>
      </c>
      <c r="K11" s="2331">
        <v>73.510000000000005</v>
      </c>
      <c r="L11" s="380"/>
    </row>
    <row r="12" spans="1:12" ht="33" customHeight="1">
      <c r="A12" s="83"/>
      <c r="B12" s="43" t="s">
        <v>2591</v>
      </c>
      <c r="C12" s="207" t="s">
        <v>2602</v>
      </c>
      <c r="D12" s="322" t="s">
        <v>23</v>
      </c>
      <c r="E12" s="728">
        <v>115</v>
      </c>
      <c r="F12" s="767" t="s">
        <v>2603</v>
      </c>
      <c r="G12" s="318" t="s">
        <v>2593</v>
      </c>
      <c r="H12" s="207">
        <v>964</v>
      </c>
      <c r="I12" s="665" t="s">
        <v>2604</v>
      </c>
      <c r="J12" s="789" t="s">
        <v>2605</v>
      </c>
      <c r="K12" s="734">
        <v>102.68</v>
      </c>
      <c r="L12" s="380"/>
    </row>
    <row r="13" spans="1:12" ht="33" customHeight="1">
      <c r="A13" s="83"/>
      <c r="B13" s="43" t="s">
        <v>2606</v>
      </c>
      <c r="C13" s="207" t="s">
        <v>2607</v>
      </c>
      <c r="D13" s="342" t="s">
        <v>23</v>
      </c>
      <c r="E13" s="728">
        <v>32</v>
      </c>
      <c r="F13" s="767" t="s">
        <v>2608</v>
      </c>
      <c r="G13" s="318" t="s">
        <v>2593</v>
      </c>
      <c r="H13" s="117">
        <v>408.74</v>
      </c>
      <c r="I13" s="1040"/>
      <c r="J13" s="2329" t="s">
        <v>2609</v>
      </c>
      <c r="K13" s="370">
        <v>34.92</v>
      </c>
      <c r="L13" s="380"/>
    </row>
    <row r="14" spans="1:12" ht="33" customHeight="1">
      <c r="A14" s="83"/>
      <c r="B14" s="43" t="s">
        <v>2610</v>
      </c>
      <c r="C14" s="207" t="s">
        <v>2607</v>
      </c>
      <c r="D14" s="342" t="s">
        <v>23</v>
      </c>
      <c r="E14" s="728">
        <v>32</v>
      </c>
      <c r="F14" s="767" t="s">
        <v>2608</v>
      </c>
      <c r="G14" s="318" t="s">
        <v>2593</v>
      </c>
      <c r="H14" s="117">
        <v>419.04</v>
      </c>
      <c r="I14" s="1040"/>
      <c r="J14" s="2329" t="s">
        <v>2611</v>
      </c>
      <c r="K14" s="370">
        <v>28.5</v>
      </c>
      <c r="L14" s="380"/>
    </row>
    <row r="15" spans="1:12" ht="33" customHeight="1">
      <c r="A15" s="821"/>
      <c r="B15" s="43" t="s">
        <v>2612</v>
      </c>
      <c r="C15" s="207" t="s">
        <v>2390</v>
      </c>
      <c r="D15" s="342" t="s">
        <v>70</v>
      </c>
      <c r="E15" s="728">
        <v>42</v>
      </c>
      <c r="F15" s="767"/>
      <c r="G15" s="318" t="s">
        <v>2613</v>
      </c>
      <c r="H15" s="117">
        <v>1765</v>
      </c>
      <c r="I15" s="1040"/>
      <c r="J15" s="827">
        <v>1888.55</v>
      </c>
      <c r="K15" s="369">
        <v>39.35</v>
      </c>
      <c r="L15" s="380"/>
    </row>
    <row r="16" spans="1:12" ht="33" customHeight="1">
      <c r="A16" s="398"/>
      <c r="B16" s="406"/>
      <c r="C16" s="341"/>
      <c r="D16" s="413"/>
      <c r="E16" s="831"/>
      <c r="F16" s="852"/>
      <c r="G16" s="823"/>
      <c r="H16" s="341"/>
      <c r="I16" s="505"/>
      <c r="J16" s="604"/>
      <c r="K16" s="378"/>
      <c r="L16" s="380"/>
    </row>
    <row r="17" spans="1:12" ht="33" customHeight="1">
      <c r="A17" s="1578" t="s">
        <v>2614</v>
      </c>
      <c r="B17" s="1582"/>
      <c r="C17" s="117"/>
      <c r="D17" s="416" t="s">
        <v>2615</v>
      </c>
      <c r="E17" s="728"/>
      <c r="F17" s="767"/>
      <c r="G17" s="248" t="s">
        <v>2616</v>
      </c>
      <c r="H17" s="207"/>
      <c r="I17" s="431"/>
      <c r="J17" s="586"/>
      <c r="K17" s="365"/>
      <c r="L17" s="380"/>
    </row>
    <row r="18" spans="1:12" ht="33" customHeight="1">
      <c r="A18" s="83"/>
      <c r="B18" s="43" t="s">
        <v>2617</v>
      </c>
      <c r="C18" s="207" t="s">
        <v>2592</v>
      </c>
      <c r="D18" s="322" t="s">
        <v>2618</v>
      </c>
      <c r="E18" s="728">
        <v>13</v>
      </c>
      <c r="F18" s="767" t="s">
        <v>2619</v>
      </c>
      <c r="G18" s="248" t="s">
        <v>2620</v>
      </c>
      <c r="H18" s="431" t="s">
        <v>2621</v>
      </c>
      <c r="I18" s="431" t="s">
        <v>2622</v>
      </c>
      <c r="J18" s="789" t="s">
        <v>2623</v>
      </c>
      <c r="K18" s="365">
        <v>10.52</v>
      </c>
      <c r="L18" s="380"/>
    </row>
    <row r="19" spans="1:12" ht="33" customHeight="1">
      <c r="A19" s="83"/>
      <c r="B19" s="43" t="s">
        <v>2617</v>
      </c>
      <c r="C19" s="207" t="s">
        <v>2624</v>
      </c>
      <c r="D19" s="322" t="s">
        <v>2625</v>
      </c>
      <c r="E19" s="728">
        <v>26</v>
      </c>
      <c r="F19" s="767" t="s">
        <v>2626</v>
      </c>
      <c r="G19" s="248" t="s">
        <v>2627</v>
      </c>
      <c r="H19" s="431" t="s">
        <v>2628</v>
      </c>
      <c r="I19" s="431" t="s">
        <v>2629</v>
      </c>
      <c r="J19" s="1156" t="s">
        <v>2630</v>
      </c>
      <c r="K19" s="365">
        <v>21.93</v>
      </c>
      <c r="L19" s="380"/>
    </row>
    <row r="20" spans="1:12" ht="33" customHeight="1">
      <c r="A20" s="83"/>
      <c r="B20" s="43" t="s">
        <v>2617</v>
      </c>
      <c r="C20" s="207" t="s">
        <v>276</v>
      </c>
      <c r="D20" s="322" t="s">
        <v>2210</v>
      </c>
      <c r="E20" s="728"/>
      <c r="F20" s="767"/>
      <c r="G20" s="248" t="s">
        <v>2631</v>
      </c>
      <c r="H20" s="207">
        <v>788</v>
      </c>
      <c r="I20" s="431"/>
      <c r="J20" s="586"/>
      <c r="K20" s="365">
        <v>32.840000000000003</v>
      </c>
      <c r="L20" s="380"/>
    </row>
    <row r="21" spans="1:12" ht="33" customHeight="1">
      <c r="A21" s="83"/>
      <c r="B21" s="43" t="s">
        <v>2632</v>
      </c>
      <c r="C21" s="207" t="s">
        <v>100</v>
      </c>
      <c r="D21" s="322" t="s">
        <v>2214</v>
      </c>
      <c r="E21" s="728" t="s">
        <v>2633</v>
      </c>
      <c r="F21" s="767" t="s">
        <v>2634</v>
      </c>
      <c r="G21" s="248" t="s">
        <v>2620</v>
      </c>
      <c r="H21" s="207" t="s">
        <v>2635</v>
      </c>
      <c r="I21" s="431" t="s">
        <v>2636</v>
      </c>
      <c r="J21" s="789" t="s">
        <v>2637</v>
      </c>
      <c r="K21" s="365">
        <v>90.83</v>
      </c>
      <c r="L21" s="380"/>
    </row>
    <row r="22" spans="1:12" ht="33" customHeight="1">
      <c r="A22" s="83"/>
      <c r="B22" s="43" t="s">
        <v>2638</v>
      </c>
      <c r="C22" s="207" t="s">
        <v>256</v>
      </c>
      <c r="D22" s="322" t="s">
        <v>2639</v>
      </c>
      <c r="E22" s="728">
        <v>24</v>
      </c>
      <c r="F22" s="767"/>
      <c r="G22" s="248" t="s">
        <v>2631</v>
      </c>
      <c r="H22" s="117">
        <v>1742</v>
      </c>
      <c r="I22" s="432"/>
      <c r="J22" s="702"/>
      <c r="K22" s="369">
        <v>17.420000000000002</v>
      </c>
      <c r="L22" s="380"/>
    </row>
    <row r="23" spans="1:12" ht="33" customHeight="1">
      <c r="A23" s="315"/>
      <c r="B23" s="43" t="s">
        <v>2638</v>
      </c>
      <c r="C23" s="207" t="s">
        <v>791</v>
      </c>
      <c r="D23" s="322" t="s">
        <v>2210</v>
      </c>
      <c r="E23" s="728">
        <v>60</v>
      </c>
      <c r="F23" s="767"/>
      <c r="G23" s="318" t="s">
        <v>2640</v>
      </c>
      <c r="H23" s="207">
        <v>852</v>
      </c>
      <c r="I23" s="431"/>
      <c r="J23" s="586"/>
      <c r="K23" s="365">
        <v>35.5</v>
      </c>
      <c r="L23" s="380"/>
    </row>
    <row r="24" spans="1:12" ht="33" customHeight="1">
      <c r="A24" s="315"/>
      <c r="B24" s="3460"/>
      <c r="C24" s="207" t="s">
        <v>247</v>
      </c>
      <c r="D24" s="322"/>
      <c r="E24" s="728">
        <v>12</v>
      </c>
      <c r="F24" s="767"/>
      <c r="G24" s="248"/>
      <c r="H24" s="207"/>
      <c r="I24" s="431"/>
      <c r="J24" s="586"/>
      <c r="K24" s="365"/>
      <c r="L24" s="380"/>
    </row>
    <row r="25" spans="1:12" ht="33" customHeight="1">
      <c r="A25" s="531"/>
      <c r="B25" s="406"/>
      <c r="C25" s="341"/>
      <c r="D25" s="413"/>
      <c r="E25" s="830"/>
      <c r="F25" s="851"/>
      <c r="G25" s="822"/>
      <c r="H25" s="523"/>
      <c r="I25" s="509"/>
      <c r="J25" s="710"/>
      <c r="K25" s="983"/>
      <c r="L25" s="380"/>
    </row>
    <row r="26" spans="1:12" ht="33" customHeight="1">
      <c r="A26" s="820"/>
      <c r="B26" s="825"/>
      <c r="C26" s="523"/>
      <c r="D26" s="416"/>
      <c r="E26" s="831"/>
      <c r="F26" s="852"/>
      <c r="G26" s="823"/>
      <c r="H26" s="341"/>
      <c r="I26" s="505"/>
      <c r="J26" s="604"/>
      <c r="K26" s="378"/>
      <c r="L26" s="380"/>
    </row>
    <row r="27" spans="1:12" ht="33" customHeight="1">
      <c r="A27" s="819"/>
      <c r="B27" s="825"/>
      <c r="C27" s="341"/>
      <c r="D27" s="882"/>
      <c r="E27" s="831"/>
      <c r="F27" s="852"/>
      <c r="G27" s="319"/>
      <c r="H27" s="341"/>
      <c r="I27" s="824"/>
      <c r="J27" s="703"/>
      <c r="K27" s="378"/>
    </row>
    <row r="28" spans="1:12" ht="33" customHeight="1">
      <c r="A28" s="438"/>
      <c r="B28" s="406"/>
      <c r="C28" s="320"/>
      <c r="D28" s="321"/>
      <c r="E28" s="831"/>
      <c r="F28" s="852"/>
      <c r="G28" s="1571"/>
      <c r="H28" s="341"/>
      <c r="I28" s="928"/>
      <c r="J28" s="703"/>
      <c r="K28" s="378"/>
      <c r="L28" s="380"/>
    </row>
    <row r="29" spans="1:12" ht="33" customHeight="1">
      <c r="A29" s="821"/>
      <c r="B29" s="1269"/>
      <c r="C29" s="341"/>
      <c r="D29" s="1330"/>
      <c r="E29" s="831"/>
      <c r="F29" s="852"/>
      <c r="G29" s="313"/>
      <c r="H29" s="341"/>
      <c r="I29" s="824"/>
      <c r="J29" s="703"/>
      <c r="K29" s="378"/>
      <c r="L29" s="380"/>
    </row>
    <row r="30" spans="1:12" ht="33" customHeight="1">
      <c r="A30" s="998"/>
      <c r="B30" s="406"/>
      <c r="C30" s="341"/>
      <c r="D30" s="413"/>
      <c r="E30" s="831"/>
      <c r="F30" s="852"/>
      <c r="G30" s="313"/>
      <c r="H30" s="341"/>
      <c r="I30" s="824"/>
      <c r="J30" s="703"/>
      <c r="K30" s="378"/>
      <c r="L30" s="380"/>
    </row>
    <row r="31" spans="1:12" ht="33" customHeight="1">
      <c r="A31" s="445"/>
      <c r="B31" s="406"/>
      <c r="C31" s="341"/>
      <c r="D31" s="413"/>
      <c r="E31" s="831"/>
      <c r="F31" s="852"/>
      <c r="G31" s="313"/>
      <c r="H31" s="341"/>
      <c r="I31" s="824"/>
      <c r="J31" s="703"/>
      <c r="K31" s="378"/>
      <c r="L31" s="380"/>
    </row>
    <row r="32" spans="1:12" ht="33" customHeight="1">
      <c r="A32" s="438"/>
      <c r="B32" s="406"/>
      <c r="C32" s="341"/>
      <c r="D32" s="1330"/>
      <c r="E32" s="831"/>
      <c r="F32" s="852"/>
      <c r="G32" s="312"/>
      <c r="H32" s="341"/>
      <c r="I32" s="824"/>
      <c r="J32" s="703"/>
      <c r="K32" s="378"/>
      <c r="L32" s="380"/>
    </row>
    <row r="33" spans="1:12" ht="33" customHeight="1">
      <c r="A33" s="821"/>
      <c r="B33" s="1269"/>
      <c r="C33" s="341"/>
      <c r="D33" s="413"/>
      <c r="E33" s="831"/>
      <c r="F33" s="852"/>
      <c r="G33" s="1571"/>
      <c r="H33" s="341"/>
      <c r="I33" s="824"/>
      <c r="J33" s="703"/>
      <c r="K33" s="378"/>
      <c r="L33" s="380"/>
    </row>
    <row r="34" spans="1:12" ht="35.25" customHeight="1">
      <c r="A34" s="438"/>
      <c r="B34" s="406"/>
      <c r="C34" s="341"/>
      <c r="D34" s="413"/>
      <c r="E34" s="831"/>
      <c r="F34" s="852"/>
      <c r="G34" s="314"/>
      <c r="H34" s="341"/>
      <c r="I34" s="824"/>
      <c r="J34" s="703"/>
      <c r="K34" s="378"/>
      <c r="L34" s="380"/>
    </row>
    <row r="35" spans="1:12" ht="33" customHeight="1">
      <c r="A35" s="438"/>
      <c r="B35" s="406"/>
      <c r="C35" s="341"/>
      <c r="D35" s="413"/>
      <c r="E35" s="831"/>
      <c r="F35" s="852"/>
      <c r="G35" s="314"/>
      <c r="H35" s="341"/>
      <c r="I35" s="824"/>
      <c r="J35" s="703"/>
      <c r="K35" s="378"/>
      <c r="L35" s="380"/>
    </row>
    <row r="36" spans="1:12" ht="33" customHeight="1">
      <c r="A36" s="438"/>
      <c r="B36" s="406"/>
      <c r="C36" s="341"/>
      <c r="D36" s="413"/>
      <c r="E36" s="831"/>
      <c r="F36" s="852"/>
      <c r="G36" s="1571"/>
      <c r="H36" s="341"/>
      <c r="I36" s="824"/>
      <c r="J36" s="703"/>
      <c r="K36" s="378"/>
      <c r="L36" s="380"/>
    </row>
    <row r="37" spans="1:12" ht="33" customHeight="1">
      <c r="A37" s="438"/>
      <c r="B37" s="406"/>
      <c r="C37" s="341"/>
      <c r="D37" s="413"/>
      <c r="E37" s="831"/>
      <c r="F37" s="852"/>
      <c r="G37" s="314"/>
      <c r="H37" s="341"/>
      <c r="I37" s="824"/>
      <c r="J37" s="703"/>
      <c r="K37" s="378"/>
      <c r="L37" s="380"/>
    </row>
    <row r="38" spans="1:12" ht="33" customHeight="1">
      <c r="A38" s="44"/>
      <c r="B38" s="44"/>
      <c r="C38" s="204"/>
      <c r="D38" s="124"/>
      <c r="E38" s="104"/>
      <c r="F38" s="104"/>
      <c r="G38" s="44"/>
      <c r="H38" s="167"/>
      <c r="I38" s="205"/>
      <c r="J38" s="606"/>
      <c r="L38" s="380"/>
    </row>
    <row r="39" spans="1:12" ht="33" customHeight="1">
      <c r="A39" s="44" t="s">
        <v>0</v>
      </c>
      <c r="B39" s="127"/>
      <c r="C39" s="167"/>
      <c r="F39" s="104"/>
    </row>
    <row r="40" spans="1:12" ht="33" customHeight="1">
      <c r="A40" s="279" t="s">
        <v>2586</v>
      </c>
      <c r="B40" s="294" t="s">
        <v>2641</v>
      </c>
      <c r="C40" s="167"/>
      <c r="D40" s="167"/>
      <c r="F40" s="104"/>
    </row>
    <row r="41" spans="1:12" ht="23.25" customHeight="1" thickBot="1">
      <c r="F41" s="104"/>
    </row>
    <row r="42" spans="1:12" ht="33" customHeight="1">
      <c r="A42" s="3481" t="s">
        <v>2</v>
      </c>
      <c r="B42" s="3482"/>
      <c r="C42" s="336" t="s">
        <v>3</v>
      </c>
      <c r="D42" s="436" t="s">
        <v>4</v>
      </c>
      <c r="E42" s="828" t="s">
        <v>5</v>
      </c>
      <c r="F42" s="849" t="s">
        <v>5</v>
      </c>
      <c r="G42" s="434" t="s">
        <v>6</v>
      </c>
      <c r="H42" s="344" t="s">
        <v>7</v>
      </c>
      <c r="I42" s="501" t="s">
        <v>1511</v>
      </c>
      <c r="J42" s="699" t="s">
        <v>9</v>
      </c>
      <c r="K42" s="346" t="s">
        <v>9</v>
      </c>
      <c r="L42" s="177"/>
    </row>
    <row r="43" spans="1:12" ht="33" customHeight="1" thickBot="1">
      <c r="A43" s="51"/>
      <c r="B43" s="138"/>
      <c r="C43" s="337"/>
      <c r="D43" s="437" t="s">
        <v>10</v>
      </c>
      <c r="E43" s="829" t="s">
        <v>11</v>
      </c>
      <c r="F43" s="850" t="s">
        <v>12</v>
      </c>
      <c r="G43" s="435"/>
      <c r="H43" s="345" t="s">
        <v>13</v>
      </c>
      <c r="I43" s="502" t="s">
        <v>1512</v>
      </c>
      <c r="J43" s="700" t="s">
        <v>14</v>
      </c>
      <c r="K43" s="347" t="s">
        <v>15</v>
      </c>
      <c r="L43" s="177"/>
    </row>
    <row r="44" spans="1:12" ht="33" customHeight="1">
      <c r="A44" s="317" t="s">
        <v>2642</v>
      </c>
      <c r="B44" s="317"/>
      <c r="C44" s="117"/>
      <c r="D44" s="412"/>
      <c r="E44" s="832"/>
      <c r="F44" s="853"/>
      <c r="G44" s="318"/>
      <c r="H44" s="117"/>
      <c r="I44" s="432"/>
      <c r="J44" s="702"/>
      <c r="K44" s="369"/>
    </row>
    <row r="45" spans="1:12" ht="33" customHeight="1">
      <c r="A45" s="405" t="s">
        <v>2643</v>
      </c>
      <c r="B45" s="1949" t="s">
        <v>2644</v>
      </c>
      <c r="C45" s="207"/>
      <c r="D45" s="322"/>
      <c r="E45" s="728"/>
      <c r="F45" s="767"/>
      <c r="G45" s="248" t="s">
        <v>2645</v>
      </c>
      <c r="H45" s="207"/>
      <c r="I45" s="431"/>
      <c r="J45" s="586"/>
      <c r="K45" s="365"/>
      <c r="L45" s="380"/>
    </row>
    <row r="46" spans="1:12" ht="33" customHeight="1">
      <c r="A46" s="83"/>
      <c r="B46" s="43" t="s">
        <v>2646</v>
      </c>
      <c r="C46" s="207" t="s">
        <v>1275</v>
      </c>
      <c r="D46" s="322" t="s">
        <v>2647</v>
      </c>
      <c r="E46" s="728">
        <v>26</v>
      </c>
      <c r="F46" s="1497" t="s">
        <v>2648</v>
      </c>
      <c r="G46" s="3359" t="s">
        <v>1442</v>
      </c>
      <c r="H46" s="207">
        <v>887.85</v>
      </c>
      <c r="I46" s="385" t="s">
        <v>2649</v>
      </c>
      <c r="J46" s="1509" t="s">
        <v>2650</v>
      </c>
      <c r="K46" s="734">
        <v>23.98</v>
      </c>
    </row>
    <row r="47" spans="1:12" ht="33" customHeight="1">
      <c r="A47" s="83"/>
      <c r="B47" s="43" t="s">
        <v>2646</v>
      </c>
      <c r="C47" s="207" t="s">
        <v>2651</v>
      </c>
      <c r="D47" s="322" t="s">
        <v>2083</v>
      </c>
      <c r="E47" s="728">
        <v>45</v>
      </c>
      <c r="F47" s="767" t="s">
        <v>2652</v>
      </c>
      <c r="G47" s="2493" t="s">
        <v>2653</v>
      </c>
      <c r="H47" s="207"/>
      <c r="I47" s="730"/>
      <c r="J47" s="1509" t="s">
        <v>2654</v>
      </c>
      <c r="K47" s="734">
        <v>40.96</v>
      </c>
    </row>
    <row r="48" spans="1:12" ht="33" customHeight="1">
      <c r="A48" s="83"/>
      <c r="B48" s="43" t="s">
        <v>2646</v>
      </c>
      <c r="C48" s="207" t="s">
        <v>2655</v>
      </c>
      <c r="D48" s="322" t="s">
        <v>2010</v>
      </c>
      <c r="E48" s="728">
        <v>78</v>
      </c>
      <c r="F48" s="767" t="s">
        <v>195</v>
      </c>
      <c r="G48" s="2493" t="s">
        <v>1442</v>
      </c>
      <c r="H48" s="207">
        <v>887.85</v>
      </c>
      <c r="I48" s="730" t="s">
        <v>2656</v>
      </c>
      <c r="J48" s="1509" t="s">
        <v>2657</v>
      </c>
      <c r="K48" s="734">
        <v>71.33</v>
      </c>
    </row>
    <row r="49" spans="1:13" ht="33" customHeight="1">
      <c r="A49" s="83"/>
      <c r="B49" s="43" t="s">
        <v>2658</v>
      </c>
      <c r="C49" s="207" t="s">
        <v>1275</v>
      </c>
      <c r="D49" s="322" t="s">
        <v>2647</v>
      </c>
      <c r="E49" s="728">
        <v>28</v>
      </c>
      <c r="F49" s="854" t="s">
        <v>2659</v>
      </c>
      <c r="G49" s="3359" t="s">
        <v>2653</v>
      </c>
      <c r="H49" s="207">
        <v>934.58</v>
      </c>
      <c r="I49" s="385" t="s">
        <v>2660</v>
      </c>
      <c r="J49" s="1509" t="s">
        <v>2661</v>
      </c>
      <c r="K49" s="734">
        <v>24.51</v>
      </c>
      <c r="L49" s="380"/>
    </row>
    <row r="50" spans="1:13" ht="33" customHeight="1">
      <c r="A50" s="83"/>
      <c r="B50" s="43" t="s">
        <v>2658</v>
      </c>
      <c r="C50" s="207" t="s">
        <v>2655</v>
      </c>
      <c r="D50" s="322" t="s">
        <v>2010</v>
      </c>
      <c r="E50" s="728">
        <v>84</v>
      </c>
      <c r="F50" s="767" t="s">
        <v>2662</v>
      </c>
      <c r="G50" s="3359" t="s">
        <v>2653</v>
      </c>
      <c r="H50" s="341">
        <v>934.58</v>
      </c>
      <c r="I50" s="130"/>
      <c r="J50" s="3438" t="s">
        <v>2663</v>
      </c>
      <c r="K50" s="734">
        <v>75.62</v>
      </c>
      <c r="L50" s="380"/>
    </row>
    <row r="51" spans="1:13" ht="33" customHeight="1">
      <c r="A51" s="83"/>
      <c r="B51" s="43" t="s">
        <v>2304</v>
      </c>
      <c r="C51" s="207" t="s">
        <v>100</v>
      </c>
      <c r="D51" s="322" t="s">
        <v>2210</v>
      </c>
      <c r="E51" s="728">
        <v>14</v>
      </c>
      <c r="F51" s="767"/>
      <c r="G51" s="206" t="s">
        <v>2097</v>
      </c>
      <c r="H51" s="115">
        <v>230</v>
      </c>
      <c r="I51" s="185"/>
      <c r="J51" s="3695">
        <v>246.1</v>
      </c>
      <c r="K51" s="1501">
        <v>10.25</v>
      </c>
      <c r="L51" s="380"/>
    </row>
    <row r="52" spans="1:13" ht="33" customHeight="1">
      <c r="A52" s="531" t="s">
        <v>2304</v>
      </c>
      <c r="B52" s="3468"/>
      <c r="C52" s="207" t="s">
        <v>284</v>
      </c>
      <c r="D52" s="322" t="s">
        <v>2391</v>
      </c>
      <c r="E52" s="728">
        <v>7</v>
      </c>
      <c r="F52" s="767"/>
      <c r="G52" s="206" t="s">
        <v>2097</v>
      </c>
      <c r="H52" s="115">
        <v>230</v>
      </c>
      <c r="I52" s="185"/>
      <c r="J52" s="3695">
        <v>246.1</v>
      </c>
      <c r="K52" s="1501">
        <v>5.12</v>
      </c>
      <c r="L52" s="380"/>
    </row>
    <row r="53" spans="1:13" ht="33" customHeight="1">
      <c r="A53" s="3447" t="s">
        <v>2664</v>
      </c>
      <c r="B53" s="3448"/>
      <c r="C53" s="207"/>
      <c r="D53" s="322"/>
      <c r="E53" s="728"/>
      <c r="F53" s="767"/>
      <c r="G53" s="319"/>
      <c r="H53" s="207"/>
      <c r="I53" s="130"/>
      <c r="J53" s="586"/>
      <c r="K53" s="365"/>
      <c r="L53" s="380"/>
    </row>
    <row r="54" spans="1:13" ht="33" customHeight="1">
      <c r="A54" s="83"/>
      <c r="B54" s="43" t="s">
        <v>2665</v>
      </c>
      <c r="C54" s="207" t="s">
        <v>1275</v>
      </c>
      <c r="D54" s="322" t="s">
        <v>2647</v>
      </c>
      <c r="E54" s="728">
        <v>20</v>
      </c>
      <c r="F54" s="1497" t="s">
        <v>2666</v>
      </c>
      <c r="G54" s="319" t="s">
        <v>1458</v>
      </c>
      <c r="H54" s="341">
        <v>650</v>
      </c>
      <c r="I54" s="130" t="s">
        <v>2667</v>
      </c>
      <c r="J54" s="586">
        <v>647.51</v>
      </c>
      <c r="K54" s="1029" t="s">
        <v>2668</v>
      </c>
      <c r="L54" s="380">
        <f>8977.5*7/100+8977.5</f>
        <v>9605.9249999999993</v>
      </c>
      <c r="M54" s="76">
        <f>L54/18</f>
        <v>533.66249999999991</v>
      </c>
    </row>
    <row r="55" spans="1:13" ht="33" customHeight="1">
      <c r="A55" s="83"/>
      <c r="B55" s="43" t="s">
        <v>2665</v>
      </c>
      <c r="C55" s="207" t="s">
        <v>2213</v>
      </c>
      <c r="D55" s="322" t="s">
        <v>2083</v>
      </c>
      <c r="E55" s="728">
        <v>32</v>
      </c>
      <c r="F55" s="767" t="s">
        <v>2669</v>
      </c>
      <c r="G55" s="319" t="s">
        <v>2670</v>
      </c>
      <c r="H55" s="207"/>
      <c r="I55" s="130" t="s">
        <v>1102</v>
      </c>
      <c r="J55" s="586">
        <v>699.64</v>
      </c>
      <c r="K55" s="734">
        <v>29.15</v>
      </c>
      <c r="L55" s="380"/>
    </row>
    <row r="56" spans="1:13" ht="33" customHeight="1">
      <c r="A56" s="83"/>
      <c r="B56" s="43" t="s">
        <v>2665</v>
      </c>
      <c r="C56" s="207" t="s">
        <v>2655</v>
      </c>
      <c r="D56" s="322" t="s">
        <v>2010</v>
      </c>
      <c r="E56" s="728">
        <v>76</v>
      </c>
      <c r="F56" s="767" t="s">
        <v>2671</v>
      </c>
      <c r="G56" s="2493" t="s">
        <v>2672</v>
      </c>
      <c r="H56" s="341">
        <v>818.69</v>
      </c>
      <c r="I56" s="130" t="s">
        <v>2673</v>
      </c>
      <c r="J56" s="586">
        <v>841.22</v>
      </c>
      <c r="K56" s="734">
        <v>70.099999999999994</v>
      </c>
      <c r="L56" s="380">
        <f>26932.5*7/100+26932.5</f>
        <v>28817.775000000001</v>
      </c>
      <c r="M56" s="76">
        <f>L56/45</f>
        <v>640.39499999999998</v>
      </c>
    </row>
    <row r="57" spans="1:13" ht="33" customHeight="1">
      <c r="A57" s="83"/>
      <c r="B57" s="406" t="s">
        <v>2674</v>
      </c>
      <c r="C57" s="341" t="s">
        <v>1275</v>
      </c>
      <c r="D57" s="413" t="s">
        <v>2647</v>
      </c>
      <c r="E57" s="728">
        <v>22</v>
      </c>
      <c r="F57" s="1497" t="s">
        <v>2675</v>
      </c>
      <c r="G57" s="319" t="s">
        <v>1458</v>
      </c>
      <c r="H57" s="341">
        <v>665</v>
      </c>
      <c r="I57" s="130" t="s">
        <v>2676</v>
      </c>
      <c r="J57" s="703">
        <v>697.32</v>
      </c>
      <c r="K57" s="1815" t="s">
        <v>2677</v>
      </c>
      <c r="L57" s="450"/>
    </row>
    <row r="58" spans="1:13" ht="33" customHeight="1">
      <c r="A58" s="83"/>
      <c r="B58" s="406" t="s">
        <v>2674</v>
      </c>
      <c r="C58" s="341" t="s">
        <v>2655</v>
      </c>
      <c r="D58" s="413" t="s">
        <v>2010</v>
      </c>
      <c r="E58" s="728">
        <v>60</v>
      </c>
      <c r="F58" s="767" t="s">
        <v>2669</v>
      </c>
      <c r="G58" s="319" t="s">
        <v>1458</v>
      </c>
      <c r="H58" s="341">
        <v>665</v>
      </c>
      <c r="I58" s="130" t="s">
        <v>2676</v>
      </c>
      <c r="J58" s="703">
        <v>697.32</v>
      </c>
      <c r="K58" s="1096">
        <v>58.11</v>
      </c>
      <c r="L58" s="450">
        <f>6175*7/100+6175</f>
        <v>6607.25</v>
      </c>
      <c r="M58" s="76">
        <f>L58/10</f>
        <v>660.72500000000002</v>
      </c>
    </row>
    <row r="59" spans="1:13" ht="33" customHeight="1">
      <c r="A59" s="83"/>
      <c r="B59" s="406" t="s">
        <v>2678</v>
      </c>
      <c r="C59" s="341" t="s">
        <v>1275</v>
      </c>
      <c r="D59" s="413" t="s">
        <v>2647</v>
      </c>
      <c r="E59" s="728">
        <v>22</v>
      </c>
      <c r="F59" s="854" t="s">
        <v>2675</v>
      </c>
      <c r="G59" s="319" t="s">
        <v>2097</v>
      </c>
      <c r="H59" s="341">
        <v>590</v>
      </c>
      <c r="I59" s="130" t="s">
        <v>2679</v>
      </c>
      <c r="J59" s="703">
        <v>560.85</v>
      </c>
      <c r="K59" s="1096">
        <v>46.73</v>
      </c>
      <c r="L59" s="450">
        <f>3087.5*7/100+3087.5</f>
        <v>3303.625</v>
      </c>
      <c r="M59" s="76">
        <f>L59/5</f>
        <v>660.72500000000002</v>
      </c>
    </row>
    <row r="60" spans="1:13" ht="33" customHeight="1">
      <c r="A60" s="83"/>
      <c r="B60" s="406" t="s">
        <v>2678</v>
      </c>
      <c r="C60" s="341" t="s">
        <v>2655</v>
      </c>
      <c r="D60" s="413" t="s">
        <v>2010</v>
      </c>
      <c r="E60" s="728">
        <v>60</v>
      </c>
      <c r="F60" s="767" t="s">
        <v>2669</v>
      </c>
      <c r="G60" s="319" t="s">
        <v>2097</v>
      </c>
      <c r="H60" s="341">
        <v>590</v>
      </c>
      <c r="I60" s="130" t="s">
        <v>2679</v>
      </c>
      <c r="J60" s="703">
        <v>560.85</v>
      </c>
      <c r="K60" s="1096">
        <v>46.73</v>
      </c>
      <c r="L60" s="450"/>
    </row>
    <row r="61" spans="1:13" ht="33" customHeight="1">
      <c r="A61" s="83"/>
      <c r="B61" s="43" t="s">
        <v>2680</v>
      </c>
      <c r="C61" s="207" t="s">
        <v>2573</v>
      </c>
      <c r="D61" s="322" t="s">
        <v>2681</v>
      </c>
      <c r="E61" s="728">
        <v>20</v>
      </c>
      <c r="F61" s="2275" t="s">
        <v>2682</v>
      </c>
      <c r="G61" s="319" t="s">
        <v>2683</v>
      </c>
      <c r="H61" s="207">
        <v>1080</v>
      </c>
      <c r="I61" s="2025" t="s">
        <v>2684</v>
      </c>
      <c r="J61" s="707" t="s">
        <v>2685</v>
      </c>
      <c r="K61" s="734">
        <v>14.25</v>
      </c>
      <c r="L61" s="451"/>
    </row>
    <row r="62" spans="1:13" ht="33" customHeight="1">
      <c r="A62" s="83"/>
      <c r="B62" s="43" t="s">
        <v>2686</v>
      </c>
      <c r="C62" s="207" t="s">
        <v>2687</v>
      </c>
      <c r="D62" s="322" t="s">
        <v>2681</v>
      </c>
      <c r="E62" s="728">
        <v>18</v>
      </c>
      <c r="F62" s="767">
        <v>175</v>
      </c>
      <c r="G62" s="319" t="s">
        <v>2688</v>
      </c>
      <c r="H62" s="207"/>
      <c r="I62" s="130"/>
      <c r="J62" s="707">
        <v>1047.5999999999999</v>
      </c>
      <c r="K62" s="734">
        <v>14.5</v>
      </c>
      <c r="L62" s="452"/>
    </row>
    <row r="63" spans="1:13" ht="33" customHeight="1">
      <c r="A63" s="999"/>
      <c r="B63" s="43" t="s">
        <v>1762</v>
      </c>
      <c r="C63" s="207" t="s">
        <v>2689</v>
      </c>
      <c r="D63" s="322" t="s">
        <v>2690</v>
      </c>
      <c r="E63" s="728"/>
      <c r="F63" s="767">
        <v>175</v>
      </c>
      <c r="G63" s="248" t="s">
        <v>2691</v>
      </c>
      <c r="H63" s="207"/>
      <c r="I63" s="431"/>
      <c r="J63" s="707">
        <v>2095.1999999999998</v>
      </c>
      <c r="K63" s="734">
        <v>14.5</v>
      </c>
      <c r="L63" s="452"/>
    </row>
    <row r="64" spans="1:13" ht="33" customHeight="1">
      <c r="A64" s="398"/>
      <c r="B64" s="3454" t="s">
        <v>2692</v>
      </c>
      <c r="C64" s="207"/>
      <c r="D64" s="413"/>
      <c r="E64" s="728"/>
      <c r="F64" s="767"/>
      <c r="G64" s="207"/>
      <c r="H64" s="413"/>
      <c r="I64" s="728"/>
      <c r="J64" s="702"/>
      <c r="K64" s="369"/>
      <c r="L64" s="452"/>
    </row>
    <row r="65" spans="1:12" ht="33" customHeight="1">
      <c r="A65" s="398"/>
      <c r="B65" s="43" t="s">
        <v>2693</v>
      </c>
      <c r="C65" s="207" t="s">
        <v>2694</v>
      </c>
      <c r="D65" s="391" t="s">
        <v>2695</v>
      </c>
      <c r="E65" s="728">
        <v>20</v>
      </c>
      <c r="F65" s="767">
        <v>260</v>
      </c>
      <c r="G65" s="248"/>
      <c r="H65" s="207"/>
      <c r="I65" s="431"/>
      <c r="J65" s="586"/>
      <c r="K65" s="365"/>
      <c r="L65" s="452"/>
    </row>
    <row r="66" spans="1:12" ht="33" customHeight="1">
      <c r="A66" s="398"/>
      <c r="B66" s="43" t="s">
        <v>2693</v>
      </c>
      <c r="C66" s="207" t="s">
        <v>180</v>
      </c>
      <c r="D66" s="322" t="s">
        <v>23</v>
      </c>
      <c r="E66" s="728">
        <v>60</v>
      </c>
      <c r="F66" s="767">
        <v>640</v>
      </c>
      <c r="G66" s="319" t="s">
        <v>2696</v>
      </c>
      <c r="H66" s="207">
        <v>672.9</v>
      </c>
      <c r="I66" s="130" t="s">
        <v>2697</v>
      </c>
      <c r="J66" s="586">
        <v>660.55</v>
      </c>
      <c r="K66" s="365">
        <v>55.05</v>
      </c>
      <c r="L66" s="452"/>
    </row>
    <row r="67" spans="1:12" ht="33" customHeight="1">
      <c r="A67" s="83"/>
      <c r="B67" s="963" t="s">
        <v>2698</v>
      </c>
      <c r="C67" s="207"/>
      <c r="D67" s="322"/>
      <c r="E67" s="728"/>
      <c r="F67" s="767"/>
      <c r="G67" s="319"/>
      <c r="H67" s="207"/>
      <c r="I67" s="130"/>
      <c r="J67" s="586"/>
      <c r="K67" s="365"/>
    </row>
    <row r="68" spans="1:12" ht="33" customHeight="1">
      <c r="A68" s="83"/>
      <c r="B68" s="43" t="s">
        <v>2699</v>
      </c>
      <c r="C68" s="207" t="s">
        <v>180</v>
      </c>
      <c r="D68" s="322" t="s">
        <v>23</v>
      </c>
      <c r="E68" s="728">
        <v>65</v>
      </c>
      <c r="F68" s="767" t="s">
        <v>2700</v>
      </c>
      <c r="G68" s="2305" t="s">
        <v>2701</v>
      </c>
      <c r="H68" s="207">
        <v>660</v>
      </c>
      <c r="I68" s="130" t="s">
        <v>2702</v>
      </c>
      <c r="J68" s="586">
        <v>675</v>
      </c>
      <c r="K68" s="365">
        <v>55.83</v>
      </c>
    </row>
    <row r="69" spans="1:12" ht="33" customHeight="1">
      <c r="A69" s="83"/>
      <c r="B69" s="406"/>
      <c r="C69" s="341"/>
      <c r="D69" s="413"/>
      <c r="E69" s="728"/>
      <c r="F69" s="767"/>
      <c r="G69" s="319"/>
      <c r="H69" s="341"/>
      <c r="I69" s="730"/>
      <c r="J69" s="604"/>
      <c r="K69" s="378"/>
    </row>
    <row r="70" spans="1:12" ht="33" customHeight="1">
      <c r="A70" s="83"/>
      <c r="B70" s="406"/>
      <c r="C70" s="341"/>
      <c r="D70" s="413"/>
      <c r="E70" s="728"/>
      <c r="F70" s="767"/>
      <c r="G70" s="319"/>
      <c r="H70" s="341"/>
      <c r="I70" s="130"/>
      <c r="J70" s="703"/>
      <c r="K70" s="378"/>
    </row>
    <row r="71" spans="1:12" ht="33" customHeight="1">
      <c r="A71" s="83"/>
      <c r="B71" s="406"/>
      <c r="C71" s="341"/>
      <c r="D71" s="413"/>
      <c r="E71" s="728"/>
      <c r="F71" s="854"/>
      <c r="G71" s="319"/>
      <c r="H71" s="341"/>
      <c r="I71" s="730"/>
      <c r="J71" s="604"/>
      <c r="K71" s="378"/>
    </row>
    <row r="72" spans="1:12" ht="33" customHeight="1">
      <c r="A72" s="83"/>
      <c r="B72" s="406"/>
      <c r="C72" s="341"/>
      <c r="D72" s="413"/>
      <c r="E72" s="728"/>
      <c r="F72" s="767"/>
      <c r="G72" s="319"/>
      <c r="H72" s="341"/>
      <c r="I72" s="130"/>
      <c r="J72" s="703"/>
      <c r="K72" s="378"/>
    </row>
    <row r="73" spans="1:12" ht="33" customHeight="1">
      <c r="A73" s="83"/>
      <c r="B73" s="43"/>
      <c r="C73" s="207"/>
      <c r="D73" s="322"/>
      <c r="E73" s="728"/>
      <c r="F73" s="767"/>
      <c r="G73" s="319"/>
      <c r="H73" s="207"/>
      <c r="I73" s="130"/>
      <c r="J73" s="586"/>
      <c r="K73" s="365"/>
    </row>
    <row r="74" spans="1:12" ht="33" customHeight="1">
      <c r="A74" s="83"/>
      <c r="B74" s="43"/>
      <c r="C74" s="207"/>
      <c r="D74" s="322"/>
      <c r="E74" s="728"/>
      <c r="F74" s="767"/>
      <c r="G74" s="319"/>
      <c r="H74" s="207"/>
      <c r="I74" s="130"/>
      <c r="J74" s="586"/>
      <c r="K74" s="365"/>
    </row>
    <row r="75" spans="1:12" ht="33" customHeight="1">
      <c r="A75" s="999"/>
      <c r="B75" s="43"/>
      <c r="C75" s="207"/>
      <c r="D75" s="322"/>
      <c r="E75" s="728"/>
      <c r="F75" s="767"/>
      <c r="G75" s="248"/>
      <c r="H75" s="207"/>
      <c r="I75" s="431"/>
      <c r="J75" s="586"/>
      <c r="K75" s="365"/>
    </row>
    <row r="76" spans="1:12" ht="33" customHeight="1">
      <c r="A76" s="68"/>
      <c r="B76" s="44"/>
      <c r="C76" s="167"/>
      <c r="D76" s="167"/>
      <c r="E76" s="104"/>
      <c r="F76" s="104"/>
      <c r="G76" s="104"/>
      <c r="H76" s="167"/>
      <c r="I76" s="218"/>
    </row>
    <row r="77" spans="1:12" ht="33" customHeight="1">
      <c r="A77" s="68"/>
      <c r="B77" s="44"/>
      <c r="C77" s="167"/>
      <c r="D77" s="167"/>
      <c r="E77" s="104"/>
      <c r="F77" s="104"/>
      <c r="G77" s="104"/>
      <c r="H77" s="167"/>
      <c r="I77" s="218"/>
    </row>
    <row r="78" spans="1:12" ht="33" customHeight="1">
      <c r="A78" s="44" t="s">
        <v>0</v>
      </c>
      <c r="B78" s="127"/>
      <c r="C78" s="167"/>
      <c r="F78" s="104"/>
    </row>
    <row r="79" spans="1:12" ht="33" customHeight="1">
      <c r="A79" s="3480" t="s">
        <v>2703</v>
      </c>
      <c r="B79" s="3480"/>
      <c r="C79" s="167"/>
      <c r="D79" s="167"/>
      <c r="F79" s="104"/>
    </row>
    <row r="80" spans="1:12" ht="23.25" customHeight="1" thickBot="1">
      <c r="F80" s="104"/>
    </row>
    <row r="81" spans="1:12" ht="33" customHeight="1">
      <c r="A81" s="3522" t="s">
        <v>2</v>
      </c>
      <c r="B81" s="3512"/>
      <c r="C81" s="521" t="s">
        <v>3</v>
      </c>
      <c r="D81" s="414" t="s">
        <v>4</v>
      </c>
      <c r="E81" s="828" t="s">
        <v>5</v>
      </c>
      <c r="F81" s="849" t="s">
        <v>5</v>
      </c>
      <c r="G81" s="307" t="s">
        <v>6</v>
      </c>
      <c r="H81" s="344" t="s">
        <v>7</v>
      </c>
      <c r="I81" s="498" t="s">
        <v>1511</v>
      </c>
      <c r="J81" s="699" t="s">
        <v>9</v>
      </c>
      <c r="K81" s="346"/>
      <c r="L81" s="177"/>
    </row>
    <row r="82" spans="1:12" ht="33" customHeight="1" thickBot="1">
      <c r="A82" s="51"/>
      <c r="B82" s="138"/>
      <c r="C82" s="345"/>
      <c r="D82" s="415" t="s">
        <v>10</v>
      </c>
      <c r="E82" s="829" t="s">
        <v>11</v>
      </c>
      <c r="F82" s="850" t="s">
        <v>12</v>
      </c>
      <c r="G82" s="308"/>
      <c r="H82" s="345" t="s">
        <v>13</v>
      </c>
      <c r="I82" s="499" t="s">
        <v>1512</v>
      </c>
      <c r="J82" s="700" t="s">
        <v>14</v>
      </c>
      <c r="K82" s="347" t="s">
        <v>15</v>
      </c>
      <c r="L82" s="177"/>
    </row>
    <row r="83" spans="1:12" ht="33" customHeight="1">
      <c r="A83" s="439" t="s">
        <v>2704</v>
      </c>
      <c r="B83" s="327"/>
      <c r="C83" s="117"/>
      <c r="D83" s="412"/>
      <c r="E83" s="833"/>
      <c r="F83" s="855"/>
      <c r="G83" s="310"/>
      <c r="H83" s="207"/>
      <c r="I83" s="431"/>
      <c r="J83" s="704"/>
      <c r="K83" s="365"/>
    </row>
    <row r="84" spans="1:12" ht="33" customHeight="1">
      <c r="A84" s="404" t="s">
        <v>2705</v>
      </c>
      <c r="B84" s="1582"/>
      <c r="C84" s="207"/>
      <c r="D84" s="413" t="s">
        <v>2590</v>
      </c>
      <c r="E84" s="728"/>
      <c r="F84" s="767"/>
      <c r="G84" s="248"/>
      <c r="H84" s="207"/>
      <c r="I84" s="431"/>
      <c r="J84" s="586"/>
      <c r="K84" s="365"/>
    </row>
    <row r="85" spans="1:12" ht="33" customHeight="1">
      <c r="A85" s="83"/>
      <c r="B85" s="43" t="s">
        <v>2706</v>
      </c>
      <c r="C85" s="207" t="s">
        <v>2390</v>
      </c>
      <c r="D85" s="322" t="s">
        <v>70</v>
      </c>
      <c r="E85" s="728">
        <v>39</v>
      </c>
      <c r="F85" s="767"/>
      <c r="G85" s="318" t="s">
        <v>2707</v>
      </c>
      <c r="H85" s="117">
        <v>1536</v>
      </c>
      <c r="I85" s="432"/>
      <c r="J85" s="826">
        <v>1643.52</v>
      </c>
      <c r="K85" s="369">
        <v>34.25</v>
      </c>
    </row>
    <row r="86" spans="1:12" ht="33" customHeight="1">
      <c r="A86" s="83"/>
      <c r="B86" s="43" t="s">
        <v>2708</v>
      </c>
      <c r="C86" s="207" t="s">
        <v>2390</v>
      </c>
      <c r="D86" s="322" t="s">
        <v>70</v>
      </c>
      <c r="E86" s="728">
        <v>39</v>
      </c>
      <c r="F86" s="767"/>
      <c r="G86" s="318" t="s">
        <v>2709</v>
      </c>
      <c r="H86" s="117">
        <v>1536</v>
      </c>
      <c r="I86" s="432"/>
      <c r="J86" s="827">
        <v>1643.52</v>
      </c>
      <c r="K86" s="369">
        <v>34.24</v>
      </c>
    </row>
    <row r="87" spans="1:12" ht="33" customHeight="1">
      <c r="A87" s="83"/>
      <c r="B87" s="1470" t="s">
        <v>2380</v>
      </c>
      <c r="C87" s="207"/>
      <c r="D87" s="413" t="s">
        <v>2381</v>
      </c>
      <c r="E87" s="728"/>
      <c r="F87" s="767"/>
      <c r="G87" s="248"/>
      <c r="H87" s="207"/>
      <c r="I87" s="431"/>
      <c r="J87" s="586"/>
      <c r="K87" s="365"/>
    </row>
    <row r="88" spans="1:12" ht="33" customHeight="1">
      <c r="A88" s="83"/>
      <c r="B88" s="43" t="s">
        <v>2382</v>
      </c>
      <c r="C88" s="207" t="s">
        <v>1683</v>
      </c>
      <c r="D88" s="322" t="s">
        <v>2383</v>
      </c>
      <c r="E88" s="838" t="s">
        <v>2384</v>
      </c>
      <c r="F88" s="767" t="s">
        <v>2385</v>
      </c>
      <c r="G88" s="2407" t="s">
        <v>2386</v>
      </c>
      <c r="H88" s="207"/>
      <c r="I88" s="431" t="s">
        <v>2387</v>
      </c>
      <c r="J88" s="707" t="s">
        <v>2388</v>
      </c>
      <c r="K88" s="365">
        <v>18.399999999999999</v>
      </c>
    </row>
    <row r="89" spans="1:12" ht="33" customHeight="1">
      <c r="A89" s="315"/>
      <c r="B89" s="43" t="s">
        <v>2389</v>
      </c>
      <c r="C89" s="207" t="s">
        <v>2390</v>
      </c>
      <c r="D89" s="322" t="s">
        <v>2391</v>
      </c>
      <c r="E89" s="2461" t="s">
        <v>2392</v>
      </c>
      <c r="F89" s="767" t="s">
        <v>2179</v>
      </c>
      <c r="G89" s="2407" t="s">
        <v>2386</v>
      </c>
      <c r="H89" s="207"/>
      <c r="I89" s="474" t="s">
        <v>2393</v>
      </c>
      <c r="J89" s="586" t="s">
        <v>2394</v>
      </c>
      <c r="K89" s="365">
        <v>22.71</v>
      </c>
    </row>
    <row r="90" spans="1:12" ht="33" customHeight="1">
      <c r="A90" s="389"/>
      <c r="B90" s="43" t="s">
        <v>2395</v>
      </c>
      <c r="C90" s="207" t="s">
        <v>1683</v>
      </c>
      <c r="D90" s="322" t="s">
        <v>2383</v>
      </c>
      <c r="E90" s="728" t="s">
        <v>2396</v>
      </c>
      <c r="F90" s="767" t="s">
        <v>2330</v>
      </c>
      <c r="G90" s="248" t="s">
        <v>2397</v>
      </c>
      <c r="H90" s="207"/>
      <c r="I90" s="431"/>
      <c r="J90" s="707">
        <v>1284</v>
      </c>
      <c r="K90" s="365" t="s">
        <v>2398</v>
      </c>
    </row>
    <row r="91" spans="1:12" ht="33" customHeight="1">
      <c r="A91" s="83"/>
      <c r="B91" s="362" t="s">
        <v>2399</v>
      </c>
      <c r="C91" s="207" t="s">
        <v>2400</v>
      </c>
      <c r="D91" s="2050" t="s">
        <v>2401</v>
      </c>
      <c r="E91" s="836" t="s">
        <v>2402</v>
      </c>
      <c r="F91" s="767" t="s">
        <v>2403</v>
      </c>
      <c r="G91" s="2407" t="s">
        <v>2404</v>
      </c>
      <c r="H91" s="207" t="s">
        <v>2405</v>
      </c>
      <c r="I91" s="431" t="s">
        <v>2406</v>
      </c>
      <c r="J91" s="707" t="s">
        <v>2407</v>
      </c>
      <c r="K91" s="2608" t="s">
        <v>2408</v>
      </c>
    </row>
    <row r="92" spans="1:12" ht="33" customHeight="1">
      <c r="A92" s="83"/>
      <c r="B92" s="362" t="s">
        <v>2409</v>
      </c>
      <c r="C92" s="207" t="s">
        <v>2400</v>
      </c>
      <c r="D92" s="2050" t="s">
        <v>2401</v>
      </c>
      <c r="E92" s="836" t="s">
        <v>2402</v>
      </c>
      <c r="F92" s="767" t="s">
        <v>2403</v>
      </c>
      <c r="G92" s="2407" t="s">
        <v>2404</v>
      </c>
      <c r="H92" s="207" t="s">
        <v>2405</v>
      </c>
      <c r="I92" s="431" t="s">
        <v>2406</v>
      </c>
      <c r="J92" s="707" t="s">
        <v>2407</v>
      </c>
      <c r="K92" s="2608" t="s">
        <v>2408</v>
      </c>
      <c r="L92" s="366">
        <f>824/96*12</f>
        <v>103</v>
      </c>
    </row>
    <row r="93" spans="1:12" ht="33" customHeight="1">
      <c r="A93" s="83"/>
      <c r="B93" s="362" t="s">
        <v>2410</v>
      </c>
      <c r="C93" s="207" t="s">
        <v>2400</v>
      </c>
      <c r="D93" s="2050" t="s">
        <v>2401</v>
      </c>
      <c r="E93" s="836" t="s">
        <v>2402</v>
      </c>
      <c r="F93" s="767" t="s">
        <v>2403</v>
      </c>
      <c r="G93" s="2407" t="s">
        <v>2404</v>
      </c>
      <c r="H93" s="207" t="s">
        <v>2405</v>
      </c>
      <c r="I93" s="431" t="s">
        <v>2406</v>
      </c>
      <c r="J93" s="707" t="s">
        <v>2407</v>
      </c>
      <c r="K93" s="2608" t="s">
        <v>2408</v>
      </c>
    </row>
    <row r="94" spans="1:12" ht="33" customHeight="1">
      <c r="A94" s="315"/>
      <c r="B94" s="43" t="s">
        <v>2710</v>
      </c>
      <c r="C94" s="207" t="s">
        <v>2390</v>
      </c>
      <c r="D94" s="322" t="s">
        <v>30</v>
      </c>
      <c r="E94" s="728">
        <v>42</v>
      </c>
      <c r="F94" s="767" t="s">
        <v>2711</v>
      </c>
      <c r="G94" s="248" t="s">
        <v>1058</v>
      </c>
      <c r="H94" s="207">
        <v>1700</v>
      </c>
      <c r="I94" s="431" t="s">
        <v>2712</v>
      </c>
      <c r="J94" s="431" t="s">
        <v>2713</v>
      </c>
      <c r="K94" s="2016">
        <v>36.78</v>
      </c>
    </row>
    <row r="95" spans="1:12" ht="33" customHeight="1">
      <c r="A95" s="315"/>
      <c r="B95" s="43" t="s">
        <v>2714</v>
      </c>
      <c r="C95" s="207" t="s">
        <v>2390</v>
      </c>
      <c r="D95" s="322" t="s">
        <v>30</v>
      </c>
      <c r="E95" s="728">
        <v>42</v>
      </c>
      <c r="F95" s="767" t="s">
        <v>2711</v>
      </c>
      <c r="G95" s="248" t="s">
        <v>1058</v>
      </c>
      <c r="H95" s="207">
        <v>1700</v>
      </c>
      <c r="I95" s="431" t="s">
        <v>2712</v>
      </c>
      <c r="J95" s="431" t="s">
        <v>2713</v>
      </c>
      <c r="K95" s="2016">
        <v>36.78</v>
      </c>
    </row>
    <row r="96" spans="1:12" ht="33" customHeight="1">
      <c r="A96" s="315"/>
      <c r="B96" s="1470" t="s">
        <v>2715</v>
      </c>
      <c r="C96" s="207"/>
      <c r="D96" s="413"/>
      <c r="E96" s="728"/>
      <c r="F96" s="767"/>
      <c r="G96" s="248" t="s">
        <v>2716</v>
      </c>
      <c r="H96" s="207"/>
      <c r="I96" s="431"/>
      <c r="J96" s="586"/>
      <c r="K96" s="365"/>
    </row>
    <row r="97" spans="1:12" ht="33" customHeight="1">
      <c r="A97" s="315"/>
      <c r="B97" s="43" t="s">
        <v>2382</v>
      </c>
      <c r="C97" s="207" t="s">
        <v>1683</v>
      </c>
      <c r="D97" s="322" t="s">
        <v>2383</v>
      </c>
      <c r="E97" s="838" t="s">
        <v>2415</v>
      </c>
      <c r="F97" s="767" t="s">
        <v>2416</v>
      </c>
      <c r="G97" s="248" t="s">
        <v>2417</v>
      </c>
      <c r="H97" s="207"/>
      <c r="I97" s="431" t="s">
        <v>260</v>
      </c>
      <c r="J97" s="2017" t="s">
        <v>2418</v>
      </c>
      <c r="K97" s="2016">
        <v>15.2</v>
      </c>
    </row>
    <row r="98" spans="1:12" ht="33" customHeight="1">
      <c r="A98" s="821"/>
      <c r="B98" s="43" t="s">
        <v>2389</v>
      </c>
      <c r="C98" s="207" t="s">
        <v>2390</v>
      </c>
      <c r="D98" s="322" t="s">
        <v>2391</v>
      </c>
      <c r="E98" s="838" t="s">
        <v>2419</v>
      </c>
      <c r="F98" s="767" t="s">
        <v>2420</v>
      </c>
      <c r="G98" s="248" t="s">
        <v>2421</v>
      </c>
      <c r="H98" s="207"/>
      <c r="I98" s="151" t="s">
        <v>2422</v>
      </c>
      <c r="J98" s="2017" t="s">
        <v>2423</v>
      </c>
      <c r="K98" s="2016">
        <v>19.89</v>
      </c>
    </row>
    <row r="99" spans="1:12" ht="33" customHeight="1">
      <c r="A99" s="404"/>
      <c r="B99" s="963" t="s">
        <v>1167</v>
      </c>
      <c r="C99" s="207"/>
      <c r="D99" s="322"/>
      <c r="E99" s="728"/>
      <c r="F99" s="767"/>
      <c r="G99" s="318"/>
      <c r="H99" s="117"/>
      <c r="I99" s="432"/>
      <c r="J99" s="702"/>
      <c r="K99" s="365" t="s">
        <v>2717</v>
      </c>
    </row>
    <row r="100" spans="1:12" ht="33" customHeight="1">
      <c r="A100" s="83"/>
      <c r="B100" s="43" t="s">
        <v>2424</v>
      </c>
      <c r="C100" s="207"/>
      <c r="D100" s="322" t="s">
        <v>2425</v>
      </c>
      <c r="E100" s="834" t="s">
        <v>2426</v>
      </c>
      <c r="F100" s="856"/>
      <c r="G100" s="248" t="s">
        <v>2427</v>
      </c>
      <c r="H100" s="207">
        <v>465</v>
      </c>
      <c r="I100" s="431" t="s">
        <v>2088</v>
      </c>
      <c r="J100" s="586">
        <v>460</v>
      </c>
      <c r="K100" s="1494" t="s">
        <v>2428</v>
      </c>
    </row>
    <row r="101" spans="1:12" ht="33" customHeight="1">
      <c r="A101" s="83"/>
      <c r="B101" s="43" t="s">
        <v>2429</v>
      </c>
      <c r="C101" s="207"/>
      <c r="D101" s="322" t="s">
        <v>2425</v>
      </c>
      <c r="E101" s="834" t="s">
        <v>2430</v>
      </c>
      <c r="F101" s="856" t="s">
        <v>2431</v>
      </c>
      <c r="G101" s="248" t="s">
        <v>1310</v>
      </c>
      <c r="H101" s="207">
        <v>610</v>
      </c>
      <c r="I101" s="553"/>
      <c r="J101" s="707" t="s">
        <v>1423</v>
      </c>
      <c r="K101" s="365">
        <v>13.54</v>
      </c>
    </row>
    <row r="102" spans="1:12" ht="33" customHeight="1">
      <c r="A102" s="315"/>
      <c r="B102" s="43" t="s">
        <v>2432</v>
      </c>
      <c r="C102" s="207"/>
      <c r="D102" s="322" t="s">
        <v>2425</v>
      </c>
      <c r="E102" s="834" t="s">
        <v>2430</v>
      </c>
      <c r="F102" s="856">
        <v>640</v>
      </c>
      <c r="G102" s="248" t="s">
        <v>2433</v>
      </c>
      <c r="H102" s="207">
        <v>660</v>
      </c>
      <c r="I102" s="431" t="s">
        <v>2434</v>
      </c>
      <c r="J102" s="707" t="s">
        <v>2435</v>
      </c>
      <c r="K102" s="365"/>
    </row>
    <row r="103" spans="1:12" ht="33" customHeight="1">
      <c r="A103" s="315"/>
      <c r="B103" s="43" t="s">
        <v>2718</v>
      </c>
      <c r="C103" s="207" t="s">
        <v>1683</v>
      </c>
      <c r="D103" s="322" t="s">
        <v>2383</v>
      </c>
      <c r="E103" s="728"/>
      <c r="F103" s="767"/>
      <c r="G103" s="248"/>
      <c r="H103" s="207"/>
      <c r="I103" s="431"/>
      <c r="J103" s="586"/>
      <c r="K103" s="365"/>
    </row>
    <row r="104" spans="1:12" ht="33" customHeight="1">
      <c r="A104" s="315"/>
      <c r="B104" s="43" t="s">
        <v>2719</v>
      </c>
      <c r="C104" s="207"/>
      <c r="D104" s="322"/>
      <c r="E104" s="834"/>
      <c r="F104" s="856"/>
      <c r="G104" s="248"/>
      <c r="H104" s="207"/>
      <c r="I104" s="431"/>
      <c r="J104" s="707"/>
      <c r="K104" s="365"/>
    </row>
    <row r="105" spans="1:12" ht="33" customHeight="1">
      <c r="B105" s="406"/>
      <c r="C105" s="438"/>
      <c r="D105" s="322"/>
      <c r="E105" s="728"/>
      <c r="F105" s="767"/>
      <c r="G105" s="248"/>
      <c r="I105" s="431"/>
      <c r="J105" s="586"/>
      <c r="K105" s="365"/>
    </row>
    <row r="106" spans="1:12" ht="33" customHeight="1">
      <c r="A106" s="389"/>
      <c r="B106" s="775" t="s">
        <v>2720</v>
      </c>
      <c r="C106" s="986"/>
      <c r="D106" s="322"/>
      <c r="E106" s="728"/>
      <c r="F106" s="767"/>
      <c r="G106" s="248"/>
      <c r="I106" s="431"/>
      <c r="J106" s="586"/>
      <c r="K106" s="365"/>
      <c r="L106" s="453"/>
    </row>
    <row r="107" spans="1:12" ht="31.5" customHeight="1">
      <c r="A107" s="315"/>
      <c r="B107" s="2049" t="s">
        <v>2721</v>
      </c>
      <c r="C107" s="207"/>
      <c r="D107" s="2050" t="s">
        <v>2722</v>
      </c>
      <c r="E107" s="728">
        <v>39</v>
      </c>
      <c r="F107" s="767"/>
      <c r="G107" s="248" t="s">
        <v>2723</v>
      </c>
      <c r="H107" s="207"/>
      <c r="I107" s="431"/>
      <c r="J107" s="881" t="s">
        <v>2724</v>
      </c>
      <c r="K107" s="365">
        <v>35.1</v>
      </c>
    </row>
    <row r="108" spans="1:12" ht="31.5" customHeight="1">
      <c r="A108" s="315"/>
      <c r="B108" s="791"/>
      <c r="C108" s="207"/>
      <c r="D108" s="322"/>
      <c r="E108" s="728"/>
      <c r="F108" s="767"/>
      <c r="G108" s="248"/>
      <c r="H108" s="207"/>
      <c r="I108" s="431"/>
      <c r="J108" s="881"/>
      <c r="K108" s="365"/>
    </row>
    <row r="109" spans="1:12" ht="33" customHeight="1">
      <c r="A109" s="493" t="s">
        <v>2725</v>
      </c>
      <c r="B109" s="1470"/>
      <c r="C109" s="986"/>
      <c r="D109" s="1581"/>
      <c r="E109" s="1577"/>
      <c r="F109" s="767"/>
      <c r="G109" s="248"/>
      <c r="H109" s="207"/>
      <c r="I109" s="431"/>
      <c r="J109" s="789"/>
      <c r="K109" s="365"/>
    </row>
    <row r="110" spans="1:12" ht="33" customHeight="1">
      <c r="A110" s="782"/>
      <c r="B110" s="791" t="s">
        <v>2436</v>
      </c>
      <c r="C110" s="207" t="s">
        <v>2437</v>
      </c>
      <c r="D110" s="391" t="s">
        <v>2438</v>
      </c>
      <c r="E110" s="728">
        <v>15</v>
      </c>
      <c r="F110" s="767" t="s">
        <v>2439</v>
      </c>
      <c r="G110" s="248" t="s">
        <v>2440</v>
      </c>
      <c r="H110" s="207">
        <v>1165</v>
      </c>
      <c r="I110" s="553" t="s">
        <v>2441</v>
      </c>
      <c r="J110" s="394" t="s">
        <v>2442</v>
      </c>
      <c r="K110" s="792">
        <v>12.27</v>
      </c>
    </row>
    <row r="111" spans="1:12" ht="33" customHeight="1">
      <c r="A111" s="315"/>
      <c r="B111" s="43" t="s">
        <v>2443</v>
      </c>
      <c r="C111" s="207" t="s">
        <v>2437</v>
      </c>
      <c r="D111" s="391" t="s">
        <v>2438</v>
      </c>
      <c r="E111" s="728">
        <v>22</v>
      </c>
      <c r="F111" s="767" t="s">
        <v>2444</v>
      </c>
      <c r="G111" s="248" t="s">
        <v>2445</v>
      </c>
      <c r="H111" s="207">
        <v>1750</v>
      </c>
      <c r="I111" s="431" t="s">
        <v>2446</v>
      </c>
      <c r="J111" s="394" t="s">
        <v>2447</v>
      </c>
      <c r="K111" s="792">
        <v>18.350000000000001</v>
      </c>
      <c r="L111" s="453"/>
    </row>
    <row r="112" spans="1:12" ht="33" customHeight="1">
      <c r="A112" s="315"/>
      <c r="B112" s="788" t="s">
        <v>2448</v>
      </c>
      <c r="C112" s="207" t="s">
        <v>2437</v>
      </c>
      <c r="D112" s="391" t="s">
        <v>2438</v>
      </c>
      <c r="E112" s="835">
        <v>17</v>
      </c>
      <c r="F112" s="767" t="s">
        <v>2449</v>
      </c>
      <c r="G112" s="248" t="s">
        <v>2206</v>
      </c>
      <c r="H112" s="207">
        <v>1375</v>
      </c>
      <c r="I112" s="431" t="s">
        <v>2450</v>
      </c>
      <c r="J112" s="790" t="s">
        <v>2451</v>
      </c>
      <c r="K112" s="365">
        <v>14.41</v>
      </c>
    </row>
    <row r="113" spans="1:12" ht="33" customHeight="1">
      <c r="A113" s="315"/>
      <c r="B113" s="43" t="s">
        <v>2452</v>
      </c>
      <c r="C113" s="207" t="s">
        <v>2437</v>
      </c>
      <c r="D113" s="391" t="s">
        <v>2438</v>
      </c>
      <c r="E113" s="728">
        <v>22</v>
      </c>
      <c r="F113" s="767" t="s">
        <v>2453</v>
      </c>
      <c r="G113" s="248" t="s">
        <v>2454</v>
      </c>
      <c r="H113" s="207">
        <v>1750</v>
      </c>
      <c r="I113" s="431" t="s">
        <v>2455</v>
      </c>
      <c r="J113" s="1494" t="s">
        <v>2456</v>
      </c>
      <c r="K113" s="792">
        <v>18.72</v>
      </c>
    </row>
    <row r="114" spans="1:12" ht="33" customHeight="1">
      <c r="A114" s="315"/>
      <c r="B114" s="43" t="s">
        <v>2457</v>
      </c>
      <c r="C114" s="207" t="s">
        <v>2437</v>
      </c>
      <c r="D114" s="391" t="s">
        <v>2438</v>
      </c>
      <c r="E114" s="728">
        <v>24</v>
      </c>
      <c r="F114" s="767" t="s">
        <v>2458</v>
      </c>
      <c r="G114" s="248" t="s">
        <v>1037</v>
      </c>
      <c r="H114" s="207">
        <v>2050</v>
      </c>
      <c r="I114" s="553" t="s">
        <v>2459</v>
      </c>
      <c r="J114" s="1494" t="s">
        <v>2460</v>
      </c>
      <c r="K114" s="792">
        <v>21.3</v>
      </c>
      <c r="L114" s="44"/>
    </row>
    <row r="115" spans="1:12" ht="33" customHeight="1">
      <c r="A115" s="44" t="s">
        <v>0</v>
      </c>
      <c r="B115" s="127"/>
      <c r="C115" s="167"/>
      <c r="F115" s="104"/>
      <c r="L115" s="44"/>
    </row>
    <row r="116" spans="1:12" ht="33" customHeight="1">
      <c r="A116" s="112" t="s">
        <v>2726</v>
      </c>
      <c r="B116" s="112"/>
      <c r="C116" s="167"/>
      <c r="D116" s="167"/>
      <c r="F116" s="104"/>
    </row>
    <row r="117" spans="1:12" ht="21.75" customHeight="1" thickBot="1">
      <c r="F117" s="104"/>
    </row>
    <row r="118" spans="1:12" ht="33" customHeight="1">
      <c r="A118" s="3522" t="s">
        <v>2</v>
      </c>
      <c r="B118" s="3512"/>
      <c r="C118" s="580" t="s">
        <v>3</v>
      </c>
      <c r="D118" s="864" t="s">
        <v>4</v>
      </c>
      <c r="E118" s="77" t="s">
        <v>5</v>
      </c>
      <c r="F118" s="78" t="s">
        <v>5</v>
      </c>
      <c r="G118" s="434" t="s">
        <v>6</v>
      </c>
      <c r="H118" s="336" t="s">
        <v>7</v>
      </c>
      <c r="I118" s="501" t="s">
        <v>1511</v>
      </c>
      <c r="J118" s="866" t="s">
        <v>9</v>
      </c>
      <c r="K118" s="346" t="s">
        <v>9</v>
      </c>
      <c r="L118" s="177"/>
    </row>
    <row r="119" spans="1:12" ht="33" customHeight="1" thickBot="1">
      <c r="A119" s="51"/>
      <c r="B119" s="138"/>
      <c r="C119" s="337"/>
      <c r="D119" s="865" t="s">
        <v>10</v>
      </c>
      <c r="E119" s="79" t="s">
        <v>11</v>
      </c>
      <c r="F119" s="80" t="s">
        <v>12</v>
      </c>
      <c r="G119" s="435"/>
      <c r="H119" s="337" t="s">
        <v>13</v>
      </c>
      <c r="I119" s="502" t="s">
        <v>1512</v>
      </c>
      <c r="J119" s="867" t="s">
        <v>14</v>
      </c>
      <c r="K119" s="347" t="s">
        <v>15</v>
      </c>
      <c r="L119" s="177"/>
    </row>
    <row r="120" spans="1:12" ht="33" customHeight="1">
      <c r="A120" s="439" t="s">
        <v>2704</v>
      </c>
      <c r="B120" s="327"/>
      <c r="C120" s="522"/>
      <c r="D120" s="418"/>
      <c r="E120" s="833"/>
      <c r="F120" s="855"/>
      <c r="G120" s="309"/>
      <c r="H120" s="338"/>
      <c r="I120" s="500"/>
      <c r="J120" s="706"/>
      <c r="K120" s="374"/>
    </row>
    <row r="121" spans="1:12" ht="33" customHeight="1">
      <c r="A121" s="442" t="s">
        <v>2727</v>
      </c>
      <c r="B121" s="1580"/>
      <c r="C121" s="117"/>
      <c r="D121" s="412"/>
      <c r="E121" s="728"/>
      <c r="F121" s="767"/>
      <c r="G121" s="310"/>
      <c r="H121" s="207"/>
      <c r="I121" s="431"/>
      <c r="J121" s="586"/>
      <c r="K121" s="365"/>
    </row>
    <row r="122" spans="1:12" ht="33" customHeight="1">
      <c r="A122" s="315"/>
      <c r="B122" s="43" t="s">
        <v>2480</v>
      </c>
      <c r="C122" s="207" t="s">
        <v>2475</v>
      </c>
      <c r="D122" s="322" t="s">
        <v>2083</v>
      </c>
      <c r="E122" s="728">
        <v>20</v>
      </c>
      <c r="F122" s="767"/>
      <c r="G122" s="248" t="s">
        <v>2481</v>
      </c>
      <c r="H122" s="207"/>
      <c r="I122" s="431"/>
      <c r="J122" s="586">
        <v>380</v>
      </c>
      <c r="K122" s="365">
        <v>15.84</v>
      </c>
    </row>
    <row r="123" spans="1:12" ht="33" customHeight="1">
      <c r="A123" s="315"/>
      <c r="B123" s="1292" t="s">
        <v>2482</v>
      </c>
      <c r="C123" s="207" t="s">
        <v>2475</v>
      </c>
      <c r="D123" s="322" t="s">
        <v>2083</v>
      </c>
      <c r="E123" s="728">
        <v>42</v>
      </c>
      <c r="F123" s="767"/>
      <c r="G123" s="318" t="s">
        <v>2481</v>
      </c>
      <c r="H123" s="207"/>
      <c r="I123" s="431"/>
      <c r="J123" s="586">
        <v>860</v>
      </c>
      <c r="K123" s="365">
        <v>35.83</v>
      </c>
    </row>
    <row r="124" spans="1:12" ht="33" customHeight="1">
      <c r="A124" s="315"/>
      <c r="B124" s="43" t="s">
        <v>2477</v>
      </c>
      <c r="C124" s="207" t="s">
        <v>2464</v>
      </c>
      <c r="D124" s="322" t="s">
        <v>2083</v>
      </c>
      <c r="E124" s="728">
        <v>60</v>
      </c>
      <c r="F124" s="767"/>
      <c r="G124" s="318" t="s">
        <v>2478</v>
      </c>
      <c r="H124" s="207">
        <v>1200</v>
      </c>
      <c r="I124" s="431"/>
      <c r="J124" s="810">
        <v>1260</v>
      </c>
      <c r="K124" s="365">
        <f>J124/24</f>
        <v>52.5</v>
      </c>
    </row>
    <row r="125" spans="1:12" ht="33" customHeight="1">
      <c r="A125" s="315"/>
      <c r="B125" s="43" t="s">
        <v>2479</v>
      </c>
      <c r="C125" s="207"/>
      <c r="D125" s="322" t="s">
        <v>2031</v>
      </c>
      <c r="E125" s="728">
        <v>32</v>
      </c>
      <c r="F125" s="767"/>
      <c r="G125" s="318" t="s">
        <v>2469</v>
      </c>
      <c r="H125" s="207">
        <v>1200</v>
      </c>
      <c r="I125" s="431"/>
      <c r="J125" s="810">
        <v>1200</v>
      </c>
      <c r="K125" s="365">
        <v>25</v>
      </c>
    </row>
    <row r="126" spans="1:12" ht="33" customHeight="1">
      <c r="A126" s="315"/>
      <c r="B126" s="81" t="s">
        <v>2470</v>
      </c>
      <c r="C126" s="207" t="s">
        <v>2464</v>
      </c>
      <c r="D126" s="322" t="s">
        <v>2083</v>
      </c>
      <c r="E126" s="728">
        <v>48</v>
      </c>
      <c r="F126" s="767"/>
      <c r="G126" s="248" t="s">
        <v>2471</v>
      </c>
      <c r="H126" s="117"/>
      <c r="I126" s="431" t="s">
        <v>2472</v>
      </c>
      <c r="J126" s="702">
        <v>790</v>
      </c>
      <c r="K126" s="369">
        <v>32.92</v>
      </c>
    </row>
    <row r="127" spans="1:12" ht="33" customHeight="1">
      <c r="A127" s="315"/>
      <c r="B127" s="43" t="s">
        <v>2473</v>
      </c>
      <c r="C127" s="207" t="s">
        <v>2464</v>
      </c>
      <c r="D127" s="322" t="s">
        <v>2083</v>
      </c>
      <c r="E127" s="728">
        <v>48</v>
      </c>
      <c r="F127" s="767"/>
      <c r="G127" s="318" t="s">
        <v>2469</v>
      </c>
      <c r="H127" s="207">
        <v>800</v>
      </c>
      <c r="I127" s="431"/>
      <c r="J127" s="586">
        <v>800</v>
      </c>
      <c r="K127" s="365">
        <f>J127/24</f>
        <v>33.333333333333336</v>
      </c>
    </row>
    <row r="128" spans="1:12" ht="33" customHeight="1">
      <c r="A128" s="315"/>
      <c r="B128" s="43" t="s">
        <v>2728</v>
      </c>
      <c r="C128" s="207" t="s">
        <v>2464</v>
      </c>
      <c r="D128" s="322" t="s">
        <v>2083</v>
      </c>
      <c r="E128" s="728">
        <v>45</v>
      </c>
      <c r="F128" s="767"/>
      <c r="G128" s="248" t="s">
        <v>2478</v>
      </c>
      <c r="H128" s="207">
        <v>800</v>
      </c>
      <c r="I128" s="431" t="s">
        <v>2729</v>
      </c>
      <c r="J128" s="586">
        <v>784.32</v>
      </c>
      <c r="K128" s="365">
        <v>32.68</v>
      </c>
    </row>
    <row r="129" spans="1:12" ht="33" customHeight="1">
      <c r="A129" s="315"/>
      <c r="B129" s="43" t="s">
        <v>2468</v>
      </c>
      <c r="C129" s="207" t="s">
        <v>2464</v>
      </c>
      <c r="D129" s="322" t="s">
        <v>2083</v>
      </c>
      <c r="E129" s="728">
        <v>45</v>
      </c>
      <c r="F129" s="767"/>
      <c r="G129" s="248" t="s">
        <v>2469</v>
      </c>
      <c r="H129" s="207">
        <v>820</v>
      </c>
      <c r="I129" s="431"/>
      <c r="J129" s="586">
        <v>820</v>
      </c>
      <c r="K129" s="365">
        <v>34.159999999999997</v>
      </c>
    </row>
    <row r="130" spans="1:12" ht="33" customHeight="1">
      <c r="A130" s="315"/>
      <c r="B130" s="43" t="s">
        <v>2474</v>
      </c>
      <c r="C130" s="207" t="s">
        <v>2475</v>
      </c>
      <c r="D130" s="322" t="s">
        <v>2083</v>
      </c>
      <c r="E130" s="728">
        <v>50</v>
      </c>
      <c r="F130" s="767" t="s">
        <v>2730</v>
      </c>
      <c r="G130" s="2494" t="s">
        <v>2731</v>
      </c>
      <c r="H130" s="117">
        <v>900</v>
      </c>
      <c r="I130" s="432" t="s">
        <v>554</v>
      </c>
      <c r="J130" s="702">
        <v>930</v>
      </c>
      <c r="K130" s="369">
        <v>38.75</v>
      </c>
    </row>
    <row r="131" spans="1:12" ht="33" customHeight="1">
      <c r="A131" s="438"/>
      <c r="B131" s="43" t="s">
        <v>2476</v>
      </c>
      <c r="C131" s="207" t="s">
        <v>2464</v>
      </c>
      <c r="D131" s="322" t="s">
        <v>2083</v>
      </c>
      <c r="E131" s="728">
        <v>35</v>
      </c>
      <c r="F131" s="767"/>
      <c r="G131" s="318" t="s">
        <v>2481</v>
      </c>
      <c r="H131" s="117"/>
      <c r="I131" s="432"/>
      <c r="J131" s="702">
        <v>700</v>
      </c>
      <c r="K131" s="369">
        <v>29.17</v>
      </c>
    </row>
    <row r="132" spans="1:12" ht="33" customHeight="1">
      <c r="A132" s="315"/>
      <c r="B132" s="43" t="s">
        <v>2732</v>
      </c>
      <c r="C132" s="207" t="s">
        <v>100</v>
      </c>
      <c r="D132" s="322" t="s">
        <v>2733</v>
      </c>
      <c r="E132" s="728">
        <v>200</v>
      </c>
      <c r="F132" s="767"/>
      <c r="G132" s="318" t="s">
        <v>2734</v>
      </c>
      <c r="H132" s="207"/>
      <c r="I132" s="432"/>
      <c r="J132" s="586">
        <v>3400</v>
      </c>
      <c r="K132" s="365">
        <f>J132/20</f>
        <v>170</v>
      </c>
    </row>
    <row r="133" spans="1:12" ht="33" customHeight="1">
      <c r="A133" s="315"/>
      <c r="B133" s="43" t="s">
        <v>2735</v>
      </c>
      <c r="C133" s="207"/>
      <c r="D133" s="322" t="s">
        <v>2083</v>
      </c>
      <c r="E133" s="836" t="s">
        <v>2736</v>
      </c>
      <c r="F133" s="767"/>
      <c r="G133" s="318" t="s">
        <v>2481</v>
      </c>
      <c r="H133" s="117"/>
      <c r="I133" s="432"/>
      <c r="J133" s="702">
        <v>330</v>
      </c>
      <c r="K133" s="369" t="s">
        <v>2737</v>
      </c>
    </row>
    <row r="134" spans="1:12" ht="33" customHeight="1">
      <c r="A134" s="315"/>
      <c r="B134" s="43" t="s">
        <v>2738</v>
      </c>
      <c r="C134" s="207" t="s">
        <v>1683</v>
      </c>
      <c r="D134" s="322" t="s">
        <v>2739</v>
      </c>
      <c r="E134" s="836" t="s">
        <v>2740</v>
      </c>
      <c r="F134" s="767"/>
      <c r="G134" s="318" t="s">
        <v>2481</v>
      </c>
      <c r="H134" s="117"/>
      <c r="I134" s="432"/>
      <c r="J134" s="702">
        <v>850</v>
      </c>
      <c r="K134" s="369">
        <v>8.5</v>
      </c>
    </row>
    <row r="135" spans="1:12" ht="33" customHeight="1">
      <c r="A135" s="315"/>
      <c r="B135" s="81" t="s">
        <v>2741</v>
      </c>
      <c r="C135" s="207"/>
      <c r="D135" s="322" t="s">
        <v>23</v>
      </c>
      <c r="E135" s="728"/>
      <c r="F135" s="767"/>
      <c r="G135" s="318" t="s">
        <v>1937</v>
      </c>
      <c r="H135" s="117"/>
      <c r="I135" s="432"/>
      <c r="J135" s="702">
        <v>550</v>
      </c>
      <c r="K135" s="369">
        <v>45.83</v>
      </c>
    </row>
    <row r="136" spans="1:12" ht="33" customHeight="1">
      <c r="A136" s="315"/>
      <c r="B136" s="81"/>
      <c r="C136" s="207"/>
      <c r="D136" s="322"/>
      <c r="E136" s="728"/>
      <c r="F136" s="767"/>
      <c r="G136" s="318"/>
      <c r="H136" s="117"/>
      <c r="I136" s="432"/>
      <c r="J136" s="702"/>
      <c r="K136" s="369"/>
      <c r="L136" s="453"/>
    </row>
    <row r="137" spans="1:12" ht="33" customHeight="1" thickBot="1">
      <c r="A137" s="315"/>
      <c r="B137" s="1033" t="s">
        <v>1605</v>
      </c>
      <c r="C137" s="986"/>
      <c r="D137" s="1327"/>
      <c r="E137" s="837"/>
      <c r="F137" s="767"/>
      <c r="G137" s="310"/>
      <c r="H137" s="207"/>
      <c r="I137" s="431"/>
      <c r="J137" s="586"/>
      <c r="K137" s="365"/>
    </row>
    <row r="138" spans="1:12" ht="33" customHeight="1">
      <c r="A138" s="315"/>
      <c r="B138" s="552" t="s">
        <v>2483</v>
      </c>
      <c r="C138" s="1520"/>
      <c r="D138" s="1521" t="s">
        <v>18</v>
      </c>
      <c r="E138" s="3415"/>
      <c r="F138" s="1329"/>
      <c r="G138" s="1523" t="s">
        <v>2484</v>
      </c>
      <c r="H138" s="1524"/>
      <c r="I138" s="1525"/>
      <c r="J138" s="1526">
        <v>780</v>
      </c>
      <c r="K138" s="1527">
        <f>J138/24</f>
        <v>32.5</v>
      </c>
      <c r="L138" s="453"/>
    </row>
    <row r="139" spans="1:12" ht="33" customHeight="1">
      <c r="A139" s="315"/>
      <c r="B139" s="770" t="s">
        <v>2742</v>
      </c>
      <c r="C139" s="1528"/>
      <c r="D139" s="1358" t="s">
        <v>18</v>
      </c>
      <c r="E139" s="1359" t="s">
        <v>2743</v>
      </c>
      <c r="F139" s="3416" t="s">
        <v>2744</v>
      </c>
      <c r="G139" s="3418" t="s">
        <v>2745</v>
      </c>
      <c r="H139" s="1532">
        <v>1050</v>
      </c>
      <c r="I139" s="1533" t="s">
        <v>393</v>
      </c>
      <c r="J139" s="1534">
        <v>1080</v>
      </c>
      <c r="K139" s="1364">
        <v>45</v>
      </c>
    </row>
    <row r="140" spans="1:12" ht="33" customHeight="1">
      <c r="A140" s="404"/>
      <c r="B140" s="406" t="s">
        <v>2473</v>
      </c>
      <c r="C140" s="1459"/>
      <c r="D140" s="413"/>
      <c r="E140" s="3417"/>
      <c r="F140" s="624"/>
      <c r="G140" s="223"/>
      <c r="H140" s="925"/>
      <c r="I140" s="1535"/>
      <c r="J140" s="686"/>
      <c r="K140" s="378"/>
    </row>
    <row r="141" spans="1:12" ht="33" customHeight="1">
      <c r="A141" s="315"/>
      <c r="B141" s="1006" t="s">
        <v>2480</v>
      </c>
      <c r="C141" s="1459"/>
      <c r="D141" s="413"/>
      <c r="E141" s="1007"/>
      <c r="F141" s="852"/>
      <c r="G141" s="223"/>
      <c r="H141" s="224"/>
      <c r="I141" s="620"/>
      <c r="J141" s="686"/>
      <c r="K141" s="378"/>
    </row>
    <row r="142" spans="1:12" ht="33" customHeight="1">
      <c r="A142" s="315"/>
      <c r="B142" s="406" t="s">
        <v>2482</v>
      </c>
      <c r="C142" s="341"/>
      <c r="D142" s="413"/>
      <c r="E142" s="1007" t="s">
        <v>2746</v>
      </c>
      <c r="F142" s="852"/>
      <c r="G142" s="2737" t="s">
        <v>700</v>
      </c>
      <c r="H142" s="224" t="s">
        <v>1187</v>
      </c>
      <c r="I142" s="620" t="s">
        <v>2121</v>
      </c>
      <c r="J142" s="686" t="s">
        <v>2747</v>
      </c>
      <c r="K142" s="378" t="s">
        <v>2748</v>
      </c>
    </row>
    <row r="143" spans="1:12" ht="33" customHeight="1">
      <c r="A143" s="315"/>
      <c r="B143" s="770" t="s">
        <v>2486</v>
      </c>
      <c r="C143" s="341" t="s">
        <v>980</v>
      </c>
      <c r="D143" s="413" t="s">
        <v>70</v>
      </c>
      <c r="E143" s="1007"/>
      <c r="F143" s="851"/>
      <c r="G143" s="223" t="s">
        <v>2487</v>
      </c>
      <c r="H143" s="224"/>
      <c r="I143" s="620"/>
      <c r="J143" s="686" t="s">
        <v>2330</v>
      </c>
      <c r="K143" s="378">
        <v>29.17</v>
      </c>
    </row>
    <row r="144" spans="1:12" ht="33" customHeight="1">
      <c r="A144" s="315"/>
      <c r="B144" s="770" t="s">
        <v>2486</v>
      </c>
      <c r="C144" s="341" t="s">
        <v>320</v>
      </c>
      <c r="D144" s="413"/>
      <c r="E144" s="1007"/>
      <c r="F144" s="851"/>
      <c r="G144" s="223"/>
      <c r="H144" s="224"/>
      <c r="I144" s="620"/>
      <c r="J144" s="686"/>
      <c r="K144" s="378"/>
    </row>
    <row r="145" spans="1:12" ht="33" customHeight="1">
      <c r="A145" s="315"/>
      <c r="B145" s="406" t="s">
        <v>2488</v>
      </c>
      <c r="C145" s="1459"/>
      <c r="D145" s="413" t="s">
        <v>18</v>
      </c>
      <c r="E145" s="2450" t="s">
        <v>2749</v>
      </c>
      <c r="F145" s="624"/>
      <c r="G145" s="2737" t="s">
        <v>2745</v>
      </c>
      <c r="H145" s="925" t="s">
        <v>2750</v>
      </c>
      <c r="I145" s="1535" t="s">
        <v>368</v>
      </c>
      <c r="J145" s="686" t="s">
        <v>2751</v>
      </c>
      <c r="K145" s="378">
        <v>251.25</v>
      </c>
    </row>
    <row r="146" spans="1:12" ht="33" customHeight="1">
      <c r="A146" s="315"/>
      <c r="B146" s="406" t="s">
        <v>2492</v>
      </c>
      <c r="C146" s="341"/>
      <c r="D146" s="341"/>
      <c r="E146" s="2450" t="s">
        <v>2752</v>
      </c>
      <c r="F146" s="624"/>
      <c r="G146" s="3036" t="s">
        <v>700</v>
      </c>
      <c r="H146" s="224" t="s">
        <v>2465</v>
      </c>
      <c r="I146" s="1535" t="s">
        <v>2753</v>
      </c>
      <c r="J146" s="686" t="s">
        <v>2754</v>
      </c>
      <c r="K146" s="378" t="s">
        <v>2755</v>
      </c>
    </row>
    <row r="147" spans="1:12" ht="33" customHeight="1">
      <c r="A147" s="315"/>
      <c r="B147" s="2728"/>
      <c r="C147" s="207"/>
      <c r="D147" s="322"/>
      <c r="E147" s="728"/>
      <c r="F147" s="767"/>
      <c r="G147" s="248"/>
      <c r="H147" s="207"/>
      <c r="I147" s="431"/>
      <c r="J147" s="586"/>
      <c r="K147" s="365"/>
    </row>
    <row r="148" spans="1:12" ht="33" customHeight="1">
      <c r="A148" s="315"/>
      <c r="B148" s="43"/>
      <c r="C148" s="207"/>
      <c r="D148" s="322"/>
      <c r="E148" s="728"/>
      <c r="F148" s="767"/>
      <c r="G148" s="248"/>
      <c r="H148" s="207"/>
      <c r="I148" s="431"/>
      <c r="J148" s="431"/>
      <c r="K148" s="2016"/>
    </row>
    <row r="149" spans="1:12" ht="33" customHeight="1">
      <c r="A149" s="315"/>
      <c r="B149" s="43"/>
      <c r="C149" s="207"/>
      <c r="D149" s="322"/>
      <c r="E149" s="728"/>
      <c r="F149" s="767"/>
      <c r="G149" s="248"/>
      <c r="H149" s="207"/>
      <c r="I149" s="431"/>
      <c r="J149" s="431"/>
      <c r="K149" s="2016"/>
    </row>
    <row r="150" spans="1:12" ht="33" customHeight="1">
      <c r="A150" s="315"/>
      <c r="B150" s="43"/>
      <c r="C150" s="207"/>
      <c r="D150" s="391"/>
      <c r="E150" s="728"/>
      <c r="F150" s="767"/>
      <c r="G150" s="248"/>
      <c r="H150" s="207"/>
      <c r="I150" s="431"/>
      <c r="J150" s="2017"/>
      <c r="K150" s="644"/>
    </row>
    <row r="151" spans="1:12" s="75" customFormat="1" ht="33" customHeight="1">
      <c r="B151" s="43"/>
      <c r="C151" s="207"/>
      <c r="D151" s="391"/>
      <c r="E151" s="728"/>
      <c r="F151" s="767"/>
      <c r="G151" s="248"/>
      <c r="H151" s="207"/>
      <c r="I151" s="431"/>
      <c r="J151" s="2017"/>
      <c r="K151" s="644"/>
      <c r="L151" s="366"/>
    </row>
    <row r="152" spans="1:12" s="75" customFormat="1" ht="33" customHeight="1">
      <c r="B152" s="44"/>
      <c r="C152" s="167"/>
      <c r="D152" s="167"/>
      <c r="E152" s="104"/>
      <c r="F152" s="104"/>
      <c r="G152" s="104"/>
      <c r="H152" s="167"/>
      <c r="I152" s="218"/>
      <c r="J152" s="545"/>
      <c r="K152" s="366"/>
      <c r="L152" s="366"/>
    </row>
    <row r="153" spans="1:12" ht="33" customHeight="1">
      <c r="A153" s="44" t="s">
        <v>0</v>
      </c>
      <c r="B153" s="127"/>
      <c r="C153" s="167"/>
      <c r="F153" s="104"/>
    </row>
    <row r="154" spans="1:12" ht="33" customHeight="1">
      <c r="A154" s="3480" t="s">
        <v>2756</v>
      </c>
      <c r="B154" s="3480"/>
      <c r="C154" s="167"/>
      <c r="D154" s="167"/>
      <c r="F154" s="104"/>
    </row>
    <row r="155" spans="1:12" ht="25.5" customHeight="1" thickBot="1">
      <c r="F155" s="104"/>
    </row>
    <row r="156" spans="1:12" ht="33" customHeight="1">
      <c r="A156" s="3481" t="s">
        <v>2</v>
      </c>
      <c r="B156" s="3482"/>
      <c r="C156" s="344" t="s">
        <v>3</v>
      </c>
      <c r="D156" s="408" t="s">
        <v>4</v>
      </c>
      <c r="E156" s="828" t="s">
        <v>5</v>
      </c>
      <c r="F156" s="849" t="s">
        <v>5</v>
      </c>
      <c r="G156" s="307" t="s">
        <v>6</v>
      </c>
      <c r="H156" s="344" t="s">
        <v>7</v>
      </c>
      <c r="I156" s="498" t="s">
        <v>1511</v>
      </c>
      <c r="J156" s="699" t="s">
        <v>9</v>
      </c>
      <c r="K156" s="3702" t="s">
        <v>9</v>
      </c>
      <c r="L156" s="177"/>
    </row>
    <row r="157" spans="1:12" ht="33" customHeight="1" thickBot="1">
      <c r="A157" s="51"/>
      <c r="B157" s="138"/>
      <c r="C157" s="345"/>
      <c r="D157" s="409" t="s">
        <v>10</v>
      </c>
      <c r="E157" s="829" t="s">
        <v>11</v>
      </c>
      <c r="F157" s="850" t="s">
        <v>12</v>
      </c>
      <c r="G157" s="308"/>
      <c r="H157" s="345" t="s">
        <v>13</v>
      </c>
      <c r="I157" s="499" t="s">
        <v>1512</v>
      </c>
      <c r="J157" s="700" t="s">
        <v>14</v>
      </c>
      <c r="K157" s="3703" t="s">
        <v>15</v>
      </c>
      <c r="L157" s="177"/>
    </row>
    <row r="158" spans="1:12" ht="33" customHeight="1">
      <c r="A158" s="157"/>
      <c r="B158" s="1033" t="s">
        <v>1605</v>
      </c>
      <c r="C158" s="986"/>
      <c r="D158" s="1327"/>
      <c r="E158" s="837"/>
      <c r="F158" s="767"/>
      <c r="G158" s="310"/>
      <c r="H158" s="207"/>
      <c r="I158" s="431"/>
      <c r="J158" s="586"/>
      <c r="K158" s="3675"/>
    </row>
    <row r="159" spans="1:12" ht="33" customHeight="1">
      <c r="A159" s="157"/>
      <c r="B159" s="770" t="s">
        <v>2757</v>
      </c>
      <c r="C159" s="341"/>
      <c r="D159" s="1350" t="s">
        <v>2758</v>
      </c>
      <c r="E159" s="1007">
        <v>60</v>
      </c>
      <c r="F159" s="851" t="s">
        <v>2759</v>
      </c>
      <c r="G159" s="2737" t="s">
        <v>1677</v>
      </c>
      <c r="H159" s="224" t="s">
        <v>852</v>
      </c>
      <c r="I159" s="620" t="s">
        <v>2760</v>
      </c>
      <c r="J159" s="686" t="s">
        <v>2761</v>
      </c>
      <c r="K159" s="3046">
        <v>52.29</v>
      </c>
    </row>
    <row r="160" spans="1:12" ht="33" customHeight="1">
      <c r="A160" s="157"/>
      <c r="B160" s="770" t="s">
        <v>2762</v>
      </c>
      <c r="C160" s="341"/>
      <c r="D160" s="413" t="s">
        <v>18</v>
      </c>
      <c r="E160" s="1007">
        <v>110</v>
      </c>
      <c r="F160" s="851" t="s">
        <v>2763</v>
      </c>
      <c r="G160" s="2737" t="s">
        <v>1677</v>
      </c>
      <c r="H160" s="224" t="s">
        <v>2764</v>
      </c>
      <c r="I160" s="620" t="s">
        <v>2765</v>
      </c>
      <c r="J160" s="686" t="s">
        <v>2766</v>
      </c>
      <c r="K160" s="3046">
        <v>94.58</v>
      </c>
    </row>
    <row r="161" spans="1:11" ht="33" customHeight="1">
      <c r="A161" s="157"/>
      <c r="B161" s="406" t="s">
        <v>2767</v>
      </c>
      <c r="C161" s="341"/>
      <c r="D161" s="413" t="s">
        <v>23</v>
      </c>
      <c r="E161" s="1007" t="s">
        <v>1357</v>
      </c>
      <c r="F161" s="852" t="s">
        <v>2768</v>
      </c>
      <c r="G161" s="223" t="s">
        <v>2202</v>
      </c>
      <c r="H161" s="224"/>
      <c r="I161" s="620"/>
      <c r="J161" s="1595" t="s">
        <v>2769</v>
      </c>
      <c r="K161" s="3046">
        <v>45</v>
      </c>
    </row>
    <row r="162" spans="1:11" ht="33" customHeight="1">
      <c r="A162" s="157"/>
      <c r="B162" s="406" t="s">
        <v>2770</v>
      </c>
      <c r="C162" s="341"/>
      <c r="D162" s="624" t="s">
        <v>23</v>
      </c>
      <c r="E162" s="3124">
        <v>55</v>
      </c>
      <c r="F162" s="852" t="s">
        <v>2771</v>
      </c>
      <c r="G162" s="223" t="s">
        <v>2772</v>
      </c>
      <c r="H162" s="224" t="s">
        <v>2367</v>
      </c>
      <c r="I162" s="620" t="s">
        <v>475</v>
      </c>
      <c r="J162" s="1595" t="s">
        <v>2773</v>
      </c>
      <c r="K162" s="3046">
        <v>47.5</v>
      </c>
    </row>
    <row r="163" spans="1:11" ht="33" customHeight="1">
      <c r="A163" s="157"/>
      <c r="B163" s="770" t="s">
        <v>2774</v>
      </c>
      <c r="C163" s="341"/>
      <c r="D163" s="624" t="s">
        <v>23</v>
      </c>
      <c r="E163" s="1354">
        <v>35</v>
      </c>
      <c r="F163" s="852"/>
      <c r="G163" s="223" t="s">
        <v>2775</v>
      </c>
      <c r="H163" s="224"/>
      <c r="I163" s="620"/>
      <c r="J163" s="1595" t="s">
        <v>2776</v>
      </c>
      <c r="K163" s="3687">
        <v>26</v>
      </c>
    </row>
    <row r="164" spans="1:11" ht="33" customHeight="1">
      <c r="A164" s="157"/>
      <c r="B164" s="770" t="s">
        <v>2777</v>
      </c>
      <c r="C164" s="341"/>
      <c r="D164" s="624" t="s">
        <v>248</v>
      </c>
      <c r="E164" s="1354" t="s">
        <v>2778</v>
      </c>
      <c r="F164" s="852" t="s">
        <v>2779</v>
      </c>
      <c r="G164" s="2737" t="s">
        <v>694</v>
      </c>
      <c r="H164" s="224" t="s">
        <v>2780</v>
      </c>
      <c r="I164" s="620" t="s">
        <v>475</v>
      </c>
      <c r="J164" s="1595" t="s">
        <v>2781</v>
      </c>
      <c r="K164" s="3046" t="s">
        <v>2782</v>
      </c>
    </row>
    <row r="165" spans="1:11" ht="33" customHeight="1">
      <c r="A165" s="438"/>
      <c r="B165" s="770" t="s">
        <v>2783</v>
      </c>
      <c r="C165" s="341"/>
      <c r="D165" s="624" t="s">
        <v>1736</v>
      </c>
      <c r="E165" s="1354" t="s">
        <v>1753</v>
      </c>
      <c r="F165" s="852" t="s">
        <v>2779</v>
      </c>
      <c r="G165" s="2737" t="s">
        <v>700</v>
      </c>
      <c r="H165" s="224" t="s">
        <v>2780</v>
      </c>
      <c r="I165" s="620" t="s">
        <v>475</v>
      </c>
      <c r="J165" s="686" t="s">
        <v>2781</v>
      </c>
      <c r="K165" s="3046" t="s">
        <v>2784</v>
      </c>
    </row>
    <row r="166" spans="1:11" ht="33" customHeight="1">
      <c r="A166" s="157"/>
      <c r="B166" s="770" t="s">
        <v>2785</v>
      </c>
      <c r="C166" s="341" t="s">
        <v>2464</v>
      </c>
      <c r="D166" s="624" t="s">
        <v>124</v>
      </c>
      <c r="E166" s="1354">
        <v>80</v>
      </c>
      <c r="F166" s="852" t="s">
        <v>2786</v>
      </c>
      <c r="G166" s="2737" t="s">
        <v>1677</v>
      </c>
      <c r="H166" s="224" t="s">
        <v>1884</v>
      </c>
      <c r="I166" s="620" t="s">
        <v>2121</v>
      </c>
      <c r="J166" s="686" t="s">
        <v>2787</v>
      </c>
      <c r="K166" s="2787" t="s">
        <v>2788</v>
      </c>
    </row>
    <row r="167" spans="1:11" ht="33" customHeight="1">
      <c r="A167" s="221"/>
      <c r="B167" s="770" t="s">
        <v>2789</v>
      </c>
      <c r="C167" s="1459"/>
      <c r="D167" s="422"/>
      <c r="E167" s="2321"/>
      <c r="F167" s="61"/>
      <c r="G167" s="223"/>
      <c r="H167" s="224"/>
      <c r="I167" s="620"/>
      <c r="J167" s="686"/>
      <c r="K167" s="3046"/>
    </row>
    <row r="168" spans="1:11" ht="33" customHeight="1">
      <c r="A168" s="157"/>
      <c r="B168" s="770" t="s">
        <v>2790</v>
      </c>
      <c r="C168" s="341" t="s">
        <v>565</v>
      </c>
      <c r="D168" s="624" t="s">
        <v>1169</v>
      </c>
      <c r="E168" s="1354" t="s">
        <v>2791</v>
      </c>
      <c r="F168" s="852" t="s">
        <v>2792</v>
      </c>
      <c r="G168" s="2737" t="s">
        <v>1851</v>
      </c>
      <c r="H168" s="224" t="s">
        <v>2793</v>
      </c>
      <c r="I168" s="620" t="s">
        <v>204</v>
      </c>
      <c r="J168" s="686" t="s">
        <v>2794</v>
      </c>
      <c r="K168" s="2787" t="s">
        <v>2795</v>
      </c>
    </row>
    <row r="169" spans="1:11" ht="33" customHeight="1">
      <c r="A169" s="221"/>
      <c r="B169" s="1336" t="s">
        <v>2796</v>
      </c>
      <c r="C169" s="341" t="s">
        <v>2797</v>
      </c>
      <c r="D169" s="624" t="s">
        <v>2798</v>
      </c>
      <c r="E169" s="2321" t="s">
        <v>1950</v>
      </c>
      <c r="F169" s="767" t="s">
        <v>2799</v>
      </c>
      <c r="G169" s="2737" t="s">
        <v>1851</v>
      </c>
      <c r="H169" s="224" t="s">
        <v>2800</v>
      </c>
      <c r="I169" s="620" t="s">
        <v>942</v>
      </c>
      <c r="J169" s="686" t="s">
        <v>2801</v>
      </c>
      <c r="K169" s="3046" t="s">
        <v>2802</v>
      </c>
    </row>
    <row r="170" spans="1:11" ht="33" customHeight="1">
      <c r="A170" s="157"/>
      <c r="B170" s="406" t="s">
        <v>2803</v>
      </c>
      <c r="C170" s="341" t="s">
        <v>2804</v>
      </c>
      <c r="D170" s="624" t="s">
        <v>2805</v>
      </c>
      <c r="E170" s="2321" t="s">
        <v>2806</v>
      </c>
      <c r="F170" s="767" t="s">
        <v>2807</v>
      </c>
      <c r="G170" s="2737" t="s">
        <v>1851</v>
      </c>
      <c r="H170" s="224" t="s">
        <v>2808</v>
      </c>
      <c r="I170" s="620" t="s">
        <v>965</v>
      </c>
      <c r="J170" s="686" t="s">
        <v>2809</v>
      </c>
      <c r="K170" s="3046" t="s">
        <v>2810</v>
      </c>
    </row>
    <row r="171" spans="1:11" ht="33" customHeight="1">
      <c r="A171" s="157"/>
      <c r="B171" s="3070" t="s">
        <v>2811</v>
      </c>
      <c r="C171" s="3071" t="s">
        <v>2812</v>
      </c>
      <c r="D171" s="3072"/>
      <c r="E171" s="3073" t="s">
        <v>2813</v>
      </c>
      <c r="F171" s="3074" t="s">
        <v>2814</v>
      </c>
      <c r="G171" s="2737" t="s">
        <v>1669</v>
      </c>
      <c r="H171" s="3084" t="s">
        <v>2815</v>
      </c>
      <c r="I171" s="3099"/>
      <c r="J171" s="3100" t="s">
        <v>2816</v>
      </c>
      <c r="K171" s="3100" t="s">
        <v>2817</v>
      </c>
    </row>
    <row r="172" spans="1:11" ht="33" customHeight="1">
      <c r="A172" s="157"/>
      <c r="B172" s="3075" t="s">
        <v>2818</v>
      </c>
      <c r="C172" s="3071" t="s">
        <v>2819</v>
      </c>
      <c r="D172" s="3076" t="s">
        <v>1287</v>
      </c>
      <c r="E172" s="3075" t="s">
        <v>2820</v>
      </c>
      <c r="F172" s="3074" t="s">
        <v>2821</v>
      </c>
      <c r="G172" s="3048" t="s">
        <v>1669</v>
      </c>
      <c r="H172" s="3101" t="s">
        <v>2822</v>
      </c>
      <c r="I172" s="3099"/>
      <c r="J172" s="3100" t="s">
        <v>2823</v>
      </c>
      <c r="K172" s="3102" t="s">
        <v>2824</v>
      </c>
    </row>
    <row r="173" spans="1:11" ht="33" customHeight="1">
      <c r="A173" s="157"/>
      <c r="B173" s="3070" t="s">
        <v>2825</v>
      </c>
      <c r="C173" s="3077"/>
      <c r="D173" s="3078" t="s">
        <v>186</v>
      </c>
      <c r="E173" s="3079" t="s">
        <v>2826</v>
      </c>
      <c r="F173" s="3076"/>
      <c r="G173" s="2737" t="s">
        <v>2827</v>
      </c>
      <c r="H173" s="3103" t="s">
        <v>2828</v>
      </c>
      <c r="I173" s="3104" t="s">
        <v>965</v>
      </c>
      <c r="J173" s="3100" t="s">
        <v>2829</v>
      </c>
      <c r="K173" s="3102" t="s">
        <v>2830</v>
      </c>
    </row>
    <row r="174" spans="1:11" ht="33" customHeight="1">
      <c r="A174" s="157"/>
      <c r="B174" s="3075" t="s">
        <v>2831</v>
      </c>
      <c r="C174" s="3071"/>
      <c r="D174" s="3076" t="s">
        <v>2832</v>
      </c>
      <c r="E174" s="3074" t="s">
        <v>2833</v>
      </c>
      <c r="F174" s="3074" t="s">
        <v>2834</v>
      </c>
      <c r="G174" s="2737" t="s">
        <v>1609</v>
      </c>
      <c r="H174" s="3084" t="s">
        <v>2835</v>
      </c>
      <c r="I174" s="3104" t="s">
        <v>2836</v>
      </c>
      <c r="J174" s="3100" t="s">
        <v>2837</v>
      </c>
      <c r="K174" s="3102" t="s">
        <v>2838</v>
      </c>
    </row>
    <row r="175" spans="1:11" ht="33" customHeight="1">
      <c r="A175" s="157"/>
      <c r="B175" s="3075" t="s">
        <v>2839</v>
      </c>
      <c r="C175" s="3071"/>
      <c r="D175" s="3076" t="s">
        <v>2840</v>
      </c>
      <c r="E175" s="3074" t="s">
        <v>2841</v>
      </c>
      <c r="F175" s="3080" t="s">
        <v>2842</v>
      </c>
      <c r="G175" s="3048" t="s">
        <v>1282</v>
      </c>
      <c r="H175" s="3105" t="s">
        <v>2843</v>
      </c>
      <c r="I175" s="3104" t="s">
        <v>2844</v>
      </c>
      <c r="J175" s="3106" t="s">
        <v>2845</v>
      </c>
      <c r="K175" s="3102" t="s">
        <v>2846</v>
      </c>
    </row>
    <row r="176" spans="1:11" ht="33" customHeight="1">
      <c r="A176" s="221"/>
      <c r="B176" s="3081" t="s">
        <v>2847</v>
      </c>
      <c r="C176" s="3071"/>
      <c r="D176" s="3076"/>
      <c r="E176" s="3075" t="s">
        <v>2848</v>
      </c>
      <c r="F176" s="3074" t="s">
        <v>2849</v>
      </c>
      <c r="G176" s="2737" t="s">
        <v>2850</v>
      </c>
      <c r="H176" s="3084" t="s">
        <v>2834</v>
      </c>
      <c r="I176" s="3099"/>
      <c r="J176" s="3100" t="s">
        <v>2834</v>
      </c>
      <c r="K176" s="3102" t="s">
        <v>2851</v>
      </c>
    </row>
    <row r="177" spans="1:12" ht="33" customHeight="1">
      <c r="A177" s="221"/>
      <c r="B177" s="3075" t="s">
        <v>2852</v>
      </c>
      <c r="C177" s="3071"/>
      <c r="D177" s="3076"/>
      <c r="E177" s="3075" t="s">
        <v>2853</v>
      </c>
      <c r="F177" s="3083"/>
      <c r="G177" s="2737" t="s">
        <v>1677</v>
      </c>
      <c r="H177" s="3084" t="s">
        <v>2821</v>
      </c>
      <c r="I177" s="3099"/>
      <c r="J177" s="3100" t="s">
        <v>2854</v>
      </c>
      <c r="K177" s="3102" t="s">
        <v>2855</v>
      </c>
    </row>
    <row r="178" spans="1:12" ht="33" customHeight="1">
      <c r="A178" s="157"/>
      <c r="B178" s="3075" t="s">
        <v>2856</v>
      </c>
      <c r="C178" s="3071"/>
      <c r="D178" s="3076"/>
      <c r="E178" s="3082"/>
      <c r="F178" s="3083"/>
      <c r="G178" s="3050" t="s">
        <v>2857</v>
      </c>
      <c r="H178" s="3107"/>
      <c r="I178" s="3099"/>
      <c r="J178" s="3100"/>
      <c r="K178" s="3102">
        <v>65</v>
      </c>
    </row>
    <row r="179" spans="1:12" ht="33" customHeight="1">
      <c r="A179" s="157"/>
      <c r="B179" s="3084" t="s">
        <v>2858</v>
      </c>
      <c r="C179" s="3085"/>
      <c r="D179" s="3086"/>
      <c r="E179" s="3087" t="s">
        <v>2859</v>
      </c>
      <c r="F179" s="3088" t="s">
        <v>2860</v>
      </c>
      <c r="G179" s="3053" t="s">
        <v>1609</v>
      </c>
      <c r="H179" s="3108" t="s">
        <v>2861</v>
      </c>
      <c r="I179" s="3109"/>
      <c r="J179" s="3110" t="s">
        <v>2861</v>
      </c>
      <c r="K179" s="3111" t="s">
        <v>2862</v>
      </c>
    </row>
    <row r="180" spans="1:12" ht="33" customHeight="1">
      <c r="A180" s="58"/>
      <c r="B180" s="3084" t="s">
        <v>2863</v>
      </c>
      <c r="C180" s="3071" t="s">
        <v>565</v>
      </c>
      <c r="D180" s="3086"/>
      <c r="E180" s="3087" t="s">
        <v>2841</v>
      </c>
      <c r="F180" s="3089"/>
      <c r="G180" s="3053" t="s">
        <v>1282</v>
      </c>
      <c r="H180" s="3108" t="s">
        <v>2849</v>
      </c>
      <c r="I180" s="3109"/>
      <c r="J180" s="3110"/>
      <c r="K180" s="3111" t="s">
        <v>2824</v>
      </c>
    </row>
    <row r="181" spans="1:12" ht="33" customHeight="1">
      <c r="A181" s="58"/>
      <c r="B181" s="3084" t="s">
        <v>2864</v>
      </c>
      <c r="C181" s="3071" t="s">
        <v>352</v>
      </c>
      <c r="D181" s="3086"/>
      <c r="E181" s="3087" t="s">
        <v>2865</v>
      </c>
      <c r="F181" s="3089"/>
      <c r="G181" s="3053" t="s">
        <v>2850</v>
      </c>
      <c r="H181" s="3108"/>
      <c r="I181" s="3109"/>
      <c r="J181" s="3110" t="s">
        <v>2866</v>
      </c>
      <c r="K181" s="3111"/>
      <c r="L181" s="1171"/>
    </row>
    <row r="182" spans="1:12" ht="33" customHeight="1">
      <c r="A182" s="3052"/>
      <c r="B182" s="3084" t="s">
        <v>2867</v>
      </c>
      <c r="C182" s="3071" t="s">
        <v>352</v>
      </c>
      <c r="D182" s="3086" t="s">
        <v>298</v>
      </c>
      <c r="E182" s="3087" t="s">
        <v>2868</v>
      </c>
      <c r="F182" s="3089"/>
      <c r="G182" s="3053" t="s">
        <v>700</v>
      </c>
      <c r="H182" s="3108" t="s">
        <v>1002</v>
      </c>
      <c r="I182" s="3109"/>
      <c r="J182" s="3110"/>
      <c r="K182" s="3111" t="s">
        <v>2869</v>
      </c>
      <c r="L182" s="272"/>
    </row>
    <row r="183" spans="1:12" ht="33" customHeight="1">
      <c r="A183" s="1209"/>
      <c r="B183" s="3081" t="s">
        <v>2870</v>
      </c>
      <c r="C183" s="3090" t="s">
        <v>280</v>
      </c>
      <c r="D183" s="3076" t="s">
        <v>495</v>
      </c>
      <c r="E183" s="3075">
        <v>250</v>
      </c>
      <c r="F183" s="3083"/>
      <c r="G183" s="3049" t="s">
        <v>2341</v>
      </c>
      <c r="H183" s="3084" t="s">
        <v>2871</v>
      </c>
      <c r="I183" s="3099" t="s">
        <v>2872</v>
      </c>
      <c r="J183" s="3100" t="s">
        <v>2873</v>
      </c>
      <c r="K183" s="3102" t="s">
        <v>2874</v>
      </c>
      <c r="L183" s="1171"/>
    </row>
    <row r="184" spans="1:12" ht="33" customHeight="1">
      <c r="A184" s="1216"/>
      <c r="B184" s="3075" t="s">
        <v>2870</v>
      </c>
      <c r="C184" s="3071" t="s">
        <v>829</v>
      </c>
      <c r="D184" s="3076" t="s">
        <v>248</v>
      </c>
      <c r="E184" s="3091" t="s">
        <v>1660</v>
      </c>
      <c r="F184" s="3092" t="s">
        <v>2875</v>
      </c>
      <c r="G184" s="3048" t="s">
        <v>1609</v>
      </c>
      <c r="H184" s="3090" t="s">
        <v>2876</v>
      </c>
      <c r="I184" s="3099" t="s">
        <v>475</v>
      </c>
      <c r="J184" s="3106" t="s">
        <v>2877</v>
      </c>
      <c r="K184" s="3102" t="s">
        <v>2878</v>
      </c>
      <c r="L184" s="1171"/>
    </row>
    <row r="185" spans="1:12" ht="33" customHeight="1">
      <c r="A185" s="1216"/>
      <c r="B185" s="3075" t="s">
        <v>2879</v>
      </c>
      <c r="C185" s="3071" t="s">
        <v>1783</v>
      </c>
      <c r="D185" s="3076" t="s">
        <v>285</v>
      </c>
      <c r="E185" s="3075" t="s">
        <v>2880</v>
      </c>
      <c r="F185" s="3074" t="s">
        <v>2168</v>
      </c>
      <c r="G185" s="3048" t="s">
        <v>1677</v>
      </c>
      <c r="H185" s="3101" t="s">
        <v>2881</v>
      </c>
      <c r="I185" s="3112" t="s">
        <v>2882</v>
      </c>
      <c r="J185" s="3106" t="s">
        <v>2883</v>
      </c>
      <c r="K185" s="3102" t="s">
        <v>2884</v>
      </c>
      <c r="L185" s="1171"/>
    </row>
    <row r="186" spans="1:12" ht="33" customHeight="1">
      <c r="A186" s="1216"/>
      <c r="B186" s="3070" t="s">
        <v>2885</v>
      </c>
      <c r="C186" s="3071" t="s">
        <v>2886</v>
      </c>
      <c r="D186" s="3093"/>
      <c r="E186" s="3079" t="s">
        <v>2887</v>
      </c>
      <c r="F186" s="3076" t="s">
        <v>2860</v>
      </c>
      <c r="G186" s="3049" t="s">
        <v>1732</v>
      </c>
      <c r="H186" s="3103" t="s">
        <v>2888</v>
      </c>
      <c r="I186" s="3099" t="s">
        <v>493</v>
      </c>
      <c r="J186" s="3100" t="s">
        <v>2889</v>
      </c>
      <c r="K186" s="3102" t="s">
        <v>2890</v>
      </c>
    </row>
    <row r="187" spans="1:12" ht="33" customHeight="1" thickBot="1">
      <c r="A187" s="157"/>
      <c r="B187" s="3094" t="s">
        <v>2891</v>
      </c>
      <c r="C187" s="3095"/>
      <c r="D187" s="3096"/>
      <c r="E187" s="3097">
        <v>350</v>
      </c>
      <c r="F187" s="3098">
        <v>40</v>
      </c>
      <c r="G187" s="3051" t="s">
        <v>2892</v>
      </c>
      <c r="H187" s="3113"/>
      <c r="I187" s="3114"/>
      <c r="J187" s="3115">
        <v>260</v>
      </c>
      <c r="K187" s="3704"/>
    </row>
    <row r="188" spans="1:12" ht="33" customHeight="1">
      <c r="A188" s="157"/>
      <c r="B188" s="362" t="s">
        <v>2893</v>
      </c>
      <c r="C188" s="390" t="s">
        <v>2894</v>
      </c>
      <c r="D188" s="465" t="s">
        <v>23</v>
      </c>
      <c r="E188" s="1409" t="s">
        <v>2895</v>
      </c>
      <c r="F188" s="861" t="s">
        <v>2896</v>
      </c>
      <c r="G188" s="2737" t="s">
        <v>1609</v>
      </c>
      <c r="H188" s="115" t="s">
        <v>2897</v>
      </c>
      <c r="I188" s="431" t="s">
        <v>554</v>
      </c>
      <c r="J188" s="546" t="s">
        <v>2898</v>
      </c>
      <c r="K188" s="3060" t="s">
        <v>2899</v>
      </c>
    </row>
    <row r="189" spans="1:12" ht="33" customHeight="1">
      <c r="A189" s="323"/>
      <c r="B189" s="362"/>
      <c r="C189" s="207"/>
      <c r="D189" s="465"/>
      <c r="E189" s="1409"/>
      <c r="F189" s="861"/>
      <c r="G189" s="2731"/>
      <c r="H189" s="115"/>
      <c r="I189" s="431"/>
      <c r="J189" s="707"/>
      <c r="K189" s="3060"/>
    </row>
    <row r="190" spans="1:12" ht="33" customHeight="1">
      <c r="A190" s="44"/>
      <c r="B190" s="75"/>
      <c r="C190" s="167"/>
      <c r="D190" s="104"/>
      <c r="E190" s="104"/>
      <c r="F190" s="104"/>
      <c r="G190" s="104"/>
      <c r="H190" s="167"/>
      <c r="I190" s="218"/>
    </row>
    <row r="191" spans="1:12" ht="33" customHeight="1">
      <c r="A191" s="44" t="s">
        <v>0</v>
      </c>
      <c r="B191" s="127"/>
      <c r="C191" s="167"/>
      <c r="F191" s="104"/>
    </row>
    <row r="192" spans="1:12" ht="33" customHeight="1">
      <c r="A192" s="3480" t="s">
        <v>2900</v>
      </c>
      <c r="B192" s="3480"/>
      <c r="C192" s="167"/>
      <c r="D192" s="167"/>
      <c r="F192" s="104"/>
    </row>
    <row r="193" spans="1:12" ht="20.25" customHeight="1" thickBot="1">
      <c r="F193" s="104"/>
    </row>
    <row r="194" spans="1:12" ht="33" customHeight="1">
      <c r="A194" s="3481" t="s">
        <v>2</v>
      </c>
      <c r="B194" s="3482"/>
      <c r="C194" s="344" t="s">
        <v>3</v>
      </c>
      <c r="D194" s="408" t="s">
        <v>4</v>
      </c>
      <c r="E194" s="828" t="s">
        <v>5</v>
      </c>
      <c r="F194" s="849" t="s">
        <v>5</v>
      </c>
      <c r="G194" s="250" t="s">
        <v>6</v>
      </c>
      <c r="H194" s="344" t="s">
        <v>7</v>
      </c>
      <c r="I194" s="498" t="s">
        <v>1511</v>
      </c>
      <c r="J194" s="699" t="s">
        <v>9</v>
      </c>
      <c r="K194" s="346" t="s">
        <v>9</v>
      </c>
      <c r="L194" s="177"/>
    </row>
    <row r="195" spans="1:12" ht="33" customHeight="1" thickBot="1">
      <c r="A195" s="51"/>
      <c r="B195" s="138"/>
      <c r="C195" s="345"/>
      <c r="D195" s="409" t="s">
        <v>10</v>
      </c>
      <c r="E195" s="829" t="s">
        <v>11</v>
      </c>
      <c r="F195" s="850" t="s">
        <v>12</v>
      </c>
      <c r="G195" s="308"/>
      <c r="H195" s="345" t="s">
        <v>13</v>
      </c>
      <c r="I195" s="499" t="s">
        <v>1512</v>
      </c>
      <c r="J195" s="700" t="s">
        <v>14</v>
      </c>
      <c r="K195" s="347" t="s">
        <v>15</v>
      </c>
      <c r="L195" s="177"/>
    </row>
    <row r="196" spans="1:12" ht="33" customHeight="1">
      <c r="A196" s="438"/>
      <c r="B196" s="362" t="s">
        <v>2901</v>
      </c>
      <c r="C196" s="207" t="s">
        <v>1771</v>
      </c>
      <c r="D196" s="465" t="s">
        <v>70</v>
      </c>
      <c r="E196" s="1409">
        <v>40</v>
      </c>
      <c r="F196" s="861" t="s">
        <v>2902</v>
      </c>
      <c r="G196" s="2737" t="s">
        <v>1609</v>
      </c>
      <c r="H196" s="115" t="s">
        <v>2903</v>
      </c>
      <c r="I196" s="431" t="s">
        <v>554</v>
      </c>
      <c r="J196" s="546" t="s">
        <v>2904</v>
      </c>
      <c r="K196" s="3060" t="s">
        <v>2905</v>
      </c>
    </row>
    <row r="197" spans="1:12" ht="33" customHeight="1">
      <c r="A197" s="438"/>
      <c r="B197" s="362" t="s">
        <v>2906</v>
      </c>
      <c r="C197" s="207" t="s">
        <v>829</v>
      </c>
      <c r="D197" s="465" t="s">
        <v>108</v>
      </c>
      <c r="E197" s="1409">
        <v>65</v>
      </c>
      <c r="F197" s="861" t="s">
        <v>2907</v>
      </c>
      <c r="G197" s="2737" t="s">
        <v>1609</v>
      </c>
      <c r="H197" s="115" t="s">
        <v>2908</v>
      </c>
      <c r="I197" s="431" t="s">
        <v>554</v>
      </c>
      <c r="J197" s="707" t="s">
        <v>2909</v>
      </c>
      <c r="K197" s="3060">
        <v>58.33</v>
      </c>
    </row>
    <row r="198" spans="1:12" ht="33" customHeight="1">
      <c r="A198" s="438"/>
      <c r="B198" s="433"/>
      <c r="C198" s="207"/>
      <c r="D198" s="411"/>
      <c r="E198" s="837"/>
      <c r="F198" s="767"/>
      <c r="G198" s="310"/>
      <c r="H198" s="207"/>
      <c r="I198" s="431"/>
      <c r="J198" s="586"/>
      <c r="K198" s="365"/>
    </row>
    <row r="199" spans="1:12" ht="33" customHeight="1">
      <c r="A199" s="438"/>
      <c r="B199" s="1471" t="s">
        <v>2910</v>
      </c>
      <c r="C199" s="341"/>
      <c r="D199" s="420"/>
      <c r="E199" s="837"/>
      <c r="F199" s="767"/>
      <c r="G199" s="310"/>
      <c r="H199" s="207"/>
      <c r="I199" s="431"/>
      <c r="J199" s="586"/>
      <c r="K199" s="365"/>
    </row>
    <row r="200" spans="1:12" ht="33" customHeight="1">
      <c r="A200" s="438"/>
      <c r="B200" s="1033" t="s">
        <v>2911</v>
      </c>
      <c r="C200" s="986"/>
      <c r="D200" s="1327"/>
      <c r="E200" s="837"/>
      <c r="F200" s="767"/>
      <c r="G200" s="310"/>
      <c r="H200" s="207"/>
      <c r="I200" s="431"/>
      <c r="J200" s="586"/>
      <c r="K200" s="365"/>
    </row>
    <row r="201" spans="1:12" ht="33" customHeight="1">
      <c r="A201" s="438"/>
      <c r="B201" s="433" t="s">
        <v>2912</v>
      </c>
      <c r="C201" s="207" t="s">
        <v>2913</v>
      </c>
      <c r="D201" s="411" t="s">
        <v>23</v>
      </c>
      <c r="E201" s="837">
        <v>15</v>
      </c>
      <c r="F201" s="767" t="s">
        <v>2914</v>
      </c>
      <c r="G201" s="310" t="s">
        <v>2915</v>
      </c>
      <c r="H201" s="207">
        <v>140</v>
      </c>
      <c r="I201" s="431"/>
      <c r="J201" s="586">
        <v>145.52000000000001</v>
      </c>
      <c r="K201" s="365">
        <v>12.13</v>
      </c>
    </row>
    <row r="202" spans="1:12" ht="33" customHeight="1">
      <c r="A202" s="438"/>
      <c r="B202" s="2048" t="s">
        <v>2916</v>
      </c>
      <c r="C202" s="207" t="s">
        <v>2917</v>
      </c>
      <c r="D202" s="411" t="s">
        <v>18</v>
      </c>
      <c r="E202" s="837">
        <v>57</v>
      </c>
      <c r="F202" s="767"/>
      <c r="G202" s="310" t="s">
        <v>2918</v>
      </c>
      <c r="H202" s="207">
        <v>1200</v>
      </c>
      <c r="I202" s="431"/>
      <c r="J202" s="586">
        <v>1284</v>
      </c>
      <c r="K202" s="365">
        <v>53.5</v>
      </c>
    </row>
    <row r="203" spans="1:12" ht="33" customHeight="1">
      <c r="A203" s="438"/>
      <c r="B203" s="2048" t="s">
        <v>2919</v>
      </c>
      <c r="C203" s="207" t="s">
        <v>2920</v>
      </c>
      <c r="D203" s="411" t="s">
        <v>23</v>
      </c>
      <c r="E203" s="837">
        <v>95</v>
      </c>
      <c r="F203" s="767"/>
      <c r="G203" s="310" t="s">
        <v>2915</v>
      </c>
      <c r="H203" s="207">
        <v>1250</v>
      </c>
      <c r="I203" s="431"/>
      <c r="J203" s="586">
        <v>1016.5</v>
      </c>
      <c r="K203" s="365">
        <v>84.71</v>
      </c>
    </row>
    <row r="204" spans="1:12" ht="33" customHeight="1">
      <c r="A204" s="438"/>
      <c r="B204" s="433" t="s">
        <v>2921</v>
      </c>
      <c r="C204" s="207" t="s">
        <v>1339</v>
      </c>
      <c r="D204" s="411" t="s">
        <v>18</v>
      </c>
      <c r="E204" s="837">
        <v>55</v>
      </c>
      <c r="F204" s="767"/>
      <c r="G204" s="310" t="s">
        <v>2915</v>
      </c>
      <c r="H204" s="207">
        <v>1125</v>
      </c>
      <c r="I204" s="431" t="s">
        <v>2922</v>
      </c>
      <c r="J204" s="707">
        <v>1177</v>
      </c>
      <c r="K204" s="365">
        <v>49</v>
      </c>
    </row>
    <row r="205" spans="1:12" ht="33" customHeight="1">
      <c r="A205" s="438"/>
      <c r="B205" s="433" t="s">
        <v>2921</v>
      </c>
      <c r="C205" s="207" t="s">
        <v>2920</v>
      </c>
      <c r="D205" s="339" t="s">
        <v>23</v>
      </c>
      <c r="E205" s="837">
        <v>190</v>
      </c>
      <c r="F205" s="767"/>
      <c r="G205" s="477" t="s">
        <v>2915</v>
      </c>
      <c r="H205" s="115">
        <v>2460</v>
      </c>
      <c r="I205" s="431"/>
      <c r="J205" s="590">
        <v>1993.41</v>
      </c>
      <c r="K205" s="526">
        <v>166.12</v>
      </c>
    </row>
    <row r="206" spans="1:12" ht="33" customHeight="1">
      <c r="A206" s="438"/>
      <c r="B206" s="433" t="s">
        <v>2923</v>
      </c>
      <c r="C206" s="207" t="s">
        <v>2924</v>
      </c>
      <c r="D206" s="411" t="s">
        <v>18</v>
      </c>
      <c r="E206" s="837">
        <v>40</v>
      </c>
      <c r="F206" s="767"/>
      <c r="G206" s="310" t="s">
        <v>2925</v>
      </c>
      <c r="H206" s="207">
        <v>750</v>
      </c>
      <c r="I206" s="553" t="s">
        <v>2926</v>
      </c>
      <c r="J206" s="707">
        <v>706.2</v>
      </c>
      <c r="K206" s="365">
        <v>29.42</v>
      </c>
    </row>
    <row r="207" spans="1:12" ht="33" customHeight="1">
      <c r="A207" s="438"/>
      <c r="B207" s="433" t="s">
        <v>2277</v>
      </c>
      <c r="C207" s="207" t="s">
        <v>2280</v>
      </c>
      <c r="D207" s="339" t="s">
        <v>23</v>
      </c>
      <c r="E207" s="837">
        <v>22</v>
      </c>
      <c r="F207" s="767" t="s">
        <v>2927</v>
      </c>
      <c r="G207" s="477" t="s">
        <v>2915</v>
      </c>
      <c r="H207" s="115">
        <v>235</v>
      </c>
      <c r="I207" s="431"/>
      <c r="J207" s="590">
        <v>235.15</v>
      </c>
      <c r="K207" s="526">
        <v>19.600000000000001</v>
      </c>
      <c r="L207" s="366">
        <f>51020.49/102</f>
        <v>500.20088235294116</v>
      </c>
    </row>
    <row r="208" spans="1:12" ht="33" customHeight="1">
      <c r="A208" s="438"/>
      <c r="B208" s="433" t="s">
        <v>2277</v>
      </c>
      <c r="C208" s="207" t="s">
        <v>2651</v>
      </c>
      <c r="D208" s="339" t="s">
        <v>23</v>
      </c>
      <c r="E208" s="837">
        <v>37</v>
      </c>
      <c r="F208" s="767" t="s">
        <v>2928</v>
      </c>
      <c r="G208" s="477" t="s">
        <v>2915</v>
      </c>
      <c r="H208" s="115">
        <v>385</v>
      </c>
      <c r="I208" s="431"/>
      <c r="J208" s="590">
        <v>382.37</v>
      </c>
      <c r="K208" s="526">
        <v>31.86</v>
      </c>
    </row>
    <row r="209" spans="1:11" ht="33" customHeight="1">
      <c r="A209" s="819"/>
      <c r="B209" s="43"/>
      <c r="C209" s="207"/>
      <c r="D209" s="322"/>
      <c r="E209" s="728"/>
      <c r="F209" s="767"/>
      <c r="G209" s="319"/>
      <c r="H209" s="207"/>
      <c r="I209" s="130"/>
      <c r="J209" s="701"/>
      <c r="K209" s="365"/>
    </row>
    <row r="210" spans="1:11" ht="33" customHeight="1">
      <c r="A210" s="398"/>
      <c r="B210" s="43"/>
      <c r="C210" s="207"/>
      <c r="D210" s="322"/>
      <c r="E210" s="728"/>
      <c r="F210" s="767"/>
      <c r="G210" s="319"/>
      <c r="H210" s="207"/>
      <c r="I210" s="130"/>
      <c r="J210" s="701"/>
      <c r="K210" s="365"/>
    </row>
    <row r="211" spans="1:11" ht="33" customHeight="1">
      <c r="A211" s="1578" t="s">
        <v>2929</v>
      </c>
      <c r="B211" s="1002"/>
      <c r="C211" s="207"/>
      <c r="D211" s="410"/>
      <c r="E211" s="728"/>
      <c r="F211" s="767"/>
      <c r="G211" s="312" t="s">
        <v>2930</v>
      </c>
      <c r="H211" s="390" t="s">
        <v>2931</v>
      </c>
      <c r="I211" s="130"/>
      <c r="J211" s="701"/>
      <c r="K211" s="365"/>
    </row>
    <row r="212" spans="1:11" ht="33" customHeight="1">
      <c r="A212" s="315"/>
      <c r="B212" s="43" t="s">
        <v>2932</v>
      </c>
      <c r="C212" s="207"/>
      <c r="D212" s="410" t="s">
        <v>2010</v>
      </c>
      <c r="E212" s="728">
        <v>10</v>
      </c>
      <c r="F212" s="767"/>
      <c r="G212" s="312" t="s">
        <v>2933</v>
      </c>
      <c r="H212" s="207" t="s">
        <v>2934</v>
      </c>
      <c r="I212" s="130"/>
      <c r="J212" s="207" t="s">
        <v>2934</v>
      </c>
      <c r="K212" s="734">
        <v>27.5</v>
      </c>
    </row>
    <row r="213" spans="1:11" ht="33" customHeight="1">
      <c r="A213" s="315"/>
      <c r="B213" s="43" t="s">
        <v>2935</v>
      </c>
      <c r="C213" s="207"/>
      <c r="D213" s="410" t="s">
        <v>2936</v>
      </c>
      <c r="E213" s="728" t="s">
        <v>2937</v>
      </c>
      <c r="F213" s="767" t="s">
        <v>2938</v>
      </c>
      <c r="G213" s="312" t="s">
        <v>2933</v>
      </c>
      <c r="H213" s="207" t="s">
        <v>67</v>
      </c>
      <c r="I213" s="130"/>
      <c r="J213" s="1509" t="s">
        <v>67</v>
      </c>
      <c r="K213" s="3118" t="s">
        <v>2939</v>
      </c>
    </row>
    <row r="214" spans="1:11" ht="33" customHeight="1">
      <c r="A214" s="389"/>
      <c r="B214" s="406" t="s">
        <v>2940</v>
      </c>
      <c r="C214" s="126"/>
      <c r="D214" s="3457" t="s">
        <v>2941</v>
      </c>
      <c r="E214" s="728"/>
      <c r="F214" s="767"/>
      <c r="G214" s="314" t="s">
        <v>2933</v>
      </c>
      <c r="H214" s="207" t="s">
        <v>628</v>
      </c>
      <c r="I214" s="105"/>
      <c r="J214" s="701" t="s">
        <v>2942</v>
      </c>
      <c r="K214" s="734">
        <v>30</v>
      </c>
    </row>
    <row r="215" spans="1:11" ht="33" customHeight="1">
      <c r="A215" s="315"/>
      <c r="B215" s="362"/>
      <c r="C215" s="101"/>
      <c r="D215" s="3457"/>
      <c r="E215" s="728"/>
      <c r="F215" s="767"/>
      <c r="G215" s="314"/>
      <c r="H215" s="207"/>
      <c r="I215" s="105"/>
      <c r="J215" s="701"/>
      <c r="K215" s="365"/>
    </row>
    <row r="216" spans="1:11" ht="33" customHeight="1">
      <c r="A216" s="404"/>
      <c r="B216" s="781" t="s">
        <v>2943</v>
      </c>
      <c r="C216" s="1421" t="s">
        <v>2944</v>
      </c>
      <c r="D216" s="1576"/>
      <c r="E216" s="1577"/>
      <c r="F216" s="767"/>
      <c r="G216" s="314"/>
      <c r="H216" s="207"/>
      <c r="I216" s="105"/>
      <c r="J216" s="701"/>
      <c r="K216" s="365"/>
    </row>
    <row r="217" spans="1:11" ht="33" customHeight="1">
      <c r="A217" s="315"/>
      <c r="B217" s="362" t="s">
        <v>2945</v>
      </c>
      <c r="C217" s="101"/>
      <c r="D217" s="3457" t="s">
        <v>30</v>
      </c>
      <c r="E217" s="728">
        <v>40</v>
      </c>
      <c r="F217" s="767">
        <v>140</v>
      </c>
      <c r="G217" s="314" t="s">
        <v>2258</v>
      </c>
      <c r="H217" s="207"/>
      <c r="I217" s="105"/>
      <c r="J217" s="701">
        <v>125</v>
      </c>
      <c r="K217" s="734" t="s">
        <v>2946</v>
      </c>
    </row>
    <row r="218" spans="1:11" ht="33" customHeight="1">
      <c r="A218" s="315"/>
      <c r="B218" s="1032" t="s">
        <v>2947</v>
      </c>
      <c r="C218" s="207"/>
      <c r="D218" s="411" t="s">
        <v>23</v>
      </c>
      <c r="E218" s="728"/>
      <c r="F218" s="767"/>
      <c r="G218" s="310" t="s">
        <v>2948</v>
      </c>
      <c r="H218" s="207"/>
      <c r="I218" s="431"/>
      <c r="J218" s="586">
        <v>90</v>
      </c>
      <c r="K218" s="734">
        <v>7.5</v>
      </c>
    </row>
    <row r="219" spans="1:11" ht="33" customHeight="1">
      <c r="A219" s="404"/>
      <c r="B219" s="766"/>
      <c r="C219" s="126"/>
      <c r="D219" s="3457"/>
      <c r="E219" s="728"/>
      <c r="F219" s="767"/>
      <c r="G219" s="314"/>
      <c r="H219" s="207"/>
      <c r="I219" s="105"/>
      <c r="J219" s="701"/>
      <c r="K219" s="365"/>
    </row>
    <row r="220" spans="1:11" ht="33" customHeight="1">
      <c r="A220" s="315"/>
      <c r="B220" s="1780" t="s">
        <v>2338</v>
      </c>
      <c r="C220" s="101"/>
      <c r="D220" s="3457"/>
      <c r="E220" s="728"/>
      <c r="F220" s="767"/>
      <c r="G220" s="314"/>
      <c r="H220" s="207"/>
      <c r="I220" s="105"/>
      <c r="J220" s="701"/>
      <c r="K220" s="365"/>
    </row>
    <row r="221" spans="1:11" ht="33" customHeight="1">
      <c r="A221" s="315"/>
      <c r="B221" s="1032" t="s">
        <v>2949</v>
      </c>
      <c r="C221" s="207" t="s">
        <v>2950</v>
      </c>
      <c r="D221" s="411" t="s">
        <v>40</v>
      </c>
      <c r="E221" s="728">
        <v>95</v>
      </c>
      <c r="F221" s="767"/>
      <c r="G221" s="310" t="s">
        <v>2951</v>
      </c>
      <c r="H221" s="207">
        <v>520</v>
      </c>
      <c r="I221" s="431" t="s">
        <v>2952</v>
      </c>
      <c r="J221" s="586">
        <v>468</v>
      </c>
      <c r="K221" s="365">
        <v>78</v>
      </c>
    </row>
    <row r="222" spans="1:11" ht="33" customHeight="1">
      <c r="A222" s="821"/>
      <c r="B222" s="1269"/>
      <c r="C222" s="341"/>
      <c r="D222" s="413"/>
      <c r="E222" s="831"/>
      <c r="F222" s="852"/>
      <c r="G222" s="1571"/>
      <c r="H222" s="341"/>
      <c r="I222" s="824"/>
      <c r="J222" s="703"/>
      <c r="K222" s="378"/>
    </row>
    <row r="223" spans="1:11" ht="33" customHeight="1">
      <c r="A223" s="404" t="s">
        <v>2953</v>
      </c>
      <c r="B223" s="963"/>
      <c r="C223" s="986"/>
      <c r="D223" s="410"/>
      <c r="E223" s="728"/>
      <c r="F223" s="767"/>
      <c r="G223" s="313"/>
      <c r="H223" s="207"/>
      <c r="I223" s="130"/>
      <c r="J223" s="701"/>
      <c r="K223" s="365"/>
    </row>
    <row r="224" spans="1:11" ht="33" customHeight="1">
      <c r="A224" s="59"/>
      <c r="B224" s="43" t="s">
        <v>2954</v>
      </c>
      <c r="C224" s="207" t="s">
        <v>39</v>
      </c>
      <c r="D224" s="322" t="s">
        <v>2955</v>
      </c>
      <c r="E224" s="728">
        <v>70</v>
      </c>
      <c r="F224" s="767"/>
      <c r="G224" s="313" t="s">
        <v>2956</v>
      </c>
      <c r="H224" s="207">
        <v>345</v>
      </c>
      <c r="I224" s="130" t="s">
        <v>2342</v>
      </c>
      <c r="J224" s="701">
        <v>310.5</v>
      </c>
      <c r="K224" s="365">
        <v>51.75</v>
      </c>
    </row>
    <row r="225" spans="1:12" ht="33" customHeight="1">
      <c r="A225" s="441"/>
      <c r="B225" s="43" t="s">
        <v>2949</v>
      </c>
      <c r="C225" s="207" t="s">
        <v>39</v>
      </c>
      <c r="D225" s="322" t="s">
        <v>2955</v>
      </c>
      <c r="E225" s="728">
        <v>90</v>
      </c>
      <c r="F225" s="767"/>
      <c r="G225" s="313" t="s">
        <v>2956</v>
      </c>
      <c r="H225" s="207">
        <v>465</v>
      </c>
      <c r="I225" s="130" t="s">
        <v>2355</v>
      </c>
      <c r="J225" s="701">
        <v>432.45</v>
      </c>
      <c r="K225" s="365">
        <v>72.08</v>
      </c>
    </row>
    <row r="226" spans="1:12" ht="33" customHeight="1">
      <c r="A226" s="315"/>
      <c r="B226" s="43" t="s">
        <v>2957</v>
      </c>
      <c r="C226" s="207" t="s">
        <v>100</v>
      </c>
      <c r="D226" s="410" t="s">
        <v>2010</v>
      </c>
      <c r="E226" s="728">
        <v>50</v>
      </c>
      <c r="F226" s="767"/>
      <c r="G226" s="312" t="s">
        <v>2956</v>
      </c>
      <c r="H226" s="207">
        <v>515</v>
      </c>
      <c r="I226" s="130" t="s">
        <v>2342</v>
      </c>
      <c r="J226" s="701">
        <v>463.5</v>
      </c>
      <c r="K226" s="365">
        <v>38.630000000000003</v>
      </c>
    </row>
    <row r="227" spans="1:12" ht="33" customHeight="1">
      <c r="A227" s="323"/>
      <c r="B227" s="323"/>
      <c r="C227" s="417"/>
      <c r="D227" s="417"/>
      <c r="E227" s="324"/>
      <c r="F227" s="324"/>
      <c r="G227" s="324"/>
      <c r="H227" s="417"/>
      <c r="I227" s="334"/>
      <c r="J227" s="705"/>
      <c r="K227" s="377"/>
    </row>
    <row r="228" spans="1:12" ht="33" customHeight="1">
      <c r="A228" s="44"/>
      <c r="B228" s="44"/>
      <c r="C228" s="167"/>
      <c r="D228" s="167"/>
      <c r="E228" s="104"/>
      <c r="F228" s="104"/>
      <c r="G228" s="104"/>
      <c r="H228" s="167"/>
      <c r="I228" s="218"/>
      <c r="K228" s="492">
        <v>2</v>
      </c>
    </row>
    <row r="229" spans="1:12" ht="33" customHeight="1">
      <c r="A229" s="44" t="s">
        <v>0</v>
      </c>
      <c r="B229" s="127"/>
      <c r="C229" s="167"/>
      <c r="F229" s="104"/>
    </row>
    <row r="230" spans="1:12" ht="33" customHeight="1">
      <c r="A230" s="3480" t="s">
        <v>2958</v>
      </c>
      <c r="B230" s="3480"/>
      <c r="C230" s="167"/>
      <c r="D230" s="167"/>
      <c r="F230" s="104"/>
    </row>
    <row r="231" spans="1:12" ht="20.25" customHeight="1" thickBot="1">
      <c r="F231" s="104"/>
    </row>
    <row r="232" spans="1:12" ht="33" customHeight="1">
      <c r="A232" s="3481" t="s">
        <v>2</v>
      </c>
      <c r="B232" s="3482"/>
      <c r="C232" s="344" t="s">
        <v>3</v>
      </c>
      <c r="D232" s="408" t="s">
        <v>4</v>
      </c>
      <c r="E232" s="828" t="s">
        <v>5</v>
      </c>
      <c r="F232" s="849" t="s">
        <v>5</v>
      </c>
      <c r="G232" s="307" t="s">
        <v>6</v>
      </c>
      <c r="H232" s="344" t="s">
        <v>7</v>
      </c>
      <c r="I232" s="498" t="s">
        <v>1511</v>
      </c>
      <c r="J232" s="699" t="s">
        <v>9</v>
      </c>
      <c r="K232" s="346" t="s">
        <v>9</v>
      </c>
      <c r="L232" s="177"/>
    </row>
    <row r="233" spans="1:12" ht="33" customHeight="1" thickBot="1">
      <c r="A233" s="51"/>
      <c r="B233" s="138"/>
      <c r="C233" s="345"/>
      <c r="D233" s="409" t="s">
        <v>10</v>
      </c>
      <c r="E233" s="829" t="s">
        <v>11</v>
      </c>
      <c r="F233" s="850" t="s">
        <v>12</v>
      </c>
      <c r="G233" s="308"/>
      <c r="H233" s="345" t="s">
        <v>13</v>
      </c>
      <c r="I233" s="499" t="s">
        <v>1512</v>
      </c>
      <c r="J233" s="700" t="s">
        <v>14</v>
      </c>
      <c r="K233" s="347" t="s">
        <v>15</v>
      </c>
      <c r="L233" s="177"/>
    </row>
    <row r="234" spans="1:12" ht="33" customHeight="1">
      <c r="A234" s="221"/>
      <c r="B234" s="781" t="s">
        <v>2959</v>
      </c>
      <c r="C234" s="986"/>
      <c r="D234" s="1575"/>
      <c r="E234" s="84"/>
      <c r="F234" s="767"/>
      <c r="G234" s="477"/>
      <c r="H234" s="115"/>
      <c r="I234" s="431"/>
      <c r="J234" s="590"/>
      <c r="K234" s="526"/>
    </row>
    <row r="235" spans="1:12" ht="33" customHeight="1">
      <c r="A235" s="221"/>
      <c r="B235" s="139" t="s">
        <v>2960</v>
      </c>
      <c r="C235" s="207"/>
      <c r="D235" s="421"/>
      <c r="E235" s="332" t="s">
        <v>2961</v>
      </c>
      <c r="F235" s="767" t="s">
        <v>2962</v>
      </c>
      <c r="G235" s="2405" t="s">
        <v>2963</v>
      </c>
      <c r="H235" s="207"/>
      <c r="I235" s="431" t="s">
        <v>2964</v>
      </c>
      <c r="J235" s="586" t="s">
        <v>2965</v>
      </c>
      <c r="K235" s="365">
        <v>13</v>
      </c>
    </row>
    <row r="236" spans="1:12" ht="33" customHeight="1">
      <c r="A236" s="221"/>
      <c r="B236" s="139" t="s">
        <v>2966</v>
      </c>
      <c r="C236" s="207"/>
      <c r="D236" s="421"/>
      <c r="E236" s="332" t="s">
        <v>2967</v>
      </c>
      <c r="F236" s="767" t="s">
        <v>2968</v>
      </c>
      <c r="G236" s="2405" t="s">
        <v>2969</v>
      </c>
      <c r="H236" s="207"/>
      <c r="I236" s="431" t="s">
        <v>769</v>
      </c>
      <c r="J236" s="586" t="s">
        <v>2970</v>
      </c>
      <c r="K236" s="365">
        <v>8</v>
      </c>
    </row>
    <row r="237" spans="1:12" ht="33" customHeight="1">
      <c r="A237" s="221"/>
      <c r="B237" s="139" t="s">
        <v>2971</v>
      </c>
      <c r="C237" s="207" t="s">
        <v>309</v>
      </c>
      <c r="D237" s="421"/>
      <c r="E237" s="332" t="s">
        <v>2967</v>
      </c>
      <c r="F237" s="767" t="s">
        <v>2968</v>
      </c>
      <c r="G237" s="2405" t="s">
        <v>2972</v>
      </c>
      <c r="H237" s="207"/>
      <c r="I237" s="431" t="s">
        <v>2964</v>
      </c>
      <c r="J237" s="586" t="s">
        <v>2970</v>
      </c>
      <c r="K237" s="365">
        <v>8</v>
      </c>
    </row>
    <row r="238" spans="1:12" ht="33" customHeight="1">
      <c r="A238" s="221"/>
      <c r="B238" s="43" t="s">
        <v>2973</v>
      </c>
      <c r="C238" s="207" t="s">
        <v>2974</v>
      </c>
      <c r="D238" s="322"/>
      <c r="E238" s="728" t="s">
        <v>2975</v>
      </c>
      <c r="F238" s="767" t="s">
        <v>2976</v>
      </c>
      <c r="G238" s="319" t="s">
        <v>2963</v>
      </c>
      <c r="H238" s="207"/>
      <c r="I238" s="130" t="s">
        <v>2977</v>
      </c>
      <c r="J238" s="701" t="s">
        <v>2978</v>
      </c>
      <c r="K238" s="365">
        <v>7</v>
      </c>
    </row>
    <row r="239" spans="1:12" ht="33" customHeight="1">
      <c r="A239" s="221"/>
      <c r="B239" s="43" t="s">
        <v>2891</v>
      </c>
      <c r="C239" s="207" t="s">
        <v>2974</v>
      </c>
      <c r="D239" s="322"/>
      <c r="E239" s="728" t="s">
        <v>2975</v>
      </c>
      <c r="F239" s="767" t="s">
        <v>2976</v>
      </c>
      <c r="G239" s="319" t="s">
        <v>2979</v>
      </c>
      <c r="H239" s="207"/>
      <c r="I239" s="130"/>
      <c r="J239" s="701" t="s">
        <v>2980</v>
      </c>
      <c r="K239" s="365">
        <v>6.5</v>
      </c>
    </row>
    <row r="240" spans="1:12" ht="33" customHeight="1">
      <c r="A240" s="221"/>
      <c r="B240" s="43" t="s">
        <v>2981</v>
      </c>
      <c r="C240" s="207" t="s">
        <v>980</v>
      </c>
      <c r="D240" s="413" t="s">
        <v>18</v>
      </c>
      <c r="E240" s="99">
        <v>40</v>
      </c>
      <c r="F240" s="767"/>
      <c r="G240" s="887" t="s">
        <v>2969</v>
      </c>
      <c r="H240" s="115" t="s">
        <v>2982</v>
      </c>
      <c r="I240" s="431" t="s">
        <v>554</v>
      </c>
      <c r="J240" s="590" t="s">
        <v>1733</v>
      </c>
      <c r="K240" s="526">
        <v>30</v>
      </c>
    </row>
    <row r="241" spans="1:12" ht="33" customHeight="1">
      <c r="A241" s="221"/>
      <c r="B241" s="43" t="s">
        <v>2983</v>
      </c>
      <c r="C241" s="207" t="s">
        <v>316</v>
      </c>
      <c r="D241" s="413" t="s">
        <v>23</v>
      </c>
      <c r="E241" s="99">
        <v>70</v>
      </c>
      <c r="F241" s="767"/>
      <c r="G241" s="887" t="s">
        <v>2969</v>
      </c>
      <c r="H241" s="115" t="s">
        <v>2982</v>
      </c>
      <c r="I241" s="431" t="s">
        <v>554</v>
      </c>
      <c r="J241" s="590" t="s">
        <v>1733</v>
      </c>
      <c r="K241" s="526">
        <v>60</v>
      </c>
    </row>
    <row r="242" spans="1:12" ht="33" customHeight="1">
      <c r="A242" s="221"/>
      <c r="B242" s="43" t="s">
        <v>2984</v>
      </c>
      <c r="C242" s="207" t="s">
        <v>320</v>
      </c>
      <c r="D242" s="413" t="s">
        <v>40</v>
      </c>
      <c r="E242" s="99">
        <v>140</v>
      </c>
      <c r="F242" s="767"/>
      <c r="G242" s="887" t="s">
        <v>2969</v>
      </c>
      <c r="H242" s="115" t="s">
        <v>2982</v>
      </c>
      <c r="I242" s="431" t="s">
        <v>554</v>
      </c>
      <c r="J242" s="590" t="s">
        <v>1733</v>
      </c>
      <c r="K242" s="526">
        <v>120</v>
      </c>
    </row>
    <row r="243" spans="1:12" ht="33" customHeight="1">
      <c r="A243" s="221"/>
      <c r="B243" s="43" t="s">
        <v>2985</v>
      </c>
      <c r="C243" s="207" t="s">
        <v>980</v>
      </c>
      <c r="D243" s="413" t="s">
        <v>18</v>
      </c>
      <c r="E243" s="99">
        <v>30</v>
      </c>
      <c r="F243" s="767"/>
      <c r="G243" s="887" t="s">
        <v>2969</v>
      </c>
      <c r="H243" s="115" t="s">
        <v>595</v>
      </c>
      <c r="I243" s="431" t="s">
        <v>554</v>
      </c>
      <c r="J243" s="590" t="s">
        <v>591</v>
      </c>
      <c r="K243" s="526">
        <v>22.08</v>
      </c>
    </row>
    <row r="244" spans="1:12" ht="33" customHeight="1" thickBot="1">
      <c r="A244" s="221"/>
      <c r="B244" s="43" t="s">
        <v>2986</v>
      </c>
      <c r="C244" s="207" t="s">
        <v>320</v>
      </c>
      <c r="D244" s="413" t="s">
        <v>40</v>
      </c>
      <c r="E244" s="99">
        <v>120</v>
      </c>
      <c r="F244" s="767"/>
      <c r="G244" s="887" t="s">
        <v>2963</v>
      </c>
      <c r="H244" s="115" t="s">
        <v>2367</v>
      </c>
      <c r="I244" s="431" t="s">
        <v>393</v>
      </c>
      <c r="J244" s="590" t="s">
        <v>379</v>
      </c>
      <c r="K244" s="526">
        <v>98.33</v>
      </c>
    </row>
    <row r="245" spans="1:12" ht="33" customHeight="1" thickBot="1">
      <c r="A245" s="221"/>
      <c r="B245" s="1000" t="s">
        <v>2987</v>
      </c>
      <c r="C245" s="341" t="s">
        <v>980</v>
      </c>
      <c r="D245" s="1352"/>
      <c r="E245" s="1370">
        <v>35</v>
      </c>
      <c r="F245" s="1329" t="s">
        <v>2907</v>
      </c>
      <c r="G245" s="478" t="s">
        <v>2972</v>
      </c>
      <c r="H245" s="925" t="s">
        <v>2988</v>
      </c>
      <c r="I245" s="505" t="s">
        <v>393</v>
      </c>
      <c r="J245" s="1371" t="s">
        <v>384</v>
      </c>
      <c r="K245" s="527" t="s">
        <v>2989</v>
      </c>
    </row>
    <row r="246" spans="1:12" ht="33" customHeight="1">
      <c r="A246" s="221"/>
      <c r="B246" s="1000" t="s">
        <v>2990</v>
      </c>
      <c r="C246" s="2415" t="s">
        <v>316</v>
      </c>
      <c r="D246" s="2132" t="s">
        <v>18</v>
      </c>
      <c r="E246" s="1370"/>
      <c r="F246" s="1329"/>
      <c r="G246" s="478"/>
      <c r="H246" s="925"/>
      <c r="I246" s="505"/>
      <c r="J246" s="1371"/>
      <c r="K246" s="527"/>
    </row>
    <row r="247" spans="1:12" ht="33" customHeight="1">
      <c r="A247" s="221"/>
      <c r="B247" s="1000" t="s">
        <v>2991</v>
      </c>
      <c r="C247" s="341" t="s">
        <v>320</v>
      </c>
      <c r="D247" s="1372" t="s">
        <v>253</v>
      </c>
      <c r="E247" s="1007">
        <v>140</v>
      </c>
      <c r="F247" s="852"/>
      <c r="G247" s="2416" t="s">
        <v>789</v>
      </c>
      <c r="H247" s="925" t="s">
        <v>690</v>
      </c>
      <c r="I247" s="505" t="s">
        <v>393</v>
      </c>
      <c r="J247" s="2417" t="s">
        <v>492</v>
      </c>
      <c r="K247" s="2417" t="s">
        <v>2992</v>
      </c>
    </row>
    <row r="248" spans="1:12" ht="33" customHeight="1">
      <c r="A248" s="221"/>
      <c r="B248" s="770" t="s">
        <v>2993</v>
      </c>
      <c r="C248" s="523" t="s">
        <v>2994</v>
      </c>
      <c r="D248" s="416" t="s">
        <v>70</v>
      </c>
      <c r="E248" s="830" t="s">
        <v>2995</v>
      </c>
      <c r="F248" s="851" t="s">
        <v>2996</v>
      </c>
      <c r="G248" s="822" t="s">
        <v>2972</v>
      </c>
      <c r="H248" s="341" t="s">
        <v>2997</v>
      </c>
      <c r="I248" s="505" t="s">
        <v>393</v>
      </c>
      <c r="J248" s="544" t="s">
        <v>2998</v>
      </c>
      <c r="K248" s="3125" t="s">
        <v>2999</v>
      </c>
      <c r="L248" s="454"/>
    </row>
    <row r="249" spans="1:12" ht="33" customHeight="1">
      <c r="A249" s="221"/>
      <c r="B249" s="770" t="s">
        <v>3000</v>
      </c>
      <c r="C249" s="523"/>
      <c r="D249" s="416" t="s">
        <v>70</v>
      </c>
      <c r="E249" s="830" t="s">
        <v>2995</v>
      </c>
      <c r="F249" s="851" t="s">
        <v>2996</v>
      </c>
      <c r="G249" s="822" t="s">
        <v>2979</v>
      </c>
      <c r="H249" s="341"/>
      <c r="I249" s="505" t="s">
        <v>3001</v>
      </c>
      <c r="J249" s="544" t="s">
        <v>2367</v>
      </c>
      <c r="K249" s="603">
        <v>280</v>
      </c>
    </row>
    <row r="250" spans="1:12" ht="33" customHeight="1">
      <c r="A250" s="221"/>
      <c r="B250" s="770" t="s">
        <v>2912</v>
      </c>
      <c r="C250" s="523" t="s">
        <v>3002</v>
      </c>
      <c r="D250" s="416" t="s">
        <v>23</v>
      </c>
      <c r="E250" s="830"/>
      <c r="F250" s="851"/>
      <c r="G250" s="822" t="s">
        <v>3003</v>
      </c>
      <c r="H250" s="341" t="s">
        <v>3004</v>
      </c>
      <c r="I250" s="505" t="s">
        <v>554</v>
      </c>
      <c r="J250" s="603" t="s">
        <v>3005</v>
      </c>
      <c r="K250" s="3127" t="s">
        <v>3006</v>
      </c>
    </row>
    <row r="251" spans="1:12" ht="33" customHeight="1">
      <c r="A251" s="221"/>
      <c r="B251" s="406"/>
      <c r="C251" s="341"/>
      <c r="D251" s="1372"/>
      <c r="E251" s="1007"/>
      <c r="F251" s="852"/>
      <c r="G251" s="1373"/>
      <c r="H251" s="925"/>
      <c r="I251" s="505"/>
      <c r="J251" s="3126"/>
      <c r="K251" s="3126"/>
    </row>
    <row r="252" spans="1:12" ht="33" customHeight="1">
      <c r="A252" s="221"/>
      <c r="B252" s="406"/>
      <c r="C252" s="341"/>
      <c r="D252" s="1372"/>
      <c r="E252" s="1007"/>
      <c r="F252" s="852"/>
      <c r="G252" s="1373"/>
      <c r="H252" s="925"/>
      <c r="I252" s="505"/>
      <c r="J252" s="3126"/>
      <c r="K252" s="3126"/>
    </row>
    <row r="253" spans="1:12" ht="33" customHeight="1">
      <c r="A253" s="221"/>
      <c r="B253" s="406"/>
      <c r="C253" s="341"/>
      <c r="D253" s="1372"/>
      <c r="E253" s="1007"/>
      <c r="F253" s="852"/>
      <c r="G253" s="1373"/>
      <c r="H253" s="925"/>
      <c r="I253" s="505"/>
      <c r="J253" s="1374"/>
      <c r="K253" s="1374"/>
    </row>
    <row r="254" spans="1:12" ht="33" customHeight="1">
      <c r="A254" s="221"/>
      <c r="B254" s="406"/>
      <c r="C254" s="341"/>
      <c r="D254" s="1372"/>
      <c r="E254" s="1007"/>
      <c r="F254" s="852"/>
      <c r="G254" s="1373"/>
      <c r="H254" s="925"/>
      <c r="I254" s="505"/>
      <c r="J254" s="609"/>
      <c r="K254" s="609"/>
    </row>
    <row r="255" spans="1:12" ht="33" customHeight="1">
      <c r="A255" s="221"/>
      <c r="B255" s="781" t="s">
        <v>3007</v>
      </c>
      <c r="C255" s="341"/>
      <c r="D255" s="1372"/>
      <c r="E255" s="1007"/>
      <c r="F255" s="852"/>
      <c r="G255" s="1373"/>
      <c r="H255" s="925"/>
      <c r="I255" s="505"/>
      <c r="J255" s="609"/>
      <c r="K255" s="609"/>
    </row>
    <row r="256" spans="1:12" ht="33" customHeight="1">
      <c r="A256" s="221"/>
      <c r="B256" s="406" t="s">
        <v>3008</v>
      </c>
      <c r="C256" s="786" t="s">
        <v>298</v>
      </c>
      <c r="D256" s="1352" t="s">
        <v>683</v>
      </c>
      <c r="E256" s="831"/>
      <c r="F256" s="852"/>
      <c r="G256" s="822" t="s">
        <v>341</v>
      </c>
      <c r="H256" s="523">
        <v>89</v>
      </c>
      <c r="I256" s="509" t="s">
        <v>1102</v>
      </c>
      <c r="J256" s="3705" t="s">
        <v>3009</v>
      </c>
      <c r="K256" s="3706">
        <v>3.85</v>
      </c>
      <c r="L256" s="454"/>
    </row>
    <row r="257" spans="1:13" ht="33" customHeight="1">
      <c r="A257" s="221"/>
      <c r="B257" s="1000" t="s">
        <v>3010</v>
      </c>
      <c r="C257" s="786" t="s">
        <v>298</v>
      </c>
      <c r="D257" s="1352" t="s">
        <v>683</v>
      </c>
      <c r="E257" s="830"/>
      <c r="F257" s="851"/>
      <c r="G257" s="822" t="s">
        <v>341</v>
      </c>
      <c r="H257" s="523">
        <v>100</v>
      </c>
      <c r="I257" s="509" t="s">
        <v>1102</v>
      </c>
      <c r="J257" s="3705" t="s">
        <v>3011</v>
      </c>
      <c r="K257" s="983"/>
      <c r="L257" s="454"/>
    </row>
    <row r="258" spans="1:13" ht="33" customHeight="1">
      <c r="A258" s="221"/>
      <c r="B258" s="958"/>
      <c r="C258" s="523"/>
      <c r="D258" s="416"/>
      <c r="E258" s="830"/>
      <c r="F258" s="851"/>
      <c r="G258" s="822"/>
      <c r="H258" s="523"/>
      <c r="I258" s="509"/>
      <c r="J258" s="710"/>
      <c r="K258" s="983"/>
    </row>
    <row r="259" spans="1:13" ht="33" customHeight="1">
      <c r="A259" s="221"/>
      <c r="B259" s="996" t="s">
        <v>3012</v>
      </c>
      <c r="C259" s="523"/>
      <c r="D259" s="416"/>
      <c r="E259" s="830"/>
      <c r="F259" s="851"/>
      <c r="G259" s="822"/>
      <c r="H259" s="523"/>
      <c r="I259" s="509"/>
      <c r="J259" s="710"/>
      <c r="K259" s="983"/>
      <c r="L259" s="454"/>
    </row>
    <row r="260" spans="1:13" ht="33" customHeight="1">
      <c r="A260" s="221"/>
      <c r="B260" s="362" t="s">
        <v>1978</v>
      </c>
      <c r="C260" s="207" t="s">
        <v>1740</v>
      </c>
      <c r="D260" s="322" t="s">
        <v>23</v>
      </c>
      <c r="E260" s="1603">
        <v>30</v>
      </c>
      <c r="F260" s="1604"/>
      <c r="G260" s="248" t="s">
        <v>3013</v>
      </c>
      <c r="H260" s="639"/>
      <c r="I260" s="115"/>
      <c r="J260" s="1031" t="s">
        <v>3014</v>
      </c>
      <c r="K260" s="364">
        <v>25.42</v>
      </c>
      <c r="L260" s="454"/>
    </row>
    <row r="261" spans="1:13" ht="33" customHeight="1">
      <c r="A261" s="221"/>
      <c r="B261" s="362" t="s">
        <v>1978</v>
      </c>
      <c r="C261" s="207" t="s">
        <v>320</v>
      </c>
      <c r="D261" s="322" t="s">
        <v>23</v>
      </c>
      <c r="E261" s="1603">
        <v>145</v>
      </c>
      <c r="F261" s="1604"/>
      <c r="G261" s="248" t="s">
        <v>1971</v>
      </c>
      <c r="H261" s="639" t="s">
        <v>1980</v>
      </c>
      <c r="I261" s="115"/>
      <c r="J261" s="639" t="s">
        <v>1980</v>
      </c>
      <c r="K261" s="364" t="s">
        <v>1981</v>
      </c>
      <c r="L261" s="454"/>
    </row>
    <row r="262" spans="1:13" ht="33" customHeight="1">
      <c r="A262" s="221"/>
      <c r="B262" s="2061" t="s">
        <v>3015</v>
      </c>
      <c r="C262" s="341"/>
      <c r="D262" s="1352" t="s">
        <v>137</v>
      </c>
      <c r="E262" s="875" t="s">
        <v>3016</v>
      </c>
      <c r="F262" s="624" t="s">
        <v>1983</v>
      </c>
      <c r="G262" s="823" t="s">
        <v>1913</v>
      </c>
      <c r="H262" s="341"/>
      <c r="I262" s="505" t="s">
        <v>1984</v>
      </c>
      <c r="J262" s="878" t="s">
        <v>3017</v>
      </c>
      <c r="K262" s="646" t="s">
        <v>3018</v>
      </c>
      <c r="L262" s="454"/>
    </row>
    <row r="263" spans="1:13" ht="33" customHeight="1">
      <c r="A263" s="221"/>
      <c r="B263" s="362" t="s">
        <v>1986</v>
      </c>
      <c r="C263" s="207"/>
      <c r="D263" s="322" t="s">
        <v>23</v>
      </c>
      <c r="E263" s="1603"/>
      <c r="F263" s="1604">
        <v>20</v>
      </c>
      <c r="G263" s="248" t="s">
        <v>1987</v>
      </c>
      <c r="H263" s="639"/>
      <c r="I263" s="115"/>
      <c r="J263" s="1031"/>
      <c r="K263" s="364">
        <v>14.16</v>
      </c>
      <c r="L263" s="454"/>
    </row>
    <row r="264" spans="1:13" ht="33" customHeight="1">
      <c r="A264" s="157"/>
      <c r="B264" s="55"/>
      <c r="C264" s="207"/>
      <c r="D264" s="322"/>
      <c r="E264" s="728"/>
      <c r="F264" s="767"/>
      <c r="G264" s="310"/>
      <c r="H264" s="207"/>
      <c r="I264" s="431"/>
      <c r="J264" s="586"/>
      <c r="K264" s="365"/>
      <c r="L264" s="454"/>
    </row>
    <row r="265" spans="1:13" ht="33" customHeight="1">
      <c r="A265" s="323"/>
      <c r="B265" s="323"/>
      <c r="C265" s="503"/>
      <c r="D265" s="419"/>
      <c r="E265" s="324"/>
      <c r="F265" s="324"/>
      <c r="G265" s="323"/>
      <c r="H265" s="417"/>
      <c r="I265" s="504"/>
      <c r="J265" s="708"/>
      <c r="K265" s="377"/>
      <c r="L265" s="402"/>
      <c r="M265" s="323"/>
    </row>
    <row r="266" spans="1:13" ht="33" customHeight="1">
      <c r="A266" s="44"/>
      <c r="B266" s="44"/>
      <c r="C266" s="167"/>
      <c r="D266" s="167"/>
      <c r="E266" s="104"/>
      <c r="F266" s="104"/>
      <c r="G266" s="104"/>
      <c r="H266" s="167"/>
      <c r="I266" s="205"/>
    </row>
    <row r="267" spans="1:13" ht="33" customHeight="1">
      <c r="A267" s="279" t="s">
        <v>0</v>
      </c>
      <c r="B267" s="294"/>
      <c r="C267" s="167"/>
      <c r="F267" s="104"/>
    </row>
    <row r="268" spans="1:13" ht="33" customHeight="1">
      <c r="A268" s="3515" t="s">
        <v>3019</v>
      </c>
      <c r="B268" s="3515"/>
      <c r="C268" s="167"/>
      <c r="D268" s="167"/>
      <c r="F268" s="104"/>
    </row>
    <row r="269" spans="1:13" ht="25.5" customHeight="1" thickBot="1">
      <c r="F269" s="104"/>
    </row>
    <row r="270" spans="1:13" ht="33" customHeight="1">
      <c r="A270" s="3481" t="s">
        <v>2</v>
      </c>
      <c r="B270" s="3482"/>
      <c r="C270" s="344" t="s">
        <v>3</v>
      </c>
      <c r="D270" s="408" t="s">
        <v>4</v>
      </c>
      <c r="E270" s="828" t="s">
        <v>5</v>
      </c>
      <c r="F270" s="849" t="s">
        <v>5</v>
      </c>
      <c r="G270" s="307" t="s">
        <v>6</v>
      </c>
      <c r="H270" s="344" t="s">
        <v>7</v>
      </c>
      <c r="I270" s="498" t="s">
        <v>1511</v>
      </c>
      <c r="J270" s="699" t="s">
        <v>9</v>
      </c>
      <c r="K270" s="346" t="s">
        <v>9</v>
      </c>
    </row>
    <row r="271" spans="1:13" ht="33" customHeight="1" thickBot="1">
      <c r="A271" s="51"/>
      <c r="B271" s="138"/>
      <c r="C271" s="345"/>
      <c r="D271" s="409" t="s">
        <v>10</v>
      </c>
      <c r="E271" s="829" t="s">
        <v>11</v>
      </c>
      <c r="F271" s="850" t="s">
        <v>12</v>
      </c>
      <c r="G271" s="308"/>
      <c r="H271" s="345" t="s">
        <v>13</v>
      </c>
      <c r="I271" s="499" t="s">
        <v>1512</v>
      </c>
      <c r="J271" s="700" t="s">
        <v>14</v>
      </c>
      <c r="K271" s="347" t="s">
        <v>15</v>
      </c>
    </row>
    <row r="272" spans="1:13" ht="33" customHeight="1">
      <c r="A272" s="221"/>
      <c r="B272" s="3697" t="s">
        <v>3020</v>
      </c>
      <c r="C272" s="3698"/>
      <c r="D272" s="413"/>
      <c r="E272" s="831"/>
      <c r="F272" s="852"/>
      <c r="G272" s="312" t="s">
        <v>3021</v>
      </c>
      <c r="H272" s="341"/>
      <c r="I272" s="505"/>
      <c r="J272" s="604"/>
      <c r="K272" s="378"/>
    </row>
    <row r="273" spans="1:12" ht="33" customHeight="1">
      <c r="A273" s="221"/>
      <c r="B273" s="3707" t="s">
        <v>3020</v>
      </c>
      <c r="C273" s="341"/>
      <c r="D273" s="1352" t="s">
        <v>248</v>
      </c>
      <c r="E273" s="831">
        <v>40</v>
      </c>
      <c r="F273" s="852">
        <v>600</v>
      </c>
      <c r="G273" s="312" t="s">
        <v>3022</v>
      </c>
      <c r="H273" s="341"/>
      <c r="I273" s="1333"/>
      <c r="J273" s="604">
        <v>500</v>
      </c>
      <c r="K273" s="378">
        <v>25</v>
      </c>
    </row>
    <row r="274" spans="1:12" ht="33" customHeight="1">
      <c r="A274" s="221"/>
      <c r="B274" s="958"/>
      <c r="C274" s="341"/>
      <c r="D274" s="1352"/>
      <c r="E274" s="831"/>
      <c r="F274" s="852"/>
      <c r="G274" s="312"/>
      <c r="H274" s="341"/>
      <c r="I274" s="505"/>
      <c r="J274" s="604"/>
      <c r="K274" s="378"/>
    </row>
    <row r="275" spans="1:12" ht="33" customHeight="1">
      <c r="A275" s="221"/>
      <c r="B275" s="3697" t="s">
        <v>3020</v>
      </c>
      <c r="C275" s="3698"/>
      <c r="D275" s="1352"/>
      <c r="E275" s="831"/>
      <c r="F275" s="852"/>
      <c r="G275" s="312" t="s">
        <v>3023</v>
      </c>
      <c r="H275" s="341"/>
      <c r="I275" s="505"/>
      <c r="J275" s="604"/>
      <c r="K275" s="378"/>
    </row>
    <row r="276" spans="1:12" ht="33" customHeight="1">
      <c r="A276" s="221"/>
      <c r="B276" s="3707" t="s">
        <v>3020</v>
      </c>
      <c r="C276" s="341"/>
      <c r="D276" s="1352" t="s">
        <v>248</v>
      </c>
      <c r="E276" s="831">
        <v>40</v>
      </c>
      <c r="F276" s="852">
        <v>580</v>
      </c>
      <c r="G276" s="312" t="s">
        <v>1486</v>
      </c>
      <c r="H276" s="341"/>
      <c r="I276" s="1333"/>
      <c r="J276" s="604">
        <v>480</v>
      </c>
      <c r="K276" s="378">
        <v>24</v>
      </c>
    </row>
    <row r="277" spans="1:12" ht="33" customHeight="1">
      <c r="A277" s="221"/>
      <c r="B277" s="958"/>
      <c r="C277" s="341"/>
      <c r="D277" s="1352"/>
      <c r="E277" s="831"/>
      <c r="F277" s="852"/>
      <c r="G277" s="312"/>
      <c r="H277" s="341"/>
      <c r="I277" s="505"/>
      <c r="J277" s="604"/>
      <c r="K277" s="378"/>
    </row>
    <row r="278" spans="1:12" ht="33" customHeight="1">
      <c r="A278" s="221"/>
      <c r="B278" s="770"/>
      <c r="C278" s="341"/>
      <c r="D278" s="1352"/>
      <c r="E278" s="831"/>
      <c r="F278" s="852"/>
      <c r="G278" s="312"/>
      <c r="H278" s="341"/>
      <c r="I278" s="505"/>
      <c r="J278" s="378"/>
      <c r="K278" s="378"/>
    </row>
    <row r="279" spans="1:12" ht="33" customHeight="1">
      <c r="A279" s="221"/>
      <c r="B279" s="996" t="s">
        <v>3024</v>
      </c>
      <c r="C279" s="986"/>
      <c r="D279" s="1352"/>
      <c r="E279" s="831"/>
      <c r="F279" s="852"/>
      <c r="G279" s="3465" t="s">
        <v>3025</v>
      </c>
      <c r="H279" s="3466"/>
      <c r="I279" s="3466"/>
      <c r="J279" s="3466"/>
      <c r="K279" s="3466"/>
    </row>
    <row r="280" spans="1:12" ht="33" customHeight="1">
      <c r="A280" s="221"/>
      <c r="B280" s="3707" t="s">
        <v>3024</v>
      </c>
      <c r="C280" s="341"/>
      <c r="D280" s="1352" t="s">
        <v>248</v>
      </c>
      <c r="E280" s="831">
        <v>40</v>
      </c>
      <c r="F280" s="852">
        <v>580</v>
      </c>
      <c r="G280" s="312" t="s">
        <v>3026</v>
      </c>
      <c r="H280" s="341">
        <v>530</v>
      </c>
      <c r="I280" s="505" t="s">
        <v>3027</v>
      </c>
      <c r="J280" s="378">
        <v>513</v>
      </c>
      <c r="K280" s="378">
        <v>25.64</v>
      </c>
    </row>
    <row r="281" spans="1:12" ht="33" customHeight="1">
      <c r="A281" s="221"/>
      <c r="B281" s="770"/>
      <c r="C281" s="341"/>
      <c r="D281" s="1352"/>
      <c r="E281" s="831"/>
      <c r="F281" s="852"/>
      <c r="G281" s="312"/>
      <c r="H281" s="341"/>
      <c r="I281" s="505"/>
      <c r="J281" s="604"/>
      <c r="K281" s="378"/>
    </row>
    <row r="282" spans="1:12" ht="33" customHeight="1">
      <c r="A282" s="221"/>
      <c r="B282" s="1210"/>
      <c r="C282" s="1211"/>
      <c r="D282" s="391"/>
      <c r="E282" s="1301"/>
      <c r="F282" s="1299"/>
      <c r="G282" s="1302"/>
      <c r="H282" s="1300"/>
      <c r="I282" s="1205"/>
      <c r="J282" s="1045"/>
      <c r="K282" s="1298"/>
    </row>
    <row r="283" spans="1:12" ht="33" customHeight="1">
      <c r="A283" s="221"/>
      <c r="B283" s="963" t="s">
        <v>3028</v>
      </c>
      <c r="C283" s="1211"/>
      <c r="D283" s="391"/>
      <c r="E283" s="1301"/>
      <c r="F283" s="1299"/>
      <c r="G283" s="1302"/>
      <c r="H283" s="1300"/>
      <c r="I283" s="1205"/>
      <c r="J283" s="1300"/>
      <c r="K283" s="1298"/>
      <c r="L283" s="427"/>
    </row>
    <row r="284" spans="1:12" ht="33" customHeight="1">
      <c r="A284" s="221"/>
      <c r="B284" s="3707" t="s">
        <v>3029</v>
      </c>
      <c r="C284" s="1211"/>
      <c r="D284" s="1352" t="s">
        <v>248</v>
      </c>
      <c r="E284" s="831">
        <v>40</v>
      </c>
      <c r="F284" s="852">
        <v>580</v>
      </c>
      <c r="G284" s="312" t="s">
        <v>3030</v>
      </c>
      <c r="H284" s="341">
        <v>500</v>
      </c>
      <c r="I284" s="505" t="s">
        <v>3031</v>
      </c>
      <c r="J284" s="378">
        <v>480.77</v>
      </c>
      <c r="K284" s="378">
        <v>24.04</v>
      </c>
    </row>
    <row r="285" spans="1:12" ht="33" customHeight="1" thickBot="1">
      <c r="A285" s="221"/>
      <c r="B285" s="770"/>
      <c r="C285" s="1459"/>
      <c r="D285" s="422"/>
      <c r="E285" s="221"/>
      <c r="F285" s="777"/>
      <c r="G285" s="223"/>
      <c r="H285" s="224"/>
      <c r="I285" s="620"/>
      <c r="J285" s="686"/>
      <c r="K285" s="378"/>
      <c r="L285" s="427"/>
    </row>
    <row r="286" spans="1:12" ht="33" customHeight="1">
      <c r="A286" s="221"/>
      <c r="B286" s="1579" t="s">
        <v>3032</v>
      </c>
      <c r="C286" s="608" t="s">
        <v>3033</v>
      </c>
      <c r="D286" s="227"/>
      <c r="E286" s="846"/>
      <c r="F286" s="855"/>
      <c r="G286" s="477"/>
      <c r="H286" s="115"/>
      <c r="I286" s="431"/>
      <c r="J286" s="549"/>
      <c r="K286" s="526"/>
      <c r="L286" s="427"/>
    </row>
    <row r="287" spans="1:12" ht="33" customHeight="1">
      <c r="A287" s="221"/>
      <c r="B287" s="1447" t="s">
        <v>3034</v>
      </c>
      <c r="C287" s="1446"/>
      <c r="D287" s="1452"/>
      <c r="E287" s="1451"/>
      <c r="F287" s="1449"/>
      <c r="G287" s="1453" t="s">
        <v>3035</v>
      </c>
      <c r="H287" s="1448">
        <v>70</v>
      </c>
      <c r="I287" s="1450" t="s">
        <v>3036</v>
      </c>
      <c r="J287" s="1454"/>
      <c r="K287" s="1454">
        <v>67</v>
      </c>
      <c r="L287" s="427"/>
    </row>
    <row r="288" spans="1:12" ht="33" customHeight="1">
      <c r="A288" s="221"/>
      <c r="B288" s="1447" t="s">
        <v>3037</v>
      </c>
      <c r="C288" s="1446"/>
      <c r="D288" s="1452"/>
      <c r="E288" s="1451"/>
      <c r="F288" s="1449"/>
      <c r="G288" s="1453" t="s">
        <v>3035</v>
      </c>
      <c r="H288" s="1448">
        <v>70</v>
      </c>
      <c r="I288" s="1450" t="s">
        <v>3038</v>
      </c>
      <c r="J288" s="1454"/>
      <c r="K288" s="1454">
        <v>67</v>
      </c>
    </row>
    <row r="289" spans="1:12" ht="33" customHeight="1">
      <c r="A289" s="221"/>
      <c r="B289" s="1447" t="s">
        <v>3039</v>
      </c>
      <c r="C289" s="1446"/>
      <c r="D289" s="1452"/>
      <c r="E289" s="1451"/>
      <c r="F289" s="1449"/>
      <c r="G289" s="1453" t="s">
        <v>3040</v>
      </c>
      <c r="H289" s="1448"/>
      <c r="I289" s="1450"/>
      <c r="J289" s="1454"/>
      <c r="K289" s="1454">
        <v>36</v>
      </c>
      <c r="L289" s="427"/>
    </row>
    <row r="290" spans="1:12" ht="33" customHeight="1">
      <c r="A290" s="221"/>
      <c r="B290" s="1447" t="s">
        <v>3041</v>
      </c>
      <c r="C290" s="1446"/>
      <c r="D290" s="1452"/>
      <c r="E290" s="1451"/>
      <c r="F290" s="1449"/>
      <c r="G290" s="1453" t="s">
        <v>3042</v>
      </c>
      <c r="H290" s="1448">
        <v>75</v>
      </c>
      <c r="I290" s="1450" t="s">
        <v>3043</v>
      </c>
      <c r="J290" s="1454"/>
      <c r="K290" s="1454">
        <v>68.099999999999994</v>
      </c>
    </row>
    <row r="291" spans="1:12" ht="33" customHeight="1">
      <c r="A291" s="221"/>
      <c r="B291" s="1447" t="s">
        <v>3044</v>
      </c>
      <c r="C291" s="1446"/>
      <c r="D291" s="1452"/>
      <c r="E291" s="1451" t="s">
        <v>3045</v>
      </c>
      <c r="F291" s="1449" t="s">
        <v>3046</v>
      </c>
      <c r="G291" s="1453" t="s">
        <v>3042</v>
      </c>
      <c r="H291" s="1448">
        <v>35</v>
      </c>
      <c r="I291" s="1450" t="s">
        <v>3043</v>
      </c>
      <c r="J291" s="1454"/>
      <c r="K291" s="1454">
        <v>32</v>
      </c>
    </row>
    <row r="292" spans="1:12" ht="33" customHeight="1">
      <c r="A292" s="221"/>
      <c r="B292" s="1447" t="s">
        <v>3047</v>
      </c>
      <c r="C292" s="1446"/>
      <c r="D292" s="1452"/>
      <c r="E292" s="1451"/>
      <c r="F292" s="1449"/>
      <c r="G292" s="1453" t="s">
        <v>3040</v>
      </c>
      <c r="H292" s="1448"/>
      <c r="I292" s="1450"/>
      <c r="J292" s="1455"/>
      <c r="K292" s="1455">
        <v>150</v>
      </c>
    </row>
    <row r="293" spans="1:12" ht="33" customHeight="1">
      <c r="A293" s="221"/>
      <c r="B293" s="958"/>
      <c r="C293" s="341"/>
      <c r="D293" s="413"/>
      <c r="E293" s="831"/>
      <c r="F293" s="852"/>
      <c r="G293" s="3513"/>
      <c r="H293" s="3514"/>
      <c r="I293" s="3514"/>
      <c r="J293" s="3514"/>
      <c r="K293" s="3514"/>
    </row>
    <row r="294" spans="1:12" ht="33" customHeight="1">
      <c r="A294" s="221"/>
      <c r="B294" s="3707"/>
      <c r="C294" s="341"/>
      <c r="D294" s="413"/>
      <c r="E294" s="831"/>
      <c r="F294" s="852"/>
      <c r="G294" s="312"/>
      <c r="H294" s="341"/>
      <c r="I294" s="505"/>
      <c r="J294" s="378"/>
      <c r="K294" s="378"/>
    </row>
    <row r="295" spans="1:12" ht="33" customHeight="1">
      <c r="A295" s="221"/>
      <c r="B295" s="770"/>
      <c r="C295" s="341"/>
      <c r="D295" s="413"/>
      <c r="E295" s="831"/>
      <c r="F295" s="852"/>
      <c r="G295" s="312"/>
      <c r="H295" s="341"/>
      <c r="I295" s="505"/>
      <c r="J295" s="604"/>
      <c r="K295" s="378"/>
    </row>
    <row r="296" spans="1:12" ht="33" customHeight="1">
      <c r="A296" s="221"/>
      <c r="B296" s="958"/>
      <c r="C296" s="341"/>
      <c r="D296" s="413"/>
      <c r="E296" s="831"/>
      <c r="F296" s="852"/>
      <c r="G296" s="312"/>
      <c r="H296" s="341"/>
      <c r="I296" s="505"/>
      <c r="J296" s="604"/>
      <c r="K296" s="378"/>
    </row>
    <row r="297" spans="1:12" ht="33" customHeight="1">
      <c r="A297" s="221"/>
      <c r="B297" s="770"/>
      <c r="C297" s="341"/>
      <c r="D297" s="413"/>
      <c r="E297" s="831"/>
      <c r="F297" s="852"/>
      <c r="G297" s="312"/>
      <c r="H297" s="341"/>
      <c r="I297" s="505"/>
      <c r="J297" s="604"/>
      <c r="K297" s="378"/>
    </row>
    <row r="298" spans="1:12" ht="33" customHeight="1">
      <c r="A298" s="221"/>
      <c r="B298" s="770"/>
      <c r="C298" s="341"/>
      <c r="D298" s="413"/>
      <c r="E298" s="831"/>
      <c r="F298" s="852"/>
      <c r="G298" s="312"/>
      <c r="H298" s="341"/>
      <c r="I298" s="505"/>
      <c r="J298" s="604"/>
      <c r="K298" s="378"/>
    </row>
    <row r="299" spans="1:12" ht="33" customHeight="1">
      <c r="A299" s="221"/>
      <c r="B299" s="770"/>
      <c r="C299" s="341"/>
      <c r="D299" s="413"/>
      <c r="E299" s="831"/>
      <c r="F299" s="852"/>
      <c r="G299" s="312"/>
      <c r="H299" s="341"/>
      <c r="I299" s="505"/>
      <c r="J299" s="604"/>
      <c r="K299" s="378"/>
    </row>
    <row r="300" spans="1:12" ht="33" customHeight="1">
      <c r="A300" s="221"/>
      <c r="B300" s="958"/>
      <c r="C300" s="341"/>
      <c r="D300" s="413"/>
      <c r="E300" s="831"/>
      <c r="F300" s="852"/>
      <c r="G300" s="312"/>
      <c r="H300" s="341"/>
      <c r="I300" s="505"/>
      <c r="J300" s="604"/>
      <c r="K300" s="378"/>
    </row>
    <row r="301" spans="1:12" ht="33" customHeight="1">
      <c r="A301" s="221"/>
      <c r="B301" s="1338"/>
      <c r="C301" s="341"/>
      <c r="D301" s="413"/>
      <c r="E301" s="831"/>
      <c r="F301" s="852"/>
      <c r="G301" s="312"/>
      <c r="H301" s="341"/>
      <c r="I301" s="505"/>
      <c r="J301" s="604"/>
      <c r="K301" s="378"/>
    </row>
    <row r="302" spans="1:12" ht="33" customHeight="1">
      <c r="A302" s="221"/>
      <c r="B302" s="958"/>
      <c r="C302" s="341"/>
      <c r="D302" s="413"/>
      <c r="E302" s="831"/>
      <c r="F302" s="852"/>
      <c r="G302" s="312"/>
      <c r="H302" s="341"/>
      <c r="I302" s="505"/>
      <c r="J302" s="604"/>
      <c r="K302" s="378"/>
    </row>
    <row r="303" spans="1:12" ht="33" customHeight="1">
      <c r="A303" s="44"/>
      <c r="B303" s="44"/>
      <c r="C303" s="204"/>
      <c r="D303" s="124"/>
      <c r="E303" s="104"/>
      <c r="F303" s="104"/>
      <c r="G303" s="44"/>
      <c r="H303" s="167"/>
      <c r="I303" s="218"/>
    </row>
    <row r="304" spans="1:12" ht="33" customHeight="1">
      <c r="A304" s="44"/>
      <c r="B304" s="44"/>
      <c r="C304" s="204"/>
      <c r="D304" s="124"/>
      <c r="E304" s="104"/>
      <c r="F304" s="104"/>
      <c r="G304" s="44"/>
      <c r="H304" s="167"/>
      <c r="I304" s="218"/>
    </row>
    <row r="305" spans="1:11" ht="33" customHeight="1">
      <c r="A305" s="279" t="s">
        <v>0</v>
      </c>
      <c r="B305" s="294"/>
      <c r="C305" s="167"/>
      <c r="F305" s="104"/>
    </row>
    <row r="306" spans="1:11" ht="33" customHeight="1">
      <c r="A306" s="3515" t="s">
        <v>3048</v>
      </c>
      <c r="B306" s="3515"/>
      <c r="C306" s="167"/>
      <c r="D306" s="167"/>
      <c r="F306" s="104"/>
    </row>
    <row r="307" spans="1:11" ht="23.25" customHeight="1" thickBot="1">
      <c r="F307" s="104"/>
    </row>
    <row r="308" spans="1:11" ht="33" customHeight="1">
      <c r="A308" s="3493" t="s">
        <v>2</v>
      </c>
      <c r="B308" s="3482"/>
      <c r="C308" s="344" t="s">
        <v>3</v>
      </c>
      <c r="D308" s="408" t="s">
        <v>4</v>
      </c>
      <c r="E308" s="828" t="s">
        <v>5</v>
      </c>
      <c r="F308" s="849" t="s">
        <v>5</v>
      </c>
      <c r="G308" s="307" t="s">
        <v>6</v>
      </c>
      <c r="H308" s="344" t="s">
        <v>7</v>
      </c>
      <c r="I308" s="498" t="s">
        <v>1511</v>
      </c>
      <c r="J308" s="699" t="s">
        <v>9</v>
      </c>
      <c r="K308" s="346" t="s">
        <v>9</v>
      </c>
    </row>
    <row r="309" spans="1:11" ht="33" customHeight="1" thickBot="1">
      <c r="A309" s="155"/>
      <c r="B309" s="138"/>
      <c r="C309" s="345"/>
      <c r="D309" s="409" t="s">
        <v>10</v>
      </c>
      <c r="E309" s="829" t="s">
        <v>11</v>
      </c>
      <c r="F309" s="850" t="s">
        <v>12</v>
      </c>
      <c r="G309" s="308"/>
      <c r="H309" s="345" t="s">
        <v>13</v>
      </c>
      <c r="I309" s="499" t="s">
        <v>1512</v>
      </c>
      <c r="J309" s="700" t="s">
        <v>14</v>
      </c>
      <c r="K309" s="347" t="s">
        <v>15</v>
      </c>
    </row>
    <row r="310" spans="1:11" ht="33" customHeight="1">
      <c r="A310" s="221"/>
      <c r="B310" s="1369"/>
      <c r="C310" s="608"/>
      <c r="D310" s="3463"/>
      <c r="E310" s="1370"/>
      <c r="F310" s="1329"/>
      <c r="G310" s="478"/>
      <c r="H310" s="925"/>
      <c r="I310" s="505"/>
      <c r="J310" s="1371"/>
      <c r="K310" s="527"/>
    </row>
    <row r="311" spans="1:11" ht="33" customHeight="1">
      <c r="A311" s="221"/>
      <c r="B311" s="406"/>
      <c r="C311" s="341"/>
      <c r="D311" s="1372"/>
      <c r="E311" s="1007"/>
      <c r="F311" s="852"/>
      <c r="G311" s="1373"/>
      <c r="H311" s="925"/>
      <c r="I311" s="505"/>
      <c r="J311" s="1374"/>
      <c r="K311" s="1374"/>
    </row>
    <row r="312" spans="1:11" ht="33" customHeight="1">
      <c r="A312" s="221"/>
      <c r="B312" s="406"/>
      <c r="C312" s="341"/>
      <c r="D312" s="1372"/>
      <c r="E312" s="1007"/>
      <c r="F312" s="852"/>
      <c r="G312" s="1373"/>
      <c r="H312" s="925"/>
      <c r="I312" s="505"/>
      <c r="J312" s="1374"/>
      <c r="K312" s="1374"/>
    </row>
    <row r="313" spans="1:11" ht="33" customHeight="1">
      <c r="A313" s="221"/>
      <c r="B313" s="406"/>
      <c r="C313" s="341"/>
      <c r="D313" s="1372"/>
      <c r="E313" s="1007"/>
      <c r="F313" s="852"/>
      <c r="G313" s="1373"/>
      <c r="H313" s="925"/>
      <c r="I313" s="505"/>
      <c r="J313" s="1374"/>
      <c r="K313" s="1374"/>
    </row>
    <row r="314" spans="1:11" ht="33" customHeight="1">
      <c r="A314" s="221"/>
      <c r="B314" s="406"/>
      <c r="C314" s="341"/>
      <c r="D314" s="1372"/>
      <c r="E314" s="1007"/>
      <c r="F314" s="852"/>
      <c r="G314" s="1373"/>
      <c r="H314" s="925"/>
      <c r="I314" s="505"/>
      <c r="J314" s="1374"/>
      <c r="K314" s="1374"/>
    </row>
    <row r="315" spans="1:11" ht="33" customHeight="1">
      <c r="A315" s="221"/>
      <c r="B315" s="406"/>
      <c r="C315" s="341"/>
      <c r="D315" s="1372"/>
      <c r="E315" s="1007"/>
      <c r="F315" s="852"/>
      <c r="G315" s="1373"/>
      <c r="H315" s="925"/>
      <c r="I315" s="505"/>
      <c r="J315" s="1374"/>
      <c r="K315" s="1374"/>
    </row>
    <row r="316" spans="1:11" ht="33" customHeight="1">
      <c r="A316" s="221"/>
      <c r="B316" s="406"/>
      <c r="C316" s="341"/>
      <c r="D316" s="1372"/>
      <c r="E316" s="1007"/>
      <c r="F316" s="852"/>
      <c r="G316" s="1373"/>
      <c r="H316" s="925"/>
      <c r="I316" s="505"/>
      <c r="J316" s="609"/>
      <c r="K316" s="609"/>
    </row>
    <row r="317" spans="1:11" ht="33" customHeight="1">
      <c r="A317" s="221"/>
      <c r="B317" s="406"/>
      <c r="C317" s="341"/>
      <c r="D317" s="413"/>
      <c r="E317" s="831"/>
      <c r="F317" s="852"/>
      <c r="G317" s="822"/>
      <c r="H317" s="523"/>
      <c r="I317" s="509"/>
      <c r="J317" s="983"/>
      <c r="K317" s="983"/>
    </row>
    <row r="318" spans="1:11" ht="33" customHeight="1">
      <c r="A318" s="221"/>
      <c r="B318" s="958"/>
      <c r="C318" s="523"/>
      <c r="D318" s="416"/>
      <c r="E318" s="830"/>
      <c r="F318" s="851"/>
      <c r="G318" s="822"/>
      <c r="H318" s="523"/>
      <c r="I318" s="509"/>
      <c r="J318" s="710"/>
      <c r="K318" s="983"/>
    </row>
    <row r="319" spans="1:11" ht="33" customHeight="1">
      <c r="A319" s="221"/>
      <c r="B319" s="958"/>
      <c r="C319" s="523"/>
      <c r="D319" s="416"/>
      <c r="E319" s="830"/>
      <c r="F319" s="851"/>
      <c r="G319" s="822"/>
      <c r="H319" s="523"/>
      <c r="I319" s="509"/>
      <c r="J319" s="710"/>
      <c r="K319" s="983"/>
    </row>
    <row r="320" spans="1:11" ht="33" customHeight="1">
      <c r="A320" s="221"/>
      <c r="B320" s="958"/>
      <c r="C320" s="523"/>
      <c r="D320" s="416"/>
      <c r="E320" s="830"/>
      <c r="F320" s="851"/>
      <c r="G320" s="822"/>
      <c r="H320" s="523"/>
      <c r="I320" s="509"/>
      <c r="J320" s="710"/>
      <c r="K320" s="983"/>
    </row>
    <row r="321" spans="1:11" ht="33" customHeight="1">
      <c r="A321" s="221"/>
      <c r="B321" s="770"/>
      <c r="C321" s="341"/>
      <c r="D321" s="413"/>
      <c r="E321" s="831"/>
      <c r="F321" s="852"/>
      <c r="G321" s="312"/>
      <c r="H321" s="341"/>
      <c r="I321" s="505"/>
      <c r="J321" s="604"/>
      <c r="K321" s="378"/>
    </row>
    <row r="322" spans="1:11" ht="33" customHeight="1">
      <c r="A322" s="221"/>
      <c r="B322" s="1338"/>
      <c r="C322" s="341"/>
      <c r="D322" s="413"/>
      <c r="E322" s="831"/>
      <c r="F322" s="852"/>
      <c r="G322" s="312"/>
      <c r="H322" s="341"/>
      <c r="I322" s="505"/>
      <c r="J322" s="1498"/>
      <c r="K322" s="378"/>
    </row>
    <row r="323" spans="1:11" ht="33" customHeight="1">
      <c r="A323" s="221"/>
      <c r="B323" s="770"/>
      <c r="C323" s="341"/>
      <c r="D323" s="413"/>
      <c r="E323" s="831"/>
      <c r="F323" s="852"/>
      <c r="G323" s="312"/>
      <c r="H323" s="341"/>
      <c r="I323" s="505"/>
      <c r="J323" s="604"/>
      <c r="K323" s="378"/>
    </row>
    <row r="324" spans="1:11" ht="33" customHeight="1">
      <c r="A324" s="221"/>
      <c r="B324" s="770"/>
      <c r="C324" s="341"/>
      <c r="D324" s="413"/>
      <c r="E324" s="831"/>
      <c r="F324" s="852"/>
      <c r="G324" s="823"/>
      <c r="H324" s="341"/>
      <c r="I324" s="505"/>
      <c r="J324" s="878"/>
      <c r="K324" s="378"/>
    </row>
    <row r="325" spans="1:11" ht="33" customHeight="1">
      <c r="A325" s="221"/>
      <c r="B325" s="958"/>
      <c r="C325" s="341"/>
      <c r="D325" s="413"/>
      <c r="E325" s="831"/>
      <c r="F325" s="852"/>
      <c r="G325" s="312"/>
      <c r="H325" s="341"/>
      <c r="I325" s="505"/>
      <c r="J325" s="604"/>
      <c r="K325" s="378"/>
    </row>
    <row r="326" spans="1:11" ht="33" customHeight="1">
      <c r="A326" s="221"/>
      <c r="B326" s="3708"/>
      <c r="C326" s="3709"/>
      <c r="D326" s="413"/>
      <c r="E326" s="831"/>
      <c r="F326" s="852"/>
      <c r="G326" s="312"/>
      <c r="H326" s="341"/>
      <c r="I326" s="505"/>
      <c r="J326" s="604"/>
      <c r="K326" s="378"/>
    </row>
    <row r="327" spans="1:11" ht="33" customHeight="1">
      <c r="A327" s="221"/>
      <c r="B327" s="3707"/>
      <c r="C327" s="341"/>
      <c r="D327" s="413"/>
      <c r="E327" s="831"/>
      <c r="F327" s="852"/>
      <c r="G327" s="312"/>
      <c r="H327" s="341"/>
      <c r="I327" s="1333"/>
      <c r="J327" s="604"/>
      <c r="K327" s="378"/>
    </row>
    <row r="328" spans="1:11" ht="33" customHeight="1">
      <c r="A328" s="221"/>
      <c r="B328" s="1337"/>
      <c r="C328" s="341"/>
      <c r="D328" s="413"/>
      <c r="E328" s="831"/>
      <c r="F328" s="852"/>
      <c r="G328" s="312"/>
      <c r="H328" s="341"/>
      <c r="I328" s="505"/>
      <c r="J328" s="1155"/>
      <c r="K328" s="378"/>
    </row>
    <row r="329" spans="1:11" ht="33" customHeight="1">
      <c r="A329" s="221"/>
      <c r="B329" s="958"/>
      <c r="C329" s="341"/>
      <c r="D329" s="413"/>
      <c r="E329" s="831"/>
      <c r="F329" s="852"/>
      <c r="G329" s="312"/>
      <c r="H329" s="341"/>
      <c r="I329" s="505"/>
      <c r="J329" s="604"/>
      <c r="K329" s="378"/>
    </row>
    <row r="330" spans="1:11" ht="33" customHeight="1">
      <c r="A330" s="221"/>
      <c r="B330" s="770"/>
      <c r="C330" s="341"/>
      <c r="D330" s="413"/>
      <c r="E330" s="831"/>
      <c r="F330" s="852"/>
      <c r="G330" s="312"/>
      <c r="H330" s="341"/>
      <c r="I330" s="505"/>
      <c r="J330" s="378"/>
      <c r="K330" s="378"/>
    </row>
    <row r="331" spans="1:11" ht="33" customHeight="1">
      <c r="A331" s="221"/>
      <c r="B331" s="958"/>
      <c r="C331" s="341"/>
      <c r="D331" s="413"/>
      <c r="E331" s="831"/>
      <c r="F331" s="852"/>
      <c r="G331" s="3513"/>
      <c r="H331" s="3514"/>
      <c r="I331" s="3514"/>
      <c r="J331" s="3514"/>
      <c r="K331" s="3514"/>
    </row>
    <row r="332" spans="1:11" ht="33" customHeight="1">
      <c r="A332" s="221"/>
      <c r="B332" s="3707"/>
      <c r="C332" s="341"/>
      <c r="D332" s="413"/>
      <c r="E332" s="831"/>
      <c r="F332" s="852"/>
      <c r="G332" s="312"/>
      <c r="H332" s="341"/>
      <c r="I332" s="505"/>
      <c r="J332" s="378"/>
      <c r="K332" s="378"/>
    </row>
    <row r="333" spans="1:11" ht="33" customHeight="1">
      <c r="A333" s="221"/>
      <c r="B333" s="770"/>
      <c r="C333" s="341"/>
      <c r="D333" s="413"/>
      <c r="E333" s="831"/>
      <c r="F333" s="852"/>
      <c r="G333" s="312"/>
      <c r="H333" s="341"/>
      <c r="I333" s="505"/>
      <c r="J333" s="604"/>
      <c r="K333" s="378"/>
    </row>
    <row r="334" spans="1:11" ht="33" customHeight="1">
      <c r="A334" s="221"/>
      <c r="B334" s="958"/>
      <c r="C334" s="341"/>
      <c r="D334" s="413"/>
      <c r="E334" s="831"/>
      <c r="F334" s="852"/>
      <c r="G334" s="312"/>
      <c r="H334" s="341"/>
      <c r="I334" s="505"/>
      <c r="J334" s="604"/>
      <c r="K334" s="378"/>
    </row>
    <row r="335" spans="1:11" ht="33" customHeight="1">
      <c r="A335" s="221"/>
      <c r="B335" s="770"/>
      <c r="C335" s="341"/>
      <c r="D335" s="413"/>
      <c r="E335" s="831"/>
      <c r="F335" s="852"/>
      <c r="G335" s="312"/>
      <c r="H335" s="341"/>
      <c r="I335" s="505"/>
      <c r="J335" s="604"/>
      <c r="K335" s="378"/>
    </row>
    <row r="336" spans="1:11" ht="33" customHeight="1">
      <c r="A336" s="221"/>
      <c r="B336" s="770"/>
      <c r="C336" s="341"/>
      <c r="D336" s="413"/>
      <c r="E336" s="831"/>
      <c r="F336" s="852"/>
      <c r="G336" s="312"/>
      <c r="H336" s="341"/>
      <c r="I336" s="505"/>
      <c r="J336" s="604"/>
      <c r="K336" s="378"/>
    </row>
    <row r="337" spans="1:12" ht="33" customHeight="1">
      <c r="A337" s="221"/>
      <c r="B337" s="770"/>
      <c r="C337" s="341"/>
      <c r="D337" s="413"/>
      <c r="E337" s="831"/>
      <c r="F337" s="852"/>
      <c r="G337" s="312"/>
      <c r="H337" s="341"/>
      <c r="I337" s="505"/>
      <c r="J337" s="604"/>
      <c r="K337" s="378"/>
    </row>
    <row r="338" spans="1:12" ht="33" customHeight="1">
      <c r="A338" s="221"/>
      <c r="B338" s="958"/>
      <c r="C338" s="341"/>
      <c r="D338" s="413"/>
      <c r="E338" s="831"/>
      <c r="F338" s="852"/>
      <c r="G338" s="312"/>
      <c r="H338" s="341"/>
      <c r="I338" s="505"/>
      <c r="J338" s="604"/>
      <c r="K338" s="378"/>
    </row>
    <row r="339" spans="1:12" ht="33" customHeight="1">
      <c r="A339" s="221"/>
      <c r="B339" s="1338"/>
      <c r="C339" s="341"/>
      <c r="D339" s="413"/>
      <c r="E339" s="831"/>
      <c r="F339" s="852"/>
      <c r="G339" s="312"/>
      <c r="H339" s="341"/>
      <c r="I339" s="505"/>
      <c r="J339" s="604"/>
      <c r="K339" s="378"/>
    </row>
    <row r="340" spans="1:12" ht="33" customHeight="1">
      <c r="A340" s="157"/>
      <c r="B340" s="55"/>
      <c r="C340" s="207"/>
      <c r="D340" s="322"/>
      <c r="E340" s="728"/>
      <c r="F340" s="767"/>
      <c r="G340" s="310"/>
      <c r="H340" s="207"/>
      <c r="I340" s="431"/>
      <c r="J340" s="586"/>
      <c r="K340" s="365"/>
    </row>
    <row r="341" spans="1:12" ht="33" customHeight="1">
      <c r="A341" s="323"/>
      <c r="B341" s="44"/>
      <c r="C341" s="204"/>
      <c r="D341" s="204"/>
      <c r="E341" s="104"/>
      <c r="F341" s="104"/>
      <c r="G341" s="44"/>
      <c r="H341" s="167"/>
      <c r="I341" s="205"/>
      <c r="J341" s="606"/>
      <c r="L341" s="380"/>
    </row>
    <row r="342" spans="1:12" ht="33" customHeight="1">
      <c r="A342" s="44"/>
      <c r="B342" s="44"/>
      <c r="C342" s="204"/>
      <c r="D342" s="124"/>
      <c r="E342" s="104"/>
      <c r="F342" s="104"/>
      <c r="G342" s="44"/>
      <c r="H342" s="167"/>
      <c r="I342" s="218"/>
    </row>
    <row r="343" spans="1:12" ht="33" customHeight="1">
      <c r="A343" s="279" t="s">
        <v>0</v>
      </c>
      <c r="B343" s="294"/>
      <c r="C343" s="167"/>
      <c r="F343" s="104"/>
    </row>
    <row r="344" spans="1:12" ht="33" customHeight="1">
      <c r="A344" s="449" t="s">
        <v>3049</v>
      </c>
      <c r="B344" s="449"/>
      <c r="C344" s="167"/>
      <c r="D344" s="167"/>
      <c r="F344" s="104"/>
    </row>
    <row r="345" spans="1:12" ht="24" customHeight="1" thickBot="1">
      <c r="F345" s="104"/>
    </row>
    <row r="346" spans="1:12" ht="33" customHeight="1">
      <c r="A346" s="3493" t="s">
        <v>2</v>
      </c>
      <c r="B346" s="3482"/>
      <c r="C346" s="336" t="s">
        <v>3</v>
      </c>
      <c r="D346" s="436" t="s">
        <v>4</v>
      </c>
      <c r="E346" s="828" t="s">
        <v>5</v>
      </c>
      <c r="F346" s="849" t="s">
        <v>5</v>
      </c>
      <c r="G346" s="446" t="s">
        <v>6</v>
      </c>
      <c r="H346" s="344" t="s">
        <v>7</v>
      </c>
      <c r="I346" s="507" t="s">
        <v>1511</v>
      </c>
      <c r="J346" s="699" t="s">
        <v>9</v>
      </c>
      <c r="K346" s="346" t="s">
        <v>9</v>
      </c>
      <c r="L346" s="177"/>
    </row>
    <row r="347" spans="1:12" ht="33" customHeight="1" thickBot="1">
      <c r="A347" s="155"/>
      <c r="B347" s="138"/>
      <c r="C347" s="337"/>
      <c r="D347" s="437" t="s">
        <v>10</v>
      </c>
      <c r="E347" s="829" t="s">
        <v>11</v>
      </c>
      <c r="F347" s="850" t="s">
        <v>12</v>
      </c>
      <c r="G347" s="447"/>
      <c r="H347" s="345" t="s">
        <v>13</v>
      </c>
      <c r="I347" s="508" t="s">
        <v>1512</v>
      </c>
      <c r="J347" s="700" t="s">
        <v>14</v>
      </c>
      <c r="K347" s="347" t="s">
        <v>15</v>
      </c>
      <c r="L347" s="177"/>
    </row>
    <row r="348" spans="1:12" ht="33" customHeight="1">
      <c r="A348" s="221"/>
      <c r="B348" s="795"/>
      <c r="C348" s="341"/>
      <c r="D348" s="1339"/>
      <c r="E348" s="831"/>
      <c r="F348" s="852"/>
      <c r="G348" s="1340"/>
      <c r="H348" s="341"/>
      <c r="I348" s="505"/>
      <c r="J348" s="604"/>
      <c r="K348" s="378"/>
    </row>
    <row r="349" spans="1:12" ht="33" customHeight="1">
      <c r="A349" s="221"/>
      <c r="B349" s="406"/>
      <c r="C349" s="341"/>
      <c r="D349" s="413"/>
      <c r="E349" s="831"/>
      <c r="F349" s="852"/>
      <c r="G349" s="1074"/>
      <c r="H349" s="341"/>
      <c r="I349" s="505"/>
      <c r="J349" s="604"/>
      <c r="K349" s="378"/>
    </row>
    <row r="350" spans="1:12" ht="33" customHeight="1">
      <c r="A350" s="221"/>
      <c r="B350" s="406"/>
      <c r="C350" s="341"/>
      <c r="D350" s="413"/>
      <c r="E350" s="831"/>
      <c r="F350" s="852"/>
      <c r="G350" s="1074"/>
      <c r="H350" s="341"/>
      <c r="I350" s="505"/>
      <c r="J350" s="604"/>
      <c r="K350" s="378"/>
    </row>
    <row r="351" spans="1:12" ht="33" customHeight="1">
      <c r="A351" s="927"/>
      <c r="B351" s="406"/>
      <c r="C351" s="341"/>
      <c r="D351" s="413"/>
      <c r="E351" s="831"/>
      <c r="F351" s="852"/>
      <c r="G351" s="1074"/>
      <c r="H351" s="341"/>
      <c r="I351" s="505"/>
      <c r="J351" s="604"/>
      <c r="K351" s="378"/>
    </row>
    <row r="352" spans="1:12" ht="33" customHeight="1">
      <c r="A352" s="970"/>
      <c r="B352" s="406"/>
      <c r="C352" s="341"/>
      <c r="D352" s="413"/>
      <c r="E352" s="831"/>
      <c r="F352" s="852"/>
      <c r="G352" s="1074"/>
      <c r="H352" s="341"/>
      <c r="I352" s="505"/>
      <c r="J352" s="604"/>
      <c r="K352" s="378"/>
    </row>
    <row r="353" spans="1:11" ht="33" customHeight="1">
      <c r="A353" s="970"/>
      <c r="B353" s="406"/>
      <c r="C353" s="341"/>
      <c r="D353" s="413"/>
      <c r="E353" s="831"/>
      <c r="F353" s="852"/>
      <c r="G353" s="1074"/>
      <c r="H353" s="341"/>
      <c r="I353" s="505"/>
      <c r="J353" s="604"/>
      <c r="K353" s="378"/>
    </row>
    <row r="354" spans="1:11" ht="33" customHeight="1">
      <c r="A354" s="970"/>
      <c r="B354" s="406"/>
      <c r="C354" s="341"/>
      <c r="D354" s="413"/>
      <c r="E354" s="831"/>
      <c r="F354" s="852"/>
      <c r="G354" s="1074"/>
      <c r="H354" s="341"/>
      <c r="I354" s="505"/>
      <c r="J354" s="604"/>
      <c r="K354" s="378"/>
    </row>
    <row r="355" spans="1:11" ht="33" customHeight="1">
      <c r="A355" s="970"/>
      <c r="B355" s="406"/>
      <c r="C355" s="341"/>
      <c r="D355" s="413"/>
      <c r="E355" s="831"/>
      <c r="F355" s="852"/>
      <c r="G355" s="1074"/>
      <c r="H355" s="341"/>
      <c r="I355" s="505"/>
      <c r="J355" s="604"/>
      <c r="K355" s="378"/>
    </row>
    <row r="356" spans="1:11" ht="33" customHeight="1">
      <c r="A356" s="3521"/>
      <c r="B356" s="3519"/>
      <c r="C356" s="3519"/>
      <c r="D356" s="3519"/>
      <c r="E356" s="3484"/>
      <c r="F356" s="852"/>
      <c r="G356" s="1074"/>
      <c r="H356" s="341"/>
      <c r="I356" s="505"/>
      <c r="J356" s="604"/>
      <c r="K356" s="378"/>
    </row>
    <row r="357" spans="1:11" ht="33" customHeight="1">
      <c r="A357" s="970"/>
      <c r="B357" s="406"/>
      <c r="C357" s="341"/>
      <c r="D357" s="413"/>
      <c r="E357" s="831"/>
      <c r="F357" s="852"/>
      <c r="G357" s="1074"/>
      <c r="H357" s="341"/>
      <c r="I357" s="505"/>
      <c r="J357" s="604"/>
      <c r="K357" s="378"/>
    </row>
    <row r="358" spans="1:11" ht="33" customHeight="1">
      <c r="A358" s="970"/>
      <c r="B358" s="406"/>
      <c r="C358" s="341"/>
      <c r="D358" s="413"/>
      <c r="E358" s="831"/>
      <c r="F358" s="852"/>
      <c r="G358" s="1074"/>
      <c r="H358" s="341"/>
      <c r="I358" s="505"/>
      <c r="J358" s="604"/>
      <c r="K358" s="378"/>
    </row>
    <row r="359" spans="1:11" ht="33" customHeight="1">
      <c r="A359" s="970"/>
      <c r="B359" s="1341"/>
      <c r="C359" s="1342"/>
      <c r="D359" s="1343"/>
      <c r="E359" s="1344"/>
      <c r="F359" s="1345"/>
      <c r="G359" s="1346"/>
      <c r="H359" s="1342"/>
      <c r="I359" s="1347"/>
      <c r="J359" s="1348"/>
      <c r="K359" s="1349"/>
    </row>
    <row r="360" spans="1:11" ht="33" customHeight="1">
      <c r="A360" s="221"/>
      <c r="B360" s="406"/>
      <c r="C360" s="341"/>
      <c r="D360" s="413"/>
      <c r="E360" s="831"/>
      <c r="F360" s="852"/>
      <c r="G360" s="1074"/>
      <c r="H360" s="341"/>
      <c r="I360" s="1008"/>
      <c r="J360" s="604"/>
      <c r="K360" s="378"/>
    </row>
    <row r="361" spans="1:11" ht="33" customHeight="1">
      <c r="A361" s="221"/>
      <c r="B361" s="406"/>
      <c r="C361" s="341"/>
      <c r="D361" s="1350"/>
      <c r="E361" s="831"/>
      <c r="F361" s="852"/>
      <c r="G361" s="1074"/>
      <c r="H361" s="341"/>
      <c r="I361" s="505"/>
      <c r="J361" s="604"/>
      <c r="K361" s="378"/>
    </row>
    <row r="362" spans="1:11" ht="33" customHeight="1">
      <c r="A362" s="221"/>
      <c r="B362" s="406"/>
      <c r="C362" s="341"/>
      <c r="D362" s="1350"/>
      <c r="E362" s="831"/>
      <c r="F362" s="852"/>
      <c r="G362" s="1074"/>
      <c r="H362" s="341"/>
      <c r="I362" s="505"/>
      <c r="J362" s="604"/>
      <c r="K362" s="378"/>
    </row>
    <row r="363" spans="1:11" ht="33" customHeight="1">
      <c r="A363" s="221"/>
      <c r="B363" s="406"/>
      <c r="C363" s="341"/>
      <c r="D363" s="1350"/>
      <c r="E363" s="831"/>
      <c r="F363" s="852"/>
      <c r="G363" s="1074"/>
      <c r="H363" s="341"/>
      <c r="I363" s="505"/>
      <c r="J363" s="604"/>
      <c r="K363" s="378"/>
    </row>
    <row r="364" spans="1:11" ht="33" customHeight="1">
      <c r="A364" s="221"/>
      <c r="B364" s="406"/>
      <c r="C364" s="341"/>
      <c r="D364" s="413"/>
      <c r="E364" s="831"/>
      <c r="F364" s="852"/>
      <c r="G364" s="1074"/>
      <c r="H364" s="523"/>
      <c r="I364" s="509"/>
      <c r="J364" s="710"/>
      <c r="K364" s="983"/>
    </row>
    <row r="365" spans="1:11" ht="33" customHeight="1">
      <c r="A365" s="221"/>
      <c r="B365" s="406"/>
      <c r="C365" s="341"/>
      <c r="D365" s="413"/>
      <c r="E365" s="831"/>
      <c r="F365" s="852"/>
      <c r="G365" s="1074"/>
      <c r="H365" s="523"/>
      <c r="I365" s="505"/>
      <c r="J365" s="710"/>
      <c r="K365" s="983"/>
    </row>
    <row r="366" spans="1:11" ht="33" customHeight="1">
      <c r="A366" s="221"/>
      <c r="B366" s="406"/>
      <c r="C366" s="341"/>
      <c r="D366" s="413"/>
      <c r="E366" s="831"/>
      <c r="F366" s="852"/>
      <c r="G366" s="1074"/>
      <c r="H366" s="341"/>
      <c r="I366" s="505"/>
      <c r="J366" s="604"/>
      <c r="K366" s="378"/>
    </row>
    <row r="367" spans="1:11" ht="33" customHeight="1">
      <c r="A367" s="221"/>
      <c r="B367" s="406"/>
      <c r="C367" s="341"/>
      <c r="D367" s="413"/>
      <c r="E367" s="831"/>
      <c r="F367" s="852"/>
      <c r="G367" s="314"/>
      <c r="H367" s="341"/>
      <c r="I367" s="505"/>
      <c r="J367" s="604"/>
      <c r="K367" s="378"/>
    </row>
    <row r="368" spans="1:11" ht="33" customHeight="1">
      <c r="A368" s="221"/>
      <c r="B368" s="406"/>
      <c r="C368" s="341"/>
      <c r="D368" s="413"/>
      <c r="E368" s="831"/>
      <c r="F368" s="852"/>
      <c r="G368" s="314"/>
      <c r="H368" s="341"/>
      <c r="I368" s="505"/>
      <c r="J368" s="604"/>
      <c r="K368" s="378"/>
    </row>
    <row r="369" spans="1:12" ht="33" customHeight="1">
      <c r="A369" s="221"/>
      <c r="B369" s="406"/>
      <c r="C369" s="341"/>
      <c r="D369" s="413"/>
      <c r="E369" s="831"/>
      <c r="F369" s="852"/>
      <c r="G369" s="314"/>
      <c r="H369" s="341"/>
      <c r="I369" s="505"/>
      <c r="J369" s="604"/>
      <c r="K369" s="378"/>
    </row>
    <row r="370" spans="1:12" ht="33" customHeight="1">
      <c r="A370" s="157"/>
      <c r="B370" s="43"/>
      <c r="C370" s="207"/>
      <c r="D370" s="322"/>
      <c r="E370" s="728"/>
      <c r="F370" s="767"/>
      <c r="G370" s="483"/>
      <c r="H370" s="207"/>
      <c r="I370" s="431"/>
      <c r="J370" s="586"/>
      <c r="K370" s="365"/>
    </row>
    <row r="371" spans="1:12" ht="33" customHeight="1">
      <c r="A371" s="157"/>
      <c r="B371" s="161"/>
      <c r="C371" s="207"/>
      <c r="D371" s="322"/>
      <c r="E371" s="728"/>
      <c r="F371" s="767"/>
      <c r="G371" s="483"/>
      <c r="H371" s="207"/>
      <c r="I371" s="431"/>
      <c r="J371" s="586"/>
      <c r="K371" s="365"/>
    </row>
    <row r="372" spans="1:12" ht="33" customHeight="1">
      <c r="A372" s="900"/>
      <c r="B372" s="783"/>
      <c r="C372" s="207"/>
      <c r="D372" s="322"/>
      <c r="E372" s="728"/>
      <c r="F372" s="767"/>
      <c r="G372" s="483"/>
      <c r="H372" s="207"/>
      <c r="I372" s="431"/>
      <c r="J372" s="586"/>
      <c r="K372" s="365"/>
    </row>
    <row r="373" spans="1:12" ht="33" customHeight="1">
      <c r="A373" s="160"/>
      <c r="B373" s="43"/>
      <c r="C373" s="207"/>
      <c r="D373" s="322"/>
      <c r="E373" s="838"/>
      <c r="F373" s="767"/>
      <c r="G373" s="483"/>
      <c r="H373" s="207"/>
      <c r="I373" s="431"/>
      <c r="J373" s="707"/>
      <c r="K373" s="365"/>
      <c r="L373" s="454"/>
    </row>
    <row r="374" spans="1:12" ht="33" customHeight="1">
      <c r="A374" s="160"/>
      <c r="B374" s="139"/>
      <c r="C374" s="207"/>
      <c r="D374" s="322"/>
      <c r="E374" s="838"/>
      <c r="F374" s="767"/>
      <c r="G374" s="483"/>
      <c r="H374" s="207"/>
      <c r="I374" s="431"/>
      <c r="J374" s="707"/>
      <c r="K374" s="365"/>
      <c r="L374" s="454"/>
    </row>
    <row r="375" spans="1:12" ht="33" customHeight="1">
      <c r="A375" s="160"/>
      <c r="B375" s="154"/>
      <c r="C375" s="207"/>
      <c r="D375" s="322"/>
      <c r="E375" s="838"/>
      <c r="F375" s="767"/>
      <c r="G375" s="483"/>
      <c r="H375" s="207"/>
      <c r="I375" s="431"/>
      <c r="J375" s="707"/>
      <c r="K375" s="365"/>
      <c r="L375" s="454"/>
    </row>
    <row r="376" spans="1:12" ht="33" customHeight="1">
      <c r="A376" s="160"/>
      <c r="B376" s="154"/>
      <c r="C376" s="207"/>
      <c r="D376" s="322"/>
      <c r="E376" s="838"/>
      <c r="F376" s="767"/>
      <c r="G376" s="483"/>
      <c r="H376" s="207"/>
      <c r="I376" s="431"/>
      <c r="J376" s="707"/>
      <c r="K376" s="365"/>
      <c r="L376" s="454"/>
    </row>
    <row r="377" spans="1:12" ht="33" customHeight="1">
      <c r="A377" s="160"/>
      <c r="B377" s="154"/>
      <c r="C377" s="207"/>
      <c r="D377" s="322"/>
      <c r="E377" s="838"/>
      <c r="F377" s="767"/>
      <c r="G377" s="483"/>
      <c r="H377" s="207"/>
      <c r="I377" s="431"/>
      <c r="J377" s="707"/>
      <c r="K377" s="365"/>
      <c r="L377" s="454"/>
    </row>
    <row r="378" spans="1:12" ht="33" customHeight="1">
      <c r="A378" s="160"/>
      <c r="B378" s="154"/>
      <c r="C378" s="207"/>
      <c r="D378" s="322"/>
      <c r="E378" s="838"/>
      <c r="F378" s="767"/>
      <c r="G378" s="483"/>
      <c r="H378" s="207"/>
      <c r="I378" s="431"/>
      <c r="J378" s="707"/>
      <c r="K378" s="365"/>
      <c r="L378" s="454"/>
    </row>
    <row r="379" spans="1:12" ht="33" customHeight="1">
      <c r="F379" s="104"/>
    </row>
    <row r="380" spans="1:12" ht="33" customHeight="1">
      <c r="F380" s="104"/>
    </row>
    <row r="381" spans="1:12" ht="33" customHeight="1">
      <c r="A381" s="44" t="s">
        <v>0</v>
      </c>
      <c r="B381" s="127"/>
      <c r="C381" s="167"/>
      <c r="F381" s="104"/>
    </row>
    <row r="382" spans="1:12" ht="33" customHeight="1">
      <c r="A382" s="449" t="s">
        <v>3050</v>
      </c>
      <c r="B382" s="449"/>
      <c r="C382" s="167"/>
      <c r="D382" s="167"/>
      <c r="F382" s="104"/>
    </row>
    <row r="383" spans="1:12" ht="27" customHeight="1" thickBot="1">
      <c r="F383" s="104"/>
    </row>
    <row r="384" spans="1:12" ht="33" customHeight="1">
      <c r="A384" s="3481" t="s">
        <v>2</v>
      </c>
      <c r="B384" s="3482"/>
      <c r="C384" s="344" t="s">
        <v>3</v>
      </c>
      <c r="D384" s="408" t="s">
        <v>4</v>
      </c>
      <c r="E384" s="828" t="s">
        <v>5</v>
      </c>
      <c r="F384" s="849" t="s">
        <v>5</v>
      </c>
      <c r="G384" s="307" t="s">
        <v>6</v>
      </c>
      <c r="H384" s="344" t="s">
        <v>7</v>
      </c>
      <c r="I384" s="498" t="s">
        <v>1511</v>
      </c>
      <c r="J384" s="699" t="s">
        <v>9</v>
      </c>
      <c r="K384" s="346" t="s">
        <v>9</v>
      </c>
    </row>
    <row r="385" spans="1:12" ht="33" customHeight="1" thickBot="1">
      <c r="A385" s="51"/>
      <c r="B385" s="138"/>
      <c r="C385" s="345"/>
      <c r="D385" s="409" t="s">
        <v>10</v>
      </c>
      <c r="E385" s="829" t="s">
        <v>11</v>
      </c>
      <c r="F385" s="850" t="s">
        <v>12</v>
      </c>
      <c r="G385" s="308"/>
      <c r="H385" s="345" t="s">
        <v>13</v>
      </c>
      <c r="I385" s="499" t="s">
        <v>1512</v>
      </c>
      <c r="J385" s="700" t="s">
        <v>14</v>
      </c>
      <c r="K385" s="347" t="s">
        <v>15</v>
      </c>
    </row>
    <row r="386" spans="1:12" ht="33" customHeight="1">
      <c r="A386" s="398"/>
      <c r="B386" s="1161"/>
      <c r="C386" s="341"/>
      <c r="D386" s="420"/>
      <c r="E386" s="1328"/>
      <c r="F386" s="1101"/>
      <c r="G386" s="312"/>
      <c r="H386" s="341"/>
      <c r="I386" s="505"/>
      <c r="J386" s="1334"/>
      <c r="K386" s="378"/>
    </row>
    <row r="387" spans="1:12" ht="33" customHeight="1">
      <c r="A387" s="438"/>
      <c r="B387" s="406"/>
      <c r="C387" s="341"/>
      <c r="D387" s="413"/>
      <c r="E387" s="831"/>
      <c r="F387" s="320"/>
      <c r="G387" s="3466"/>
      <c r="H387" s="341"/>
      <c r="I387" s="1127"/>
      <c r="J387" s="604"/>
      <c r="K387" s="378"/>
    </row>
    <row r="388" spans="1:12" ht="33" customHeight="1">
      <c r="A388" s="438"/>
      <c r="B388" s="406"/>
      <c r="C388" s="341"/>
      <c r="D388" s="1330"/>
      <c r="E388" s="831"/>
      <c r="F388" s="320"/>
      <c r="G388" s="3466"/>
      <c r="H388" s="341"/>
      <c r="I388" s="1127"/>
      <c r="J388" s="604"/>
      <c r="K388" s="378"/>
    </row>
    <row r="389" spans="1:12" ht="33" customHeight="1">
      <c r="A389" s="438"/>
      <c r="B389" s="406"/>
      <c r="C389" s="341"/>
      <c r="D389" s="413"/>
      <c r="E389" s="831"/>
      <c r="F389" s="320"/>
      <c r="G389" s="3466"/>
      <c r="H389" s="341"/>
      <c r="I389" s="505"/>
      <c r="J389" s="604"/>
      <c r="K389" s="378"/>
    </row>
    <row r="390" spans="1:12" ht="33" customHeight="1">
      <c r="A390" s="438"/>
      <c r="B390" s="406"/>
      <c r="C390" s="341"/>
      <c r="D390" s="1330"/>
      <c r="E390" s="831"/>
      <c r="F390" s="320"/>
      <c r="G390" s="3466"/>
      <c r="H390" s="341"/>
      <c r="I390" s="505"/>
      <c r="J390" s="604"/>
      <c r="K390" s="378"/>
    </row>
    <row r="391" spans="1:12" ht="33" customHeight="1">
      <c r="A391" s="438"/>
      <c r="B391" s="406"/>
      <c r="C391" s="341"/>
      <c r="D391" s="1330"/>
      <c r="E391" s="831"/>
      <c r="F391" s="320"/>
      <c r="G391" s="3466"/>
      <c r="H391" s="341"/>
      <c r="I391" s="505"/>
      <c r="J391" s="604"/>
      <c r="K391" s="378"/>
    </row>
    <row r="392" spans="1:12" ht="33" customHeight="1">
      <c r="A392" s="438"/>
      <c r="B392" s="406"/>
      <c r="C392" s="341"/>
      <c r="D392" s="1330"/>
      <c r="E392" s="1332"/>
      <c r="F392" s="320"/>
      <c r="G392" s="3466"/>
      <c r="H392" s="341"/>
      <c r="I392" s="505"/>
      <c r="J392" s="604"/>
      <c r="K392" s="378"/>
    </row>
    <row r="393" spans="1:12" ht="33" customHeight="1">
      <c r="A393" s="438"/>
      <c r="B393" s="406"/>
      <c r="C393" s="341"/>
      <c r="D393" s="413"/>
      <c r="E393" s="831"/>
      <c r="F393" s="320"/>
      <c r="G393" s="3466"/>
      <c r="H393" s="341"/>
      <c r="I393" s="505"/>
      <c r="J393" s="604"/>
      <c r="K393" s="378"/>
    </row>
    <row r="394" spans="1:12" ht="33" customHeight="1">
      <c r="A394" s="438"/>
      <c r="B394" s="406"/>
      <c r="C394" s="341"/>
      <c r="D394" s="320"/>
      <c r="E394" s="831"/>
      <c r="F394" s="852"/>
      <c r="G394" s="312"/>
      <c r="H394" s="341"/>
      <c r="I394" s="505"/>
      <c r="J394" s="604"/>
      <c r="K394" s="378"/>
      <c r="L394" s="366">
        <f>2214.96/3</f>
        <v>738.32</v>
      </c>
    </row>
    <row r="395" spans="1:12" ht="33" customHeight="1">
      <c r="A395" s="438"/>
      <c r="B395" s="406"/>
      <c r="C395" s="341"/>
      <c r="D395" s="320"/>
      <c r="E395" s="831"/>
      <c r="F395" s="852"/>
      <c r="G395" s="312"/>
      <c r="H395" s="341"/>
      <c r="I395" s="505"/>
      <c r="J395" s="604"/>
      <c r="K395" s="378"/>
    </row>
    <row r="396" spans="1:12" ht="33" customHeight="1">
      <c r="A396" s="753"/>
      <c r="B396" s="1354"/>
      <c r="C396" s="420"/>
      <c r="D396" s="1335"/>
      <c r="E396" s="831"/>
      <c r="F396" s="320"/>
      <c r="G396" s="3466"/>
      <c r="H396" s="341"/>
      <c r="I396" s="1333"/>
      <c r="J396" s="878"/>
      <c r="K396" s="378"/>
    </row>
    <row r="397" spans="1:12" ht="33" customHeight="1">
      <c r="A397" s="753"/>
      <c r="B397" s="1354"/>
      <c r="C397" s="420"/>
      <c r="D397" s="1335"/>
      <c r="E397" s="831"/>
      <c r="F397" s="320"/>
      <c r="G397" s="3466"/>
      <c r="H397" s="341"/>
      <c r="I397" s="1333"/>
      <c r="J397" s="878"/>
      <c r="K397" s="378"/>
    </row>
    <row r="398" spans="1:12" ht="33" customHeight="1">
      <c r="A398" s="438"/>
      <c r="B398" s="880"/>
      <c r="C398" s="880"/>
      <c r="D398" s="880"/>
      <c r="E398" s="1355"/>
      <c r="F398" s="320"/>
      <c r="G398" s="3466"/>
      <c r="H398" s="341"/>
      <c r="I398" s="505"/>
      <c r="J398" s="1153"/>
      <c r="K398" s="378"/>
    </row>
    <row r="399" spans="1:12" ht="33" customHeight="1">
      <c r="A399" s="438"/>
      <c r="B399" s="880"/>
      <c r="C399" s="880"/>
      <c r="D399" s="880"/>
      <c r="E399" s="1355"/>
      <c r="F399" s="320"/>
      <c r="G399" s="3466"/>
      <c r="H399" s="341"/>
      <c r="I399" s="505"/>
      <c r="J399" s="604"/>
      <c r="K399" s="378"/>
    </row>
    <row r="400" spans="1:12" ht="33" customHeight="1">
      <c r="A400" s="3483"/>
      <c r="B400" s="3519"/>
      <c r="C400" s="3519"/>
      <c r="D400" s="3520"/>
      <c r="E400" s="831"/>
      <c r="F400" s="320"/>
      <c r="G400" s="3466"/>
      <c r="H400" s="341"/>
      <c r="I400" s="505"/>
      <c r="J400" s="604"/>
      <c r="K400" s="378"/>
    </row>
    <row r="401" spans="1:12" ht="33" customHeight="1">
      <c r="A401" s="438"/>
      <c r="B401" s="406"/>
      <c r="C401" s="341"/>
      <c r="D401" s="413"/>
      <c r="E401" s="831"/>
      <c r="F401" s="320"/>
      <c r="G401" s="3466"/>
      <c r="H401" s="341"/>
      <c r="I401" s="505"/>
      <c r="J401" s="604"/>
      <c r="K401" s="378"/>
    </row>
    <row r="402" spans="1:12" ht="33" customHeight="1">
      <c r="A402" s="438"/>
      <c r="B402" s="406"/>
      <c r="C402" s="341"/>
      <c r="D402" s="413"/>
      <c r="E402" s="831"/>
      <c r="F402" s="320"/>
      <c r="G402" s="3466"/>
      <c r="H402" s="341"/>
      <c r="I402" s="505"/>
      <c r="J402" s="604"/>
      <c r="K402" s="378"/>
    </row>
    <row r="403" spans="1:12" ht="33" customHeight="1">
      <c r="A403" s="438"/>
      <c r="B403" s="406"/>
      <c r="C403" s="341"/>
      <c r="D403" s="1330"/>
      <c r="E403" s="831"/>
      <c r="F403" s="320"/>
      <c r="G403" s="3466"/>
      <c r="H403" s="341"/>
      <c r="I403" s="1333"/>
      <c r="J403" s="604"/>
      <c r="K403" s="378"/>
    </row>
    <row r="404" spans="1:12" ht="33" customHeight="1">
      <c r="A404" s="438"/>
      <c r="B404" s="406"/>
      <c r="C404" s="341"/>
      <c r="D404" s="1330"/>
      <c r="E404" s="831"/>
      <c r="F404" s="320"/>
      <c r="G404" s="3466"/>
      <c r="H404" s="341"/>
      <c r="I404" s="1333"/>
      <c r="J404" s="604"/>
      <c r="K404" s="378"/>
    </row>
    <row r="405" spans="1:12" ht="33" customHeight="1">
      <c r="A405" s="438"/>
      <c r="B405" s="406"/>
      <c r="C405" s="341"/>
      <c r="D405" s="413"/>
      <c r="E405" s="831"/>
      <c r="F405" s="320"/>
      <c r="G405" s="3466"/>
      <c r="H405" s="341"/>
      <c r="I405" s="505"/>
      <c r="J405" s="604"/>
      <c r="K405" s="378"/>
    </row>
    <row r="406" spans="1:12" ht="33" customHeight="1">
      <c r="A406" s="438"/>
      <c r="B406" s="406"/>
      <c r="C406" s="341"/>
      <c r="D406" s="413"/>
      <c r="E406" s="831"/>
      <c r="F406" s="320"/>
      <c r="G406" s="3466"/>
      <c r="H406" s="341"/>
      <c r="I406" s="1333"/>
      <c r="J406" s="604"/>
      <c r="K406" s="378"/>
    </row>
    <row r="407" spans="1:12" ht="33" customHeight="1">
      <c r="A407" s="438"/>
      <c r="B407" s="406"/>
      <c r="C407" s="341"/>
      <c r="D407" s="413"/>
      <c r="E407" s="831"/>
      <c r="F407" s="320"/>
      <c r="G407" s="3466"/>
      <c r="H407" s="341"/>
      <c r="I407" s="1333"/>
      <c r="J407" s="604"/>
      <c r="K407" s="378"/>
    </row>
    <row r="408" spans="1:12" ht="33" customHeight="1">
      <c r="A408" s="438"/>
      <c r="B408" s="406"/>
      <c r="C408" s="341"/>
      <c r="D408" s="1330"/>
      <c r="E408" s="831"/>
      <c r="F408" s="320"/>
      <c r="G408" s="312"/>
      <c r="H408" s="341"/>
      <c r="I408" s="505"/>
      <c r="J408" s="604"/>
      <c r="K408" s="378"/>
      <c r="L408" s="427"/>
    </row>
    <row r="409" spans="1:12" ht="33" customHeight="1">
      <c r="A409" s="438"/>
      <c r="B409" s="766"/>
      <c r="C409" s="341"/>
      <c r="D409" s="413"/>
      <c r="E409" s="831"/>
      <c r="F409" s="320"/>
      <c r="G409" s="3466"/>
      <c r="H409" s="341"/>
      <c r="I409" s="505"/>
      <c r="J409" s="604"/>
      <c r="K409" s="378"/>
      <c r="L409" s="427"/>
    </row>
    <row r="410" spans="1:12" ht="33" customHeight="1">
      <c r="A410" s="438"/>
      <c r="B410" s="406"/>
      <c r="C410" s="341"/>
      <c r="D410" s="1330"/>
      <c r="E410" s="831"/>
      <c r="F410" s="320"/>
      <c r="G410" s="312"/>
      <c r="H410" s="341"/>
      <c r="I410" s="505"/>
      <c r="J410" s="604"/>
      <c r="K410" s="378"/>
      <c r="L410" s="427"/>
    </row>
    <row r="411" spans="1:12" ht="33" customHeight="1">
      <c r="A411" s="438"/>
      <c r="B411" s="406"/>
      <c r="C411" s="341"/>
      <c r="D411" s="413"/>
      <c r="E411" s="831"/>
      <c r="F411" s="320"/>
      <c r="G411" s="879"/>
      <c r="H411" s="341"/>
      <c r="I411" s="505"/>
      <c r="J411" s="604"/>
      <c r="K411" s="378"/>
      <c r="L411" s="427"/>
    </row>
    <row r="412" spans="1:12" ht="33" customHeight="1">
      <c r="A412" s="438"/>
      <c r="B412" s="406"/>
      <c r="C412" s="341"/>
      <c r="D412" s="1330"/>
      <c r="E412" s="831"/>
      <c r="F412" s="320"/>
      <c r="G412" s="312"/>
      <c r="H412" s="341"/>
      <c r="I412" s="505"/>
      <c r="J412" s="604"/>
      <c r="K412" s="378"/>
      <c r="L412" s="427"/>
    </row>
    <row r="413" spans="1:12" ht="33" customHeight="1">
      <c r="A413" s="438"/>
      <c r="B413" s="406"/>
      <c r="C413" s="341"/>
      <c r="D413" s="413"/>
      <c r="E413" s="831"/>
      <c r="F413" s="320"/>
      <c r="G413" s="879"/>
      <c r="H413" s="341"/>
      <c r="I413" s="505"/>
      <c r="J413" s="604"/>
      <c r="K413" s="378"/>
      <c r="L413" s="427"/>
    </row>
    <row r="414" spans="1:12" ht="33" customHeight="1">
      <c r="A414" s="315"/>
      <c r="B414" s="233"/>
      <c r="C414" s="341"/>
      <c r="D414" s="420"/>
      <c r="E414" s="728"/>
      <c r="F414" s="859"/>
      <c r="G414" s="312"/>
      <c r="H414" s="341"/>
      <c r="I414" s="505"/>
      <c r="J414" s="604"/>
      <c r="K414" s="378"/>
      <c r="L414" s="427"/>
    </row>
    <row r="415" spans="1:12" ht="33" customHeight="1">
      <c r="A415" s="315"/>
      <c r="B415" s="233"/>
      <c r="C415" s="341"/>
      <c r="D415" s="420"/>
      <c r="E415" s="728"/>
      <c r="F415" s="859"/>
      <c r="G415" s="312"/>
      <c r="H415" s="341"/>
      <c r="I415" s="505"/>
      <c r="J415" s="604"/>
      <c r="K415" s="378"/>
      <c r="L415" s="427"/>
    </row>
    <row r="416" spans="1:12" ht="33" customHeight="1">
      <c r="A416" s="315"/>
      <c r="B416" s="159"/>
      <c r="C416" s="341"/>
      <c r="D416" s="420"/>
      <c r="E416" s="728"/>
      <c r="F416" s="859"/>
      <c r="G416" s="312"/>
      <c r="H416" s="341"/>
      <c r="I416" s="505"/>
      <c r="J416" s="604"/>
      <c r="K416" s="378"/>
      <c r="L416" s="427"/>
    </row>
    <row r="417" spans="1:12" ht="33" customHeight="1">
      <c r="F417" s="104"/>
    </row>
    <row r="418" spans="1:12" ht="33" customHeight="1">
      <c r="A418" s="44" t="s">
        <v>0</v>
      </c>
      <c r="B418" s="127"/>
      <c r="C418" s="167"/>
      <c r="F418" s="104"/>
    </row>
    <row r="419" spans="1:12" ht="33" customHeight="1">
      <c r="A419" s="3480" t="s">
        <v>3051</v>
      </c>
      <c r="B419" s="3480"/>
      <c r="C419" s="167"/>
      <c r="D419" s="167"/>
      <c r="F419" s="104"/>
    </row>
    <row r="420" spans="1:12" ht="24" customHeight="1" thickBot="1">
      <c r="F420" s="104"/>
    </row>
    <row r="421" spans="1:12" ht="33" customHeight="1">
      <c r="A421" s="3493" t="s">
        <v>2</v>
      </c>
      <c r="B421" s="3482"/>
      <c r="C421" s="344" t="s">
        <v>3</v>
      </c>
      <c r="D421" s="408" t="s">
        <v>4</v>
      </c>
      <c r="E421" s="828" t="s">
        <v>5</v>
      </c>
      <c r="F421" s="849" t="s">
        <v>5</v>
      </c>
      <c r="G421" s="307" t="s">
        <v>6</v>
      </c>
      <c r="H421" s="344" t="s">
        <v>7</v>
      </c>
      <c r="I421" s="592" t="s">
        <v>1511</v>
      </c>
      <c r="J421" s="699" t="s">
        <v>9</v>
      </c>
      <c r="K421" s="346" t="s">
        <v>9</v>
      </c>
    </row>
    <row r="422" spans="1:12" ht="33" customHeight="1" thickBot="1">
      <c r="A422" s="155"/>
      <c r="B422" s="138"/>
      <c r="C422" s="345"/>
      <c r="D422" s="409" t="s">
        <v>10</v>
      </c>
      <c r="E422" s="829" t="s">
        <v>11</v>
      </c>
      <c r="F422" s="850" t="s">
        <v>12</v>
      </c>
      <c r="G422" s="308"/>
      <c r="H422" s="345" t="s">
        <v>13</v>
      </c>
      <c r="I422" s="593" t="s">
        <v>1512</v>
      </c>
      <c r="J422" s="700" t="s">
        <v>14</v>
      </c>
      <c r="K422" s="347" t="s">
        <v>15</v>
      </c>
    </row>
    <row r="423" spans="1:12" ht="33" customHeight="1">
      <c r="A423" s="372"/>
      <c r="B423" s="372"/>
      <c r="C423" s="341"/>
      <c r="D423" s="167"/>
      <c r="E423" s="833"/>
      <c r="F423" s="855"/>
      <c r="G423" s="310"/>
      <c r="H423" s="207"/>
      <c r="I423" s="431"/>
      <c r="J423" s="704"/>
      <c r="K423" s="365"/>
    </row>
    <row r="424" spans="1:12" ht="33" customHeight="1">
      <c r="A424" s="430"/>
      <c r="B424" s="208"/>
      <c r="C424" s="341"/>
      <c r="D424" s="320"/>
      <c r="E424" s="832"/>
      <c r="F424" s="767"/>
      <c r="G424" s="310"/>
      <c r="H424" s="207"/>
      <c r="I424" s="431"/>
      <c r="J424" s="586"/>
      <c r="K424" s="365"/>
    </row>
    <row r="425" spans="1:12" ht="33" customHeight="1">
      <c r="A425" s="157"/>
      <c r="B425" s="43"/>
      <c r="C425" s="207"/>
      <c r="D425" s="320"/>
      <c r="E425" s="728"/>
      <c r="F425" s="767"/>
      <c r="G425" s="310"/>
      <c r="H425" s="207"/>
      <c r="I425" s="431"/>
      <c r="J425" s="586"/>
      <c r="K425" s="365"/>
    </row>
    <row r="426" spans="1:12" ht="33" customHeight="1">
      <c r="A426" s="157"/>
      <c r="B426" s="43"/>
      <c r="C426" s="207"/>
      <c r="D426" s="320"/>
      <c r="E426" s="728"/>
      <c r="F426" s="767"/>
      <c r="G426" s="310"/>
      <c r="H426" s="207"/>
      <c r="I426" s="431"/>
      <c r="J426" s="586"/>
      <c r="K426" s="365"/>
    </row>
    <row r="427" spans="1:12" ht="33" customHeight="1">
      <c r="A427" s="157"/>
      <c r="B427" s="43"/>
      <c r="C427" s="207"/>
      <c r="D427" s="320"/>
      <c r="E427" s="728"/>
      <c r="F427" s="767"/>
      <c r="G427" s="310"/>
      <c r="H427" s="207"/>
      <c r="I427" s="431"/>
      <c r="J427" s="586"/>
      <c r="K427" s="365"/>
    </row>
    <row r="428" spans="1:12" ht="33" customHeight="1">
      <c r="A428" s="221"/>
      <c r="B428" s="766"/>
      <c r="C428" s="341"/>
      <c r="D428" s="320"/>
      <c r="E428" s="831"/>
      <c r="F428" s="852"/>
      <c r="G428" s="312"/>
      <c r="H428" s="341"/>
      <c r="I428" s="505"/>
      <c r="J428" s="604"/>
      <c r="K428" s="378"/>
    </row>
    <row r="429" spans="1:12" ht="33" customHeight="1">
      <c r="A429" s="221"/>
      <c r="B429" s="406"/>
      <c r="C429" s="341"/>
      <c r="D429" s="320"/>
      <c r="E429" s="831"/>
      <c r="F429" s="852"/>
      <c r="G429" s="312"/>
      <c r="H429" s="341"/>
      <c r="I429" s="505"/>
      <c r="J429" s="604"/>
      <c r="K429" s="378"/>
    </row>
    <row r="430" spans="1:12" ht="33" customHeight="1">
      <c r="A430" s="221"/>
      <c r="B430" s="406"/>
      <c r="C430" s="341"/>
      <c r="D430" s="320"/>
      <c r="E430" s="831"/>
      <c r="F430" s="852"/>
      <c r="G430" s="312"/>
      <c r="H430" s="341"/>
      <c r="I430" s="505"/>
      <c r="J430" s="604"/>
      <c r="K430" s="378"/>
    </row>
    <row r="431" spans="1:12" ht="33" customHeight="1">
      <c r="A431" s="221"/>
      <c r="B431" s="406"/>
      <c r="C431" s="341"/>
      <c r="D431" s="321"/>
      <c r="E431" s="831"/>
      <c r="F431" s="852"/>
      <c r="G431" s="312"/>
      <c r="H431" s="341"/>
      <c r="I431" s="505"/>
      <c r="J431" s="604"/>
      <c r="K431" s="378"/>
      <c r="L431" s="366">
        <f>1401.75/5</f>
        <v>280.35000000000002</v>
      </c>
    </row>
    <row r="432" spans="1:12" ht="33" customHeight="1">
      <c r="A432" s="157"/>
      <c r="B432" s="43"/>
      <c r="C432" s="207"/>
      <c r="D432" s="321"/>
      <c r="E432" s="728"/>
      <c r="F432" s="767"/>
      <c r="G432" s="310"/>
      <c r="H432" s="207"/>
      <c r="I432" s="431"/>
      <c r="J432" s="586"/>
      <c r="K432" s="365"/>
    </row>
    <row r="433" spans="1:12" ht="33" customHeight="1">
      <c r="A433" s="221"/>
      <c r="B433" s="768"/>
      <c r="C433" s="341"/>
      <c r="D433" s="321"/>
      <c r="E433" s="831"/>
      <c r="F433" s="852"/>
      <c r="G433" s="312"/>
      <c r="H433" s="341"/>
      <c r="I433" s="505"/>
      <c r="J433" s="604"/>
      <c r="K433" s="378"/>
    </row>
    <row r="434" spans="1:12" ht="33" customHeight="1">
      <c r="A434" s="221"/>
      <c r="B434" s="406"/>
      <c r="C434" s="341"/>
      <c r="D434" s="413"/>
      <c r="E434" s="831"/>
      <c r="F434" s="852"/>
      <c r="G434" s="312"/>
      <c r="H434" s="341"/>
      <c r="I434" s="505"/>
      <c r="J434" s="604"/>
      <c r="K434" s="378"/>
    </row>
    <row r="435" spans="1:12" ht="33" customHeight="1">
      <c r="A435" s="157"/>
      <c r="B435" s="43"/>
      <c r="C435" s="207"/>
      <c r="D435" s="322"/>
      <c r="E435" s="728"/>
      <c r="F435" s="767"/>
      <c r="G435" s="310"/>
      <c r="H435" s="207"/>
      <c r="I435" s="431"/>
      <c r="J435" s="586"/>
      <c r="K435" s="365"/>
    </row>
    <row r="436" spans="1:12" ht="33" customHeight="1">
      <c r="A436" s="157"/>
      <c r="B436" s="62"/>
      <c r="C436" s="207"/>
      <c r="D436" s="322"/>
      <c r="E436" s="728"/>
      <c r="F436" s="767"/>
      <c r="G436" s="310"/>
      <c r="H436" s="207"/>
      <c r="I436" s="431"/>
      <c r="J436" s="586"/>
      <c r="K436" s="365"/>
    </row>
    <row r="437" spans="1:12" ht="33" customHeight="1">
      <c r="A437" s="430"/>
      <c r="B437" s="382"/>
      <c r="C437" s="207"/>
      <c r="D437" s="322"/>
      <c r="E437" s="728"/>
      <c r="F437" s="767"/>
      <c r="G437" s="310"/>
      <c r="H437" s="207"/>
      <c r="I437" s="431"/>
      <c r="J437" s="586"/>
      <c r="K437" s="365"/>
    </row>
    <row r="438" spans="1:12" ht="33" customHeight="1">
      <c r="A438" s="157"/>
      <c r="B438" s="43"/>
      <c r="C438" s="207"/>
      <c r="D438" s="339"/>
      <c r="E438" s="84"/>
      <c r="F438" s="767"/>
      <c r="G438" s="477"/>
      <c r="H438" s="115"/>
      <c r="I438" s="431"/>
      <c r="J438" s="590"/>
      <c r="K438" s="526"/>
    </row>
    <row r="439" spans="1:12" ht="33" customHeight="1">
      <c r="A439" s="157"/>
      <c r="B439" s="43"/>
      <c r="C439" s="207"/>
      <c r="D439" s="322"/>
      <c r="E439" s="728"/>
      <c r="F439" s="767"/>
      <c r="G439" s="310"/>
      <c r="H439" s="207"/>
      <c r="I439" s="431"/>
      <c r="J439" s="586"/>
      <c r="K439" s="365"/>
    </row>
    <row r="440" spans="1:12" ht="33" customHeight="1">
      <c r="A440" s="157"/>
      <c r="B440" s="43"/>
      <c r="C440" s="207"/>
      <c r="D440" s="322"/>
      <c r="E440" s="728"/>
      <c r="F440" s="767"/>
      <c r="G440" s="310"/>
      <c r="H440" s="207"/>
      <c r="I440" s="431"/>
      <c r="J440" s="586"/>
      <c r="K440" s="365"/>
    </row>
    <row r="441" spans="1:12" ht="33" customHeight="1">
      <c r="A441" s="430"/>
      <c r="B441" s="382"/>
      <c r="C441" s="207"/>
      <c r="D441" s="322"/>
      <c r="E441" s="728"/>
      <c r="F441" s="767"/>
      <c r="G441" s="310"/>
      <c r="H441" s="207"/>
      <c r="I441" s="431"/>
      <c r="J441" s="586"/>
      <c r="K441" s="365"/>
    </row>
    <row r="442" spans="1:12" ht="33" customHeight="1">
      <c r="A442" s="157"/>
      <c r="B442" s="43"/>
      <c r="C442" s="207"/>
      <c r="D442" s="322"/>
      <c r="E442" s="728"/>
      <c r="F442" s="767"/>
      <c r="G442" s="310"/>
      <c r="H442" s="707"/>
      <c r="I442" s="431"/>
      <c r="J442" s="586"/>
      <c r="K442" s="365"/>
    </row>
    <row r="443" spans="1:12" ht="33" customHeight="1">
      <c r="A443" s="157"/>
      <c r="B443" s="43"/>
      <c r="C443" s="207"/>
      <c r="D443" s="322"/>
      <c r="E443" s="728"/>
      <c r="F443" s="767"/>
      <c r="G443" s="310"/>
      <c r="H443" s="707"/>
      <c r="I443" s="431"/>
      <c r="J443" s="586"/>
      <c r="K443" s="365"/>
    </row>
    <row r="444" spans="1:12" ht="33" customHeight="1">
      <c r="A444" s="157"/>
      <c r="B444" s="43"/>
      <c r="C444" s="207"/>
      <c r="D444" s="322"/>
      <c r="E444" s="728"/>
      <c r="F444" s="767"/>
      <c r="G444" s="310"/>
      <c r="H444" s="707"/>
      <c r="I444" s="431"/>
      <c r="J444" s="586"/>
      <c r="K444" s="365"/>
    </row>
    <row r="445" spans="1:12" ht="33" customHeight="1">
      <c r="A445" s="157"/>
      <c r="B445" s="43"/>
      <c r="C445" s="207"/>
      <c r="D445" s="322"/>
      <c r="E445" s="728"/>
      <c r="F445" s="767"/>
      <c r="G445" s="312"/>
      <c r="H445" s="878"/>
      <c r="I445" s="431"/>
      <c r="J445" s="604"/>
      <c r="K445" s="365"/>
      <c r="L445" s="427"/>
    </row>
    <row r="446" spans="1:12" ht="33" customHeight="1">
      <c r="A446" s="157"/>
      <c r="B446" s="43"/>
      <c r="C446" s="207"/>
      <c r="D446" s="322"/>
      <c r="E446" s="728"/>
      <c r="F446" s="767"/>
      <c r="G446" s="310"/>
      <c r="H446" s="707"/>
      <c r="I446" s="431"/>
      <c r="J446" s="586"/>
      <c r="K446" s="365"/>
    </row>
    <row r="447" spans="1:12" ht="33" customHeight="1">
      <c r="A447" s="157"/>
      <c r="B447" s="433"/>
      <c r="C447" s="207"/>
      <c r="D447" s="421"/>
      <c r="E447" s="839"/>
      <c r="F447" s="767"/>
      <c r="G447" s="310"/>
      <c r="H447" s="707"/>
      <c r="I447" s="431"/>
      <c r="J447" s="586"/>
      <c r="K447" s="365"/>
    </row>
    <row r="448" spans="1:12" ht="33" customHeight="1">
      <c r="A448" s="157"/>
      <c r="B448" s="43"/>
      <c r="C448" s="341"/>
      <c r="D448" s="420"/>
      <c r="E448" s="728"/>
      <c r="F448" s="860"/>
      <c r="G448" s="312"/>
      <c r="H448" s="878"/>
      <c r="I448" s="431"/>
      <c r="J448" s="604"/>
      <c r="K448" s="365"/>
      <c r="L448" s="427"/>
    </row>
    <row r="449" spans="1:12" ht="33" customHeight="1">
      <c r="A449" s="157"/>
      <c r="B449" s="162"/>
      <c r="C449" s="523"/>
      <c r="D449" s="425"/>
      <c r="E449" s="728"/>
      <c r="F449" s="860"/>
      <c r="G449" s="426"/>
      <c r="H449" s="523"/>
      <c r="I449" s="509"/>
      <c r="J449" s="710"/>
      <c r="K449" s="983"/>
      <c r="L449" s="427"/>
    </row>
    <row r="450" spans="1:12" ht="33" customHeight="1">
      <c r="A450" s="430"/>
      <c r="B450" s="401"/>
      <c r="C450" s="207"/>
      <c r="D450" s="321"/>
      <c r="E450" s="728"/>
      <c r="F450" s="767"/>
      <c r="G450" s="310"/>
      <c r="H450" s="207"/>
      <c r="I450" s="431"/>
      <c r="J450" s="586"/>
      <c r="K450" s="365"/>
      <c r="L450" s="427"/>
    </row>
    <row r="451" spans="1:12" ht="33" customHeight="1">
      <c r="A451" s="157"/>
      <c r="B451" s="43"/>
      <c r="C451" s="207"/>
      <c r="D451" s="322"/>
      <c r="E451" s="728"/>
      <c r="F451" s="767"/>
      <c r="G451" s="310"/>
      <c r="H451" s="207"/>
      <c r="I451" s="431"/>
      <c r="J451" s="586"/>
      <c r="K451" s="365"/>
      <c r="L451" s="427"/>
    </row>
    <row r="452" spans="1:12" ht="33" customHeight="1">
      <c r="A452" s="157"/>
      <c r="B452" s="162"/>
      <c r="C452" s="523"/>
      <c r="D452" s="425"/>
      <c r="E452" s="728"/>
      <c r="F452" s="860"/>
      <c r="G452" s="426"/>
      <c r="H452" s="523"/>
      <c r="I452" s="509"/>
      <c r="J452" s="710"/>
      <c r="K452" s="983"/>
      <c r="L452" s="427"/>
    </row>
    <row r="453" spans="1:12" ht="30" customHeight="1">
      <c r="A453" s="157"/>
      <c r="B453" s="154"/>
      <c r="C453" s="523"/>
      <c r="D453" s="425"/>
      <c r="E453" s="840"/>
      <c r="F453" s="860"/>
      <c r="G453" s="426"/>
      <c r="H453" s="523"/>
      <c r="I453" s="509"/>
      <c r="J453" s="710"/>
      <c r="K453" s="983"/>
      <c r="L453" s="427"/>
    </row>
    <row r="454" spans="1:12" s="75" customFormat="1" ht="33" customHeight="1">
      <c r="A454" s="44"/>
      <c r="B454" s="3444"/>
      <c r="C454" s="510"/>
      <c r="D454" s="328"/>
      <c r="E454" s="328"/>
      <c r="F454" s="328"/>
      <c r="G454" s="328"/>
      <c r="H454" s="510"/>
      <c r="I454" s="510"/>
      <c r="J454" s="711"/>
      <c r="K454" s="427"/>
      <c r="L454" s="427"/>
    </row>
    <row r="455" spans="1:12" s="75" customFormat="1" ht="33" customHeight="1">
      <c r="A455" s="44"/>
      <c r="B455" s="3444"/>
      <c r="C455" s="510"/>
      <c r="D455" s="328"/>
      <c r="E455" s="328"/>
      <c r="F455" s="328"/>
      <c r="G455" s="328"/>
      <c r="H455" s="510"/>
      <c r="I455" s="510"/>
      <c r="J455" s="711"/>
      <c r="K455" s="427"/>
      <c r="L455" s="427"/>
    </row>
    <row r="456" spans="1:12" ht="33" customHeight="1">
      <c r="A456" s="44" t="s">
        <v>0</v>
      </c>
      <c r="B456" s="127"/>
      <c r="C456" s="167"/>
      <c r="F456" s="104"/>
    </row>
    <row r="457" spans="1:12" ht="33" customHeight="1">
      <c r="A457" s="112" t="s">
        <v>3052</v>
      </c>
      <c r="B457" s="112"/>
      <c r="C457" s="167"/>
      <c r="D457" s="167"/>
      <c r="F457" s="104"/>
    </row>
    <row r="458" spans="1:12" ht="33" customHeight="1" thickBot="1">
      <c r="F458" s="104"/>
    </row>
    <row r="459" spans="1:12" ht="33" customHeight="1">
      <c r="A459" s="3481" t="s">
        <v>2</v>
      </c>
      <c r="B459" s="3482"/>
      <c r="C459" s="344" t="s">
        <v>3</v>
      </c>
      <c r="D459" s="408" t="s">
        <v>4</v>
      </c>
      <c r="E459" s="828" t="s">
        <v>5</v>
      </c>
      <c r="F459" s="849" t="s">
        <v>5</v>
      </c>
      <c r="G459" s="307" t="s">
        <v>6</v>
      </c>
      <c r="H459" s="344" t="s">
        <v>7</v>
      </c>
      <c r="I459" s="498" t="s">
        <v>1511</v>
      </c>
      <c r="J459" s="699" t="s">
        <v>9</v>
      </c>
      <c r="K459" s="346" t="s">
        <v>9</v>
      </c>
    </row>
    <row r="460" spans="1:12" ht="33" customHeight="1" thickBot="1">
      <c r="A460" s="51"/>
      <c r="B460" s="138"/>
      <c r="C460" s="345"/>
      <c r="D460" s="409" t="s">
        <v>10</v>
      </c>
      <c r="E460" s="829" t="s">
        <v>11</v>
      </c>
      <c r="F460" s="850" t="s">
        <v>12</v>
      </c>
      <c r="G460" s="308"/>
      <c r="H460" s="345" t="s">
        <v>13</v>
      </c>
      <c r="I460" s="499" t="s">
        <v>1512</v>
      </c>
      <c r="J460" s="700" t="s">
        <v>14</v>
      </c>
      <c r="K460" s="347" t="s">
        <v>15</v>
      </c>
    </row>
    <row r="461" spans="1:12" ht="33" customHeight="1">
      <c r="A461" s="443"/>
      <c r="B461" s="958"/>
      <c r="C461" s="523"/>
      <c r="D461" s="416"/>
      <c r="E461" s="830"/>
      <c r="F461" s="852"/>
      <c r="G461" s="822"/>
      <c r="H461" s="523"/>
      <c r="I461" s="509"/>
      <c r="J461" s="710"/>
      <c r="K461" s="983"/>
    </row>
    <row r="462" spans="1:12" ht="33" customHeight="1">
      <c r="A462" s="768"/>
      <c r="B462" s="958"/>
      <c r="C462" s="523"/>
      <c r="D462" s="416"/>
      <c r="E462" s="830"/>
      <c r="F462" s="852"/>
      <c r="G462" s="822"/>
      <c r="H462" s="523"/>
      <c r="I462" s="509"/>
      <c r="J462" s="710"/>
      <c r="K462" s="983"/>
    </row>
    <row r="463" spans="1:12" ht="33" customHeight="1">
      <c r="A463" s="438"/>
      <c r="B463" s="406"/>
      <c r="C463" s="341"/>
      <c r="D463" s="413"/>
      <c r="E463" s="831"/>
      <c r="F463" s="852"/>
      <c r="G463" s="312"/>
      <c r="H463" s="341"/>
      <c r="I463" s="505"/>
      <c r="J463" s="604"/>
      <c r="K463" s="378"/>
    </row>
    <row r="464" spans="1:12" ht="33" customHeight="1">
      <c r="A464" s="438"/>
      <c r="B464" s="406"/>
      <c r="C464" s="341"/>
      <c r="D464" s="413"/>
      <c r="E464" s="831"/>
      <c r="F464" s="852"/>
      <c r="G464" s="312"/>
      <c r="H464" s="341"/>
      <c r="I464" s="505"/>
      <c r="J464" s="604"/>
      <c r="K464" s="378"/>
    </row>
    <row r="465" spans="1:12" ht="33" customHeight="1">
      <c r="A465" s="438"/>
      <c r="B465" s="406"/>
      <c r="C465" s="341"/>
      <c r="D465" s="413"/>
      <c r="E465" s="831"/>
      <c r="F465" s="852"/>
      <c r="G465" s="312"/>
      <c r="H465" s="341"/>
      <c r="I465" s="505"/>
      <c r="J465" s="604"/>
      <c r="K465" s="378"/>
    </row>
    <row r="466" spans="1:12" ht="33" customHeight="1">
      <c r="A466" s="438"/>
      <c r="B466" s="406"/>
      <c r="C466" s="341"/>
      <c r="D466" s="413"/>
      <c r="E466" s="831"/>
      <c r="F466" s="852"/>
      <c r="G466" s="823"/>
      <c r="H466" s="341"/>
      <c r="I466" s="505"/>
      <c r="J466" s="878"/>
      <c r="K466" s="378"/>
      <c r="L466" s="454"/>
    </row>
    <row r="467" spans="1:12" ht="33" customHeight="1">
      <c r="A467" s="438"/>
      <c r="B467" s="406"/>
      <c r="C467" s="341"/>
      <c r="D467" s="1351"/>
      <c r="E467" s="831"/>
      <c r="F467" s="852"/>
      <c r="G467" s="312"/>
      <c r="H467" s="341"/>
      <c r="I467" s="505"/>
      <c r="J467" s="604"/>
      <c r="K467" s="378"/>
    </row>
    <row r="468" spans="1:12" ht="33" customHeight="1">
      <c r="A468" s="254"/>
      <c r="B468" s="406"/>
      <c r="C468" s="341"/>
      <c r="D468" s="1351"/>
      <c r="E468" s="831"/>
      <c r="F468" s="852"/>
      <c r="G468" s="312"/>
      <c r="H468" s="341"/>
      <c r="I468" s="505"/>
      <c r="J468" s="604"/>
      <c r="K468" s="378"/>
    </row>
    <row r="469" spans="1:12" ht="33" customHeight="1">
      <c r="A469" s="768"/>
      <c r="B469" s="770"/>
      <c r="C469" s="341"/>
      <c r="D469" s="1352"/>
      <c r="E469" s="831"/>
      <c r="F469" s="852"/>
      <c r="G469" s="312"/>
      <c r="H469" s="341"/>
      <c r="I469" s="505"/>
      <c r="J469" s="878"/>
      <c r="K469" s="378"/>
    </row>
    <row r="470" spans="1:12" ht="33" customHeight="1">
      <c r="A470" s="438"/>
      <c r="B470" s="770"/>
      <c r="C470" s="341"/>
      <c r="D470" s="413"/>
      <c r="E470" s="831"/>
      <c r="F470" s="852"/>
      <c r="G470" s="312"/>
      <c r="H470" s="341"/>
      <c r="I470" s="505"/>
      <c r="J470" s="591"/>
      <c r="K470" s="378"/>
    </row>
    <row r="471" spans="1:12" ht="33" customHeight="1">
      <c r="A471" s="438"/>
      <c r="B471" s="770"/>
      <c r="C471" s="341"/>
      <c r="D471" s="413"/>
      <c r="E471" s="831"/>
      <c r="F471" s="852"/>
      <c r="G471" s="312"/>
      <c r="H471" s="341"/>
      <c r="I471" s="505"/>
      <c r="J471" s="591"/>
      <c r="K471" s="378"/>
      <c r="L471" s="454"/>
    </row>
    <row r="472" spans="1:12" ht="33" customHeight="1">
      <c r="A472" s="438"/>
      <c r="B472" s="406"/>
      <c r="C472" s="341"/>
      <c r="D472" s="413"/>
      <c r="E472" s="831"/>
      <c r="F472" s="852"/>
      <c r="G472" s="823"/>
      <c r="H472" s="341"/>
      <c r="I472" s="505"/>
      <c r="J472" s="1353"/>
      <c r="K472" s="378"/>
      <c r="L472" s="454"/>
    </row>
    <row r="473" spans="1:12" ht="33" customHeight="1">
      <c r="A473" s="438"/>
      <c r="B473" s="406"/>
      <c r="C473" s="341"/>
      <c r="D473" s="413"/>
      <c r="E473" s="831"/>
      <c r="F473" s="852"/>
      <c r="G473" s="823"/>
      <c r="H473" s="341"/>
      <c r="I473" s="505"/>
      <c r="J473" s="1353"/>
      <c r="K473" s="378"/>
      <c r="L473" s="454"/>
    </row>
    <row r="474" spans="1:12" ht="33" customHeight="1">
      <c r="A474" s="768"/>
      <c r="B474" s="958"/>
      <c r="C474" s="341"/>
      <c r="D474" s="413"/>
      <c r="E474" s="831"/>
      <c r="F474" s="852"/>
      <c r="G474" s="312"/>
      <c r="H474" s="341"/>
      <c r="I474" s="505"/>
      <c r="J474" s="604"/>
      <c r="K474" s="378"/>
    </row>
    <row r="475" spans="1:12" ht="33" customHeight="1">
      <c r="A475" s="438"/>
      <c r="B475" s="406"/>
      <c r="C475" s="341"/>
      <c r="D475" s="413"/>
      <c r="E475" s="831"/>
      <c r="F475" s="852"/>
      <c r="G475" s="312"/>
      <c r="H475" s="341"/>
      <c r="I475" s="505"/>
      <c r="J475" s="591"/>
      <c r="K475" s="378"/>
      <c r="L475" s="454"/>
    </row>
    <row r="476" spans="1:12" ht="33" customHeight="1">
      <c r="A476" s="438"/>
      <c r="B476" s="406"/>
      <c r="C476" s="341"/>
      <c r="D476" s="413"/>
      <c r="E476" s="831"/>
      <c r="F476" s="852"/>
      <c r="G476" s="823"/>
      <c r="H476" s="341"/>
      <c r="I476" s="505"/>
      <c r="J476" s="1353"/>
      <c r="K476" s="378"/>
      <c r="L476" s="454"/>
    </row>
    <row r="477" spans="1:12" ht="33" customHeight="1">
      <c r="A477" s="438"/>
      <c r="B477" s="406"/>
      <c r="C477" s="341"/>
      <c r="D477" s="413"/>
      <c r="E477" s="831"/>
      <c r="F477" s="852"/>
      <c r="G477" s="823"/>
      <c r="H477" s="341"/>
      <c r="I477" s="505"/>
      <c r="J477" s="1353"/>
      <c r="K477" s="378"/>
      <c r="L477" s="454"/>
    </row>
    <row r="478" spans="1:12" ht="33" customHeight="1">
      <c r="A478" s="438"/>
      <c r="B478" s="406"/>
      <c r="C478" s="341"/>
      <c r="D478" s="413"/>
      <c r="E478" s="831"/>
      <c r="F478" s="852"/>
      <c r="G478" s="823"/>
      <c r="H478" s="341"/>
      <c r="I478" s="505"/>
      <c r="J478" s="1353"/>
      <c r="K478" s="378"/>
      <c r="L478" s="454"/>
    </row>
    <row r="479" spans="1:12" ht="33" customHeight="1">
      <c r="A479" s="768"/>
      <c r="B479" s="406"/>
      <c r="C479" s="341"/>
      <c r="D479" s="413"/>
      <c r="E479" s="831"/>
      <c r="F479" s="852"/>
      <c r="G479" s="823"/>
      <c r="H479" s="341"/>
      <c r="I479" s="505"/>
      <c r="J479" s="1353"/>
      <c r="K479" s="378"/>
      <c r="L479" s="454"/>
    </row>
    <row r="480" spans="1:12" ht="33" customHeight="1">
      <c r="A480" s="438"/>
      <c r="B480" s="406"/>
      <c r="C480" s="341"/>
      <c r="D480" s="413"/>
      <c r="E480" s="831"/>
      <c r="F480" s="852"/>
      <c r="G480" s="823"/>
      <c r="H480" s="341"/>
      <c r="I480" s="505"/>
      <c r="J480" s="1353"/>
      <c r="K480" s="378"/>
      <c r="L480" s="454"/>
    </row>
    <row r="481" spans="1:12" ht="33" customHeight="1">
      <c r="A481" s="438"/>
      <c r="B481" s="406"/>
      <c r="C481" s="341"/>
      <c r="D481" s="413"/>
      <c r="E481" s="831"/>
      <c r="F481" s="852"/>
      <c r="G481" s="823"/>
      <c r="H481" s="341"/>
      <c r="I481" s="505"/>
      <c r="J481" s="1353"/>
      <c r="K481" s="378"/>
      <c r="L481" s="454"/>
    </row>
    <row r="482" spans="1:12" ht="33" customHeight="1">
      <c r="A482" s="438"/>
      <c r="B482" s="1161"/>
      <c r="C482" s="341"/>
      <c r="D482" s="413"/>
      <c r="E482" s="1332"/>
      <c r="F482" s="852"/>
      <c r="G482" s="312"/>
      <c r="H482" s="341"/>
      <c r="I482" s="505"/>
      <c r="J482" s="591"/>
      <c r="K482" s="378"/>
    </row>
    <row r="483" spans="1:12" ht="33" customHeight="1">
      <c r="A483" s="438"/>
      <c r="B483" s="1161"/>
      <c r="C483" s="824"/>
      <c r="D483" s="413"/>
      <c r="E483" s="1332"/>
      <c r="F483" s="852"/>
      <c r="G483" s="312"/>
      <c r="H483" s="341"/>
      <c r="I483" s="505"/>
      <c r="J483" s="591"/>
      <c r="K483" s="378"/>
    </row>
    <row r="484" spans="1:12" ht="33" customHeight="1">
      <c r="A484" s="438"/>
      <c r="B484" s="3468"/>
      <c r="C484" s="341"/>
      <c r="D484" s="413"/>
      <c r="E484" s="1332"/>
      <c r="F484" s="852"/>
      <c r="G484" s="312"/>
      <c r="H484" s="341"/>
      <c r="I484" s="505"/>
      <c r="J484" s="591"/>
      <c r="K484" s="378"/>
    </row>
    <row r="485" spans="1:12" ht="33" customHeight="1">
      <c r="A485" s="315"/>
      <c r="B485" s="161"/>
      <c r="C485" s="207"/>
      <c r="D485" s="322"/>
      <c r="E485" s="837"/>
      <c r="F485" s="767"/>
      <c r="G485" s="310"/>
      <c r="H485" s="207"/>
      <c r="I485" s="431"/>
      <c r="J485" s="590"/>
      <c r="K485" s="365"/>
    </row>
    <row r="486" spans="1:12" ht="33" customHeight="1">
      <c r="A486" s="429"/>
      <c r="B486" s="154"/>
      <c r="C486" s="207"/>
      <c r="D486" s="322"/>
      <c r="E486" s="838"/>
      <c r="F486" s="861"/>
      <c r="G486" s="310"/>
      <c r="H486" s="207"/>
      <c r="I486" s="431"/>
      <c r="J486" s="712"/>
      <c r="K486" s="365"/>
      <c r="L486" s="454"/>
    </row>
    <row r="487" spans="1:12" ht="33" customHeight="1">
      <c r="A487" s="429"/>
      <c r="B487" s="154"/>
      <c r="C487" s="207"/>
      <c r="D487" s="322"/>
      <c r="E487" s="838"/>
      <c r="F487" s="861"/>
      <c r="G487" s="310"/>
      <c r="H487" s="207"/>
      <c r="I487" s="431"/>
      <c r="J487" s="712"/>
      <c r="K487" s="365"/>
      <c r="L487" s="454"/>
    </row>
    <row r="488" spans="1:12" ht="33" customHeight="1">
      <c r="A488" s="429"/>
      <c r="B488" s="154"/>
      <c r="C488" s="207"/>
      <c r="D488" s="322"/>
      <c r="E488" s="838"/>
      <c r="F488" s="861"/>
      <c r="G488" s="310"/>
      <c r="H488" s="207"/>
      <c r="I488" s="431"/>
      <c r="J488" s="712"/>
      <c r="K488" s="365"/>
      <c r="L488" s="454"/>
    </row>
    <row r="489" spans="1:12" ht="33" customHeight="1">
      <c r="A489" s="429"/>
      <c r="B489" s="154"/>
      <c r="C489" s="207"/>
      <c r="D489" s="322"/>
      <c r="E489" s="838"/>
      <c r="F489" s="861"/>
      <c r="G489" s="310"/>
      <c r="H489" s="207"/>
      <c r="I489" s="431"/>
      <c r="J489" s="707"/>
      <c r="K489" s="365"/>
      <c r="L489" s="454"/>
    </row>
    <row r="490" spans="1:12" ht="33" customHeight="1">
      <c r="A490" s="429"/>
      <c r="B490" s="154"/>
      <c r="C490" s="207"/>
      <c r="D490" s="322"/>
      <c r="E490" s="838"/>
      <c r="F490" s="861"/>
      <c r="G490" s="310"/>
      <c r="H490" s="207"/>
      <c r="I490" s="431"/>
      <c r="J490" s="707"/>
      <c r="K490" s="365"/>
      <c r="L490" s="454"/>
    </row>
    <row r="491" spans="1:12" ht="33" customHeight="1">
      <c r="F491" s="104"/>
    </row>
    <row r="492" spans="1:12" ht="33" customHeight="1">
      <c r="F492" s="104"/>
    </row>
    <row r="493" spans="1:12" ht="33" customHeight="1">
      <c r="A493" s="44" t="s">
        <v>0</v>
      </c>
      <c r="B493" s="127"/>
      <c r="C493" s="167"/>
      <c r="F493" s="104"/>
    </row>
    <row r="494" spans="1:12" ht="33" customHeight="1">
      <c r="A494" s="112" t="s">
        <v>3053</v>
      </c>
      <c r="B494" s="112"/>
      <c r="C494" s="167"/>
      <c r="D494" s="167"/>
      <c r="F494" s="104"/>
    </row>
    <row r="495" spans="1:12" ht="26.25" customHeight="1" thickBot="1">
      <c r="F495" s="104"/>
    </row>
    <row r="496" spans="1:12" ht="33" customHeight="1">
      <c r="A496" s="3493" t="s">
        <v>2</v>
      </c>
      <c r="B496" s="3482"/>
      <c r="C496" s="344" t="s">
        <v>3</v>
      </c>
      <c r="D496" s="408" t="s">
        <v>4</v>
      </c>
      <c r="E496" s="828" t="s">
        <v>5</v>
      </c>
      <c r="F496" s="849" t="s">
        <v>5</v>
      </c>
      <c r="G496" s="307" t="s">
        <v>6</v>
      </c>
      <c r="H496" s="344" t="s">
        <v>7</v>
      </c>
      <c r="I496" s="498" t="s">
        <v>1511</v>
      </c>
      <c r="J496" s="699" t="s">
        <v>9</v>
      </c>
      <c r="K496" s="346" t="s">
        <v>9</v>
      </c>
    </row>
    <row r="497" spans="1:12" ht="33" customHeight="1" thickBot="1">
      <c r="A497" s="155"/>
      <c r="B497" s="138"/>
      <c r="C497" s="345"/>
      <c r="D497" s="409" t="s">
        <v>10</v>
      </c>
      <c r="E497" s="829" t="s">
        <v>11</v>
      </c>
      <c r="F497" s="850" t="s">
        <v>12</v>
      </c>
      <c r="G497" s="308"/>
      <c r="H497" s="345" t="s">
        <v>13</v>
      </c>
      <c r="I497" s="499" t="s">
        <v>1512</v>
      </c>
      <c r="J497" s="700" t="s">
        <v>14</v>
      </c>
      <c r="K497" s="347" t="s">
        <v>15</v>
      </c>
    </row>
    <row r="498" spans="1:12" ht="33" customHeight="1">
      <c r="A498" s="766"/>
      <c r="B498" s="1356"/>
      <c r="C498" s="1357"/>
      <c r="D498" s="1358"/>
      <c r="E498" s="1359"/>
      <c r="F498" s="1360"/>
      <c r="G498" s="1361"/>
      <c r="H498" s="1357"/>
      <c r="I498" s="1362"/>
      <c r="J498" s="1363"/>
      <c r="K498" s="1364"/>
    </row>
    <row r="499" spans="1:12" ht="33" customHeight="1" thickBot="1">
      <c r="A499" s="438"/>
      <c r="B499" s="406"/>
      <c r="C499" s="341"/>
      <c r="D499" s="413"/>
      <c r="E499" s="831"/>
      <c r="F499" s="320"/>
      <c r="G499" s="312"/>
      <c r="H499" s="341"/>
      <c r="I499" s="1155"/>
      <c r="J499" s="1155"/>
      <c r="K499" s="378"/>
    </row>
    <row r="500" spans="1:12" ht="33" customHeight="1" thickBot="1">
      <c r="A500" s="438"/>
      <c r="B500" s="406"/>
      <c r="C500" s="341"/>
      <c r="D500" s="413"/>
      <c r="E500" s="831"/>
      <c r="F500" s="320"/>
      <c r="G500" s="312"/>
      <c r="H500" s="341"/>
      <c r="I500" s="505"/>
      <c r="J500" s="1334"/>
      <c r="K500" s="378"/>
      <c r="L500" s="454"/>
    </row>
    <row r="501" spans="1:12" ht="33" customHeight="1">
      <c r="A501" s="438"/>
      <c r="B501" s="1336"/>
      <c r="C501" s="341"/>
      <c r="D501" s="413"/>
      <c r="E501" s="831"/>
      <c r="F501" s="320"/>
      <c r="G501" s="312"/>
      <c r="H501" s="341"/>
      <c r="I501" s="505"/>
      <c r="J501" s="1334"/>
      <c r="K501" s="378"/>
      <c r="L501" s="454"/>
    </row>
    <row r="502" spans="1:12" ht="33" customHeight="1">
      <c r="A502" s="438"/>
      <c r="B502" s="406"/>
      <c r="C502" s="341"/>
      <c r="D502" s="413"/>
      <c r="E502" s="831"/>
      <c r="F502" s="320"/>
      <c r="G502" s="312"/>
      <c r="H502" s="341"/>
      <c r="I502" s="505"/>
      <c r="J502" s="604"/>
      <c r="K502" s="378"/>
    </row>
    <row r="503" spans="1:12" ht="33" customHeight="1">
      <c r="A503" s="438"/>
      <c r="B503" s="1336"/>
      <c r="C503" s="341"/>
      <c r="D503" s="413"/>
      <c r="E503" s="831"/>
      <c r="F503" s="320"/>
      <c r="G503" s="312"/>
      <c r="H503" s="341"/>
      <c r="I503" s="505"/>
      <c r="J503" s="604"/>
      <c r="K503" s="378"/>
      <c r="L503" s="454"/>
    </row>
    <row r="504" spans="1:12" ht="33" customHeight="1">
      <c r="A504" s="438"/>
      <c r="B504" s="406"/>
      <c r="C504" s="341"/>
      <c r="D504" s="413"/>
      <c r="E504" s="831"/>
      <c r="F504" s="320"/>
      <c r="G504" s="312"/>
      <c r="H504" s="341"/>
      <c r="I504" s="505"/>
      <c r="J504" s="878"/>
      <c r="K504" s="378"/>
      <c r="L504" s="454"/>
    </row>
    <row r="505" spans="1:12" ht="33" customHeight="1">
      <c r="A505" s="438"/>
      <c r="B505" s="3468"/>
      <c r="C505" s="341"/>
      <c r="D505" s="422"/>
      <c r="E505" s="1365"/>
      <c r="F505" s="852"/>
      <c r="G505" s="312"/>
      <c r="H505" s="341"/>
      <c r="I505" s="505"/>
      <c r="J505" s="604"/>
      <c r="K505" s="378"/>
      <c r="L505" s="454"/>
    </row>
    <row r="506" spans="1:12" ht="33" customHeight="1">
      <c r="A506" s="438"/>
      <c r="B506" s="3468"/>
      <c r="C506" s="341"/>
      <c r="D506" s="422"/>
      <c r="E506" s="1365"/>
      <c r="F506" s="852"/>
      <c r="G506" s="312"/>
      <c r="H506" s="341"/>
      <c r="I506" s="505"/>
      <c r="J506" s="604"/>
      <c r="K506" s="378"/>
      <c r="L506" s="454"/>
    </row>
    <row r="507" spans="1:12" ht="33" customHeight="1">
      <c r="A507" s="438"/>
      <c r="B507" s="3468"/>
      <c r="C507" s="341"/>
      <c r="D507" s="422"/>
      <c r="E507" s="1365"/>
      <c r="F507" s="852"/>
      <c r="G507" s="312"/>
      <c r="H507" s="341"/>
      <c r="I507" s="505"/>
      <c r="J507" s="604"/>
      <c r="K507" s="378"/>
      <c r="L507" s="454"/>
    </row>
    <row r="508" spans="1:12" ht="33" customHeight="1">
      <c r="A508" s="438"/>
      <c r="B508" s="3468"/>
      <c r="C508" s="341"/>
      <c r="D508" s="422"/>
      <c r="E508" s="1365"/>
      <c r="F508" s="852"/>
      <c r="G508" s="312"/>
      <c r="H508" s="341"/>
      <c r="I508" s="505"/>
      <c r="J508" s="604"/>
      <c r="K508" s="378"/>
      <c r="L508" s="454"/>
    </row>
    <row r="509" spans="1:12" ht="33" customHeight="1">
      <c r="A509" s="438"/>
      <c r="B509" s="406"/>
      <c r="C509" s="341"/>
      <c r="D509" s="413"/>
      <c r="E509" s="831"/>
      <c r="F509" s="320"/>
      <c r="G509" s="312"/>
      <c r="H509" s="523"/>
      <c r="I509" s="509"/>
      <c r="J509" s="878"/>
      <c r="K509" s="983"/>
      <c r="L509" s="454"/>
    </row>
    <row r="510" spans="1:12" ht="33" customHeight="1">
      <c r="A510" s="221"/>
      <c r="B510" s="406"/>
      <c r="C510" s="341"/>
      <c r="D510" s="1330"/>
      <c r="E510" s="831"/>
      <c r="F510" s="320"/>
      <c r="G510" s="312"/>
      <c r="H510" s="341"/>
      <c r="I510" s="505"/>
      <c r="J510" s="604"/>
      <c r="K510" s="378"/>
      <c r="L510" s="454"/>
    </row>
    <row r="511" spans="1:12" ht="33" customHeight="1">
      <c r="A511" s="221"/>
      <c r="B511" s="406"/>
      <c r="C511" s="341"/>
      <c r="D511" s="422"/>
      <c r="E511" s="1365"/>
      <c r="F511" s="852"/>
      <c r="G511" s="312"/>
      <c r="H511" s="341"/>
      <c r="I511" s="505"/>
      <c r="J511" s="604"/>
      <c r="K511" s="378"/>
      <c r="L511" s="454"/>
    </row>
    <row r="512" spans="1:12" ht="33" customHeight="1">
      <c r="A512" s="221"/>
      <c r="B512" s="406"/>
      <c r="C512" s="341"/>
      <c r="D512" s="413"/>
      <c r="E512" s="831"/>
      <c r="F512" s="320"/>
      <c r="G512" s="312"/>
      <c r="H512" s="523"/>
      <c r="I512" s="509"/>
      <c r="J512" s="878"/>
      <c r="K512" s="983"/>
    </row>
    <row r="513" spans="1:12" ht="33" customHeight="1">
      <c r="A513" s="221"/>
      <c r="B513" s="406"/>
      <c r="C513" s="341"/>
      <c r="D513" s="1330"/>
      <c r="E513" s="831"/>
      <c r="F513" s="320"/>
      <c r="G513" s="312"/>
      <c r="H513" s="341"/>
      <c r="I513" s="505"/>
      <c r="J513" s="604"/>
      <c r="K513" s="378"/>
      <c r="L513" s="427"/>
    </row>
    <row r="514" spans="1:12" ht="33" customHeight="1">
      <c r="A514" s="221"/>
      <c r="B514" s="766"/>
      <c r="C514" s="341"/>
      <c r="D514" s="413"/>
      <c r="E514" s="831"/>
      <c r="F514" s="320"/>
      <c r="G514" s="312"/>
      <c r="H514" s="341"/>
      <c r="I514" s="505"/>
      <c r="J514" s="878"/>
      <c r="K514" s="378"/>
      <c r="L514" s="427"/>
    </row>
    <row r="515" spans="1:12" ht="33" customHeight="1">
      <c r="A515" s="221"/>
      <c r="B515" s="406"/>
      <c r="C515" s="341"/>
      <c r="D515" s="413"/>
      <c r="E515" s="831"/>
      <c r="F515" s="320"/>
      <c r="G515" s="312"/>
      <c r="H515" s="341"/>
      <c r="I515" s="505"/>
      <c r="J515" s="878"/>
      <c r="K515" s="378"/>
    </row>
    <row r="516" spans="1:12" ht="33" customHeight="1">
      <c r="A516" s="438"/>
      <c r="B516" s="406"/>
      <c r="C516" s="341"/>
      <c r="D516" s="413"/>
      <c r="E516" s="831"/>
      <c r="F516" s="320"/>
      <c r="G516" s="312"/>
      <c r="H516" s="341"/>
      <c r="I516" s="505"/>
      <c r="J516" s="878"/>
      <c r="K516" s="378"/>
    </row>
    <row r="517" spans="1:12" ht="33" customHeight="1">
      <c r="A517" s="438"/>
      <c r="B517" s="406"/>
      <c r="C517" s="341"/>
      <c r="D517" s="413"/>
      <c r="E517" s="831"/>
      <c r="F517" s="320"/>
      <c r="G517" s="312"/>
      <c r="H517" s="341"/>
      <c r="I517" s="505"/>
      <c r="J517" s="878"/>
      <c r="K517" s="378"/>
    </row>
    <row r="518" spans="1:12" ht="33" customHeight="1">
      <c r="A518" s="221"/>
      <c r="B518" s="406"/>
      <c r="C518" s="341"/>
      <c r="D518" s="413"/>
      <c r="E518" s="831"/>
      <c r="F518" s="320"/>
      <c r="G518" s="312"/>
      <c r="H518" s="341"/>
      <c r="I518" s="505"/>
      <c r="J518" s="878"/>
      <c r="K518" s="378"/>
    </row>
    <row r="519" spans="1:12" ht="33" customHeight="1">
      <c r="A519" s="221"/>
      <c r="B519" s="406"/>
      <c r="C519" s="341"/>
      <c r="D519" s="422"/>
      <c r="E519" s="1355"/>
      <c r="F519" s="852"/>
      <c r="G519" s="312"/>
      <c r="H519" s="341"/>
      <c r="I519" s="505"/>
      <c r="J519" s="604"/>
      <c r="K519" s="378"/>
    </row>
    <row r="520" spans="1:12" ht="33" customHeight="1">
      <c r="A520" s="221"/>
      <c r="B520" s="1336"/>
      <c r="C520" s="341"/>
      <c r="D520" s="422"/>
      <c r="E520" s="1355"/>
      <c r="F520" s="852"/>
      <c r="G520" s="312"/>
      <c r="H520" s="648"/>
      <c r="I520" s="505"/>
      <c r="J520" s="604"/>
      <c r="K520" s="378"/>
    </row>
    <row r="521" spans="1:12" ht="33" customHeight="1">
      <c r="A521" s="927"/>
      <c r="B521" s="1336"/>
      <c r="C521" s="341"/>
      <c r="D521" s="422"/>
      <c r="E521" s="1355"/>
      <c r="F521" s="852"/>
      <c r="G521" s="312"/>
      <c r="H521" s="648"/>
      <c r="I521" s="505"/>
      <c r="J521" s="604"/>
      <c r="K521" s="378"/>
    </row>
    <row r="522" spans="1:12" ht="33" customHeight="1">
      <c r="A522" s="1366"/>
      <c r="B522" s="1336"/>
      <c r="C522" s="341"/>
      <c r="D522" s="422"/>
      <c r="E522" s="1367"/>
      <c r="F522" s="852"/>
      <c r="G522" s="312"/>
      <c r="H522" s="1368"/>
      <c r="I522" s="506"/>
      <c r="J522" s="604"/>
      <c r="K522" s="378"/>
    </row>
    <row r="523" spans="1:12" ht="33" customHeight="1">
      <c r="A523" s="1366"/>
      <c r="B523" s="1336"/>
      <c r="C523" s="341"/>
      <c r="D523" s="422"/>
      <c r="E523" s="1367"/>
      <c r="F523" s="852"/>
      <c r="G523" s="312"/>
      <c r="H523" s="1368"/>
      <c r="I523" s="506"/>
      <c r="J523" s="604"/>
      <c r="K523" s="378"/>
    </row>
    <row r="524" spans="1:12" ht="33" customHeight="1">
      <c r="A524" s="970"/>
      <c r="B524" s="880"/>
      <c r="C524" s="880"/>
      <c r="D524" s="880"/>
      <c r="E524" s="1355"/>
      <c r="F524" s="320"/>
      <c r="G524" s="3466"/>
      <c r="H524" s="341"/>
      <c r="I524" s="505"/>
      <c r="J524" s="1153"/>
      <c r="K524" s="378"/>
    </row>
    <row r="525" spans="1:12" ht="33" customHeight="1">
      <c r="A525" s="221"/>
      <c r="B525" s="880"/>
      <c r="C525" s="880"/>
      <c r="D525" s="880"/>
      <c r="E525" s="1355"/>
      <c r="F525" s="320"/>
      <c r="G525" s="3466"/>
      <c r="H525" s="341"/>
      <c r="I525" s="505"/>
      <c r="J525" s="604"/>
      <c r="K525" s="378"/>
    </row>
    <row r="526" spans="1:12" ht="33" customHeight="1">
      <c r="A526" s="157"/>
      <c r="B526" s="43"/>
      <c r="C526" s="207"/>
      <c r="D526" s="322"/>
      <c r="E526" s="843"/>
      <c r="F526" s="861"/>
      <c r="G526" s="310"/>
      <c r="H526" s="207"/>
      <c r="I526" s="431"/>
      <c r="J526" s="586"/>
      <c r="K526" s="365"/>
    </row>
    <row r="527" spans="1:12" ht="33" customHeight="1">
      <c r="F527" s="104"/>
    </row>
    <row r="528" spans="1:12" ht="33" customHeight="1">
      <c r="F528" s="104"/>
    </row>
    <row r="529" spans="1:12" ht="33" customHeight="1">
      <c r="A529" s="44" t="s">
        <v>0</v>
      </c>
      <c r="B529" s="127"/>
      <c r="C529" s="167"/>
      <c r="F529" s="104"/>
    </row>
    <row r="530" spans="1:12" ht="33" customHeight="1">
      <c r="A530" s="112" t="s">
        <v>3054</v>
      </c>
      <c r="B530" s="112"/>
      <c r="C530" s="167"/>
      <c r="D530" s="167"/>
      <c r="F530" s="104"/>
    </row>
    <row r="531" spans="1:12" ht="33" customHeight="1" thickBot="1">
      <c r="F531" s="104"/>
    </row>
    <row r="532" spans="1:12" ht="33" customHeight="1">
      <c r="A532" s="3493" t="s">
        <v>2</v>
      </c>
      <c r="B532" s="3482"/>
      <c r="C532" s="344" t="s">
        <v>3</v>
      </c>
      <c r="D532" s="408" t="s">
        <v>4</v>
      </c>
      <c r="E532" s="828" t="s">
        <v>5</v>
      </c>
      <c r="F532" s="849" t="s">
        <v>5</v>
      </c>
      <c r="G532" s="307" t="s">
        <v>6</v>
      </c>
      <c r="H532" s="344" t="s">
        <v>7</v>
      </c>
      <c r="I532" s="498" t="s">
        <v>1511</v>
      </c>
      <c r="J532" s="699" t="s">
        <v>9</v>
      </c>
      <c r="K532" s="346" t="s">
        <v>9</v>
      </c>
    </row>
    <row r="533" spans="1:12" ht="33" customHeight="1" thickBot="1">
      <c r="A533" s="155"/>
      <c r="B533" s="138"/>
      <c r="C533" s="345"/>
      <c r="D533" s="409" t="s">
        <v>10</v>
      </c>
      <c r="E533" s="829" t="s">
        <v>11</v>
      </c>
      <c r="F533" s="850" t="s">
        <v>12</v>
      </c>
      <c r="G533" s="308"/>
      <c r="H533" s="345" t="s">
        <v>13</v>
      </c>
      <c r="I533" s="499" t="s">
        <v>1512</v>
      </c>
      <c r="J533" s="700" t="s">
        <v>14</v>
      </c>
      <c r="K533" s="347" t="s">
        <v>15</v>
      </c>
    </row>
    <row r="534" spans="1:12" ht="33" customHeight="1">
      <c r="A534" s="3516"/>
      <c r="B534" s="3517"/>
      <c r="C534" s="3517"/>
      <c r="D534" s="3518"/>
      <c r="E534" s="1376"/>
      <c r="F534" s="851"/>
      <c r="G534" s="312"/>
      <c r="H534" s="341"/>
      <c r="I534" s="505"/>
      <c r="J534" s="1334"/>
      <c r="K534" s="378"/>
    </row>
    <row r="535" spans="1:12" ht="33" customHeight="1">
      <c r="A535" s="221"/>
      <c r="B535" s="3468"/>
      <c r="C535" s="341"/>
      <c r="D535" s="422"/>
      <c r="E535" s="1365"/>
      <c r="F535" s="852"/>
      <c r="G535" s="312"/>
      <c r="H535" s="341"/>
      <c r="I535" s="505"/>
      <c r="J535" s="604"/>
      <c r="K535" s="378"/>
    </row>
    <row r="536" spans="1:12" ht="33" customHeight="1">
      <c r="A536" s="221"/>
      <c r="B536" s="240"/>
      <c r="C536" s="341"/>
      <c r="D536" s="422"/>
      <c r="E536" s="1365"/>
      <c r="F536" s="852"/>
      <c r="G536" s="312"/>
      <c r="H536" s="341"/>
      <c r="I536" s="505"/>
      <c r="J536" s="604"/>
      <c r="K536" s="378"/>
    </row>
    <row r="537" spans="1:12" ht="33" customHeight="1">
      <c r="A537" s="221"/>
      <c r="B537" s="240"/>
      <c r="C537" s="341"/>
      <c r="D537" s="422"/>
      <c r="E537" s="1365"/>
      <c r="F537" s="852"/>
      <c r="G537" s="312"/>
      <c r="H537" s="341"/>
      <c r="I537" s="505"/>
      <c r="J537" s="604"/>
      <c r="K537" s="378"/>
    </row>
    <row r="538" spans="1:12" ht="33" customHeight="1">
      <c r="A538" s="221"/>
      <c r="B538" s="1161"/>
      <c r="C538" s="341"/>
      <c r="D538" s="422"/>
      <c r="E538" s="1365"/>
      <c r="F538" s="852"/>
      <c r="G538" s="312"/>
      <c r="H538" s="341"/>
      <c r="I538" s="505"/>
      <c r="J538" s="604"/>
      <c r="K538" s="378"/>
    </row>
    <row r="539" spans="1:12" ht="33" customHeight="1">
      <c r="A539" s="221"/>
      <c r="B539" s="3468"/>
      <c r="C539" s="341"/>
      <c r="D539" s="422"/>
      <c r="E539" s="1365"/>
      <c r="F539" s="852"/>
      <c r="G539" s="312"/>
      <c r="H539" s="341"/>
      <c r="I539" s="505"/>
      <c r="J539" s="604"/>
      <c r="K539" s="378"/>
    </row>
    <row r="540" spans="1:12" ht="33" customHeight="1">
      <c r="A540" s="221"/>
      <c r="B540" s="1161"/>
      <c r="C540" s="341"/>
      <c r="D540" s="422"/>
      <c r="E540" s="1365"/>
      <c r="F540" s="852"/>
      <c r="G540" s="312"/>
      <c r="H540" s="341"/>
      <c r="I540" s="505"/>
      <c r="J540" s="604"/>
      <c r="K540" s="378"/>
    </row>
    <row r="541" spans="1:12" ht="33" customHeight="1">
      <c r="A541" s="221"/>
      <c r="B541" s="240"/>
      <c r="C541" s="341"/>
      <c r="D541" s="422"/>
      <c r="E541" s="1365"/>
      <c r="F541" s="852"/>
      <c r="G541" s="312"/>
      <c r="H541" s="341"/>
      <c r="I541" s="505"/>
      <c r="J541" s="604"/>
      <c r="K541" s="378"/>
      <c r="L541" s="427"/>
    </row>
    <row r="542" spans="1:12" ht="33" customHeight="1">
      <c r="A542" s="221"/>
      <c r="B542" s="1377"/>
      <c r="C542" s="341"/>
      <c r="D542" s="422"/>
      <c r="E542" s="1365"/>
      <c r="F542" s="852"/>
      <c r="G542" s="312"/>
      <c r="H542" s="341"/>
      <c r="I542" s="505"/>
      <c r="J542" s="604"/>
      <c r="K542" s="378"/>
    </row>
    <row r="543" spans="1:12" ht="33" customHeight="1">
      <c r="A543" s="221"/>
      <c r="B543" s="1378"/>
      <c r="C543" s="341"/>
      <c r="D543" s="422"/>
      <c r="E543" s="1365"/>
      <c r="F543" s="852"/>
      <c r="G543" s="312"/>
      <c r="H543" s="341"/>
      <c r="I543" s="505"/>
      <c r="J543" s="604"/>
      <c r="K543" s="378"/>
    </row>
    <row r="544" spans="1:12" ht="33" customHeight="1">
      <c r="A544" s="221"/>
      <c r="B544" s="1379"/>
      <c r="C544" s="341"/>
      <c r="D544" s="422"/>
      <c r="E544" s="1380"/>
      <c r="F544" s="1381"/>
      <c r="G544" s="312"/>
      <c r="H544" s="341"/>
      <c r="I544" s="505"/>
      <c r="J544" s="604"/>
      <c r="K544" s="378"/>
      <c r="L544" s="427"/>
    </row>
    <row r="545" spans="1:11" ht="33" customHeight="1">
      <c r="A545" s="221"/>
      <c r="B545" s="1377"/>
      <c r="C545" s="341"/>
      <c r="D545" s="420"/>
      <c r="E545" s="1332"/>
      <c r="F545" s="852"/>
      <c r="G545" s="312"/>
      <c r="H545" s="341"/>
      <c r="I545" s="505"/>
      <c r="J545" s="604"/>
      <c r="K545" s="378"/>
    </row>
    <row r="546" spans="1:11" ht="33" customHeight="1">
      <c r="A546" s="221"/>
      <c r="B546" s="1377"/>
      <c r="C546" s="341"/>
      <c r="D546" s="420"/>
      <c r="E546" s="1332"/>
      <c r="F546" s="852"/>
      <c r="G546" s="312"/>
      <c r="H546" s="341"/>
      <c r="I546" s="505"/>
      <c r="J546" s="604"/>
      <c r="K546" s="378"/>
    </row>
    <row r="547" spans="1:11" ht="33" customHeight="1">
      <c r="A547" s="221"/>
      <c r="B547" s="1377"/>
      <c r="C547" s="341"/>
      <c r="D547" s="420"/>
      <c r="E547" s="1332"/>
      <c r="F547" s="852"/>
      <c r="G547" s="312"/>
      <c r="H547" s="341"/>
      <c r="I547" s="505"/>
      <c r="J547" s="604"/>
      <c r="K547" s="378"/>
    </row>
    <row r="548" spans="1:11" ht="33" customHeight="1">
      <c r="A548" s="221"/>
      <c r="B548" s="1378"/>
      <c r="C548" s="341"/>
      <c r="D548" s="420"/>
      <c r="E548" s="1332"/>
      <c r="F548" s="852"/>
      <c r="G548" s="312"/>
      <c r="H548" s="341"/>
      <c r="I548" s="505"/>
      <c r="J548" s="604"/>
      <c r="K548" s="378"/>
    </row>
    <row r="549" spans="1:11" ht="33" customHeight="1">
      <c r="A549" s="221"/>
      <c r="B549" s="1378"/>
      <c r="C549" s="341"/>
      <c r="D549" s="420"/>
      <c r="E549" s="1332"/>
      <c r="F549" s="852"/>
      <c r="G549" s="312"/>
      <c r="H549" s="341"/>
      <c r="I549" s="505"/>
      <c r="J549" s="604"/>
      <c r="K549" s="378"/>
    </row>
    <row r="550" spans="1:11" ht="33" customHeight="1">
      <c r="A550" s="221"/>
      <c r="B550" s="1377"/>
      <c r="C550" s="341"/>
      <c r="D550" s="420"/>
      <c r="E550" s="1332"/>
      <c r="F550" s="852"/>
      <c r="G550" s="312"/>
      <c r="H550" s="341"/>
      <c r="I550" s="505"/>
      <c r="J550" s="604"/>
      <c r="K550" s="378"/>
    </row>
    <row r="551" spans="1:11" ht="33" customHeight="1">
      <c r="A551" s="221"/>
      <c r="B551" s="766"/>
      <c r="C551" s="1382"/>
      <c r="D551" s="321"/>
      <c r="E551" s="831"/>
      <c r="F551" s="852"/>
      <c r="G551" s="314"/>
      <c r="H551" s="341"/>
      <c r="I551" s="928"/>
      <c r="J551" s="703"/>
      <c r="K551" s="378"/>
    </row>
    <row r="552" spans="1:11" ht="33" customHeight="1">
      <c r="A552" s="221"/>
      <c r="B552" s="1032"/>
      <c r="C552" s="341"/>
      <c r="D552" s="420"/>
      <c r="E552" s="831"/>
      <c r="F552" s="852"/>
      <c r="G552" s="312"/>
      <c r="H552" s="341"/>
      <c r="I552" s="505"/>
      <c r="J552" s="604"/>
      <c r="K552" s="378"/>
    </row>
    <row r="553" spans="1:11" ht="33" customHeight="1">
      <c r="A553" s="221"/>
      <c r="B553" s="1032"/>
      <c r="C553" s="341"/>
      <c r="D553" s="420"/>
      <c r="E553" s="831"/>
      <c r="F553" s="852"/>
      <c r="G553" s="312"/>
      <c r="H553" s="341"/>
      <c r="I553" s="505"/>
      <c r="J553" s="604"/>
      <c r="K553" s="378"/>
    </row>
    <row r="554" spans="1:11" ht="33" customHeight="1">
      <c r="A554" s="221"/>
      <c r="B554" s="1377"/>
      <c r="C554" s="341"/>
      <c r="D554" s="420"/>
      <c r="E554" s="1332"/>
      <c r="F554" s="852"/>
      <c r="G554" s="312"/>
      <c r="H554" s="341"/>
      <c r="I554" s="505"/>
      <c r="J554" s="604"/>
      <c r="K554" s="378"/>
    </row>
    <row r="555" spans="1:11" ht="33" customHeight="1">
      <c r="A555" s="221"/>
      <c r="B555" s="1377"/>
      <c r="C555" s="341"/>
      <c r="D555" s="420"/>
      <c r="E555" s="1332"/>
      <c r="F555" s="852"/>
      <c r="G555" s="312"/>
      <c r="H555" s="341"/>
      <c r="I555" s="505"/>
      <c r="J555" s="604"/>
      <c r="K555" s="378"/>
    </row>
    <row r="556" spans="1:11" ht="33" customHeight="1">
      <c r="A556" s="221"/>
      <c r="B556" s="1032"/>
      <c r="C556" s="341"/>
      <c r="D556" s="420"/>
      <c r="E556" s="1332"/>
      <c r="F556" s="852"/>
      <c r="G556" s="312"/>
      <c r="H556" s="341"/>
      <c r="I556" s="505"/>
      <c r="J556" s="604"/>
      <c r="K556" s="378"/>
    </row>
    <row r="557" spans="1:11" ht="33" customHeight="1">
      <c r="A557" s="221"/>
      <c r="B557" s="1378"/>
      <c r="C557" s="341"/>
      <c r="D557" s="420"/>
      <c r="E557" s="1332"/>
      <c r="F557" s="852"/>
      <c r="G557" s="312"/>
      <c r="H557" s="341"/>
      <c r="I557" s="505"/>
      <c r="J557" s="604"/>
      <c r="K557" s="378"/>
    </row>
    <row r="558" spans="1:11" ht="33" customHeight="1">
      <c r="A558" s="221"/>
      <c r="B558" s="1378"/>
      <c r="C558" s="341"/>
      <c r="D558" s="420"/>
      <c r="E558" s="1332"/>
      <c r="F558" s="852"/>
      <c r="G558" s="312"/>
      <c r="H558" s="341"/>
      <c r="I558" s="505"/>
      <c r="J558" s="604"/>
      <c r="K558" s="378"/>
    </row>
    <row r="559" spans="1:11" ht="33" customHeight="1">
      <c r="A559" s="221"/>
      <c r="B559" s="1378"/>
      <c r="C559" s="341"/>
      <c r="D559" s="420"/>
      <c r="E559" s="1332"/>
      <c r="F559" s="852"/>
      <c r="G559" s="312"/>
      <c r="H559" s="341"/>
      <c r="I559" s="505"/>
      <c r="J559" s="604"/>
      <c r="K559" s="378"/>
    </row>
    <row r="560" spans="1:11" ht="33" customHeight="1">
      <c r="A560" s="221"/>
      <c r="B560" s="1378"/>
      <c r="C560" s="341"/>
      <c r="D560" s="420"/>
      <c r="E560" s="1332"/>
      <c r="F560" s="852"/>
      <c r="G560" s="312"/>
      <c r="H560" s="341"/>
      <c r="I560" s="505"/>
      <c r="J560" s="604"/>
      <c r="K560" s="378"/>
    </row>
    <row r="561" spans="1:11" ht="33" customHeight="1">
      <c r="A561" s="221"/>
      <c r="B561" s="1378"/>
      <c r="C561" s="341"/>
      <c r="D561" s="3469"/>
      <c r="E561" s="1007"/>
      <c r="F561" s="852"/>
      <c r="G561" s="478"/>
      <c r="H561" s="925"/>
      <c r="I561" s="505"/>
      <c r="J561" s="591"/>
      <c r="K561" s="527"/>
    </row>
    <row r="562" spans="1:11" ht="33" customHeight="1">
      <c r="A562" s="200"/>
      <c r="B562" s="43"/>
      <c r="C562" s="207"/>
      <c r="D562" s="339"/>
      <c r="E562" s="84"/>
      <c r="F562" s="767"/>
      <c r="G562" s="477"/>
      <c r="H562" s="115"/>
      <c r="I562" s="431"/>
      <c r="J562" s="590"/>
      <c r="K562" s="526"/>
    </row>
    <row r="563" spans="1:11" ht="33" customHeight="1">
      <c r="F563" s="104"/>
    </row>
    <row r="564" spans="1:11" ht="33" customHeight="1">
      <c r="F564" s="104"/>
    </row>
    <row r="565" spans="1:11" ht="33" customHeight="1">
      <c r="A565" s="44" t="s">
        <v>0</v>
      </c>
      <c r="B565" s="127"/>
      <c r="C565" s="167"/>
      <c r="F565" s="104"/>
    </row>
    <row r="566" spans="1:11" ht="33" customHeight="1">
      <c r="A566" s="3480" t="s">
        <v>3055</v>
      </c>
      <c r="B566" s="3480"/>
      <c r="C566" s="167"/>
      <c r="D566" s="167"/>
      <c r="F566" s="104"/>
    </row>
    <row r="567" spans="1:11" ht="21.75" customHeight="1" thickBot="1">
      <c r="F567" s="104"/>
    </row>
    <row r="568" spans="1:11" ht="33" customHeight="1">
      <c r="A568" s="3493" t="s">
        <v>2</v>
      </c>
      <c r="B568" s="3482"/>
      <c r="C568" s="344" t="s">
        <v>3</v>
      </c>
      <c r="D568" s="408" t="s">
        <v>4</v>
      </c>
      <c r="E568" s="828" t="s">
        <v>5</v>
      </c>
      <c r="F568" s="849" t="s">
        <v>5</v>
      </c>
      <c r="G568" s="307" t="s">
        <v>6</v>
      </c>
      <c r="H568" s="344" t="s">
        <v>7</v>
      </c>
      <c r="I568" s="498" t="s">
        <v>1511</v>
      </c>
      <c r="J568" s="699" t="s">
        <v>9</v>
      </c>
      <c r="K568" s="346" t="s">
        <v>9</v>
      </c>
    </row>
    <row r="569" spans="1:11" ht="33" customHeight="1" thickBot="1">
      <c r="A569" s="155"/>
      <c r="B569" s="138"/>
      <c r="C569" s="345"/>
      <c r="D569" s="409" t="s">
        <v>10</v>
      </c>
      <c r="E569" s="829" t="s">
        <v>11</v>
      </c>
      <c r="F569" s="850" t="s">
        <v>12</v>
      </c>
      <c r="G569" s="308"/>
      <c r="H569" s="345" t="s">
        <v>13</v>
      </c>
      <c r="I569" s="499" t="s">
        <v>1512</v>
      </c>
      <c r="J569" s="700" t="s">
        <v>14</v>
      </c>
      <c r="K569" s="347" t="s">
        <v>15</v>
      </c>
    </row>
    <row r="570" spans="1:11" ht="33" customHeight="1">
      <c r="A570" s="1007"/>
      <c r="B570" s="1369"/>
      <c r="C570" s="608"/>
      <c r="D570" s="3463"/>
      <c r="E570" s="1370"/>
      <c r="F570" s="1329"/>
      <c r="G570" s="478"/>
      <c r="H570" s="925"/>
      <c r="I570" s="505"/>
      <c r="J570" s="1371"/>
      <c r="K570" s="527"/>
    </row>
    <row r="571" spans="1:11" ht="33" customHeight="1">
      <c r="A571" s="221"/>
      <c r="B571" s="406"/>
      <c r="C571" s="341"/>
      <c r="D571" s="1372"/>
      <c r="E571" s="1007"/>
      <c r="F571" s="852"/>
      <c r="G571" s="1373"/>
      <c r="H571" s="925"/>
      <c r="I571" s="505"/>
      <c r="J571" s="1374"/>
      <c r="K571" s="1374"/>
    </row>
    <row r="572" spans="1:11" ht="33" customHeight="1">
      <c r="A572" s="221"/>
      <c r="B572" s="406"/>
      <c r="C572" s="341"/>
      <c r="D572" s="1372"/>
      <c r="E572" s="1007"/>
      <c r="F572" s="852"/>
      <c r="G572" s="1373"/>
      <c r="H572" s="925"/>
      <c r="I572" s="505"/>
      <c r="J572" s="1374"/>
      <c r="K572" s="1374"/>
    </row>
    <row r="573" spans="1:11" ht="33" customHeight="1">
      <c r="A573" s="221"/>
      <c r="B573" s="406"/>
      <c r="C573" s="341"/>
      <c r="D573" s="1372"/>
      <c r="E573" s="1007"/>
      <c r="F573" s="852"/>
      <c r="G573" s="1373"/>
      <c r="H573" s="925"/>
      <c r="I573" s="505"/>
      <c r="J573" s="1374"/>
      <c r="K573" s="1374"/>
    </row>
    <row r="574" spans="1:11" ht="33" customHeight="1">
      <c r="A574" s="221"/>
      <c r="B574" s="406"/>
      <c r="C574" s="341"/>
      <c r="D574" s="1372"/>
      <c r="E574" s="1007"/>
      <c r="F574" s="852"/>
      <c r="G574" s="1373"/>
      <c r="H574" s="925"/>
      <c r="I574" s="505"/>
      <c r="J574" s="1374"/>
      <c r="K574" s="1374"/>
    </row>
    <row r="575" spans="1:11" ht="33" customHeight="1">
      <c r="A575" s="221"/>
      <c r="B575" s="406"/>
      <c r="C575" s="341"/>
      <c r="D575" s="1372"/>
      <c r="E575" s="1007"/>
      <c r="F575" s="852"/>
      <c r="G575" s="1373"/>
      <c r="H575" s="925"/>
      <c r="I575" s="505"/>
      <c r="J575" s="1374"/>
      <c r="K575" s="1374"/>
    </row>
    <row r="576" spans="1:11" ht="33" customHeight="1">
      <c r="A576" s="221"/>
      <c r="B576" s="406"/>
      <c r="C576" s="341"/>
      <c r="D576" s="1372"/>
      <c r="E576" s="1007"/>
      <c r="F576" s="852"/>
      <c r="G576" s="1373"/>
      <c r="H576" s="925"/>
      <c r="I576" s="505"/>
      <c r="J576" s="609"/>
      <c r="K576" s="609"/>
    </row>
    <row r="577" spans="1:12" ht="33" customHeight="1">
      <c r="A577" s="221"/>
      <c r="B577" s="406"/>
      <c r="C577" s="341"/>
      <c r="D577" s="1372"/>
      <c r="E577" s="1007"/>
      <c r="F577" s="852"/>
      <c r="G577" s="478"/>
      <c r="H577" s="925"/>
      <c r="I577" s="505"/>
      <c r="J577" s="609"/>
      <c r="K577" s="527"/>
      <c r="L577" s="427"/>
    </row>
    <row r="578" spans="1:12" ht="33" customHeight="1">
      <c r="A578" s="221"/>
      <c r="B578" s="766"/>
      <c r="C578" s="341"/>
      <c r="D578" s="3469"/>
      <c r="E578" s="1007"/>
      <c r="F578" s="852"/>
      <c r="G578" s="478"/>
      <c r="H578" s="925"/>
      <c r="I578" s="505"/>
      <c r="J578" s="591"/>
      <c r="K578" s="527"/>
    </row>
    <row r="579" spans="1:12" ht="33" customHeight="1">
      <c r="A579" s="221"/>
      <c r="B579" s="406"/>
      <c r="C579" s="341"/>
      <c r="D579" s="413"/>
      <c r="E579" s="268"/>
      <c r="F579" s="852"/>
      <c r="G579" s="478"/>
      <c r="H579" s="925"/>
      <c r="I579" s="505"/>
      <c r="J579" s="591"/>
      <c r="K579" s="527"/>
      <c r="L579" s="427"/>
    </row>
    <row r="580" spans="1:12" ht="33" customHeight="1">
      <c r="A580" s="221"/>
      <c r="B580" s="406"/>
      <c r="C580" s="341"/>
      <c r="D580" s="413"/>
      <c r="E580" s="268"/>
      <c r="F580" s="852"/>
      <c r="G580" s="478"/>
      <c r="H580" s="925"/>
      <c r="I580" s="505"/>
      <c r="J580" s="591"/>
      <c r="K580" s="527"/>
      <c r="L580" s="427"/>
    </row>
    <row r="581" spans="1:12" ht="33" customHeight="1">
      <c r="A581" s="221"/>
      <c r="B581" s="406"/>
      <c r="C581" s="341"/>
      <c r="D581" s="413"/>
      <c r="E581" s="268"/>
      <c r="F581" s="852"/>
      <c r="G581" s="478"/>
      <c r="H581" s="925"/>
      <c r="I581" s="505"/>
      <c r="J581" s="591"/>
      <c r="K581" s="527"/>
      <c r="L581" s="427"/>
    </row>
    <row r="582" spans="1:12" ht="33" customHeight="1">
      <c r="A582" s="221"/>
      <c r="B582" s="3468"/>
      <c r="C582" s="341"/>
      <c r="D582" s="422"/>
      <c r="E582" s="1355"/>
      <c r="F582" s="852"/>
      <c r="G582" s="312"/>
      <c r="H582" s="341"/>
      <c r="I582" s="505"/>
      <c r="J582" s="604"/>
      <c r="K582" s="378"/>
    </row>
    <row r="583" spans="1:12" ht="33" customHeight="1">
      <c r="A583" s="221"/>
      <c r="B583" s="1161"/>
      <c r="C583" s="341"/>
      <c r="D583" s="422"/>
      <c r="E583" s="1355"/>
      <c r="F583" s="852"/>
      <c r="G583" s="312"/>
      <c r="H583" s="341"/>
      <c r="I583" s="505"/>
      <c r="J583" s="604"/>
      <c r="K583" s="378"/>
    </row>
    <row r="584" spans="1:12" ht="33" customHeight="1">
      <c r="A584" s="221"/>
      <c r="B584" s="766"/>
      <c r="C584" s="341"/>
      <c r="D584" s="3469"/>
      <c r="E584" s="1375"/>
      <c r="F584" s="532"/>
      <c r="G584" s="478"/>
      <c r="H584" s="925"/>
      <c r="I584" s="505"/>
      <c r="J584" s="591"/>
      <c r="K584" s="527"/>
    </row>
    <row r="585" spans="1:12" ht="33" customHeight="1">
      <c r="A585" s="221"/>
      <c r="B585" s="406"/>
      <c r="C585" s="341"/>
      <c r="D585" s="3469"/>
      <c r="E585" s="1007"/>
      <c r="F585" s="852"/>
      <c r="G585" s="478"/>
      <c r="H585" s="925"/>
      <c r="I585" s="505"/>
      <c r="J585" s="591"/>
      <c r="K585" s="527"/>
      <c r="L585" s="427"/>
    </row>
    <row r="586" spans="1:12" ht="33" customHeight="1">
      <c r="A586" s="221"/>
      <c r="B586" s="406"/>
      <c r="C586" s="341"/>
      <c r="D586" s="3469"/>
      <c r="E586" s="1007"/>
      <c r="F586" s="852"/>
      <c r="G586" s="478"/>
      <c r="H586" s="925"/>
      <c r="I586" s="505"/>
      <c r="J586" s="591"/>
      <c r="K586" s="527"/>
      <c r="L586" s="427"/>
    </row>
    <row r="587" spans="1:12" ht="33" customHeight="1">
      <c r="A587" s="221"/>
      <c r="B587" s="406"/>
      <c r="C587" s="341"/>
      <c r="D587" s="3469"/>
      <c r="E587" s="1007"/>
      <c r="F587" s="852"/>
      <c r="G587" s="478"/>
      <c r="H587" s="925"/>
      <c r="I587" s="505"/>
      <c r="J587" s="591"/>
      <c r="K587" s="527"/>
      <c r="L587" s="427"/>
    </row>
    <row r="588" spans="1:12" ht="33" customHeight="1">
      <c r="A588" s="221"/>
      <c r="B588" s="406"/>
      <c r="C588" s="341"/>
      <c r="D588" s="3469"/>
      <c r="E588" s="1007"/>
      <c r="F588" s="852"/>
      <c r="G588" s="478"/>
      <c r="H588" s="925"/>
      <c r="I588" s="505"/>
      <c r="J588" s="591"/>
      <c r="K588" s="527"/>
      <c r="L588" s="427"/>
    </row>
    <row r="589" spans="1:12" ht="33" customHeight="1">
      <c r="A589" s="221"/>
      <c r="B589" s="406"/>
      <c r="C589" s="341"/>
      <c r="D589" s="3469"/>
      <c r="E589" s="1007"/>
      <c r="F589" s="852"/>
      <c r="G589" s="478"/>
      <c r="H589" s="925"/>
      <c r="I589" s="505"/>
      <c r="J589" s="591"/>
      <c r="K589" s="527"/>
      <c r="L589" s="427"/>
    </row>
    <row r="590" spans="1:12" ht="33" customHeight="1">
      <c r="A590" s="221"/>
      <c r="B590" s="3468"/>
      <c r="C590" s="341"/>
      <c r="D590" s="422"/>
      <c r="E590" s="1355"/>
      <c r="F590" s="852"/>
      <c r="G590" s="312"/>
      <c r="H590" s="341"/>
      <c r="I590" s="505"/>
      <c r="J590" s="604"/>
      <c r="K590" s="378"/>
    </row>
    <row r="591" spans="1:12" ht="33" customHeight="1">
      <c r="A591" s="221"/>
      <c r="B591" s="3468"/>
      <c r="C591" s="341"/>
      <c r="D591" s="422"/>
      <c r="E591" s="1355"/>
      <c r="F591" s="852"/>
      <c r="G591" s="312"/>
      <c r="H591" s="341"/>
      <c r="I591" s="505"/>
      <c r="J591" s="604"/>
      <c r="K591" s="378"/>
    </row>
    <row r="592" spans="1:12" ht="33" customHeight="1">
      <c r="A592" s="221"/>
      <c r="B592" s="3468"/>
      <c r="C592" s="341"/>
      <c r="D592" s="422"/>
      <c r="E592" s="1355"/>
      <c r="F592" s="852"/>
      <c r="G592" s="312"/>
      <c r="H592" s="341"/>
      <c r="I592" s="505"/>
      <c r="J592" s="604"/>
      <c r="K592" s="378"/>
    </row>
    <row r="593" spans="1:11" ht="33" customHeight="1">
      <c r="A593" s="221"/>
      <c r="B593" s="3468"/>
      <c r="C593" s="341"/>
      <c r="D593" s="422"/>
      <c r="E593" s="1355"/>
      <c r="F593" s="852"/>
      <c r="G593" s="312"/>
      <c r="H593" s="341"/>
      <c r="I593" s="505"/>
      <c r="J593" s="604"/>
      <c r="K593" s="378"/>
    </row>
    <row r="594" spans="1:11" ht="33" customHeight="1">
      <c r="A594" s="221"/>
      <c r="B594" s="3468"/>
      <c r="C594" s="341"/>
      <c r="D594" s="420"/>
      <c r="E594" s="831"/>
      <c r="F594" s="852"/>
      <c r="G594" s="312"/>
      <c r="H594" s="341"/>
      <c r="I594" s="505"/>
      <c r="J594" s="604"/>
      <c r="K594" s="378"/>
    </row>
    <row r="595" spans="1:11" ht="33" customHeight="1">
      <c r="A595" s="927"/>
      <c r="B595" s="3468"/>
      <c r="C595" s="341"/>
      <c r="D595" s="420"/>
      <c r="E595" s="1331"/>
      <c r="F595" s="852"/>
      <c r="G595" s="312"/>
      <c r="H595" s="877"/>
      <c r="I595" s="506"/>
      <c r="J595" s="972"/>
      <c r="K595" s="403"/>
    </row>
    <row r="596" spans="1:11" ht="33" customHeight="1">
      <c r="A596" s="1366"/>
      <c r="B596" s="3468"/>
      <c r="C596" s="341"/>
      <c r="D596" s="420"/>
      <c r="E596" s="1331"/>
      <c r="F596" s="852"/>
      <c r="G596" s="312"/>
      <c r="H596" s="877"/>
      <c r="I596" s="506"/>
      <c r="J596" s="972"/>
      <c r="K596" s="403"/>
    </row>
    <row r="597" spans="1:11" ht="33" customHeight="1">
      <c r="A597" s="970"/>
      <c r="B597" s="406"/>
      <c r="C597" s="341"/>
      <c r="D597" s="3469"/>
      <c r="E597" s="268"/>
      <c r="F597" s="852"/>
      <c r="G597" s="312"/>
      <c r="H597" s="341"/>
      <c r="I597" s="505"/>
      <c r="J597" s="604"/>
      <c r="K597" s="378"/>
    </row>
    <row r="598" spans="1:11" ht="33" customHeight="1">
      <c r="A598" s="221"/>
      <c r="B598" s="406"/>
      <c r="C598" s="341"/>
      <c r="D598" s="3469"/>
      <c r="E598" s="268"/>
      <c r="F598" s="852"/>
      <c r="G598" s="478"/>
      <c r="H598" s="925"/>
      <c r="I598" s="505"/>
      <c r="J598" s="591"/>
      <c r="K598" s="527"/>
    </row>
    <row r="599" spans="1:11" ht="33" customHeight="1">
      <c r="A599" s="221"/>
      <c r="B599" s="406"/>
      <c r="C599" s="341"/>
      <c r="D599" s="3469"/>
      <c r="E599" s="268"/>
      <c r="F599" s="852"/>
      <c r="G599" s="478"/>
      <c r="H599" s="925"/>
      <c r="I599" s="505"/>
      <c r="J599" s="591"/>
      <c r="K599" s="527"/>
    </row>
    <row r="600" spans="1:11" ht="33" customHeight="1">
      <c r="A600" s="221"/>
      <c r="B600" s="406"/>
      <c r="C600" s="341"/>
      <c r="D600" s="3469"/>
      <c r="E600" s="1007"/>
      <c r="F600" s="852"/>
      <c r="G600" s="478"/>
      <c r="H600" s="925"/>
      <c r="I600" s="505"/>
      <c r="J600" s="591"/>
      <c r="K600" s="527"/>
    </row>
    <row r="601" spans="1:11" ht="30.75" customHeight="1">
      <c r="F601" s="104"/>
    </row>
    <row r="602" spans="1:11" ht="30.75" customHeight="1">
      <c r="F602" s="104"/>
    </row>
    <row r="603" spans="1:11" ht="33" customHeight="1">
      <c r="A603" s="44" t="s">
        <v>0</v>
      </c>
      <c r="B603" s="127"/>
      <c r="C603" s="167"/>
      <c r="F603" s="104"/>
    </row>
    <row r="604" spans="1:11" ht="33" customHeight="1">
      <c r="A604" s="3480" t="s">
        <v>2512</v>
      </c>
      <c r="B604" s="3480"/>
      <c r="C604" s="167"/>
      <c r="D604" s="167"/>
      <c r="F604" s="104"/>
    </row>
    <row r="605" spans="1:11" ht="33" customHeight="1" thickBot="1">
      <c r="F605" s="104"/>
    </row>
    <row r="606" spans="1:11" ht="33" customHeight="1">
      <c r="A606" s="3493" t="s">
        <v>2</v>
      </c>
      <c r="B606" s="3482"/>
      <c r="C606" s="344" t="s">
        <v>3</v>
      </c>
      <c r="D606" s="408" t="s">
        <v>4</v>
      </c>
      <c r="E606" s="828" t="s">
        <v>5</v>
      </c>
      <c r="F606" s="849" t="s">
        <v>5</v>
      </c>
      <c r="G606" s="307" t="s">
        <v>6</v>
      </c>
      <c r="H606" s="344" t="s">
        <v>7</v>
      </c>
      <c r="I606" s="498" t="s">
        <v>1511</v>
      </c>
      <c r="J606" s="704" t="s">
        <v>9</v>
      </c>
      <c r="K606" s="367" t="s">
        <v>9</v>
      </c>
    </row>
    <row r="607" spans="1:11" ht="33" customHeight="1" thickBot="1">
      <c r="A607" s="155"/>
      <c r="B607" s="138"/>
      <c r="C607" s="345"/>
      <c r="D607" s="409" t="s">
        <v>10</v>
      </c>
      <c r="E607" s="829" t="s">
        <v>11</v>
      </c>
      <c r="F607" s="850" t="s">
        <v>12</v>
      </c>
      <c r="G607" s="308"/>
      <c r="H607" s="345" t="s">
        <v>13</v>
      </c>
      <c r="I607" s="499" t="s">
        <v>1512</v>
      </c>
      <c r="J607" s="709" t="s">
        <v>14</v>
      </c>
      <c r="K607" s="368" t="s">
        <v>15</v>
      </c>
    </row>
    <row r="608" spans="1:11" ht="33" customHeight="1">
      <c r="A608" s="156"/>
      <c r="B608" s="139"/>
      <c r="C608" s="207"/>
      <c r="D608" s="421"/>
      <c r="E608" s="844"/>
      <c r="F608" s="853"/>
      <c r="G608" s="310"/>
      <c r="H608" s="207"/>
      <c r="I608" s="431"/>
      <c r="J608" s="704"/>
      <c r="K608" s="365"/>
    </row>
    <row r="609" spans="1:12" ht="33" customHeight="1">
      <c r="A609" s="157"/>
      <c r="B609" s="139"/>
      <c r="C609" s="207"/>
      <c r="D609" s="421"/>
      <c r="E609" s="839"/>
      <c r="F609" s="767"/>
      <c r="G609" s="310"/>
      <c r="H609" s="207"/>
      <c r="I609" s="431"/>
      <c r="J609" s="586"/>
      <c r="K609" s="365"/>
    </row>
    <row r="610" spans="1:12" ht="33" customHeight="1">
      <c r="A610" s="157"/>
      <c r="B610" s="139"/>
      <c r="C610" s="207"/>
      <c r="D610" s="421"/>
      <c r="E610" s="839"/>
      <c r="F610" s="767"/>
      <c r="G610" s="310"/>
      <c r="H610" s="207"/>
      <c r="I610" s="431"/>
      <c r="J610" s="586"/>
      <c r="K610" s="365"/>
    </row>
    <row r="611" spans="1:12" ht="33" customHeight="1">
      <c r="A611" s="157"/>
      <c r="B611" s="139"/>
      <c r="C611" s="207"/>
      <c r="D611" s="421"/>
      <c r="E611" s="839"/>
      <c r="F611" s="767"/>
      <c r="G611" s="310"/>
      <c r="H611" s="207"/>
      <c r="I611" s="431"/>
      <c r="J611" s="586"/>
      <c r="K611" s="365"/>
    </row>
    <row r="612" spans="1:12" ht="33" customHeight="1">
      <c r="A612" s="157"/>
      <c r="B612" s="139"/>
      <c r="C612" s="207"/>
      <c r="D612" s="421"/>
      <c r="E612" s="839"/>
      <c r="F612" s="767"/>
      <c r="G612" s="310"/>
      <c r="H612" s="207"/>
      <c r="I612" s="431"/>
      <c r="J612" s="586"/>
      <c r="K612" s="365"/>
    </row>
    <row r="613" spans="1:12" ht="33" customHeight="1">
      <c r="A613" s="157"/>
      <c r="B613" s="139"/>
      <c r="C613" s="207"/>
      <c r="D613" s="421"/>
      <c r="E613" s="839"/>
      <c r="F613" s="767"/>
      <c r="G613" s="310"/>
      <c r="H613" s="207"/>
      <c r="I613" s="431"/>
      <c r="J613" s="586"/>
      <c r="K613" s="365"/>
    </row>
    <row r="614" spans="1:12" ht="33" customHeight="1">
      <c r="A614" s="157"/>
      <c r="B614" s="139"/>
      <c r="C614" s="207"/>
      <c r="D614" s="421"/>
      <c r="E614" s="839"/>
      <c r="F614" s="767"/>
      <c r="G614" s="310"/>
      <c r="H614" s="207"/>
      <c r="I614" s="431"/>
      <c r="J614" s="586"/>
      <c r="K614" s="365"/>
    </row>
    <row r="615" spans="1:12" ht="33" customHeight="1">
      <c r="A615" s="157"/>
      <c r="B615" s="463"/>
      <c r="C615" s="341"/>
      <c r="D615" s="422"/>
      <c r="E615" s="839"/>
      <c r="F615" s="767"/>
      <c r="G615" s="312"/>
      <c r="H615" s="341"/>
      <c r="I615" s="505"/>
      <c r="J615" s="604"/>
      <c r="K615" s="378"/>
      <c r="L615" s="427"/>
    </row>
    <row r="616" spans="1:12" ht="33" customHeight="1">
      <c r="A616" s="157"/>
      <c r="B616" s="433"/>
      <c r="C616" s="207"/>
      <c r="D616" s="421"/>
      <c r="E616" s="839"/>
      <c r="F616" s="767"/>
      <c r="G616" s="310"/>
      <c r="H616" s="207"/>
      <c r="I616" s="431"/>
      <c r="J616" s="586"/>
      <c r="K616" s="365"/>
    </row>
    <row r="617" spans="1:12" ht="33" customHeight="1">
      <c r="A617" s="157"/>
      <c r="B617" s="162"/>
      <c r="C617" s="207"/>
      <c r="D617" s="421"/>
      <c r="E617" s="839"/>
      <c r="F617" s="767"/>
      <c r="G617" s="310"/>
      <c r="H617" s="207"/>
      <c r="I617" s="431"/>
      <c r="J617" s="586"/>
      <c r="K617" s="365"/>
    </row>
    <row r="618" spans="1:12" ht="33" customHeight="1">
      <c r="A618" s="157"/>
      <c r="B618" s="162"/>
      <c r="C618" s="341"/>
      <c r="D618" s="422"/>
      <c r="E618" s="845"/>
      <c r="F618" s="860"/>
      <c r="G618" s="312"/>
      <c r="H618" s="341"/>
      <c r="I618" s="505"/>
      <c r="J618" s="604"/>
      <c r="K618" s="378"/>
      <c r="L618" s="427"/>
    </row>
    <row r="619" spans="1:12" ht="33" customHeight="1">
      <c r="A619" s="157"/>
      <c r="B619" s="162"/>
      <c r="C619" s="207"/>
      <c r="D619" s="421"/>
      <c r="E619" s="839"/>
      <c r="F619" s="767"/>
      <c r="G619" s="310"/>
      <c r="H619" s="207"/>
      <c r="I619" s="431"/>
      <c r="J619" s="586"/>
      <c r="K619" s="365"/>
    </row>
    <row r="620" spans="1:12" ht="33" customHeight="1">
      <c r="A620" s="157"/>
      <c r="B620" s="154"/>
      <c r="C620" s="341"/>
      <c r="D620" s="422"/>
      <c r="E620" s="839"/>
      <c r="F620" s="767"/>
      <c r="G620" s="312"/>
      <c r="H620" s="341"/>
      <c r="I620" s="505"/>
      <c r="J620" s="604"/>
      <c r="K620" s="378"/>
      <c r="L620" s="427"/>
    </row>
    <row r="621" spans="1:12" ht="33" customHeight="1">
      <c r="A621" s="157"/>
      <c r="B621" s="154"/>
      <c r="C621" s="341"/>
      <c r="D621" s="422"/>
      <c r="E621" s="839"/>
      <c r="F621" s="767"/>
      <c r="G621" s="312"/>
      <c r="H621" s="341"/>
      <c r="I621" s="505"/>
      <c r="J621" s="604"/>
      <c r="K621" s="378"/>
      <c r="L621" s="427"/>
    </row>
    <row r="622" spans="1:12" ht="33" customHeight="1">
      <c r="A622" s="221"/>
      <c r="B622" s="240"/>
      <c r="C622" s="341"/>
      <c r="D622" s="422"/>
      <c r="E622" s="839"/>
      <c r="F622" s="767"/>
      <c r="G622" s="312"/>
      <c r="H622" s="341"/>
      <c r="I622" s="505"/>
      <c r="J622" s="604"/>
      <c r="K622" s="378"/>
      <c r="L622" s="427"/>
    </row>
    <row r="623" spans="1:12" ht="33" customHeight="1">
      <c r="A623" s="157"/>
      <c r="B623" s="154"/>
      <c r="C623" s="207"/>
      <c r="D623" s="421"/>
      <c r="E623" s="839"/>
      <c r="F623" s="767"/>
      <c r="G623" s="310"/>
      <c r="H623" s="207"/>
      <c r="I623" s="431"/>
      <c r="J623" s="586"/>
      <c r="K623" s="378"/>
      <c r="L623" s="427"/>
    </row>
    <row r="624" spans="1:12" ht="33" customHeight="1">
      <c r="A624" s="157"/>
      <c r="B624" s="154"/>
      <c r="C624" s="207"/>
      <c r="D624" s="421"/>
      <c r="E624" s="839"/>
      <c r="F624" s="767"/>
      <c r="G624" s="310"/>
      <c r="H624" s="207"/>
      <c r="I624" s="431"/>
      <c r="J624" s="586"/>
      <c r="K624" s="365"/>
    </row>
    <row r="625" spans="1:11" ht="33" customHeight="1">
      <c r="A625" s="157"/>
      <c r="B625" s="154"/>
      <c r="C625" s="207"/>
      <c r="D625" s="421"/>
      <c r="E625" s="332"/>
      <c r="F625" s="767"/>
      <c r="G625" s="310"/>
      <c r="H625" s="207"/>
      <c r="I625" s="431"/>
      <c r="J625" s="586"/>
      <c r="K625" s="365"/>
    </row>
    <row r="626" spans="1:11" ht="33" customHeight="1">
      <c r="A626" s="157"/>
      <c r="B626" s="154"/>
      <c r="C626" s="207"/>
      <c r="D626" s="421"/>
      <c r="E626" s="332"/>
      <c r="F626" s="767"/>
      <c r="G626" s="310"/>
      <c r="H626" s="207"/>
      <c r="I626" s="431"/>
      <c r="J626" s="586"/>
      <c r="K626" s="365"/>
    </row>
    <row r="627" spans="1:11" ht="33" customHeight="1">
      <c r="A627" s="157"/>
      <c r="B627" s="154"/>
      <c r="C627" s="207"/>
      <c r="D627" s="421"/>
      <c r="E627" s="332"/>
      <c r="F627" s="767"/>
      <c r="G627" s="310"/>
      <c r="H627" s="207"/>
      <c r="I627" s="431"/>
      <c r="J627" s="586"/>
      <c r="K627" s="365"/>
    </row>
    <row r="628" spans="1:11" ht="33" customHeight="1">
      <c r="A628" s="157"/>
      <c r="B628" s="154"/>
      <c r="C628" s="207"/>
      <c r="D628" s="421"/>
      <c r="E628" s="332"/>
      <c r="F628" s="767"/>
      <c r="G628" s="310"/>
      <c r="H628" s="207"/>
      <c r="I628" s="431"/>
      <c r="J628" s="586"/>
      <c r="K628" s="365"/>
    </row>
    <row r="629" spans="1:11" ht="33" customHeight="1">
      <c r="A629" s="158"/>
      <c r="B629" s="154"/>
      <c r="C629" s="207"/>
      <c r="D629" s="421"/>
      <c r="E629" s="332"/>
      <c r="F629" s="767"/>
      <c r="G629" s="310"/>
      <c r="H629" s="207"/>
      <c r="I629" s="431"/>
      <c r="J629" s="586"/>
      <c r="K629" s="365"/>
    </row>
    <row r="630" spans="1:11" ht="33" customHeight="1">
      <c r="A630" s="200"/>
      <c r="B630" s="154"/>
      <c r="C630" s="207"/>
      <c r="D630" s="421"/>
      <c r="E630" s="842"/>
      <c r="F630" s="767"/>
      <c r="G630" s="310"/>
      <c r="H630" s="521"/>
      <c r="I630" s="456"/>
      <c r="J630" s="605"/>
      <c r="K630" s="379"/>
    </row>
    <row r="631" spans="1:11" ht="33" customHeight="1">
      <c r="A631" s="157"/>
      <c r="B631" s="154"/>
      <c r="C631" s="207"/>
      <c r="D631" s="421"/>
      <c r="E631" s="847"/>
      <c r="F631" s="767"/>
      <c r="G631" s="310"/>
      <c r="H631" s="207"/>
      <c r="I631" s="431"/>
      <c r="J631" s="586"/>
      <c r="K631" s="365"/>
    </row>
    <row r="632" spans="1:11" ht="33" customHeight="1">
      <c r="A632" s="157"/>
      <c r="B632" s="154"/>
      <c r="C632" s="207"/>
      <c r="D632" s="421"/>
      <c r="E632" s="837"/>
      <c r="F632" s="767"/>
      <c r="G632" s="310"/>
      <c r="H632" s="207"/>
      <c r="I632" s="431"/>
      <c r="J632" s="586"/>
      <c r="K632" s="365"/>
    </row>
    <row r="633" spans="1:11" ht="33" customHeight="1">
      <c r="A633" s="157"/>
      <c r="B633" s="154"/>
      <c r="C633" s="207"/>
      <c r="D633" s="322"/>
      <c r="E633" s="838"/>
      <c r="F633" s="861"/>
      <c r="G633" s="310"/>
      <c r="H633" s="207"/>
      <c r="I633" s="431"/>
      <c r="J633" s="586"/>
      <c r="K633" s="365"/>
    </row>
    <row r="634" spans="1:11" ht="33" customHeight="1">
      <c r="A634" s="157"/>
      <c r="B634" s="154"/>
      <c r="C634" s="207"/>
      <c r="D634" s="322"/>
      <c r="E634" s="838"/>
      <c r="F634" s="861"/>
      <c r="G634" s="310"/>
      <c r="H634" s="207"/>
      <c r="I634" s="431"/>
      <c r="J634" s="586"/>
      <c r="K634" s="365"/>
    </row>
    <row r="635" spans="1:11" ht="33" customHeight="1">
      <c r="A635" s="157"/>
      <c r="B635" s="154"/>
      <c r="C635" s="207"/>
      <c r="D635" s="322"/>
      <c r="E635" s="838"/>
      <c r="F635" s="861"/>
      <c r="G635" s="310"/>
      <c r="H635" s="207"/>
      <c r="I635" s="431"/>
      <c r="J635" s="586"/>
      <c r="K635" s="365"/>
    </row>
    <row r="636" spans="1:11" ht="33" customHeight="1">
      <c r="A636" s="323"/>
      <c r="B636" s="154"/>
      <c r="C636" s="207"/>
      <c r="D636" s="322"/>
      <c r="E636" s="838"/>
      <c r="F636" s="861"/>
      <c r="G636" s="310"/>
      <c r="H636" s="207"/>
      <c r="I636" s="431"/>
      <c r="J636" s="586"/>
      <c r="K636" s="365"/>
    </row>
    <row r="637" spans="1:11" ht="33" customHeight="1">
      <c r="B637" s="154"/>
      <c r="C637" s="207"/>
      <c r="D637" s="322"/>
      <c r="E637" s="838"/>
      <c r="F637" s="861"/>
      <c r="G637" s="310"/>
      <c r="H637" s="207"/>
      <c r="I637" s="431"/>
      <c r="J637" s="586"/>
      <c r="K637" s="365"/>
    </row>
  </sheetData>
  <mergeCells count="31">
    <mergeCell ref="A5:B5"/>
    <mergeCell ref="A42:B42"/>
    <mergeCell ref="A81:B81"/>
    <mergeCell ref="A118:B118"/>
    <mergeCell ref="A308:B308"/>
    <mergeCell ref="A79:B79"/>
    <mergeCell ref="A156:B156"/>
    <mergeCell ref="A606:B606"/>
    <mergeCell ref="A230:B230"/>
    <mergeCell ref="A306:B306"/>
    <mergeCell ref="A419:B419"/>
    <mergeCell ref="A421:B421"/>
    <mergeCell ref="A356:E356"/>
    <mergeCell ref="A384:B384"/>
    <mergeCell ref="A604:B604"/>
    <mergeCell ref="A568:B568"/>
    <mergeCell ref="A232:B232"/>
    <mergeCell ref="A534:D534"/>
    <mergeCell ref="A566:B566"/>
    <mergeCell ref="A459:B459"/>
    <mergeCell ref="A270:B270"/>
    <mergeCell ref="A496:B496"/>
    <mergeCell ref="A532:B532"/>
    <mergeCell ref="A346:B346"/>
    <mergeCell ref="A400:D400"/>
    <mergeCell ref="G331:K331"/>
    <mergeCell ref="G293:K293"/>
    <mergeCell ref="A154:B154"/>
    <mergeCell ref="A192:B192"/>
    <mergeCell ref="A268:B268"/>
    <mergeCell ref="A194:B194"/>
  </mergeCells>
  <phoneticPr fontId="6" type="noConversion"/>
  <pageMargins left="0.48" right="0.14000000000000001" top="0.14000000000000001" bottom="0.13" header="0.14000000000000001" footer="0.13"/>
  <pageSetup paperSize="9" scale="61" orientation="portrait" r:id="rId1"/>
  <headerFooter alignWithMargins="0"/>
  <rowBreaks count="16" manualBreakCount="16">
    <brk id="37" max="16383" man="1"/>
    <brk id="76" max="16383" man="1"/>
    <brk id="114" max="16383" man="1"/>
    <brk id="151" max="16383" man="1"/>
    <brk id="189" max="16383" man="1"/>
    <brk id="227" max="16383" man="1"/>
    <brk id="265" max="16383" man="1"/>
    <brk id="303" max="16383" man="1"/>
    <brk id="341" max="16383" man="1"/>
    <brk id="379" max="16383" man="1"/>
    <brk id="416" max="16383" man="1"/>
    <brk id="454" max="16383" man="1"/>
    <brk id="491" min="1" max="12" man="1"/>
    <brk id="527" max="16383" man="1"/>
    <brk id="563" min="1" max="12" man="1"/>
    <brk id="601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84C5-CBC8-4EAD-8BC1-294B09168265}">
  <sheetPr>
    <tabColor rgb="FFD60093"/>
  </sheetPr>
  <dimension ref="A1:Q625"/>
  <sheetViews>
    <sheetView view="pageBreakPreview" zoomScale="75" zoomScaleNormal="75" zoomScaleSheetLayoutView="75" workbookViewId="0">
      <selection activeCell="I18" sqref="I17:I18"/>
    </sheetView>
  </sheetViews>
  <sheetFormatPr defaultColWidth="12.140625" defaultRowHeight="34.5"/>
  <cols>
    <col min="1" max="1" width="2.7109375" style="75" customWidth="1"/>
    <col min="2" max="2" width="31.28515625" style="125" customWidth="1"/>
    <col min="3" max="3" width="10.42578125" style="102" customWidth="1"/>
    <col min="4" max="4" width="15.7109375" style="125" customWidth="1"/>
    <col min="5" max="5" width="10.28515625" style="45" customWidth="1"/>
    <col min="6" max="6" width="9.85546875" style="152" customWidth="1"/>
    <col min="7" max="7" width="11.42578125" style="210" customWidth="1"/>
    <col min="8" max="8" width="11.5703125" style="76" customWidth="1"/>
    <col min="9" max="9" width="16.42578125" style="178" customWidth="1"/>
    <col min="10" max="10" width="12.42578125" style="170" customWidth="1"/>
    <col min="11" max="11" width="11.5703125" style="164" customWidth="1"/>
    <col min="12" max="12" width="16.140625" style="169" customWidth="1"/>
    <col min="13" max="13" width="14.85546875" style="188" customWidth="1"/>
    <col min="14" max="14" width="13.85546875" style="188" customWidth="1"/>
    <col min="15" max="15" width="8.85546875" style="189" customWidth="1"/>
    <col min="16" max="16" width="18.140625" style="170" customWidth="1"/>
    <col min="17" max="16384" width="12.140625" style="76"/>
  </cols>
  <sheetData>
    <row r="1" spans="1:16" ht="34.5" customHeight="1">
      <c r="F1" s="68"/>
    </row>
    <row r="2" spans="1:16">
      <c r="A2" s="44" t="s">
        <v>0</v>
      </c>
      <c r="B2" s="127"/>
      <c r="C2" s="104"/>
      <c r="F2" s="68"/>
      <c r="I2" s="179"/>
      <c r="K2" s="163"/>
      <c r="L2" s="168"/>
    </row>
    <row r="3" spans="1:16">
      <c r="A3" s="3480" t="s">
        <v>2494</v>
      </c>
      <c r="B3" s="3480"/>
      <c r="C3" s="44"/>
      <c r="D3" s="109"/>
      <c r="F3" s="68"/>
      <c r="I3" s="179"/>
      <c r="K3" s="163"/>
      <c r="L3" s="168"/>
    </row>
    <row r="4" spans="1:16" ht="34.5" customHeight="1" thickBot="1">
      <c r="F4" s="68"/>
    </row>
    <row r="5" spans="1:16">
      <c r="A5" s="3493" t="s">
        <v>2</v>
      </c>
      <c r="B5" s="3482"/>
      <c r="C5" s="48" t="s">
        <v>3</v>
      </c>
      <c r="D5" s="128" t="s">
        <v>4</v>
      </c>
      <c r="E5" s="77" t="s">
        <v>5</v>
      </c>
      <c r="F5" s="78" t="s">
        <v>5</v>
      </c>
      <c r="G5" s="211" t="s">
        <v>6</v>
      </c>
      <c r="H5" s="140" t="s">
        <v>7</v>
      </c>
      <c r="I5" s="180" t="s">
        <v>1511</v>
      </c>
      <c r="J5" s="172" t="s">
        <v>9</v>
      </c>
      <c r="K5" s="186" t="s">
        <v>9</v>
      </c>
      <c r="L5" s="246" t="s">
        <v>2495</v>
      </c>
      <c r="M5" s="190"/>
    </row>
    <row r="6" spans="1:16" ht="35.25" thickBot="1">
      <c r="A6" s="155"/>
      <c r="B6" s="138"/>
      <c r="C6" s="50"/>
      <c r="D6" s="129" t="s">
        <v>10</v>
      </c>
      <c r="E6" s="79" t="s">
        <v>11</v>
      </c>
      <c r="F6" s="80" t="s">
        <v>12</v>
      </c>
      <c r="G6" s="212"/>
      <c r="H6" s="141" t="s">
        <v>13</v>
      </c>
      <c r="I6" s="181" t="s">
        <v>1512</v>
      </c>
      <c r="J6" s="173" t="s">
        <v>15</v>
      </c>
      <c r="K6" s="187" t="s">
        <v>14</v>
      </c>
      <c r="L6" s="247" t="s">
        <v>2496</v>
      </c>
      <c r="M6" s="190"/>
    </row>
    <row r="7" spans="1:16">
      <c r="A7" s="440" t="s">
        <v>3056</v>
      </c>
      <c r="B7" s="444"/>
      <c r="C7" s="341"/>
      <c r="D7" s="167"/>
      <c r="E7" s="833"/>
      <c r="F7" s="855"/>
      <c r="G7" s="310"/>
      <c r="H7" s="207"/>
      <c r="I7" s="431"/>
      <c r="J7" s="704"/>
      <c r="K7" s="365"/>
      <c r="L7" s="281"/>
      <c r="M7" s="188">
        <v>3552</v>
      </c>
      <c r="N7" s="188">
        <f t="shared" ref="N7:N23" si="0">M7-(M7*0.03)</f>
        <v>3445.44</v>
      </c>
      <c r="O7" s="189">
        <v>7.0000000000000007E-2</v>
      </c>
      <c r="P7" s="170">
        <f t="shared" ref="P7:P23" si="1">(N7*O7)+N7</f>
        <v>3686.6208000000001</v>
      </c>
    </row>
    <row r="8" spans="1:16">
      <c r="A8" s="389"/>
      <c r="B8" s="781" t="s">
        <v>792</v>
      </c>
      <c r="C8" s="207"/>
      <c r="D8" s="322"/>
      <c r="E8" s="728"/>
      <c r="F8" s="767"/>
      <c r="G8" s="310"/>
      <c r="H8" s="207"/>
      <c r="I8" s="431"/>
      <c r="J8" s="586"/>
      <c r="K8" s="365"/>
      <c r="L8" s="365"/>
      <c r="N8" s="188">
        <f t="shared" si="0"/>
        <v>0</v>
      </c>
      <c r="O8" s="189">
        <v>7.0000000000000007E-2</v>
      </c>
      <c r="P8" s="170">
        <f t="shared" si="1"/>
        <v>0</v>
      </c>
    </row>
    <row r="9" spans="1:16">
      <c r="A9" s="315"/>
      <c r="B9" s="43" t="s">
        <v>3057</v>
      </c>
      <c r="C9" s="207" t="s">
        <v>60</v>
      </c>
      <c r="D9" s="322" t="s">
        <v>2214</v>
      </c>
      <c r="E9" s="728">
        <v>23</v>
      </c>
      <c r="F9" s="767">
        <v>260</v>
      </c>
      <c r="G9" s="312" t="s">
        <v>3058</v>
      </c>
      <c r="H9" s="341">
        <v>255</v>
      </c>
      <c r="I9" s="505" t="s">
        <v>3059</v>
      </c>
      <c r="J9" s="1508">
        <v>240</v>
      </c>
      <c r="K9" s="1508">
        <v>20</v>
      </c>
      <c r="L9" s="1508">
        <v>20</v>
      </c>
      <c r="M9" s="188">
        <v>9498.06</v>
      </c>
      <c r="N9" s="188">
        <f t="shared" si="0"/>
        <v>9213.118199999999</v>
      </c>
      <c r="O9" s="189">
        <v>7.0000000000000007E-2</v>
      </c>
      <c r="P9" s="170">
        <f t="shared" si="1"/>
        <v>9858.0364739999986</v>
      </c>
    </row>
    <row r="10" spans="1:16">
      <c r="A10" s="315"/>
      <c r="B10" s="43" t="s">
        <v>3060</v>
      </c>
      <c r="C10" s="1514" t="s">
        <v>60</v>
      </c>
      <c r="D10" s="413" t="s">
        <v>23</v>
      </c>
      <c r="E10" s="728">
        <v>38</v>
      </c>
      <c r="F10" s="1497" t="s">
        <v>660</v>
      </c>
      <c r="G10" s="2405" t="s">
        <v>3061</v>
      </c>
      <c r="H10" s="341">
        <v>420</v>
      </c>
      <c r="I10" s="505"/>
      <c r="J10" s="1155" t="s">
        <v>3062</v>
      </c>
      <c r="K10" s="378">
        <v>35</v>
      </c>
      <c r="L10" s="378">
        <v>27.5</v>
      </c>
      <c r="M10" s="188">
        <v>15305.4</v>
      </c>
      <c r="N10" s="188">
        <f t="shared" si="0"/>
        <v>14846.237999999999</v>
      </c>
      <c r="O10" s="189">
        <v>7.0000000000000007E-2</v>
      </c>
      <c r="P10" s="170">
        <f t="shared" si="1"/>
        <v>15885.47466</v>
      </c>
    </row>
    <row r="11" spans="1:16">
      <c r="A11" s="438"/>
      <c r="B11" s="406" t="s">
        <v>3063</v>
      </c>
      <c r="C11" s="341" t="s">
        <v>60</v>
      </c>
      <c r="D11" s="413" t="s">
        <v>23</v>
      </c>
      <c r="E11" s="728">
        <v>30</v>
      </c>
      <c r="F11" s="767" t="s">
        <v>3064</v>
      </c>
      <c r="G11" s="312" t="s">
        <v>1265</v>
      </c>
      <c r="H11" s="341">
        <v>310</v>
      </c>
      <c r="I11" s="505"/>
      <c r="J11" s="378">
        <v>310</v>
      </c>
      <c r="K11" s="378">
        <v>25.83</v>
      </c>
      <c r="L11" s="378">
        <v>25.83</v>
      </c>
      <c r="N11" s="188">
        <f t="shared" si="0"/>
        <v>0</v>
      </c>
      <c r="O11" s="189">
        <v>7.0000000000000007E-2</v>
      </c>
      <c r="P11" s="170">
        <f t="shared" si="1"/>
        <v>0</v>
      </c>
    </row>
    <row r="12" spans="1:16">
      <c r="A12" s="445"/>
      <c r="B12" s="43" t="s">
        <v>3065</v>
      </c>
      <c r="C12" s="207" t="s">
        <v>3066</v>
      </c>
      <c r="D12" s="322" t="s">
        <v>23</v>
      </c>
      <c r="E12" s="728"/>
      <c r="F12" s="767"/>
      <c r="G12" s="312" t="s">
        <v>800</v>
      </c>
      <c r="H12" s="877">
        <v>295</v>
      </c>
      <c r="I12" s="506" t="s">
        <v>3067</v>
      </c>
      <c r="J12" s="604">
        <v>290</v>
      </c>
      <c r="K12" s="403">
        <v>24.17</v>
      </c>
      <c r="L12" s="403">
        <v>24.17</v>
      </c>
      <c r="N12" s="188">
        <f t="shared" si="0"/>
        <v>0</v>
      </c>
      <c r="O12" s="189">
        <v>7.0000000000000007E-2</v>
      </c>
      <c r="P12" s="170">
        <f t="shared" si="1"/>
        <v>0</v>
      </c>
    </row>
    <row r="13" spans="1:16">
      <c r="A13" s="445"/>
      <c r="B13" s="43" t="s">
        <v>3068</v>
      </c>
      <c r="C13" s="207" t="s">
        <v>1291</v>
      </c>
      <c r="D13" s="322" t="s">
        <v>2210</v>
      </c>
      <c r="E13" s="728">
        <v>22</v>
      </c>
      <c r="F13" s="767"/>
      <c r="G13" s="310" t="s">
        <v>3069</v>
      </c>
      <c r="H13" s="207">
        <v>450</v>
      </c>
      <c r="I13" s="431" t="s">
        <v>3070</v>
      </c>
      <c r="J13" s="365">
        <v>445</v>
      </c>
      <c r="K13" s="365">
        <v>18.54</v>
      </c>
      <c r="L13" s="365">
        <v>18.54</v>
      </c>
      <c r="N13" s="188">
        <f t="shared" si="0"/>
        <v>0</v>
      </c>
      <c r="O13" s="189">
        <v>7.0000000000000007E-2</v>
      </c>
      <c r="P13" s="170">
        <f t="shared" si="1"/>
        <v>0</v>
      </c>
    </row>
    <row r="14" spans="1:16">
      <c r="A14" s="315"/>
      <c r="B14" s="43" t="s">
        <v>2209</v>
      </c>
      <c r="C14" s="207" t="s">
        <v>2096</v>
      </c>
      <c r="D14" s="322" t="s">
        <v>23</v>
      </c>
      <c r="E14" s="728">
        <v>40</v>
      </c>
      <c r="F14" s="861" t="s">
        <v>2211</v>
      </c>
      <c r="G14" s="312" t="s">
        <v>3071</v>
      </c>
      <c r="H14" s="877">
        <v>480</v>
      </c>
      <c r="I14" s="506"/>
      <c r="J14" s="403">
        <v>480</v>
      </c>
      <c r="K14" s="403">
        <v>40</v>
      </c>
      <c r="L14" s="403">
        <v>40</v>
      </c>
      <c r="M14" s="188">
        <v>14244.12</v>
      </c>
      <c r="N14" s="188">
        <f t="shared" si="0"/>
        <v>13816.796400000001</v>
      </c>
      <c r="O14" s="189">
        <v>7.0000000000000007E-2</v>
      </c>
      <c r="P14" s="170">
        <f t="shared" si="1"/>
        <v>14783.972148000001</v>
      </c>
    </row>
    <row r="15" spans="1:16">
      <c r="A15" s="445"/>
      <c r="B15" s="43" t="s">
        <v>2212</v>
      </c>
      <c r="C15" s="207" t="s">
        <v>2213</v>
      </c>
      <c r="D15" s="322" t="s">
        <v>2214</v>
      </c>
      <c r="E15" s="728">
        <v>22</v>
      </c>
      <c r="F15" s="767">
        <v>220</v>
      </c>
      <c r="G15" s="310" t="s">
        <v>3072</v>
      </c>
      <c r="H15" s="521">
        <v>450</v>
      </c>
      <c r="I15" s="456"/>
      <c r="J15" s="379">
        <v>205</v>
      </c>
      <c r="K15" s="379">
        <f>J15/12</f>
        <v>17.083333333333332</v>
      </c>
      <c r="L15" s="379">
        <f>K15/12</f>
        <v>1.4236111111111109</v>
      </c>
      <c r="M15" s="188">
        <v>3240</v>
      </c>
      <c r="N15" s="188">
        <f t="shared" si="0"/>
        <v>3142.8</v>
      </c>
      <c r="O15" s="189">
        <v>7.0000000000000007E-2</v>
      </c>
      <c r="P15" s="170">
        <f t="shared" si="1"/>
        <v>3362.7960000000003</v>
      </c>
    </row>
    <row r="16" spans="1:16">
      <c r="A16" s="441"/>
      <c r="B16" s="43" t="s">
        <v>2215</v>
      </c>
      <c r="C16" s="207" t="s">
        <v>1291</v>
      </c>
      <c r="D16" s="322" t="s">
        <v>2210</v>
      </c>
      <c r="E16" s="728">
        <v>26</v>
      </c>
      <c r="F16" s="767">
        <v>540</v>
      </c>
      <c r="G16" s="310" t="s">
        <v>3073</v>
      </c>
      <c r="H16" s="207"/>
      <c r="I16" s="431"/>
      <c r="J16" s="365">
        <v>520</v>
      </c>
      <c r="K16" s="365">
        <f>J16/24</f>
        <v>21.666666666666668</v>
      </c>
      <c r="L16" s="365">
        <f>K16/24</f>
        <v>0.90277777777777779</v>
      </c>
      <c r="M16" s="188">
        <v>14700</v>
      </c>
      <c r="N16" s="188">
        <f t="shared" si="0"/>
        <v>14259</v>
      </c>
      <c r="O16" s="189">
        <v>7.0000000000000007E-2</v>
      </c>
      <c r="P16" s="170">
        <f t="shared" si="1"/>
        <v>15257.130000000001</v>
      </c>
    </row>
    <row r="17" spans="1:16">
      <c r="A17" s="315"/>
      <c r="B17" s="43" t="s">
        <v>2215</v>
      </c>
      <c r="C17" s="207" t="s">
        <v>2096</v>
      </c>
      <c r="D17" s="322" t="s">
        <v>2214</v>
      </c>
      <c r="E17" s="728">
        <v>46</v>
      </c>
      <c r="F17" s="767">
        <v>500</v>
      </c>
      <c r="G17" s="310" t="s">
        <v>3073</v>
      </c>
      <c r="H17" s="207"/>
      <c r="I17" s="431"/>
      <c r="J17" s="365">
        <v>480</v>
      </c>
      <c r="K17" s="365">
        <f>J17/12</f>
        <v>40</v>
      </c>
      <c r="L17" s="365">
        <f>K17/12</f>
        <v>3.3333333333333335</v>
      </c>
      <c r="M17" s="188">
        <v>14582.7</v>
      </c>
      <c r="N17" s="188">
        <f t="shared" si="0"/>
        <v>14145.219000000001</v>
      </c>
      <c r="O17" s="189">
        <v>7.0000000000000007E-2</v>
      </c>
      <c r="P17" s="170">
        <f t="shared" si="1"/>
        <v>15135.384330000001</v>
      </c>
    </row>
    <row r="18" spans="1:16">
      <c r="A18" s="315"/>
      <c r="B18" s="81" t="s">
        <v>3074</v>
      </c>
      <c r="C18" s="207" t="s">
        <v>56</v>
      </c>
      <c r="D18" s="322" t="s">
        <v>18</v>
      </c>
      <c r="E18" s="728"/>
      <c r="F18" s="767"/>
      <c r="G18" s="310" t="s">
        <v>3075</v>
      </c>
      <c r="H18" s="207"/>
      <c r="I18" s="431"/>
      <c r="J18" s="365">
        <v>410</v>
      </c>
      <c r="K18" s="365">
        <f>J18/24</f>
        <v>17.083333333333332</v>
      </c>
      <c r="L18" s="365">
        <f>K18/24</f>
        <v>0.71180555555555547</v>
      </c>
      <c r="M18" s="188">
        <v>13483.8</v>
      </c>
      <c r="N18" s="188">
        <f t="shared" si="0"/>
        <v>13079.286</v>
      </c>
      <c r="O18" s="189">
        <v>7.0000000000000007E-2</v>
      </c>
      <c r="P18" s="170">
        <f t="shared" si="1"/>
        <v>13994.836020000001</v>
      </c>
    </row>
    <row r="19" spans="1:16">
      <c r="A19" s="315"/>
      <c r="B19" s="81" t="s">
        <v>3074</v>
      </c>
      <c r="C19" s="207" t="s">
        <v>3076</v>
      </c>
      <c r="D19" s="322" t="s">
        <v>23</v>
      </c>
      <c r="E19" s="728">
        <v>36</v>
      </c>
      <c r="F19" s="767">
        <v>400</v>
      </c>
      <c r="G19" s="310" t="s">
        <v>3077</v>
      </c>
      <c r="H19" s="207">
        <v>380</v>
      </c>
      <c r="I19" s="431"/>
      <c r="J19" s="365">
        <v>380</v>
      </c>
      <c r="K19" s="365">
        <v>31.67</v>
      </c>
      <c r="L19" s="365">
        <v>31.67</v>
      </c>
      <c r="M19" s="188">
        <v>2669.52</v>
      </c>
      <c r="N19" s="188">
        <f t="shared" si="0"/>
        <v>2589.4344000000001</v>
      </c>
      <c r="O19" s="189">
        <v>7.0000000000000007E-2</v>
      </c>
      <c r="P19" s="170">
        <f t="shared" si="1"/>
        <v>2770.6948080000002</v>
      </c>
    </row>
    <row r="20" spans="1:16">
      <c r="A20" s="315"/>
      <c r="B20" s="81" t="s">
        <v>3078</v>
      </c>
      <c r="C20" s="207" t="s">
        <v>3076</v>
      </c>
      <c r="D20" s="322" t="s">
        <v>23</v>
      </c>
      <c r="E20" s="728">
        <v>20</v>
      </c>
      <c r="F20" s="767" t="s">
        <v>3079</v>
      </c>
      <c r="G20" s="310" t="s">
        <v>3077</v>
      </c>
      <c r="H20" s="207">
        <v>440</v>
      </c>
      <c r="I20" s="431"/>
      <c r="J20" s="365" t="s">
        <v>109</v>
      </c>
      <c r="K20" s="365">
        <v>18.329999999999998</v>
      </c>
      <c r="L20" s="365">
        <v>18.329999999999998</v>
      </c>
      <c r="N20" s="188">
        <f t="shared" si="0"/>
        <v>0</v>
      </c>
      <c r="O20" s="189">
        <v>7.0000000000000007E-2</v>
      </c>
      <c r="P20" s="170">
        <f t="shared" si="1"/>
        <v>0</v>
      </c>
    </row>
    <row r="21" spans="1:16">
      <c r="A21" s="315"/>
      <c r="B21" s="81" t="s">
        <v>3080</v>
      </c>
      <c r="C21" s="207" t="s">
        <v>3081</v>
      </c>
      <c r="D21" s="322" t="s">
        <v>23</v>
      </c>
      <c r="E21" s="728">
        <v>27</v>
      </c>
      <c r="F21" s="767" t="s">
        <v>3082</v>
      </c>
      <c r="G21" s="312" t="s">
        <v>3083</v>
      </c>
      <c r="H21" s="341">
        <v>320</v>
      </c>
      <c r="I21" s="505" t="s">
        <v>2270</v>
      </c>
      <c r="J21" s="1508">
        <v>300</v>
      </c>
      <c r="K21" s="1508">
        <v>25</v>
      </c>
      <c r="L21" s="1508">
        <v>25</v>
      </c>
      <c r="M21" s="188">
        <v>12972.96</v>
      </c>
      <c r="N21" s="188">
        <f t="shared" si="0"/>
        <v>12583.771199999999</v>
      </c>
      <c r="O21" s="189">
        <v>7.0000000000000007E-2</v>
      </c>
      <c r="P21" s="170">
        <f t="shared" si="1"/>
        <v>13464.635183999999</v>
      </c>
    </row>
    <row r="22" spans="1:16">
      <c r="A22" s="315"/>
      <c r="B22" s="43" t="s">
        <v>3084</v>
      </c>
      <c r="C22" s="207" t="s">
        <v>100</v>
      </c>
      <c r="D22" s="322" t="s">
        <v>23</v>
      </c>
      <c r="E22" s="838"/>
      <c r="F22" s="767"/>
      <c r="G22" s="483" t="s">
        <v>3085</v>
      </c>
      <c r="H22" s="207"/>
      <c r="I22" s="431"/>
      <c r="J22" s="707">
        <v>280</v>
      </c>
      <c r="K22" s="365">
        <v>23.33</v>
      </c>
      <c r="L22" s="365">
        <v>23.33</v>
      </c>
      <c r="M22" s="188">
        <v>12687.84</v>
      </c>
      <c r="N22" s="188">
        <f t="shared" si="0"/>
        <v>12307.2048</v>
      </c>
      <c r="O22" s="189">
        <v>7.0000000000000007E-2</v>
      </c>
      <c r="P22" s="170">
        <f t="shared" si="1"/>
        <v>13168.709135999999</v>
      </c>
    </row>
    <row r="23" spans="1:16">
      <c r="A23" s="315"/>
      <c r="B23" s="43" t="s">
        <v>3086</v>
      </c>
      <c r="C23" s="207" t="s">
        <v>3087</v>
      </c>
      <c r="D23" s="322" t="s">
        <v>18</v>
      </c>
      <c r="E23" s="838">
        <v>24</v>
      </c>
      <c r="F23" s="767" t="s">
        <v>3088</v>
      </c>
      <c r="G23" s="483" t="s">
        <v>3089</v>
      </c>
      <c r="H23" s="207">
        <v>490</v>
      </c>
      <c r="I23" s="431"/>
      <c r="J23" s="707">
        <v>490</v>
      </c>
      <c r="K23" s="365">
        <v>20.420000000000002</v>
      </c>
      <c r="L23" s="365">
        <v>20.420000000000002</v>
      </c>
      <c r="M23" s="188">
        <v>16572.599999999999</v>
      </c>
      <c r="N23" s="188">
        <f t="shared" si="0"/>
        <v>16075.421999999999</v>
      </c>
      <c r="O23" s="189">
        <v>7.0000000000000007E-2</v>
      </c>
      <c r="P23" s="170">
        <f t="shared" si="1"/>
        <v>17200.701539999998</v>
      </c>
    </row>
    <row r="24" spans="1:16">
      <c r="A24" s="74"/>
      <c r="B24" s="43" t="s">
        <v>3086</v>
      </c>
      <c r="C24" s="207" t="s">
        <v>2353</v>
      </c>
      <c r="D24" s="322" t="s">
        <v>18</v>
      </c>
      <c r="E24" s="838">
        <v>38</v>
      </c>
      <c r="F24" s="767" t="s">
        <v>3090</v>
      </c>
      <c r="G24" s="483" t="s">
        <v>3089</v>
      </c>
      <c r="H24" s="207">
        <v>390</v>
      </c>
      <c r="I24" s="431"/>
      <c r="J24" s="707">
        <v>390</v>
      </c>
      <c r="K24" s="365">
        <v>32.5</v>
      </c>
      <c r="L24" s="365">
        <v>32.5</v>
      </c>
      <c r="M24" s="188">
        <v>6021.12</v>
      </c>
      <c r="N24" s="188">
        <f>M24-(M24*0.03)</f>
        <v>5840.4863999999998</v>
      </c>
      <c r="O24" s="189">
        <v>7.0000000000000007E-2</v>
      </c>
      <c r="P24" s="170">
        <f>(N24*O24)+N24</f>
        <v>6249.3204479999995</v>
      </c>
    </row>
    <row r="25" spans="1:16">
      <c r="A25" s="1945"/>
      <c r="B25" s="43" t="s">
        <v>3086</v>
      </c>
      <c r="C25" s="207" t="s">
        <v>3091</v>
      </c>
      <c r="D25" s="322" t="s">
        <v>18</v>
      </c>
      <c r="E25" s="838"/>
      <c r="F25" s="767"/>
      <c r="G25" s="483"/>
      <c r="H25" s="207"/>
      <c r="I25" s="431"/>
      <c r="J25" s="707"/>
      <c r="K25" s="365"/>
      <c r="L25" s="365"/>
      <c r="M25" s="188">
        <v>8714.16</v>
      </c>
      <c r="N25" s="188">
        <f>M25-(M25*0.03)</f>
        <v>8452.7351999999992</v>
      </c>
      <c r="O25" s="189">
        <v>7.0000000000000007E-2</v>
      </c>
      <c r="P25" s="170">
        <f>(N25*O25)+N25</f>
        <v>9044.4266639999987</v>
      </c>
    </row>
    <row r="26" spans="1:16">
      <c r="A26" s="157"/>
      <c r="B26" s="43" t="s">
        <v>2263</v>
      </c>
      <c r="C26" s="207"/>
      <c r="D26" s="320" t="s">
        <v>23</v>
      </c>
      <c r="E26" s="728">
        <v>275</v>
      </c>
      <c r="F26" s="767">
        <v>25</v>
      </c>
      <c r="G26" s="310" t="s">
        <v>795</v>
      </c>
      <c r="H26" s="207"/>
      <c r="I26" s="431"/>
      <c r="J26" s="586">
        <v>270</v>
      </c>
      <c r="K26" s="365">
        <f>J26/12</f>
        <v>22.5</v>
      </c>
      <c r="L26" s="365"/>
      <c r="M26" s="188">
        <v>0</v>
      </c>
      <c r="N26" s="188">
        <f>M26-(M26*0.03)</f>
        <v>0</v>
      </c>
      <c r="O26" s="189">
        <v>7.0000000000000007E-2</v>
      </c>
      <c r="P26" s="170">
        <f t="shared" ref="P26:P32" si="2">(N26*O26)+N26</f>
        <v>0</v>
      </c>
    </row>
    <row r="27" spans="1:16">
      <c r="A27" s="157"/>
      <c r="B27" s="43" t="s">
        <v>2264</v>
      </c>
      <c r="C27" s="207"/>
      <c r="D27" s="320" t="s">
        <v>23</v>
      </c>
      <c r="E27" s="728"/>
      <c r="F27" s="767"/>
      <c r="G27" s="310" t="s">
        <v>2265</v>
      </c>
      <c r="H27" s="207">
        <v>257</v>
      </c>
      <c r="I27" s="431" t="s">
        <v>2266</v>
      </c>
      <c r="J27" s="586">
        <v>255</v>
      </c>
      <c r="K27" s="365">
        <v>21.25</v>
      </c>
      <c r="L27" s="365"/>
      <c r="M27" s="188">
        <v>18537.7</v>
      </c>
      <c r="N27" s="188">
        <f>M27-(M27*0.03)</f>
        <v>17981.569</v>
      </c>
      <c r="O27" s="189">
        <v>7.0000000000000007E-2</v>
      </c>
      <c r="P27" s="170">
        <f t="shared" si="2"/>
        <v>19240.278829999999</v>
      </c>
    </row>
    <row r="28" spans="1:16">
      <c r="A28" s="158"/>
      <c r="B28" s="43" t="s">
        <v>3092</v>
      </c>
      <c r="C28" s="207" t="s">
        <v>1357</v>
      </c>
      <c r="D28" s="322" t="s">
        <v>2010</v>
      </c>
      <c r="E28" s="728"/>
      <c r="F28" s="767"/>
      <c r="G28" s="310" t="s">
        <v>3093</v>
      </c>
      <c r="H28" s="707">
        <v>332</v>
      </c>
      <c r="I28" s="431" t="s">
        <v>3094</v>
      </c>
      <c r="J28" s="586">
        <v>310.06</v>
      </c>
      <c r="K28" s="365">
        <f>J28/12</f>
        <v>25.838333333333335</v>
      </c>
      <c r="L28" s="365"/>
      <c r="M28" s="188">
        <v>9031.68</v>
      </c>
      <c r="N28" s="188">
        <f t="shared" ref="N28:N38" si="3">M28-(M28*0.03)</f>
        <v>8760.7296000000006</v>
      </c>
      <c r="O28" s="189">
        <v>7.0000000000000007E-2</v>
      </c>
      <c r="P28" s="170">
        <f t="shared" si="2"/>
        <v>9373.9806720000015</v>
      </c>
    </row>
    <row r="29" spans="1:16">
      <c r="A29" s="200"/>
      <c r="B29" s="43" t="s">
        <v>2271</v>
      </c>
      <c r="C29" s="207" t="s">
        <v>1357</v>
      </c>
      <c r="D29" s="322" t="s">
        <v>2010</v>
      </c>
      <c r="E29" s="728">
        <v>32</v>
      </c>
      <c r="F29" s="767" t="s">
        <v>138</v>
      </c>
      <c r="G29" s="310" t="s">
        <v>1277</v>
      </c>
      <c r="H29" s="707">
        <v>330</v>
      </c>
      <c r="I29" s="431"/>
      <c r="J29" s="586">
        <v>330</v>
      </c>
      <c r="K29" s="365">
        <f>J29/12</f>
        <v>27.5</v>
      </c>
      <c r="L29" s="365"/>
      <c r="N29" s="188">
        <f t="shared" si="3"/>
        <v>0</v>
      </c>
      <c r="O29" s="189">
        <v>7.0000000000000007E-2</v>
      </c>
      <c r="P29" s="170">
        <f t="shared" si="2"/>
        <v>0</v>
      </c>
    </row>
    <row r="30" spans="1:16">
      <c r="A30" s="157"/>
      <c r="B30" s="43" t="s">
        <v>2267</v>
      </c>
      <c r="C30" s="207" t="s">
        <v>1357</v>
      </c>
      <c r="D30" s="322" t="s">
        <v>2010</v>
      </c>
      <c r="E30" s="728">
        <v>28</v>
      </c>
      <c r="F30" s="767" t="s">
        <v>2345</v>
      </c>
      <c r="G30" s="310" t="s">
        <v>1277</v>
      </c>
      <c r="H30" s="707">
        <v>320</v>
      </c>
      <c r="I30" s="431" t="s">
        <v>2270</v>
      </c>
      <c r="J30" s="586">
        <v>300</v>
      </c>
      <c r="K30" s="365">
        <v>25</v>
      </c>
      <c r="L30" s="365"/>
      <c r="M30" s="188">
        <v>8478.9599999999991</v>
      </c>
      <c r="N30" s="188">
        <f t="shared" si="3"/>
        <v>8224.5911999999989</v>
      </c>
      <c r="O30" s="189">
        <v>7.0000000000000007E-2</v>
      </c>
      <c r="P30" s="170">
        <f t="shared" si="2"/>
        <v>8800.3125839999993</v>
      </c>
    </row>
    <row r="31" spans="1:16">
      <c r="A31" s="157"/>
      <c r="B31" s="43"/>
      <c r="C31" s="207"/>
      <c r="D31" s="322"/>
      <c r="E31" s="728"/>
      <c r="F31" s="767"/>
      <c r="G31" s="1074"/>
      <c r="H31" s="207"/>
      <c r="I31" s="431"/>
      <c r="J31" s="586"/>
      <c r="K31" s="365"/>
      <c r="L31" s="365"/>
      <c r="M31" s="188">
        <v>11122.62</v>
      </c>
      <c r="N31" s="188">
        <f t="shared" si="3"/>
        <v>10788.941400000002</v>
      </c>
      <c r="O31" s="189">
        <v>7.0000000000000007E-2</v>
      </c>
      <c r="P31" s="170">
        <f t="shared" si="2"/>
        <v>11544.167298000002</v>
      </c>
    </row>
    <row r="32" spans="1:16">
      <c r="A32" s="158"/>
      <c r="B32" s="43"/>
      <c r="C32" s="207"/>
      <c r="D32" s="322"/>
      <c r="E32" s="728"/>
      <c r="F32" s="767"/>
      <c r="G32" s="1074"/>
      <c r="H32" s="207"/>
      <c r="I32" s="431"/>
      <c r="J32" s="586"/>
      <c r="K32" s="365"/>
      <c r="L32" s="365"/>
      <c r="M32" s="188">
        <v>3813.12</v>
      </c>
      <c r="N32" s="188">
        <f t="shared" si="3"/>
        <v>3698.7264</v>
      </c>
      <c r="O32" s="189">
        <v>7.0000000000000007E-2</v>
      </c>
      <c r="P32" s="170">
        <f t="shared" si="2"/>
        <v>3957.637248</v>
      </c>
    </row>
    <row r="33" spans="1:16">
      <c r="A33" s="200"/>
      <c r="B33" s="43"/>
      <c r="C33" s="207"/>
      <c r="D33" s="322"/>
      <c r="E33" s="728"/>
      <c r="F33" s="767"/>
      <c r="G33" s="1074"/>
      <c r="H33" s="207"/>
      <c r="I33" s="431"/>
      <c r="J33" s="586"/>
      <c r="K33" s="365"/>
      <c r="L33" s="365"/>
    </row>
    <row r="34" spans="1:16">
      <c r="A34" s="200"/>
      <c r="B34" s="43"/>
      <c r="C34" s="207"/>
      <c r="D34" s="322"/>
      <c r="E34" s="728"/>
      <c r="F34" s="767"/>
      <c r="G34" s="1074"/>
      <c r="H34" s="207"/>
      <c r="I34" s="431"/>
      <c r="J34" s="586"/>
      <c r="K34" s="365"/>
      <c r="L34" s="365"/>
    </row>
    <row r="35" spans="1:16">
      <c r="A35" s="315"/>
      <c r="B35" s="81"/>
      <c r="C35" s="207"/>
      <c r="D35" s="322"/>
      <c r="E35" s="728"/>
      <c r="F35" s="767"/>
      <c r="G35" s="310"/>
      <c r="H35" s="207"/>
      <c r="I35" s="431"/>
      <c r="J35" s="365"/>
      <c r="K35" s="365"/>
      <c r="L35" s="281"/>
    </row>
    <row r="36" spans="1:16">
      <c r="A36" s="315"/>
      <c r="B36" s="81"/>
      <c r="C36" s="207"/>
      <c r="D36" s="322"/>
      <c r="E36" s="728"/>
      <c r="F36" s="767"/>
      <c r="G36" s="310"/>
      <c r="H36" s="207"/>
      <c r="I36" s="431"/>
      <c r="J36" s="365"/>
      <c r="K36" s="365"/>
      <c r="L36" s="281"/>
    </row>
    <row r="37" spans="1:16">
      <c r="A37" s="315"/>
      <c r="B37" s="81"/>
      <c r="C37" s="207"/>
      <c r="D37" s="322"/>
      <c r="E37" s="728"/>
      <c r="F37" s="767"/>
      <c r="G37" s="310"/>
      <c r="H37" s="207"/>
      <c r="I37" s="474"/>
      <c r="J37" s="810"/>
      <c r="K37" s="365"/>
      <c r="L37" s="281"/>
    </row>
    <row r="38" spans="1:16">
      <c r="A38" s="315"/>
      <c r="B38" s="958"/>
      <c r="C38" s="341"/>
      <c r="D38" s="322"/>
      <c r="E38" s="728"/>
      <c r="F38" s="767"/>
      <c r="G38" s="3709"/>
      <c r="H38" s="3710"/>
      <c r="I38" s="3711"/>
      <c r="J38" s="3670"/>
      <c r="K38" s="365"/>
      <c r="L38" s="281"/>
      <c r="M38" s="188">
        <v>8640</v>
      </c>
      <c r="N38" s="188">
        <f t="shared" si="3"/>
        <v>8380.7999999999993</v>
      </c>
      <c r="O38" s="189">
        <v>7.0000000000000007E-2</v>
      </c>
      <c r="P38" s="170">
        <f>(N38*O38)+N38</f>
        <v>8967.4559999999983</v>
      </c>
    </row>
    <row r="39" spans="1:16">
      <c r="A39" s="315"/>
      <c r="B39" s="996" t="s">
        <v>3095</v>
      </c>
      <c r="C39" s="986"/>
      <c r="D39" s="322"/>
      <c r="E39" s="728"/>
      <c r="F39" s="767"/>
      <c r="G39" s="3709"/>
      <c r="H39" s="3710" t="s">
        <v>3096</v>
      </c>
      <c r="I39" s="3711"/>
      <c r="J39" s="3670" t="s">
        <v>3097</v>
      </c>
      <c r="K39" s="365"/>
      <c r="L39" s="281"/>
    </row>
    <row r="40" spans="1:16">
      <c r="A40" s="315"/>
      <c r="B40" s="1338" t="s">
        <v>3098</v>
      </c>
      <c r="C40" s="341" t="s">
        <v>320</v>
      </c>
      <c r="D40" s="413" t="s">
        <v>23</v>
      </c>
      <c r="E40" s="831"/>
      <c r="F40" s="852"/>
      <c r="G40" s="312" t="s">
        <v>315</v>
      </c>
      <c r="H40" s="341"/>
      <c r="I40" s="505"/>
      <c r="J40" s="1096">
        <v>408</v>
      </c>
      <c r="K40" s="1096" t="s">
        <v>3099</v>
      </c>
      <c r="L40" s="281"/>
    </row>
    <row r="41" spans="1:16">
      <c r="A41" s="315"/>
      <c r="B41" s="770" t="s">
        <v>3100</v>
      </c>
      <c r="C41" s="341" t="s">
        <v>320</v>
      </c>
      <c r="D41" s="413" t="s">
        <v>23</v>
      </c>
      <c r="E41" s="831"/>
      <c r="F41" s="852"/>
      <c r="G41" s="312" t="s">
        <v>315</v>
      </c>
      <c r="H41" s="341"/>
      <c r="I41" s="505"/>
      <c r="J41" s="1096">
        <v>348</v>
      </c>
      <c r="K41" s="1096" t="s">
        <v>3101</v>
      </c>
      <c r="L41" s="281"/>
      <c r="M41" s="3444"/>
    </row>
    <row r="42" spans="1:16" ht="35.25" thickBot="1">
      <c r="A42" s="285"/>
      <c r="B42" s="43"/>
      <c r="C42" s="207"/>
      <c r="D42" s="322"/>
      <c r="E42" s="728"/>
      <c r="F42" s="767"/>
      <c r="G42" s="310"/>
      <c r="H42" s="207"/>
      <c r="I42" s="506"/>
      <c r="J42" s="586"/>
      <c r="K42" s="378"/>
      <c r="L42" s="292"/>
    </row>
    <row r="43" spans="1:16" ht="35.25" customHeight="1">
      <c r="B43" s="93"/>
      <c r="C43" s="68"/>
      <c r="D43" s="3444"/>
      <c r="E43" s="273"/>
      <c r="F43" s="274"/>
      <c r="G43" s="269"/>
      <c r="H43" s="270"/>
      <c r="I43" s="271"/>
      <c r="J43" s="272"/>
      <c r="K43" s="165"/>
      <c r="L43" s="168"/>
    </row>
    <row r="44" spans="1:16">
      <c r="A44" s="44" t="s">
        <v>0</v>
      </c>
      <c r="B44" s="127"/>
      <c r="C44" s="104"/>
      <c r="F44" s="68"/>
      <c r="I44" s="179"/>
      <c r="K44" s="163"/>
      <c r="L44" s="168"/>
    </row>
    <row r="45" spans="1:16" ht="35.25" customHeight="1">
      <c r="A45" s="3480" t="s">
        <v>2512</v>
      </c>
      <c r="B45" s="3480"/>
      <c r="C45" s="44"/>
      <c r="D45" s="109"/>
      <c r="F45" s="68"/>
      <c r="I45" s="179"/>
      <c r="K45" s="163"/>
      <c r="L45" s="168"/>
    </row>
    <row r="46" spans="1:16" ht="35.25" customHeight="1" thickBot="1">
      <c r="F46" s="68"/>
    </row>
    <row r="47" spans="1:16">
      <c r="A47" s="3493" t="s">
        <v>2</v>
      </c>
      <c r="B47" s="3482"/>
      <c r="C47" s="48" t="s">
        <v>3</v>
      </c>
      <c r="D47" s="128" t="s">
        <v>4</v>
      </c>
      <c r="E47" s="77" t="s">
        <v>5</v>
      </c>
      <c r="F47" s="78" t="s">
        <v>5</v>
      </c>
      <c r="G47" s="211" t="s">
        <v>6</v>
      </c>
      <c r="H47" s="140" t="s">
        <v>7</v>
      </c>
      <c r="I47" s="180" t="s">
        <v>1511</v>
      </c>
      <c r="J47" s="172" t="s">
        <v>9</v>
      </c>
      <c r="K47" s="186" t="s">
        <v>9</v>
      </c>
      <c r="L47" s="192" t="s">
        <v>2495</v>
      </c>
      <c r="M47" s="190"/>
    </row>
    <row r="48" spans="1:16" ht="35.25" thickBot="1">
      <c r="A48" s="155"/>
      <c r="B48" s="138"/>
      <c r="C48" s="50"/>
      <c r="D48" s="129" t="s">
        <v>10</v>
      </c>
      <c r="E48" s="79" t="s">
        <v>11</v>
      </c>
      <c r="F48" s="80" t="s">
        <v>12</v>
      </c>
      <c r="G48" s="212"/>
      <c r="H48" s="141" t="s">
        <v>13</v>
      </c>
      <c r="I48" s="181" t="s">
        <v>1512</v>
      </c>
      <c r="J48" s="173" t="s">
        <v>15</v>
      </c>
      <c r="K48" s="187" t="s">
        <v>14</v>
      </c>
      <c r="L48" s="193" t="s">
        <v>2496</v>
      </c>
      <c r="M48" s="190"/>
    </row>
    <row r="49" spans="1:16">
      <c r="A49" s="3470" t="s">
        <v>3102</v>
      </c>
      <c r="B49" s="1406"/>
      <c r="C49" s="1406"/>
      <c r="D49" s="1406"/>
      <c r="E49" s="3452"/>
      <c r="F49" s="767"/>
      <c r="G49" s="1074"/>
      <c r="H49" s="207"/>
      <c r="I49" s="431"/>
      <c r="J49" s="586"/>
      <c r="K49" s="365"/>
      <c r="L49" s="194"/>
      <c r="M49" s="188">
        <v>3552</v>
      </c>
      <c r="N49" s="188">
        <f t="shared" ref="N49:N74" si="4">M49-(M49*0.03)</f>
        <v>3445.44</v>
      </c>
      <c r="O49" s="189">
        <v>7.0000000000000007E-2</v>
      </c>
      <c r="P49" s="170">
        <f t="shared" ref="P49:P65" si="5">(N49*O49)+N49</f>
        <v>3686.6208000000001</v>
      </c>
    </row>
    <row r="50" spans="1:16">
      <c r="A50" s="200"/>
      <c r="B50" s="43" t="s">
        <v>3103</v>
      </c>
      <c r="C50" s="207" t="s">
        <v>2325</v>
      </c>
      <c r="D50" s="322" t="s">
        <v>18</v>
      </c>
      <c r="E50" s="728">
        <v>24</v>
      </c>
      <c r="F50" s="861" t="s">
        <v>635</v>
      </c>
      <c r="G50" s="1074" t="s">
        <v>53</v>
      </c>
      <c r="H50" s="207">
        <v>416</v>
      </c>
      <c r="I50" s="431"/>
      <c r="J50" s="586">
        <v>502.9</v>
      </c>
      <c r="K50" s="792">
        <v>20.95</v>
      </c>
      <c r="L50" s="194"/>
      <c r="N50" s="188">
        <f t="shared" si="4"/>
        <v>0</v>
      </c>
      <c r="O50" s="189">
        <v>7.0000000000000007E-2</v>
      </c>
      <c r="P50" s="170">
        <f t="shared" si="5"/>
        <v>0</v>
      </c>
    </row>
    <row r="51" spans="1:16">
      <c r="A51" s="200"/>
      <c r="B51" s="43" t="s">
        <v>3103</v>
      </c>
      <c r="C51" s="207" t="s">
        <v>123</v>
      </c>
      <c r="D51" s="322" t="s">
        <v>23</v>
      </c>
      <c r="E51" s="728">
        <v>31</v>
      </c>
      <c r="F51" s="767"/>
      <c r="G51" s="1074" t="s">
        <v>53</v>
      </c>
      <c r="H51" s="207">
        <v>416</v>
      </c>
      <c r="I51" s="431"/>
      <c r="J51" s="586">
        <v>460.1</v>
      </c>
      <c r="K51" s="792">
        <v>38.340000000000003</v>
      </c>
      <c r="L51" s="194"/>
      <c r="M51" s="188">
        <v>9498.06</v>
      </c>
      <c r="N51" s="188">
        <f t="shared" si="4"/>
        <v>9213.118199999999</v>
      </c>
      <c r="O51" s="189">
        <v>7.0000000000000007E-2</v>
      </c>
      <c r="P51" s="170">
        <f t="shared" si="5"/>
        <v>9858.0364739999986</v>
      </c>
    </row>
    <row r="52" spans="1:16">
      <c r="A52" s="200"/>
      <c r="B52" s="43" t="s">
        <v>3103</v>
      </c>
      <c r="C52" s="207" t="s">
        <v>100</v>
      </c>
      <c r="D52" s="322" t="s">
        <v>23</v>
      </c>
      <c r="E52" s="728">
        <v>35</v>
      </c>
      <c r="F52" s="767" t="s">
        <v>3104</v>
      </c>
      <c r="G52" s="2401" t="s">
        <v>2220</v>
      </c>
      <c r="H52" s="207">
        <v>370</v>
      </c>
      <c r="I52" s="553" t="s">
        <v>3105</v>
      </c>
      <c r="J52" s="586">
        <v>380.67</v>
      </c>
      <c r="K52" s="792">
        <v>31.72</v>
      </c>
      <c r="L52" s="194"/>
      <c r="M52" s="188">
        <v>15305.4</v>
      </c>
      <c r="N52" s="188">
        <f t="shared" si="4"/>
        <v>14846.237999999999</v>
      </c>
      <c r="O52" s="189">
        <v>7.0000000000000007E-2</v>
      </c>
      <c r="P52" s="170">
        <f t="shared" si="5"/>
        <v>15885.47466</v>
      </c>
    </row>
    <row r="53" spans="1:16" ht="35.25" thickBot="1">
      <c r="A53" s="157"/>
      <c r="B53" s="86" t="s">
        <v>3103</v>
      </c>
      <c r="C53" s="1386" t="s">
        <v>3106</v>
      </c>
      <c r="D53" s="36" t="s">
        <v>3107</v>
      </c>
      <c r="E53" s="1387">
        <v>95</v>
      </c>
      <c r="F53" s="1388" t="s">
        <v>2405</v>
      </c>
      <c r="G53" s="2402" t="s">
        <v>53</v>
      </c>
      <c r="H53" s="1386">
        <v>480</v>
      </c>
      <c r="I53" s="1114"/>
      <c r="J53" s="1389" t="s">
        <v>3108</v>
      </c>
      <c r="K53" s="1395" t="s">
        <v>3109</v>
      </c>
      <c r="L53" s="194"/>
      <c r="N53" s="188">
        <f t="shared" si="4"/>
        <v>0</v>
      </c>
      <c r="O53" s="189">
        <v>7.0000000000000007E-2</v>
      </c>
      <c r="P53" s="170">
        <f t="shared" si="5"/>
        <v>0</v>
      </c>
    </row>
    <row r="54" spans="1:16">
      <c r="A54" s="157"/>
      <c r="B54" s="524" t="s">
        <v>3084</v>
      </c>
      <c r="C54" s="338" t="s">
        <v>2325</v>
      </c>
      <c r="D54" s="2361" t="s">
        <v>18</v>
      </c>
      <c r="E54" s="728">
        <v>24</v>
      </c>
      <c r="F54" s="861" t="s">
        <v>635</v>
      </c>
      <c r="G54" s="1074" t="s">
        <v>53</v>
      </c>
      <c r="H54" s="207">
        <v>416</v>
      </c>
      <c r="I54" s="431"/>
      <c r="J54" s="586">
        <v>502.9</v>
      </c>
      <c r="K54" s="792">
        <v>20.95</v>
      </c>
      <c r="L54" s="194"/>
      <c r="N54" s="188">
        <f t="shared" si="4"/>
        <v>0</v>
      </c>
      <c r="O54" s="189">
        <v>7.0000000000000007E-2</v>
      </c>
      <c r="P54" s="170">
        <f t="shared" si="5"/>
        <v>0</v>
      </c>
    </row>
    <row r="55" spans="1:16" ht="35.25" thickBot="1">
      <c r="A55" s="157"/>
      <c r="B55" s="43" t="s">
        <v>3084</v>
      </c>
      <c r="C55" s="207" t="s">
        <v>3106</v>
      </c>
      <c r="D55" s="391" t="s">
        <v>3107</v>
      </c>
      <c r="E55" s="1387">
        <v>95</v>
      </c>
      <c r="F55" s="1388" t="s">
        <v>2405</v>
      </c>
      <c r="G55" s="2402" t="s">
        <v>53</v>
      </c>
      <c r="H55" s="1386">
        <v>480</v>
      </c>
      <c r="I55" s="1114"/>
      <c r="J55" s="1389" t="s">
        <v>3108</v>
      </c>
      <c r="K55" s="1395" t="s">
        <v>3109</v>
      </c>
      <c r="L55" s="194"/>
      <c r="N55" s="188">
        <f t="shared" si="4"/>
        <v>0</v>
      </c>
      <c r="O55" s="189">
        <v>7.0000000000000007E-2</v>
      </c>
      <c r="P55" s="170">
        <f t="shared" si="5"/>
        <v>0</v>
      </c>
    </row>
    <row r="56" spans="1:16">
      <c r="A56" s="157"/>
      <c r="B56" s="43" t="s">
        <v>3110</v>
      </c>
      <c r="C56" s="207" t="s">
        <v>3111</v>
      </c>
      <c r="D56" s="322" t="s">
        <v>2214</v>
      </c>
      <c r="E56" s="728">
        <v>30</v>
      </c>
      <c r="F56" s="767"/>
      <c r="G56" s="1074" t="s">
        <v>3085</v>
      </c>
      <c r="H56" s="117"/>
      <c r="I56" s="432"/>
      <c r="J56" s="702">
        <v>267.5</v>
      </c>
      <c r="K56" s="1392">
        <v>22.29</v>
      </c>
      <c r="M56" s="188">
        <v>14244.12</v>
      </c>
      <c r="N56" s="188">
        <f t="shared" si="4"/>
        <v>13816.796400000001</v>
      </c>
      <c r="O56" s="189">
        <v>7.0000000000000007E-2</v>
      </c>
      <c r="P56" s="170">
        <f t="shared" si="5"/>
        <v>14783.972148000001</v>
      </c>
    </row>
    <row r="57" spans="1:16">
      <c r="A57" s="157"/>
      <c r="B57" s="43" t="s">
        <v>3084</v>
      </c>
      <c r="C57" s="207" t="s">
        <v>100</v>
      </c>
      <c r="D57" s="322" t="s">
        <v>23</v>
      </c>
      <c r="E57" s="728">
        <v>32</v>
      </c>
      <c r="F57" s="767">
        <v>365</v>
      </c>
      <c r="G57" s="1074" t="s">
        <v>53</v>
      </c>
      <c r="H57" s="117">
        <v>330</v>
      </c>
      <c r="I57" s="1587" t="s">
        <v>3112</v>
      </c>
      <c r="J57" s="702">
        <v>315.27</v>
      </c>
      <c r="K57" s="1392">
        <v>26.27</v>
      </c>
      <c r="L57" s="194"/>
      <c r="M57" s="188">
        <v>3240</v>
      </c>
      <c r="N57" s="188">
        <f t="shared" si="4"/>
        <v>3142.8</v>
      </c>
      <c r="O57" s="189">
        <v>7.0000000000000007E-2</v>
      </c>
      <c r="P57" s="170">
        <f t="shared" si="5"/>
        <v>3362.7960000000003</v>
      </c>
    </row>
    <row r="58" spans="1:16">
      <c r="A58" s="157"/>
      <c r="B58" s="43" t="s">
        <v>3113</v>
      </c>
      <c r="C58" s="207" t="s">
        <v>3114</v>
      </c>
      <c r="D58" s="322" t="s">
        <v>23</v>
      </c>
      <c r="E58" s="728">
        <v>22</v>
      </c>
      <c r="F58" s="767">
        <v>240</v>
      </c>
      <c r="G58" s="1074" t="s">
        <v>3115</v>
      </c>
      <c r="H58" s="207">
        <v>215</v>
      </c>
      <c r="I58" s="431"/>
      <c r="J58" s="586">
        <v>230.05</v>
      </c>
      <c r="K58" s="792">
        <v>19.170000000000002</v>
      </c>
      <c r="L58" s="194"/>
      <c r="M58" s="188">
        <v>14700</v>
      </c>
      <c r="N58" s="188">
        <f t="shared" si="4"/>
        <v>14259</v>
      </c>
      <c r="O58" s="189">
        <v>7.0000000000000007E-2</v>
      </c>
      <c r="P58" s="170">
        <f t="shared" si="5"/>
        <v>15257.130000000001</v>
      </c>
    </row>
    <row r="59" spans="1:16" ht="35.25" thickBot="1">
      <c r="A59" s="157"/>
      <c r="B59" s="86" t="s">
        <v>3116</v>
      </c>
      <c r="C59" s="1386" t="s">
        <v>256</v>
      </c>
      <c r="D59" s="1393" t="s">
        <v>18</v>
      </c>
      <c r="E59" s="1387">
        <v>12</v>
      </c>
      <c r="F59" s="1388"/>
      <c r="G59" s="1394" t="s">
        <v>3085</v>
      </c>
      <c r="H59" s="1386"/>
      <c r="I59" s="1114"/>
      <c r="J59" s="1389">
        <v>230.05</v>
      </c>
      <c r="K59" s="1390">
        <v>9.58</v>
      </c>
      <c r="L59" s="229"/>
      <c r="M59" s="188">
        <v>14582.7</v>
      </c>
      <c r="N59" s="188">
        <f t="shared" si="4"/>
        <v>14145.219000000001</v>
      </c>
      <c r="O59" s="189">
        <v>7.0000000000000007E-2</v>
      </c>
      <c r="P59" s="170">
        <f t="shared" si="5"/>
        <v>15135.384330000001</v>
      </c>
    </row>
    <row r="60" spans="1:16">
      <c r="A60" s="157"/>
      <c r="B60" s="81" t="s">
        <v>3117</v>
      </c>
      <c r="C60" s="117" t="s">
        <v>2400</v>
      </c>
      <c r="D60" s="412" t="s">
        <v>3118</v>
      </c>
      <c r="E60" s="832" t="s">
        <v>3119</v>
      </c>
      <c r="F60" s="853" t="s">
        <v>3120</v>
      </c>
      <c r="G60" s="1391" t="s">
        <v>3115</v>
      </c>
      <c r="H60" s="117">
        <v>440</v>
      </c>
      <c r="I60" s="432"/>
      <c r="J60" s="702">
        <v>470.8</v>
      </c>
      <c r="K60" s="369">
        <v>39.229999999999997</v>
      </c>
      <c r="L60" s="229"/>
      <c r="M60" s="188">
        <v>13483.8</v>
      </c>
      <c r="N60" s="188">
        <f t="shared" si="4"/>
        <v>13079.286</v>
      </c>
      <c r="O60" s="189">
        <v>7.0000000000000007E-2</v>
      </c>
      <c r="P60" s="170">
        <f t="shared" si="5"/>
        <v>13994.836020000001</v>
      </c>
    </row>
    <row r="61" spans="1:16">
      <c r="A61" s="157"/>
      <c r="B61" s="43" t="s">
        <v>3121</v>
      </c>
      <c r="C61" s="207" t="s">
        <v>3122</v>
      </c>
      <c r="D61" s="322" t="s">
        <v>70</v>
      </c>
      <c r="E61" s="728">
        <v>42</v>
      </c>
      <c r="F61" s="767" t="s">
        <v>2711</v>
      </c>
      <c r="G61" s="2559" t="s">
        <v>1058</v>
      </c>
      <c r="H61" s="207">
        <v>1700</v>
      </c>
      <c r="I61" s="1587" t="s">
        <v>3123</v>
      </c>
      <c r="J61" s="586">
        <v>1765.5</v>
      </c>
      <c r="K61" s="365">
        <v>36.78</v>
      </c>
      <c r="L61" s="229"/>
      <c r="M61" s="188">
        <v>2669.52</v>
      </c>
      <c r="N61" s="188">
        <f t="shared" si="4"/>
        <v>2589.4344000000001</v>
      </c>
      <c r="O61" s="189">
        <v>7.0000000000000007E-2</v>
      </c>
      <c r="P61" s="170">
        <f t="shared" si="5"/>
        <v>2770.6948080000002</v>
      </c>
    </row>
    <row r="62" spans="1:16">
      <c r="A62" s="157"/>
      <c r="B62" s="43" t="s">
        <v>3124</v>
      </c>
      <c r="C62" s="207" t="s">
        <v>3122</v>
      </c>
      <c r="D62" s="322" t="s">
        <v>70</v>
      </c>
      <c r="E62" s="728">
        <v>42</v>
      </c>
      <c r="F62" s="767" t="s">
        <v>2711</v>
      </c>
      <c r="G62" s="2559" t="s">
        <v>1058</v>
      </c>
      <c r="H62" s="207">
        <v>1700</v>
      </c>
      <c r="I62" s="1587" t="s">
        <v>3123</v>
      </c>
      <c r="J62" s="586">
        <v>1765.5</v>
      </c>
      <c r="K62" s="365">
        <v>36.78</v>
      </c>
      <c r="L62" s="229"/>
      <c r="N62" s="188">
        <f t="shared" si="4"/>
        <v>0</v>
      </c>
      <c r="O62" s="189">
        <v>7.0000000000000007E-2</v>
      </c>
      <c r="P62" s="170">
        <f t="shared" si="5"/>
        <v>0</v>
      </c>
    </row>
    <row r="63" spans="1:16">
      <c r="A63" s="2403" t="s">
        <v>3125</v>
      </c>
      <c r="B63" s="43" t="s">
        <v>3126</v>
      </c>
      <c r="C63" s="207"/>
      <c r="D63" s="322" t="s">
        <v>3127</v>
      </c>
      <c r="E63" s="2496" t="s">
        <v>3128</v>
      </c>
      <c r="F63" s="767" t="s">
        <v>2385</v>
      </c>
      <c r="G63" s="1889" t="s">
        <v>2417</v>
      </c>
      <c r="H63" s="207"/>
      <c r="I63" s="431" t="s">
        <v>3129</v>
      </c>
      <c r="J63" s="2358" t="s">
        <v>2388</v>
      </c>
      <c r="K63" s="2016">
        <v>18.399999999999999</v>
      </c>
      <c r="L63" s="229"/>
      <c r="M63" s="188">
        <v>12972.96</v>
      </c>
      <c r="N63" s="188">
        <f t="shared" si="4"/>
        <v>12583.771199999999</v>
      </c>
      <c r="O63" s="189">
        <v>7.0000000000000007E-2</v>
      </c>
      <c r="P63" s="170">
        <f t="shared" si="5"/>
        <v>13464.635183999999</v>
      </c>
    </row>
    <row r="64" spans="1:16">
      <c r="A64" s="2404" t="s">
        <v>3125</v>
      </c>
      <c r="B64" s="43" t="s">
        <v>3130</v>
      </c>
      <c r="C64" s="207"/>
      <c r="D64" s="322" t="s">
        <v>3131</v>
      </c>
      <c r="E64" s="728" t="s">
        <v>3132</v>
      </c>
      <c r="F64" s="767" t="s">
        <v>3133</v>
      </c>
      <c r="G64" s="1889" t="s">
        <v>2417</v>
      </c>
      <c r="H64" s="207"/>
      <c r="I64" s="431" t="s">
        <v>3134</v>
      </c>
      <c r="J64" s="586">
        <v>963</v>
      </c>
      <c r="K64" s="365">
        <v>20.059999999999999</v>
      </c>
      <c r="L64" s="229"/>
      <c r="M64" s="188">
        <v>12687.84</v>
      </c>
      <c r="N64" s="188">
        <f t="shared" si="4"/>
        <v>12307.2048</v>
      </c>
      <c r="O64" s="189">
        <v>7.0000000000000007E-2</v>
      </c>
      <c r="P64" s="170">
        <f t="shared" si="5"/>
        <v>13168.709135999999</v>
      </c>
    </row>
    <row r="65" spans="1:16">
      <c r="A65" s="2404" t="s">
        <v>3125</v>
      </c>
      <c r="B65" s="406" t="s">
        <v>3135</v>
      </c>
      <c r="C65" s="341"/>
      <c r="D65" s="322" t="s">
        <v>3127</v>
      </c>
      <c r="E65" s="2497" t="s">
        <v>3136</v>
      </c>
      <c r="F65" s="852" t="s">
        <v>3137</v>
      </c>
      <c r="G65" s="1889" t="s">
        <v>2417</v>
      </c>
      <c r="H65" s="224"/>
      <c r="I65" s="620"/>
      <c r="J65" s="686" t="s">
        <v>485</v>
      </c>
      <c r="K65" s="378">
        <v>11.5</v>
      </c>
      <c r="L65" s="194"/>
      <c r="M65" s="188">
        <v>16572.599999999999</v>
      </c>
      <c r="N65" s="188">
        <f t="shared" si="4"/>
        <v>16075.421999999999</v>
      </c>
      <c r="O65" s="189">
        <v>7.0000000000000007E-2</v>
      </c>
      <c r="P65" s="170">
        <f t="shared" si="5"/>
        <v>17200.701539999998</v>
      </c>
    </row>
    <row r="66" spans="1:16">
      <c r="A66" s="58"/>
      <c r="B66" s="781" t="s">
        <v>3138</v>
      </c>
      <c r="C66" s="2328"/>
      <c r="D66" s="421"/>
      <c r="E66" s="90"/>
      <c r="F66" s="61"/>
      <c r="G66" s="206"/>
      <c r="H66" s="74"/>
      <c r="I66" s="182"/>
      <c r="J66" s="685"/>
      <c r="K66" s="365"/>
      <c r="L66" s="194"/>
      <c r="M66" s="188">
        <v>6021.12</v>
      </c>
      <c r="N66" s="188">
        <f t="shared" si="4"/>
        <v>5840.4863999999998</v>
      </c>
      <c r="O66" s="189">
        <v>7.0000000000000007E-2</v>
      </c>
      <c r="P66" s="170">
        <f>(N66*O66)+N66</f>
        <v>6249.3204479999995</v>
      </c>
    </row>
    <row r="67" spans="1:16">
      <c r="A67" s="58"/>
      <c r="B67" s="928" t="s">
        <v>3139</v>
      </c>
      <c r="C67" s="1459"/>
      <c r="D67" s="928" t="s">
        <v>2383</v>
      </c>
      <c r="E67" s="2321">
        <v>16</v>
      </c>
      <c r="F67" s="767" t="s">
        <v>3140</v>
      </c>
      <c r="G67" s="1889" t="s">
        <v>3141</v>
      </c>
      <c r="H67" s="74"/>
      <c r="I67" s="182"/>
      <c r="J67" s="2495" t="s">
        <v>3142</v>
      </c>
      <c r="K67" s="2016" t="s">
        <v>3143</v>
      </c>
      <c r="L67" s="194"/>
      <c r="M67" s="188">
        <v>8714.16</v>
      </c>
      <c r="N67" s="188">
        <f t="shared" si="4"/>
        <v>8452.7351999999992</v>
      </c>
      <c r="O67" s="189">
        <v>7.0000000000000007E-2</v>
      </c>
      <c r="P67" s="170">
        <f>(N67*O67)+N67</f>
        <v>9044.4266639999987</v>
      </c>
    </row>
    <row r="68" spans="1:16">
      <c r="A68" s="58"/>
      <c r="B68" s="928" t="s">
        <v>3139</v>
      </c>
      <c r="C68" s="101" t="s">
        <v>3122</v>
      </c>
      <c r="D68" s="105" t="s">
        <v>70</v>
      </c>
      <c r="E68" s="2311">
        <v>20</v>
      </c>
      <c r="F68" s="767"/>
      <c r="G68" s="1889" t="s">
        <v>3144</v>
      </c>
      <c r="H68" s="74"/>
      <c r="I68" s="182"/>
      <c r="J68" s="1407"/>
      <c r="K68" s="1408">
        <v>16.899999999999999</v>
      </c>
      <c r="L68" s="194"/>
      <c r="M68" s="188">
        <v>0</v>
      </c>
      <c r="N68" s="188">
        <f t="shared" si="4"/>
        <v>0</v>
      </c>
      <c r="O68" s="189">
        <v>7.0000000000000007E-2</v>
      </c>
      <c r="P68" s="170">
        <f t="shared" ref="P68:P74" si="6">(N68*O68)+N68</f>
        <v>0</v>
      </c>
    </row>
    <row r="69" spans="1:16">
      <c r="A69" s="58"/>
      <c r="B69" s="928" t="s">
        <v>3145</v>
      </c>
      <c r="C69" s="101"/>
      <c r="D69" s="105" t="s">
        <v>2383</v>
      </c>
      <c r="E69" s="2311" t="s">
        <v>1231</v>
      </c>
      <c r="F69" s="767" t="s">
        <v>3146</v>
      </c>
      <c r="G69" s="1889" t="s">
        <v>3144</v>
      </c>
      <c r="H69" s="74"/>
      <c r="I69" s="182" t="s">
        <v>3147</v>
      </c>
      <c r="J69" s="1407" t="s">
        <v>3148</v>
      </c>
      <c r="K69" s="1408" t="s">
        <v>3149</v>
      </c>
      <c r="L69" s="194"/>
      <c r="M69" s="188">
        <v>18537.7</v>
      </c>
      <c r="N69" s="188">
        <f t="shared" si="4"/>
        <v>17981.569</v>
      </c>
      <c r="O69" s="189">
        <v>7.0000000000000007E-2</v>
      </c>
      <c r="P69" s="170">
        <f t="shared" si="6"/>
        <v>19240.278829999999</v>
      </c>
    </row>
    <row r="70" spans="1:16">
      <c r="A70" s="63"/>
      <c r="B70" s="928" t="s">
        <v>3150</v>
      </c>
      <c r="C70" s="207" t="s">
        <v>3151</v>
      </c>
      <c r="D70" s="105" t="s">
        <v>2383</v>
      </c>
      <c r="E70" s="2324" t="s">
        <v>3152</v>
      </c>
      <c r="F70" s="861" t="s">
        <v>168</v>
      </c>
      <c r="G70" s="1889" t="s">
        <v>3144</v>
      </c>
      <c r="H70" s="74"/>
      <c r="I70" s="182" t="s">
        <v>3153</v>
      </c>
      <c r="J70" s="1407" t="s">
        <v>3154</v>
      </c>
      <c r="K70" s="1408" t="s">
        <v>3155</v>
      </c>
      <c r="L70" s="194"/>
      <c r="M70" s="188">
        <v>9031.68</v>
      </c>
      <c r="N70" s="188">
        <f t="shared" si="4"/>
        <v>8760.7296000000006</v>
      </c>
      <c r="O70" s="189">
        <v>7.0000000000000007E-2</v>
      </c>
      <c r="P70" s="170">
        <f t="shared" si="6"/>
        <v>9373.9806720000015</v>
      </c>
    </row>
    <row r="71" spans="1:16">
      <c r="A71" s="253"/>
      <c r="B71" s="928"/>
      <c r="C71" s="1459"/>
      <c r="D71" s="928"/>
      <c r="E71" s="2321">
        <v>45</v>
      </c>
      <c r="F71" s="61"/>
      <c r="G71" s="206"/>
      <c r="H71" s="74"/>
      <c r="I71" s="182" t="s">
        <v>3156</v>
      </c>
      <c r="J71" s="685" t="s">
        <v>3157</v>
      </c>
      <c r="K71" s="365" t="s">
        <v>3158</v>
      </c>
      <c r="L71" s="194"/>
      <c r="N71" s="188">
        <f t="shared" si="4"/>
        <v>0</v>
      </c>
      <c r="O71" s="189">
        <v>7.0000000000000007E-2</v>
      </c>
      <c r="P71" s="170">
        <f t="shared" si="6"/>
        <v>0</v>
      </c>
    </row>
    <row r="72" spans="1:16">
      <c r="A72" s="58"/>
      <c r="B72" s="1443" t="s">
        <v>2337</v>
      </c>
      <c r="C72" s="340"/>
      <c r="D72" s="1443" t="s">
        <v>2338</v>
      </c>
      <c r="E72" s="90"/>
      <c r="F72" s="61"/>
      <c r="G72" s="206"/>
      <c r="H72" s="74"/>
      <c r="I72" s="182"/>
      <c r="J72" s="685"/>
      <c r="K72" s="365"/>
      <c r="L72" s="194"/>
      <c r="M72" s="188">
        <v>8478.9599999999991</v>
      </c>
      <c r="N72" s="188">
        <f t="shared" si="4"/>
        <v>8224.5911999999989</v>
      </c>
      <c r="O72" s="189">
        <v>7.0000000000000007E-2</v>
      </c>
      <c r="P72" s="170">
        <f t="shared" si="6"/>
        <v>8800.3125839999993</v>
      </c>
    </row>
    <row r="73" spans="1:16">
      <c r="A73" s="58"/>
      <c r="B73" s="928" t="s">
        <v>2339</v>
      </c>
      <c r="C73" s="101" t="s">
        <v>2321</v>
      </c>
      <c r="D73" s="105" t="s">
        <v>23</v>
      </c>
      <c r="E73" s="2311">
        <v>35</v>
      </c>
      <c r="F73" s="861" t="s">
        <v>2340</v>
      </c>
      <c r="G73" s="799" t="s">
        <v>2341</v>
      </c>
      <c r="H73" s="74">
        <v>380</v>
      </c>
      <c r="I73" s="182" t="s">
        <v>2342</v>
      </c>
      <c r="J73" s="1407">
        <v>365.94</v>
      </c>
      <c r="K73" s="1408">
        <v>30.49</v>
      </c>
      <c r="L73" s="194"/>
      <c r="M73" s="188">
        <v>11122.62</v>
      </c>
      <c r="N73" s="188">
        <f t="shared" si="4"/>
        <v>10788.941400000002</v>
      </c>
      <c r="O73" s="189">
        <v>7.0000000000000007E-2</v>
      </c>
      <c r="P73" s="170">
        <f t="shared" si="6"/>
        <v>11544.167298000002</v>
      </c>
    </row>
    <row r="74" spans="1:16">
      <c r="A74" s="58"/>
      <c r="B74" s="74" t="s">
        <v>2343</v>
      </c>
      <c r="C74" s="101" t="s">
        <v>2344</v>
      </c>
      <c r="D74" s="105" t="s">
        <v>23</v>
      </c>
      <c r="E74" s="2311">
        <v>27</v>
      </c>
      <c r="F74" s="767" t="s">
        <v>2345</v>
      </c>
      <c r="G74" s="206" t="s">
        <v>2346</v>
      </c>
      <c r="H74" s="74">
        <v>260</v>
      </c>
      <c r="I74" s="182"/>
      <c r="J74" s="1407">
        <v>278.2</v>
      </c>
      <c r="K74" s="1408">
        <v>23.18</v>
      </c>
      <c r="L74" s="194"/>
      <c r="M74" s="188">
        <v>3813.12</v>
      </c>
      <c r="N74" s="188">
        <f t="shared" si="4"/>
        <v>3698.7264</v>
      </c>
      <c r="O74" s="189">
        <v>7.0000000000000007E-2</v>
      </c>
      <c r="P74" s="170">
        <f t="shared" si="6"/>
        <v>3957.637248</v>
      </c>
    </row>
    <row r="75" spans="1:16">
      <c r="A75" s="58"/>
      <c r="B75" s="74" t="s">
        <v>2343</v>
      </c>
      <c r="C75" s="207" t="s">
        <v>2347</v>
      </c>
      <c r="D75" s="105" t="s">
        <v>23</v>
      </c>
      <c r="E75" s="145"/>
      <c r="F75" s="61"/>
      <c r="G75" s="206" t="s">
        <v>2206</v>
      </c>
      <c r="H75" s="74">
        <v>325</v>
      </c>
      <c r="I75" s="182" t="s">
        <v>2342</v>
      </c>
      <c r="J75" s="1407">
        <v>312.97000000000003</v>
      </c>
      <c r="K75" s="1408">
        <v>26.08</v>
      </c>
      <c r="L75" s="194"/>
    </row>
    <row r="76" spans="1:16">
      <c r="A76" s="253"/>
      <c r="B76" s="74" t="s">
        <v>2348</v>
      </c>
      <c r="C76" s="101" t="s">
        <v>2349</v>
      </c>
      <c r="D76" s="105" t="s">
        <v>23</v>
      </c>
      <c r="E76" s="2312">
        <v>20</v>
      </c>
      <c r="F76" s="1497" t="s">
        <v>2308</v>
      </c>
      <c r="G76" s="206" t="s">
        <v>2350</v>
      </c>
      <c r="H76" s="115">
        <v>210</v>
      </c>
      <c r="I76" s="217" t="s">
        <v>2351</v>
      </c>
      <c r="J76" s="1407">
        <v>213.47</v>
      </c>
      <c r="K76" s="1408">
        <v>17.79</v>
      </c>
      <c r="L76" s="194"/>
    </row>
    <row r="77" spans="1:16">
      <c r="A77" s="58"/>
      <c r="B77" s="74" t="s">
        <v>2352</v>
      </c>
      <c r="C77" s="101" t="s">
        <v>2353</v>
      </c>
      <c r="D77" s="105" t="s">
        <v>18</v>
      </c>
      <c r="E77" s="1943">
        <v>32</v>
      </c>
      <c r="F77" s="861" t="s">
        <v>647</v>
      </c>
      <c r="G77" s="206" t="s">
        <v>2354</v>
      </c>
      <c r="H77" s="115">
        <v>678</v>
      </c>
      <c r="I77" s="182" t="s">
        <v>2355</v>
      </c>
      <c r="J77" s="1407">
        <v>674.67</v>
      </c>
      <c r="K77" s="1408">
        <v>28.11</v>
      </c>
      <c r="L77" s="194"/>
    </row>
    <row r="78" spans="1:16">
      <c r="A78" s="58"/>
      <c r="B78" s="74" t="s">
        <v>2147</v>
      </c>
      <c r="C78" s="101" t="s">
        <v>107</v>
      </c>
      <c r="D78" s="105" t="s">
        <v>18</v>
      </c>
      <c r="E78" s="1943">
        <v>30</v>
      </c>
      <c r="F78" s="861" t="s">
        <v>2356</v>
      </c>
      <c r="G78" s="979" t="s">
        <v>2357</v>
      </c>
      <c r="H78" s="115">
        <v>548</v>
      </c>
      <c r="I78" s="182" t="s">
        <v>554</v>
      </c>
      <c r="J78" s="1407">
        <v>586.36</v>
      </c>
      <c r="K78" s="1408">
        <v>24.44</v>
      </c>
      <c r="L78" s="194"/>
    </row>
    <row r="79" spans="1:16">
      <c r="A79" s="58"/>
      <c r="B79" s="74" t="s">
        <v>2147</v>
      </c>
      <c r="C79" s="207" t="s">
        <v>2358</v>
      </c>
      <c r="D79" s="105" t="s">
        <v>23</v>
      </c>
      <c r="E79" s="2312">
        <v>49</v>
      </c>
      <c r="F79" s="861" t="s">
        <v>2312</v>
      </c>
      <c r="G79" s="979" t="s">
        <v>2341</v>
      </c>
      <c r="H79" s="115">
        <v>480</v>
      </c>
      <c r="I79" s="182"/>
      <c r="J79" s="1407">
        <v>513.6</v>
      </c>
      <c r="K79" s="1408">
        <v>42.8</v>
      </c>
      <c r="L79" s="194"/>
    </row>
    <row r="80" spans="1:16" s="75" customFormat="1" ht="27.75" customHeight="1">
      <c r="A80" s="58"/>
      <c r="B80" s="74" t="s">
        <v>2359</v>
      </c>
      <c r="C80" s="101" t="s">
        <v>26</v>
      </c>
      <c r="D80" s="105" t="s">
        <v>23</v>
      </c>
      <c r="E80" s="2312">
        <v>37</v>
      </c>
      <c r="F80" s="861" t="s">
        <v>2360</v>
      </c>
      <c r="G80" s="206" t="s">
        <v>2361</v>
      </c>
      <c r="H80" s="115">
        <v>400</v>
      </c>
      <c r="I80" s="182" t="s">
        <v>2362</v>
      </c>
      <c r="J80" s="1407">
        <v>411</v>
      </c>
      <c r="K80" s="1408">
        <v>34.24</v>
      </c>
      <c r="L80" s="194"/>
      <c r="M80" s="3444"/>
      <c r="N80" s="188"/>
      <c r="O80" s="189"/>
      <c r="P80" s="170"/>
    </row>
    <row r="81" spans="1:16">
      <c r="A81" s="58"/>
      <c r="B81" s="74" t="s">
        <v>2363</v>
      </c>
      <c r="C81" s="101" t="s">
        <v>2364</v>
      </c>
      <c r="D81" s="105" t="s">
        <v>23</v>
      </c>
      <c r="E81" s="2312">
        <v>44</v>
      </c>
      <c r="F81" s="861" t="s">
        <v>2365</v>
      </c>
      <c r="G81" s="979" t="s">
        <v>2341</v>
      </c>
      <c r="H81" s="115">
        <v>432</v>
      </c>
      <c r="I81" s="182"/>
      <c r="J81" s="1407">
        <v>462.24</v>
      </c>
      <c r="K81" s="1408">
        <v>38.520000000000003</v>
      </c>
      <c r="L81" s="194"/>
    </row>
    <row r="82" spans="1:16">
      <c r="A82" s="58"/>
      <c r="B82" s="74" t="s">
        <v>2363</v>
      </c>
      <c r="C82" s="101" t="s">
        <v>2366</v>
      </c>
      <c r="D82" s="105" t="s">
        <v>18</v>
      </c>
      <c r="E82" s="1943">
        <v>25</v>
      </c>
      <c r="F82" s="861" t="s">
        <v>2367</v>
      </c>
      <c r="G82" s="979" t="s">
        <v>2368</v>
      </c>
      <c r="H82" s="115">
        <v>488</v>
      </c>
      <c r="I82" s="182"/>
      <c r="J82" s="1407">
        <v>522.16</v>
      </c>
      <c r="K82" s="1408">
        <v>21.76</v>
      </c>
      <c r="L82" s="194"/>
    </row>
    <row r="83" spans="1:16">
      <c r="A83" s="58"/>
      <c r="B83" s="74" t="s">
        <v>2369</v>
      </c>
      <c r="C83" s="101" t="s">
        <v>2370</v>
      </c>
      <c r="D83" s="105" t="s">
        <v>18</v>
      </c>
      <c r="E83" s="1943">
        <v>35</v>
      </c>
      <c r="F83" s="861" t="s">
        <v>647</v>
      </c>
      <c r="G83" s="799" t="s">
        <v>2341</v>
      </c>
      <c r="H83" s="115">
        <v>324</v>
      </c>
      <c r="I83" s="182"/>
      <c r="J83" s="1407">
        <v>346.68</v>
      </c>
      <c r="K83" s="1408">
        <v>28.89</v>
      </c>
      <c r="L83" s="194"/>
    </row>
    <row r="84" spans="1:16" ht="35.25" thickBot="1">
      <c r="A84" s="58"/>
      <c r="B84" s="559"/>
      <c r="C84" s="101"/>
      <c r="D84" s="105"/>
      <c r="E84" s="119"/>
      <c r="F84" s="258"/>
      <c r="G84" s="220"/>
      <c r="H84" s="1445"/>
      <c r="I84" s="289"/>
      <c r="J84" s="1407"/>
      <c r="K84" s="1408"/>
      <c r="L84" s="194"/>
    </row>
    <row r="85" spans="1:16">
      <c r="A85" s="44"/>
      <c r="B85" s="75"/>
      <c r="C85" s="68"/>
      <c r="D85" s="3444"/>
      <c r="E85" s="273"/>
      <c r="F85" s="274"/>
      <c r="G85" s="269"/>
      <c r="H85" s="270"/>
      <c r="I85" s="271"/>
      <c r="J85" s="171"/>
      <c r="K85" s="166"/>
      <c r="L85" s="168"/>
    </row>
    <row r="86" spans="1:16">
      <c r="A86" s="44" t="s">
        <v>0</v>
      </c>
      <c r="B86" s="127"/>
      <c r="C86" s="104"/>
      <c r="F86" s="68"/>
      <c r="I86" s="179"/>
      <c r="K86" s="163"/>
      <c r="L86" s="168"/>
    </row>
    <row r="87" spans="1:16" ht="35.25" customHeight="1">
      <c r="A87" s="3480" t="s">
        <v>2494</v>
      </c>
      <c r="B87" s="3480"/>
      <c r="C87" s="44"/>
      <c r="D87" s="109"/>
      <c r="F87" s="68"/>
      <c r="I87" s="179"/>
      <c r="K87" s="163"/>
      <c r="L87" s="168"/>
    </row>
    <row r="88" spans="1:16" ht="35.25" thickBot="1">
      <c r="F88" s="68"/>
    </row>
    <row r="89" spans="1:16">
      <c r="A89" s="3511" t="s">
        <v>2</v>
      </c>
      <c r="B89" s="3512"/>
      <c r="C89" s="65" t="s">
        <v>3</v>
      </c>
      <c r="D89" s="261" t="s">
        <v>4</v>
      </c>
      <c r="E89" s="77" t="s">
        <v>5</v>
      </c>
      <c r="F89" s="78" t="s">
        <v>5</v>
      </c>
      <c r="G89" s="211" t="s">
        <v>6</v>
      </c>
      <c r="H89" s="140" t="s">
        <v>7</v>
      </c>
      <c r="I89" s="180" t="s">
        <v>1511</v>
      </c>
      <c r="J89" s="172" t="s">
        <v>9</v>
      </c>
      <c r="K89" s="186" t="s">
        <v>9</v>
      </c>
      <c r="L89" s="192" t="s">
        <v>2495</v>
      </c>
      <c r="M89" s="190"/>
    </row>
    <row r="90" spans="1:16" ht="35.25" thickBot="1">
      <c r="A90" s="155"/>
      <c r="B90" s="138"/>
      <c r="C90" s="50"/>
      <c r="D90" s="262" t="s">
        <v>10</v>
      </c>
      <c r="E90" s="79" t="s">
        <v>11</v>
      </c>
      <c r="F90" s="80" t="s">
        <v>12</v>
      </c>
      <c r="G90" s="212"/>
      <c r="H90" s="141" t="s">
        <v>13</v>
      </c>
      <c r="I90" s="181" t="s">
        <v>1512</v>
      </c>
      <c r="J90" s="173" t="s">
        <v>15</v>
      </c>
      <c r="K90" s="187" t="s">
        <v>14</v>
      </c>
      <c r="L90" s="193" t="s">
        <v>2496</v>
      </c>
      <c r="M90" s="190"/>
    </row>
    <row r="91" spans="1:16">
      <c r="A91" s="389"/>
      <c r="B91" s="781" t="s">
        <v>2207</v>
      </c>
      <c r="C91" s="207" t="s">
        <v>1357</v>
      </c>
      <c r="D91" s="322"/>
      <c r="E91" s="728"/>
      <c r="F91" s="767"/>
      <c r="G91" s="1044" t="s">
        <v>2208</v>
      </c>
      <c r="H91" s="117"/>
      <c r="I91" s="432"/>
      <c r="J91" s="702"/>
      <c r="K91" s="369"/>
      <c r="L91" s="194"/>
      <c r="M91" s="188">
        <v>3552</v>
      </c>
      <c r="N91" s="188">
        <f t="shared" ref="N91:N107" si="7">M91-(M91*0.03)</f>
        <v>3445.44</v>
      </c>
      <c r="O91" s="189">
        <v>7.0000000000000007E-2</v>
      </c>
      <c r="P91" s="170">
        <f t="shared" ref="P91:P107" si="8">(N91*O91)+N91</f>
        <v>3686.6208000000001</v>
      </c>
    </row>
    <row r="92" spans="1:16">
      <c r="A92" s="315"/>
      <c r="B92" s="43" t="s">
        <v>2209</v>
      </c>
      <c r="C92" s="207" t="s">
        <v>1291</v>
      </c>
      <c r="D92" s="322" t="s">
        <v>2210</v>
      </c>
      <c r="E92" s="728">
        <v>22</v>
      </c>
      <c r="F92" s="767"/>
      <c r="G92" s="310" t="s">
        <v>1026</v>
      </c>
      <c r="H92" s="365">
        <v>383.1</v>
      </c>
      <c r="I92" s="431"/>
      <c r="J92" s="365">
        <v>409.92</v>
      </c>
      <c r="K92" s="365">
        <v>17.07</v>
      </c>
      <c r="L92" s="194"/>
      <c r="N92" s="188">
        <f t="shared" si="7"/>
        <v>0</v>
      </c>
      <c r="O92" s="189">
        <v>7.0000000000000007E-2</v>
      </c>
      <c r="P92" s="170">
        <f t="shared" si="8"/>
        <v>0</v>
      </c>
    </row>
    <row r="93" spans="1:16">
      <c r="A93" s="315"/>
      <c r="B93" s="43" t="s">
        <v>2209</v>
      </c>
      <c r="C93" s="207" t="s">
        <v>2096</v>
      </c>
      <c r="D93" s="322" t="s">
        <v>23</v>
      </c>
      <c r="E93" s="728">
        <v>40</v>
      </c>
      <c r="F93" s="861" t="s">
        <v>2211</v>
      </c>
      <c r="G93" s="310" t="s">
        <v>1026</v>
      </c>
      <c r="H93" s="365">
        <v>355.1</v>
      </c>
      <c r="I93" s="431"/>
      <c r="J93" s="365">
        <v>380</v>
      </c>
      <c r="K93" s="365">
        <v>31.66</v>
      </c>
      <c r="L93" s="194"/>
      <c r="M93" s="188">
        <v>9498.06</v>
      </c>
      <c r="N93" s="188">
        <f t="shared" si="7"/>
        <v>9213.118199999999</v>
      </c>
      <c r="O93" s="189">
        <v>7.0000000000000007E-2</v>
      </c>
      <c r="P93" s="170">
        <f t="shared" si="8"/>
        <v>9858.0364739999986</v>
      </c>
    </row>
    <row r="94" spans="1:16">
      <c r="A94" s="438"/>
      <c r="B94" s="43" t="s">
        <v>2212</v>
      </c>
      <c r="C94" s="207" t="s">
        <v>2213</v>
      </c>
      <c r="D94" s="322" t="s">
        <v>2214</v>
      </c>
      <c r="E94" s="728">
        <v>22</v>
      </c>
      <c r="F94" s="767">
        <v>220</v>
      </c>
      <c r="G94" s="310"/>
      <c r="H94" s="207"/>
      <c r="I94" s="431"/>
      <c r="J94" s="365"/>
      <c r="K94" s="365"/>
      <c r="L94" s="194"/>
      <c r="M94" s="188">
        <v>15305.4</v>
      </c>
      <c r="N94" s="188">
        <f t="shared" si="7"/>
        <v>14846.237999999999</v>
      </c>
      <c r="O94" s="189">
        <v>7.0000000000000007E-2</v>
      </c>
      <c r="P94" s="170">
        <f t="shared" si="8"/>
        <v>15885.47466</v>
      </c>
    </row>
    <row r="95" spans="1:16">
      <c r="A95" s="445"/>
      <c r="B95" s="43" t="s">
        <v>2215</v>
      </c>
      <c r="C95" s="207" t="s">
        <v>1291</v>
      </c>
      <c r="D95" s="322" t="s">
        <v>2210</v>
      </c>
      <c r="E95" s="728">
        <v>26</v>
      </c>
      <c r="F95" s="767">
        <v>540</v>
      </c>
      <c r="G95" s="206"/>
      <c r="H95" s="115"/>
      <c r="I95" s="185"/>
      <c r="J95" s="175"/>
      <c r="K95" s="197"/>
      <c r="L95" s="194"/>
      <c r="N95" s="188">
        <f t="shared" si="7"/>
        <v>0</v>
      </c>
      <c r="O95" s="189">
        <v>7.0000000000000007E-2</v>
      </c>
      <c r="P95" s="170">
        <f t="shared" si="8"/>
        <v>0</v>
      </c>
    </row>
    <row r="96" spans="1:16">
      <c r="A96" s="445"/>
      <c r="B96" s="43" t="s">
        <v>2215</v>
      </c>
      <c r="C96" s="207" t="s">
        <v>2096</v>
      </c>
      <c r="D96" s="322" t="s">
        <v>2214</v>
      </c>
      <c r="E96" s="728">
        <v>46</v>
      </c>
      <c r="F96" s="767">
        <v>500</v>
      </c>
      <c r="G96" s="206"/>
      <c r="H96" s="115"/>
      <c r="I96" s="185"/>
      <c r="J96" s="175"/>
      <c r="K96" s="197"/>
      <c r="L96" s="194"/>
      <c r="N96" s="188">
        <f t="shared" si="7"/>
        <v>0</v>
      </c>
      <c r="O96" s="189">
        <v>7.0000000000000007E-2</v>
      </c>
      <c r="P96" s="170">
        <f t="shared" si="8"/>
        <v>0</v>
      </c>
    </row>
    <row r="97" spans="1:16">
      <c r="A97" s="315"/>
      <c r="B97" s="1000"/>
      <c r="C97" s="207"/>
      <c r="D97" s="322"/>
      <c r="E97" s="728"/>
      <c r="F97" s="767"/>
      <c r="G97" s="310"/>
      <c r="H97" s="207"/>
      <c r="I97" s="586"/>
      <c r="J97" s="789"/>
      <c r="K97" s="365"/>
      <c r="L97" s="194"/>
      <c r="N97" s="188">
        <f t="shared" si="7"/>
        <v>0</v>
      </c>
      <c r="O97" s="189">
        <v>7.0000000000000007E-2</v>
      </c>
      <c r="P97" s="170">
        <f t="shared" si="8"/>
        <v>0</v>
      </c>
    </row>
    <row r="98" spans="1:16">
      <c r="A98" s="445"/>
      <c r="B98" s="781" t="s">
        <v>2216</v>
      </c>
      <c r="C98" s="63"/>
      <c r="D98" s="196"/>
      <c r="E98" s="249"/>
      <c r="F98" s="121"/>
      <c r="G98" s="206"/>
      <c r="H98" s="115"/>
      <c r="I98" s="185"/>
      <c r="J98" s="175"/>
      <c r="K98" s="197"/>
      <c r="M98" s="188">
        <v>14244.12</v>
      </c>
      <c r="N98" s="188">
        <f t="shared" si="7"/>
        <v>13816.796400000001</v>
      </c>
      <c r="O98" s="189">
        <v>7.0000000000000007E-2</v>
      </c>
      <c r="P98" s="170">
        <f t="shared" si="8"/>
        <v>14783.972148000001</v>
      </c>
    </row>
    <row r="99" spans="1:16">
      <c r="A99" s="441"/>
      <c r="B99" s="1000" t="s">
        <v>2217</v>
      </c>
      <c r="C99" s="207" t="s">
        <v>2218</v>
      </c>
      <c r="D99" s="322" t="s">
        <v>23</v>
      </c>
      <c r="E99" s="728" t="s">
        <v>2219</v>
      </c>
      <c r="F99" s="767" t="s">
        <v>1298</v>
      </c>
      <c r="G99" s="310" t="s">
        <v>2220</v>
      </c>
      <c r="H99" s="207">
        <v>370</v>
      </c>
      <c r="I99" s="586" t="s">
        <v>2221</v>
      </c>
      <c r="J99" s="789" t="s">
        <v>2222</v>
      </c>
      <c r="K99" s="365" t="s">
        <v>2223</v>
      </c>
      <c r="L99" s="194"/>
      <c r="M99" s="188">
        <v>3240</v>
      </c>
      <c r="N99" s="188">
        <f t="shared" si="7"/>
        <v>3142.8</v>
      </c>
      <c r="O99" s="189">
        <v>7.0000000000000007E-2</v>
      </c>
      <c r="P99" s="170">
        <f t="shared" si="8"/>
        <v>3362.7960000000003</v>
      </c>
    </row>
    <row r="100" spans="1:16">
      <c r="A100" s="315"/>
      <c r="B100" s="2016" t="s">
        <v>2224</v>
      </c>
      <c r="C100" s="207" t="s">
        <v>2225</v>
      </c>
      <c r="D100" s="322" t="s">
        <v>23</v>
      </c>
      <c r="E100" s="728" t="s">
        <v>2226</v>
      </c>
      <c r="F100" s="767"/>
      <c r="G100" s="483" t="s">
        <v>2227</v>
      </c>
      <c r="H100" s="207">
        <v>150</v>
      </c>
      <c r="I100" s="431"/>
      <c r="J100" s="707" t="s">
        <v>2228</v>
      </c>
      <c r="K100" s="365" t="s">
        <v>2229</v>
      </c>
      <c r="L100" s="194"/>
      <c r="M100" s="188">
        <v>14700</v>
      </c>
      <c r="N100" s="188">
        <f t="shared" si="7"/>
        <v>14259</v>
      </c>
      <c r="O100" s="189">
        <v>7.0000000000000007E-2</v>
      </c>
      <c r="P100" s="170">
        <f t="shared" si="8"/>
        <v>15257.130000000001</v>
      </c>
    </row>
    <row r="101" spans="1:16">
      <c r="A101" s="315"/>
      <c r="B101" s="131" t="s">
        <v>2230</v>
      </c>
      <c r="C101" s="101" t="s">
        <v>2231</v>
      </c>
      <c r="D101" s="462" t="s">
        <v>23</v>
      </c>
      <c r="E101" s="142">
        <v>20</v>
      </c>
      <c r="F101" s="61"/>
      <c r="G101" s="206" t="s">
        <v>2227</v>
      </c>
      <c r="H101" s="74">
        <v>185</v>
      </c>
      <c r="I101" s="183"/>
      <c r="J101" s="2075" t="s">
        <v>2232</v>
      </c>
      <c r="K101" s="1408">
        <v>16.579999999999998</v>
      </c>
      <c r="L101" s="229"/>
      <c r="M101" s="188">
        <v>14582.7</v>
      </c>
      <c r="N101" s="188">
        <f t="shared" si="7"/>
        <v>14145.219000000001</v>
      </c>
      <c r="O101" s="189">
        <v>7.0000000000000007E-2</v>
      </c>
      <c r="P101" s="170">
        <f t="shared" si="8"/>
        <v>15135.384330000001</v>
      </c>
    </row>
    <row r="102" spans="1:16">
      <c r="A102" s="315"/>
      <c r="B102" s="81"/>
      <c r="C102" s="207"/>
      <c r="D102" s="322"/>
      <c r="E102" s="728"/>
      <c r="F102" s="767"/>
      <c r="G102" s="310"/>
      <c r="H102" s="207"/>
      <c r="I102" s="431"/>
      <c r="J102" s="365"/>
      <c r="K102" s="365"/>
      <c r="L102" s="229"/>
      <c r="M102" s="188">
        <v>13483.8</v>
      </c>
      <c r="N102" s="188">
        <f t="shared" si="7"/>
        <v>13079.286</v>
      </c>
      <c r="O102" s="189">
        <v>7.0000000000000007E-2</v>
      </c>
      <c r="P102" s="170">
        <f t="shared" si="8"/>
        <v>13994.836020000001</v>
      </c>
    </row>
    <row r="103" spans="1:16">
      <c r="A103" s="315"/>
      <c r="B103" s="996" t="s">
        <v>2233</v>
      </c>
      <c r="C103" s="207"/>
      <c r="D103" s="322"/>
      <c r="E103" s="728"/>
      <c r="F103" s="767"/>
      <c r="G103" s="310"/>
      <c r="H103" s="207"/>
      <c r="I103" s="431"/>
      <c r="J103" s="586"/>
      <c r="K103" s="365"/>
      <c r="L103" s="229"/>
      <c r="M103" s="188">
        <v>2669.52</v>
      </c>
      <c r="N103" s="188">
        <f t="shared" si="7"/>
        <v>2589.4344000000001</v>
      </c>
      <c r="O103" s="189">
        <v>7.0000000000000007E-2</v>
      </c>
      <c r="P103" s="170">
        <f t="shared" si="8"/>
        <v>2770.6948080000002</v>
      </c>
    </row>
    <row r="104" spans="1:16">
      <c r="A104" s="315"/>
      <c r="B104" s="43" t="s">
        <v>2234</v>
      </c>
      <c r="C104" s="207" t="s">
        <v>2096</v>
      </c>
      <c r="D104" s="322" t="s">
        <v>23</v>
      </c>
      <c r="E104" s="728"/>
      <c r="F104" s="767"/>
      <c r="G104" s="310" t="s">
        <v>2235</v>
      </c>
      <c r="H104" s="207">
        <v>490.65</v>
      </c>
      <c r="I104" s="431" t="s">
        <v>2236</v>
      </c>
      <c r="J104" s="365">
        <v>514.49</v>
      </c>
      <c r="K104" s="365">
        <f>J104/12</f>
        <v>42.874166666666667</v>
      </c>
      <c r="L104" s="229"/>
      <c r="N104" s="188">
        <f t="shared" si="7"/>
        <v>0</v>
      </c>
      <c r="O104" s="189">
        <v>7.0000000000000007E-2</v>
      </c>
      <c r="P104" s="170">
        <f t="shared" si="8"/>
        <v>0</v>
      </c>
    </row>
    <row r="105" spans="1:16">
      <c r="A105" s="315"/>
      <c r="B105" s="811" t="s">
        <v>2237</v>
      </c>
      <c r="C105" s="812" t="s">
        <v>2096</v>
      </c>
      <c r="D105" s="813" t="s">
        <v>23</v>
      </c>
      <c r="E105" s="728"/>
      <c r="F105" s="767"/>
      <c r="G105" s="814" t="s">
        <v>2238</v>
      </c>
      <c r="H105" s="812">
        <v>490.65</v>
      </c>
      <c r="I105" s="1730" t="s">
        <v>2239</v>
      </c>
      <c r="J105" s="816">
        <v>524.99</v>
      </c>
      <c r="K105" s="720">
        <v>43.75</v>
      </c>
      <c r="L105" s="229"/>
      <c r="M105" s="188">
        <v>12972.96</v>
      </c>
      <c r="N105" s="188">
        <f t="shared" si="7"/>
        <v>12583.771199999999</v>
      </c>
      <c r="O105" s="189">
        <v>7.0000000000000007E-2</v>
      </c>
      <c r="P105" s="170">
        <f t="shared" si="8"/>
        <v>13464.635183999999</v>
      </c>
    </row>
    <row r="106" spans="1:16">
      <c r="A106" s="315"/>
      <c r="B106" s="811"/>
      <c r="C106" s="812"/>
      <c r="D106" s="813"/>
      <c r="E106" s="728"/>
      <c r="F106" s="767"/>
      <c r="G106" s="814" t="s">
        <v>2238</v>
      </c>
      <c r="H106" s="812">
        <v>490.65</v>
      </c>
      <c r="I106" s="1730" t="s">
        <v>2239</v>
      </c>
      <c r="J106" s="816">
        <v>524.99</v>
      </c>
      <c r="K106" s="720">
        <v>43.75</v>
      </c>
      <c r="L106" s="229"/>
      <c r="M106" s="188">
        <v>12687.84</v>
      </c>
      <c r="N106" s="188">
        <f t="shared" si="7"/>
        <v>12307.2048</v>
      </c>
      <c r="O106" s="189">
        <v>7.0000000000000007E-2</v>
      </c>
      <c r="P106" s="170">
        <f t="shared" si="8"/>
        <v>13168.709135999999</v>
      </c>
    </row>
    <row r="107" spans="1:16">
      <c r="A107" s="74"/>
      <c r="B107" s="817" t="s">
        <v>2240</v>
      </c>
      <c r="C107" s="1414"/>
      <c r="D107" s="813" t="s">
        <v>2241</v>
      </c>
      <c r="E107" s="728"/>
      <c r="F107" s="767"/>
      <c r="G107" s="814" t="s">
        <v>1971</v>
      </c>
      <c r="H107" s="812">
        <v>327.10000000000002</v>
      </c>
      <c r="I107" s="815" t="s">
        <v>2242</v>
      </c>
      <c r="J107" s="818">
        <v>279.99</v>
      </c>
      <c r="K107" s="720">
        <v>69.989999999999995</v>
      </c>
      <c r="L107" s="194"/>
      <c r="M107" s="188">
        <v>16572.599999999999</v>
      </c>
      <c r="N107" s="188">
        <f t="shared" si="7"/>
        <v>16075.421999999999</v>
      </c>
      <c r="O107" s="189">
        <v>7.0000000000000007E-2</v>
      </c>
      <c r="P107" s="170">
        <f t="shared" si="8"/>
        <v>17200.701539999998</v>
      </c>
    </row>
    <row r="108" spans="1:16">
      <c r="A108" s="1945"/>
      <c r="B108" s="43" t="s">
        <v>2243</v>
      </c>
      <c r="C108" s="207" t="s">
        <v>2244</v>
      </c>
      <c r="D108" s="322" t="s">
        <v>23</v>
      </c>
      <c r="E108" s="728">
        <v>22</v>
      </c>
      <c r="F108" s="767"/>
      <c r="G108" s="310" t="s">
        <v>2245</v>
      </c>
      <c r="H108" s="207"/>
      <c r="I108" s="431"/>
      <c r="J108" s="365">
        <v>214.67</v>
      </c>
      <c r="K108" s="365">
        <f>J108/12</f>
        <v>17.889166666666664</v>
      </c>
      <c r="L108" s="194"/>
      <c r="M108" s="188">
        <v>6021.12</v>
      </c>
      <c r="N108" s="188">
        <f>M108-(M108*0.03)</f>
        <v>5840.4863999999998</v>
      </c>
      <c r="O108" s="189">
        <v>7.0000000000000007E-2</v>
      </c>
      <c r="P108" s="170">
        <f>(N108*O108)+N108</f>
        <v>6249.3204479999995</v>
      </c>
    </row>
    <row r="109" spans="1:16">
      <c r="A109" s="157"/>
      <c r="B109" s="43" t="s">
        <v>2246</v>
      </c>
      <c r="C109" s="207" t="s">
        <v>180</v>
      </c>
      <c r="D109" s="322" t="s">
        <v>23</v>
      </c>
      <c r="E109" s="728">
        <v>29</v>
      </c>
      <c r="F109" s="1497" t="s">
        <v>2247</v>
      </c>
      <c r="G109" s="310" t="s">
        <v>2248</v>
      </c>
      <c r="H109" s="207">
        <v>359.93</v>
      </c>
      <c r="I109" s="431" t="s">
        <v>2249</v>
      </c>
      <c r="J109" s="365">
        <v>288.12</v>
      </c>
      <c r="K109" s="365">
        <v>24.01</v>
      </c>
      <c r="L109" s="194"/>
      <c r="M109" s="188">
        <v>8714.16</v>
      </c>
      <c r="N109" s="188">
        <f>M109-(M109*0.03)</f>
        <v>8452.7351999999992</v>
      </c>
      <c r="O109" s="189">
        <v>7.0000000000000007E-2</v>
      </c>
      <c r="P109" s="170">
        <f>(N109*O109)+N109</f>
        <v>9044.4266639999987</v>
      </c>
    </row>
    <row r="110" spans="1:16">
      <c r="A110" s="157"/>
      <c r="B110" s="43" t="s">
        <v>2250</v>
      </c>
      <c r="C110" s="207" t="s">
        <v>2251</v>
      </c>
      <c r="D110" s="322" t="s">
        <v>23</v>
      </c>
      <c r="E110" s="728">
        <v>25</v>
      </c>
      <c r="F110" s="1497" t="s">
        <v>2252</v>
      </c>
      <c r="G110" s="310" t="s">
        <v>2253</v>
      </c>
      <c r="H110" s="207">
        <v>252.34</v>
      </c>
      <c r="I110" s="431" t="s">
        <v>2236</v>
      </c>
      <c r="J110" s="365">
        <v>264.60000000000002</v>
      </c>
      <c r="K110" s="365">
        <v>22.05</v>
      </c>
      <c r="L110" s="194"/>
      <c r="M110" s="188">
        <v>0</v>
      </c>
      <c r="N110" s="188">
        <f>M110-(M110*0.03)</f>
        <v>0</v>
      </c>
      <c r="O110" s="189">
        <v>7.0000000000000007E-2</v>
      </c>
      <c r="P110" s="170">
        <f t="shared" ref="P110:P116" si="9">(N110*O110)+N110</f>
        <v>0</v>
      </c>
    </row>
    <row r="111" spans="1:16">
      <c r="A111" s="157"/>
      <c r="B111" s="43" t="s">
        <v>2254</v>
      </c>
      <c r="C111" s="207" t="s">
        <v>1291</v>
      </c>
      <c r="D111" s="322" t="s">
        <v>18</v>
      </c>
      <c r="E111" s="728">
        <v>30</v>
      </c>
      <c r="F111" s="767">
        <v>645</v>
      </c>
      <c r="G111" s="310" t="s">
        <v>2060</v>
      </c>
      <c r="H111" s="207">
        <v>583.17999999999995</v>
      </c>
      <c r="I111" s="431" t="s">
        <v>2236</v>
      </c>
      <c r="J111" s="365">
        <v>611.52</v>
      </c>
      <c r="K111" s="365">
        <v>25.48</v>
      </c>
      <c r="L111" s="194"/>
      <c r="M111" s="188">
        <v>18537.7</v>
      </c>
      <c r="N111" s="188">
        <f>M111-(M111*0.03)</f>
        <v>17981.569</v>
      </c>
      <c r="O111" s="189">
        <v>7.0000000000000007E-2</v>
      </c>
      <c r="P111" s="170">
        <f t="shared" si="9"/>
        <v>19240.278829999999</v>
      </c>
    </row>
    <row r="112" spans="1:16">
      <c r="A112" s="158"/>
      <c r="B112" s="43" t="s">
        <v>2255</v>
      </c>
      <c r="C112" s="207" t="s">
        <v>180</v>
      </c>
      <c r="D112" s="322" t="s">
        <v>23</v>
      </c>
      <c r="E112" s="728">
        <v>52</v>
      </c>
      <c r="F112" s="767">
        <v>570</v>
      </c>
      <c r="G112" s="310" t="s">
        <v>2253</v>
      </c>
      <c r="H112" s="207">
        <v>252.34</v>
      </c>
      <c r="I112" s="431" t="s">
        <v>2236</v>
      </c>
      <c r="J112" s="365">
        <v>543.20000000000005</v>
      </c>
      <c r="K112" s="365">
        <v>45.26</v>
      </c>
      <c r="L112" s="194"/>
      <c r="M112" s="188">
        <v>9031.68</v>
      </c>
      <c r="N112" s="188">
        <f t="shared" ref="N112:N120" si="10">M112-(M112*0.03)</f>
        <v>8760.7296000000006</v>
      </c>
      <c r="O112" s="189">
        <v>7.0000000000000007E-2</v>
      </c>
      <c r="P112" s="170">
        <f t="shared" si="9"/>
        <v>9373.9806720000015</v>
      </c>
    </row>
    <row r="113" spans="1:16">
      <c r="A113" s="200"/>
      <c r="B113" s="81" t="s">
        <v>2256</v>
      </c>
      <c r="C113" s="207" t="s">
        <v>2257</v>
      </c>
      <c r="D113" s="322" t="s">
        <v>18</v>
      </c>
      <c r="E113" s="728">
        <v>28</v>
      </c>
      <c r="F113" s="767"/>
      <c r="G113" s="310" t="s">
        <v>2258</v>
      </c>
      <c r="H113" s="207">
        <v>540.19000000000005</v>
      </c>
      <c r="I113" s="431"/>
      <c r="J113" s="365">
        <v>578</v>
      </c>
      <c r="K113" s="365">
        <v>24</v>
      </c>
      <c r="L113" s="194"/>
      <c r="N113" s="188">
        <f t="shared" si="10"/>
        <v>0</v>
      </c>
      <c r="O113" s="189">
        <v>7.0000000000000007E-2</v>
      </c>
      <c r="P113" s="170">
        <f t="shared" si="9"/>
        <v>0</v>
      </c>
    </row>
    <row r="114" spans="1:16">
      <c r="A114" s="157"/>
      <c r="B114" s="81" t="s">
        <v>2256</v>
      </c>
      <c r="C114" s="207" t="s">
        <v>2257</v>
      </c>
      <c r="D114" s="322" t="s">
        <v>18</v>
      </c>
      <c r="E114" s="728">
        <v>28</v>
      </c>
      <c r="F114" s="767"/>
      <c r="G114" s="310" t="s">
        <v>2258</v>
      </c>
      <c r="H114" s="207">
        <v>540.19000000000005</v>
      </c>
      <c r="I114" s="431"/>
      <c r="J114" s="365">
        <v>578</v>
      </c>
      <c r="K114" s="365">
        <v>24</v>
      </c>
      <c r="L114" s="194"/>
      <c r="M114" s="188">
        <v>8478.9599999999991</v>
      </c>
      <c r="N114" s="188">
        <f t="shared" si="10"/>
        <v>8224.5911999999989</v>
      </c>
      <c r="O114" s="189">
        <v>7.0000000000000007E-2</v>
      </c>
      <c r="P114" s="170">
        <f t="shared" si="9"/>
        <v>8800.3125839999993</v>
      </c>
    </row>
    <row r="115" spans="1:16">
      <c r="A115" s="157"/>
      <c r="B115" s="81" t="s">
        <v>2259</v>
      </c>
      <c r="C115" s="207" t="s">
        <v>2260</v>
      </c>
      <c r="D115" s="322" t="s">
        <v>23</v>
      </c>
      <c r="E115" s="728">
        <v>26</v>
      </c>
      <c r="F115" s="767"/>
      <c r="G115" s="310" t="s">
        <v>2060</v>
      </c>
      <c r="H115" s="207">
        <v>270.08999999999997</v>
      </c>
      <c r="I115" s="474" t="s">
        <v>2261</v>
      </c>
      <c r="J115" s="810">
        <v>269.72000000000003</v>
      </c>
      <c r="K115" s="365">
        <v>22.47</v>
      </c>
      <c r="L115" s="194"/>
      <c r="M115" s="188">
        <v>11122.62</v>
      </c>
      <c r="N115" s="188">
        <f t="shared" si="10"/>
        <v>10788.941400000002</v>
      </c>
      <c r="O115" s="189">
        <v>7.0000000000000007E-2</v>
      </c>
      <c r="P115" s="170">
        <f t="shared" si="9"/>
        <v>11544.167298000002</v>
      </c>
    </row>
    <row r="116" spans="1:16">
      <c r="A116" s="157"/>
      <c r="B116" s="43"/>
      <c r="C116" s="207"/>
      <c r="D116" s="322"/>
      <c r="E116" s="728"/>
      <c r="F116" s="861"/>
      <c r="G116" s="310"/>
      <c r="H116" s="365"/>
      <c r="I116" s="431"/>
      <c r="J116" s="365"/>
      <c r="K116" s="365"/>
      <c r="L116" s="194"/>
      <c r="M116" s="188">
        <v>3813.12</v>
      </c>
      <c r="N116" s="188">
        <f t="shared" si="10"/>
        <v>3698.7264</v>
      </c>
      <c r="O116" s="189">
        <v>7.0000000000000007E-2</v>
      </c>
      <c r="P116" s="170">
        <f t="shared" si="9"/>
        <v>3957.637248</v>
      </c>
    </row>
    <row r="117" spans="1:16">
      <c r="A117" s="157"/>
      <c r="B117" s="781" t="s">
        <v>3159</v>
      </c>
      <c r="C117" s="207"/>
      <c r="D117" s="322"/>
      <c r="E117" s="728"/>
      <c r="F117" s="767"/>
      <c r="G117" s="310"/>
      <c r="H117" s="207"/>
      <c r="I117" s="431"/>
      <c r="J117" s="365"/>
      <c r="K117" s="365"/>
      <c r="L117" s="194"/>
    </row>
    <row r="118" spans="1:16">
      <c r="A118" s="157"/>
      <c r="B118" s="383" t="s">
        <v>3160</v>
      </c>
      <c r="C118" s="207" t="s">
        <v>3161</v>
      </c>
      <c r="D118" s="322" t="s">
        <v>3162</v>
      </c>
      <c r="E118" s="728">
        <v>60</v>
      </c>
      <c r="F118" s="767" t="s">
        <v>3163</v>
      </c>
      <c r="G118" s="979" t="s">
        <v>3164</v>
      </c>
      <c r="H118" s="115">
        <v>210</v>
      </c>
      <c r="I118" s="217" t="s">
        <v>2079</v>
      </c>
      <c r="J118" s="311" t="s">
        <v>3165</v>
      </c>
      <c r="K118" s="2466" t="s">
        <v>3166</v>
      </c>
      <c r="L118" s="194"/>
    </row>
    <row r="119" spans="1:16">
      <c r="A119" s="157"/>
      <c r="B119" s="383" t="s">
        <v>3160</v>
      </c>
      <c r="C119" s="207"/>
      <c r="D119" s="322"/>
      <c r="E119" s="728"/>
      <c r="F119" s="767"/>
      <c r="G119" s="206"/>
      <c r="H119" s="115"/>
      <c r="I119" s="185"/>
      <c r="J119" s="175"/>
      <c r="K119" s="197"/>
      <c r="L119" s="194"/>
    </row>
    <row r="120" spans="1:16">
      <c r="A120" s="58"/>
      <c r="B120" s="1000" t="s">
        <v>3167</v>
      </c>
      <c r="C120" s="207" t="s">
        <v>3168</v>
      </c>
      <c r="D120" s="322" t="s">
        <v>23</v>
      </c>
      <c r="E120" s="728">
        <v>25</v>
      </c>
      <c r="F120" s="767" t="s">
        <v>3169</v>
      </c>
      <c r="G120" s="2405" t="s">
        <v>3170</v>
      </c>
      <c r="H120" s="207">
        <v>200</v>
      </c>
      <c r="I120" s="586"/>
      <c r="J120" s="2358" t="s">
        <v>3171</v>
      </c>
      <c r="K120" s="2358" t="s">
        <v>3172</v>
      </c>
      <c r="L120" s="194"/>
      <c r="M120" s="188">
        <v>8640</v>
      </c>
      <c r="N120" s="188">
        <f t="shared" si="10"/>
        <v>8380.7999999999993</v>
      </c>
      <c r="O120" s="189">
        <v>7.0000000000000007E-2</v>
      </c>
      <c r="P120" s="170">
        <f>(N120*O120)+N120</f>
        <v>8967.4559999999983</v>
      </c>
    </row>
    <row r="121" spans="1:16">
      <c r="A121" s="539"/>
      <c r="B121" s="406" t="s">
        <v>3173</v>
      </c>
      <c r="C121" s="63"/>
      <c r="D121" s="196"/>
      <c r="E121" s="249"/>
      <c r="F121" s="121"/>
      <c r="G121" s="206"/>
      <c r="H121" s="115"/>
      <c r="I121" s="185"/>
      <c r="J121" s="175"/>
      <c r="K121" s="197"/>
      <c r="L121" s="194"/>
    </row>
    <row r="122" spans="1:16" ht="35.25" customHeight="1">
      <c r="A122" s="157"/>
      <c r="B122" s="1000" t="s">
        <v>3174</v>
      </c>
      <c r="C122" s="207"/>
      <c r="D122" s="322"/>
      <c r="E122" s="728"/>
      <c r="F122" s="767"/>
      <c r="G122" s="310"/>
      <c r="H122" s="207"/>
      <c r="I122" s="586"/>
      <c r="J122" s="789"/>
      <c r="K122" s="365"/>
      <c r="L122" s="194"/>
      <c r="M122" s="3444"/>
    </row>
    <row r="123" spans="1:16" ht="35.25" customHeight="1">
      <c r="A123" s="157"/>
      <c r="B123" s="2016"/>
      <c r="C123" s="207"/>
      <c r="D123" s="322"/>
      <c r="E123" s="728"/>
      <c r="F123" s="767"/>
      <c r="G123" s="483"/>
      <c r="H123" s="207"/>
      <c r="I123" s="431"/>
      <c r="J123" s="707"/>
      <c r="K123" s="365"/>
      <c r="L123" s="194"/>
      <c r="M123" s="3444"/>
    </row>
    <row r="124" spans="1:16" ht="35.25" customHeight="1">
      <c r="A124" s="157"/>
      <c r="B124" s="131"/>
      <c r="C124" s="101"/>
      <c r="D124" s="462"/>
      <c r="E124" s="142"/>
      <c r="F124" s="61"/>
      <c r="G124" s="206"/>
      <c r="H124" s="74"/>
      <c r="I124" s="183"/>
      <c r="J124" s="2075"/>
      <c r="K124" s="1408"/>
      <c r="L124" s="194"/>
      <c r="M124" s="3444"/>
    </row>
    <row r="125" spans="1:16" ht="35.25" thickBot="1">
      <c r="A125" s="160"/>
      <c r="B125" s="126"/>
      <c r="C125" s="63"/>
      <c r="D125" s="196"/>
      <c r="E125" s="257"/>
      <c r="F125" s="258"/>
      <c r="G125" s="206"/>
      <c r="H125" s="115"/>
      <c r="I125" s="185"/>
      <c r="J125" s="174"/>
      <c r="K125" s="195"/>
      <c r="L125" s="194"/>
    </row>
    <row r="126" spans="1:16">
      <c r="A126" s="44"/>
      <c r="B126" s="127"/>
      <c r="C126" s="104"/>
      <c r="F126" s="68"/>
      <c r="I126" s="179"/>
      <c r="K126" s="163"/>
      <c r="L126" s="168"/>
    </row>
    <row r="127" spans="1:16">
      <c r="A127" s="44" t="s">
        <v>0</v>
      </c>
      <c r="B127" s="127"/>
      <c r="C127" s="104"/>
      <c r="F127" s="68"/>
      <c r="I127" s="179"/>
      <c r="K127" s="163"/>
      <c r="L127" s="168"/>
    </row>
    <row r="128" spans="1:16" ht="35.25" customHeight="1">
      <c r="A128" s="3480" t="s">
        <v>2494</v>
      </c>
      <c r="B128" s="3480"/>
      <c r="C128" s="44"/>
      <c r="D128" s="109"/>
      <c r="F128" s="68"/>
      <c r="I128" s="179"/>
      <c r="K128" s="163"/>
      <c r="L128" s="168"/>
    </row>
    <row r="129" spans="1:16" ht="35.25" thickBot="1">
      <c r="F129" s="68"/>
    </row>
    <row r="130" spans="1:16">
      <c r="A130" s="3493" t="s">
        <v>2</v>
      </c>
      <c r="B130" s="3482"/>
      <c r="C130" s="48" t="s">
        <v>3</v>
      </c>
      <c r="D130" s="128" t="s">
        <v>4</v>
      </c>
      <c r="E130" s="77" t="s">
        <v>5</v>
      </c>
      <c r="F130" s="78" t="s">
        <v>5</v>
      </c>
      <c r="G130" s="211" t="s">
        <v>6</v>
      </c>
      <c r="H130" s="140" t="s">
        <v>7</v>
      </c>
      <c r="I130" s="180" t="s">
        <v>1511</v>
      </c>
      <c r="J130" s="172" t="s">
        <v>9</v>
      </c>
      <c r="K130" s="186" t="s">
        <v>9</v>
      </c>
      <c r="L130" s="192" t="s">
        <v>2495</v>
      </c>
      <c r="M130" s="190"/>
    </row>
    <row r="131" spans="1:16" ht="35.25" thickBot="1">
      <c r="A131" s="155"/>
      <c r="B131" s="138"/>
      <c r="C131" s="50"/>
      <c r="D131" s="129" t="s">
        <v>10</v>
      </c>
      <c r="E131" s="79" t="s">
        <v>11</v>
      </c>
      <c r="F131" s="80" t="s">
        <v>12</v>
      </c>
      <c r="G131" s="212"/>
      <c r="H131" s="141" t="s">
        <v>13</v>
      </c>
      <c r="I131" s="181" t="s">
        <v>1512</v>
      </c>
      <c r="J131" s="173" t="s">
        <v>15</v>
      </c>
      <c r="K131" s="187" t="s">
        <v>14</v>
      </c>
      <c r="L131" s="193" t="s">
        <v>2496</v>
      </c>
      <c r="M131" s="190"/>
    </row>
    <row r="132" spans="1:16">
      <c r="A132" s="438"/>
      <c r="B132" s="333" t="s">
        <v>3175</v>
      </c>
      <c r="C132" s="207"/>
      <c r="D132" s="322"/>
      <c r="E132" s="728"/>
      <c r="F132" s="767"/>
      <c r="G132" s="310"/>
      <c r="H132" s="207"/>
      <c r="I132" s="431"/>
      <c r="J132" s="365"/>
      <c r="K132" s="365"/>
      <c r="L132" s="194"/>
      <c r="M132" s="188">
        <v>3552</v>
      </c>
      <c r="N132" s="188">
        <f t="shared" ref="N132:N148" si="11">M132-(M132*0.03)</f>
        <v>3445.44</v>
      </c>
      <c r="O132" s="189">
        <v>7.0000000000000007E-2</v>
      </c>
      <c r="P132" s="170">
        <f t="shared" ref="P132:P148" si="12">(N132*O132)+N132</f>
        <v>3686.6208000000001</v>
      </c>
    </row>
    <row r="133" spans="1:16">
      <c r="A133" s="315"/>
      <c r="B133" s="81" t="s">
        <v>3176</v>
      </c>
      <c r="C133" s="207" t="s">
        <v>23</v>
      </c>
      <c r="D133" s="322"/>
      <c r="E133" s="728">
        <v>35</v>
      </c>
      <c r="F133" s="861" t="s">
        <v>3177</v>
      </c>
      <c r="G133" s="310" t="s">
        <v>3178</v>
      </c>
      <c r="H133" s="207">
        <v>710</v>
      </c>
      <c r="I133" s="431"/>
      <c r="J133" s="365" t="s">
        <v>3179</v>
      </c>
      <c r="K133" s="365">
        <v>29.58</v>
      </c>
      <c r="L133" s="194"/>
      <c r="N133" s="188">
        <f t="shared" si="11"/>
        <v>0</v>
      </c>
      <c r="O133" s="189">
        <v>7.0000000000000007E-2</v>
      </c>
      <c r="P133" s="170">
        <f t="shared" si="12"/>
        <v>0</v>
      </c>
    </row>
    <row r="134" spans="1:16">
      <c r="A134" s="315"/>
      <c r="B134" s="43"/>
      <c r="C134" s="207"/>
      <c r="D134" s="322"/>
      <c r="E134" s="728"/>
      <c r="F134" s="767"/>
      <c r="G134" s="310"/>
      <c r="H134" s="207"/>
      <c r="I134" s="431"/>
      <c r="J134" s="365"/>
      <c r="K134" s="365"/>
      <c r="L134" s="194"/>
      <c r="M134" s="188">
        <v>9498.06</v>
      </c>
      <c r="N134" s="188">
        <f t="shared" si="11"/>
        <v>9213.118199999999</v>
      </c>
      <c r="O134" s="189">
        <v>7.0000000000000007E-2</v>
      </c>
      <c r="P134" s="170">
        <f t="shared" si="12"/>
        <v>9858.0364739999986</v>
      </c>
    </row>
    <row r="135" spans="1:16">
      <c r="A135" s="438"/>
      <c r="B135" s="43"/>
      <c r="C135" s="207"/>
      <c r="D135" s="322"/>
      <c r="E135" s="728"/>
      <c r="F135" s="767"/>
      <c r="G135" s="312"/>
      <c r="H135" s="341"/>
      <c r="I135" s="505"/>
      <c r="J135" s="378"/>
      <c r="K135" s="378"/>
      <c r="L135" s="194"/>
      <c r="M135" s="188">
        <v>15305.4</v>
      </c>
      <c r="N135" s="188">
        <f t="shared" si="11"/>
        <v>14846.237999999999</v>
      </c>
      <c r="O135" s="189">
        <v>7.0000000000000007E-2</v>
      </c>
      <c r="P135" s="170">
        <f t="shared" si="12"/>
        <v>15885.47466</v>
      </c>
    </row>
    <row r="136" spans="1:16">
      <c r="A136" s="445"/>
      <c r="B136" s="1447" t="s">
        <v>2099</v>
      </c>
      <c r="C136" s="207"/>
      <c r="D136" s="322"/>
      <c r="E136" s="728"/>
      <c r="F136" s="767"/>
      <c r="G136" s="312"/>
      <c r="H136" s="877"/>
      <c r="I136" s="506"/>
      <c r="J136" s="403"/>
      <c r="K136" s="403"/>
      <c r="L136" s="194"/>
      <c r="N136" s="188">
        <f t="shared" si="11"/>
        <v>0</v>
      </c>
      <c r="O136" s="189">
        <v>7.0000000000000007E-2</v>
      </c>
      <c r="P136" s="170">
        <f t="shared" si="12"/>
        <v>0</v>
      </c>
    </row>
    <row r="137" spans="1:16">
      <c r="A137" s="445"/>
      <c r="B137" s="43" t="s">
        <v>2100</v>
      </c>
      <c r="C137" s="207" t="s">
        <v>2101</v>
      </c>
      <c r="D137" s="322" t="s">
        <v>18</v>
      </c>
      <c r="E137" s="728">
        <v>32</v>
      </c>
      <c r="F137" s="767" t="s">
        <v>2102</v>
      </c>
      <c r="G137" s="312" t="s">
        <v>126</v>
      </c>
      <c r="H137" s="877" t="s">
        <v>2103</v>
      </c>
      <c r="I137" s="506"/>
      <c r="J137" s="2252" t="s">
        <v>2104</v>
      </c>
      <c r="K137" s="2253">
        <v>26.81</v>
      </c>
      <c r="L137" s="194"/>
      <c r="N137" s="188">
        <f t="shared" si="11"/>
        <v>0</v>
      </c>
      <c r="O137" s="189">
        <v>7.0000000000000007E-2</v>
      </c>
      <c r="P137" s="170">
        <f t="shared" si="12"/>
        <v>0</v>
      </c>
    </row>
    <row r="138" spans="1:16">
      <c r="A138" s="315"/>
      <c r="B138" s="43" t="s">
        <v>2105</v>
      </c>
      <c r="C138" s="207" t="s">
        <v>2106</v>
      </c>
      <c r="D138" s="322" t="s">
        <v>18</v>
      </c>
      <c r="E138" s="728">
        <v>32</v>
      </c>
      <c r="F138" s="767" t="s">
        <v>2102</v>
      </c>
      <c r="G138" s="312" t="s">
        <v>126</v>
      </c>
      <c r="H138" s="877" t="s">
        <v>2103</v>
      </c>
      <c r="I138" s="506"/>
      <c r="J138" s="2252" t="s">
        <v>2104</v>
      </c>
      <c r="K138" s="2253">
        <v>26.81</v>
      </c>
      <c r="L138" s="194"/>
      <c r="N138" s="188">
        <f t="shared" si="11"/>
        <v>0</v>
      </c>
      <c r="O138" s="189">
        <v>7.0000000000000007E-2</v>
      </c>
      <c r="P138" s="170">
        <f t="shared" si="12"/>
        <v>0</v>
      </c>
    </row>
    <row r="139" spans="1:16">
      <c r="A139" s="445"/>
      <c r="B139" s="43"/>
      <c r="C139" s="207"/>
      <c r="D139" s="322"/>
      <c r="E139" s="728"/>
      <c r="F139" s="767"/>
      <c r="G139" s="312"/>
      <c r="H139" s="877"/>
      <c r="I139" s="506"/>
      <c r="J139" s="2253"/>
      <c r="K139" s="2253"/>
      <c r="M139" s="188">
        <v>14244.12</v>
      </c>
      <c r="N139" s="188">
        <f t="shared" si="11"/>
        <v>13816.796400000001</v>
      </c>
      <c r="O139" s="189">
        <v>7.0000000000000007E-2</v>
      </c>
      <c r="P139" s="170">
        <f t="shared" si="12"/>
        <v>14783.972148000001</v>
      </c>
    </row>
    <row r="140" spans="1:16">
      <c r="A140" s="441"/>
      <c r="B140" s="43"/>
      <c r="C140" s="207"/>
      <c r="D140" s="322"/>
      <c r="E140" s="728"/>
      <c r="F140" s="767"/>
      <c r="G140" s="310"/>
      <c r="H140" s="521"/>
      <c r="I140" s="456"/>
      <c r="J140" s="379"/>
      <c r="K140" s="379"/>
      <c r="L140" s="194"/>
      <c r="M140" s="188">
        <v>3240</v>
      </c>
      <c r="N140" s="188">
        <f t="shared" si="11"/>
        <v>3142.8</v>
      </c>
      <c r="O140" s="189">
        <v>7.0000000000000007E-2</v>
      </c>
      <c r="P140" s="170">
        <f t="shared" si="12"/>
        <v>3362.7960000000003</v>
      </c>
    </row>
    <row r="141" spans="1:16">
      <c r="A141" s="315"/>
      <c r="B141" s="43"/>
      <c r="C141" s="207"/>
      <c r="D141" s="322"/>
      <c r="E141" s="728"/>
      <c r="F141" s="767"/>
      <c r="G141" s="310"/>
      <c r="H141" s="207"/>
      <c r="I141" s="431"/>
      <c r="J141" s="365"/>
      <c r="K141" s="365"/>
      <c r="L141" s="194"/>
      <c r="M141" s="188">
        <v>14700</v>
      </c>
      <c r="N141" s="188">
        <f t="shared" si="11"/>
        <v>14259</v>
      </c>
      <c r="O141" s="189">
        <v>7.0000000000000007E-2</v>
      </c>
      <c r="P141" s="170">
        <f t="shared" si="12"/>
        <v>15257.130000000001</v>
      </c>
    </row>
    <row r="142" spans="1:16">
      <c r="A142" s="315"/>
      <c r="B142" s="43"/>
      <c r="C142" s="207"/>
      <c r="D142" s="322"/>
      <c r="E142" s="728"/>
      <c r="F142" s="767"/>
      <c r="G142" s="310"/>
      <c r="H142" s="207"/>
      <c r="I142" s="431"/>
      <c r="J142" s="365"/>
      <c r="K142" s="365"/>
      <c r="L142" s="229"/>
      <c r="M142" s="188">
        <v>14582.7</v>
      </c>
      <c r="N142" s="188">
        <f t="shared" si="11"/>
        <v>14145.219000000001</v>
      </c>
      <c r="O142" s="189">
        <v>7.0000000000000007E-2</v>
      </c>
      <c r="P142" s="170">
        <f t="shared" si="12"/>
        <v>15135.384330000001</v>
      </c>
    </row>
    <row r="143" spans="1:16">
      <c r="A143" s="315"/>
      <c r="B143" s="996" t="s">
        <v>1605</v>
      </c>
      <c r="C143" s="207"/>
      <c r="D143" s="322"/>
      <c r="E143" s="728"/>
      <c r="F143" s="767"/>
      <c r="G143" s="310"/>
      <c r="H143" s="207"/>
      <c r="I143" s="431"/>
      <c r="J143" s="586"/>
      <c r="K143" s="365"/>
      <c r="L143" s="229"/>
      <c r="M143" s="188">
        <v>13483.8</v>
      </c>
      <c r="N143" s="188">
        <f t="shared" si="11"/>
        <v>13079.286</v>
      </c>
      <c r="O143" s="189">
        <v>7.0000000000000007E-2</v>
      </c>
      <c r="P143" s="170">
        <f t="shared" si="12"/>
        <v>13994.836020000001</v>
      </c>
    </row>
    <row r="144" spans="1:16">
      <c r="A144" s="315"/>
      <c r="B144" s="406" t="s">
        <v>3180</v>
      </c>
      <c r="C144" s="341"/>
      <c r="D144" s="624"/>
      <c r="E144" s="795"/>
      <c r="F144" s="777"/>
      <c r="G144" s="223"/>
      <c r="H144" s="224"/>
      <c r="I144" s="620"/>
      <c r="J144" s="686"/>
      <c r="K144" s="378"/>
      <c r="L144" s="229"/>
      <c r="M144" s="188">
        <v>2669.52</v>
      </c>
      <c r="N144" s="188">
        <f t="shared" si="11"/>
        <v>2589.4344000000001</v>
      </c>
      <c r="O144" s="189">
        <v>7.0000000000000007E-2</v>
      </c>
      <c r="P144" s="170">
        <f t="shared" si="12"/>
        <v>2770.6948080000002</v>
      </c>
    </row>
    <row r="145" spans="1:16">
      <c r="A145" s="315"/>
      <c r="B145" s="406" t="s">
        <v>3181</v>
      </c>
      <c r="C145" s="341"/>
      <c r="D145" s="624"/>
      <c r="E145" s="795">
        <v>18</v>
      </c>
      <c r="F145" s="981" t="s">
        <v>3182</v>
      </c>
      <c r="G145" s="223" t="s">
        <v>3183</v>
      </c>
      <c r="H145" s="224"/>
      <c r="I145" s="620"/>
      <c r="J145" s="686" t="s">
        <v>3184</v>
      </c>
      <c r="K145" s="378">
        <v>12.5</v>
      </c>
      <c r="L145" s="229"/>
      <c r="N145" s="188">
        <f t="shared" si="11"/>
        <v>0</v>
      </c>
      <c r="O145" s="189">
        <v>7.0000000000000007E-2</v>
      </c>
      <c r="P145" s="170">
        <f t="shared" si="12"/>
        <v>0</v>
      </c>
    </row>
    <row r="146" spans="1:16">
      <c r="A146" s="315"/>
      <c r="B146" s="43" t="s">
        <v>3185</v>
      </c>
      <c r="C146" s="340"/>
      <c r="D146" s="421" t="s">
        <v>23</v>
      </c>
      <c r="E146" s="90">
        <v>165</v>
      </c>
      <c r="F146" s="61"/>
      <c r="G146" s="206" t="s">
        <v>3186</v>
      </c>
      <c r="H146" s="74"/>
      <c r="I146" s="182"/>
      <c r="J146" s="685">
        <v>1700</v>
      </c>
      <c r="K146" s="365">
        <v>141.66</v>
      </c>
      <c r="L146" s="229"/>
      <c r="M146" s="188">
        <v>12972.96</v>
      </c>
      <c r="N146" s="188">
        <f t="shared" si="11"/>
        <v>12583.771199999999</v>
      </c>
      <c r="O146" s="189">
        <v>7.0000000000000007E-2</v>
      </c>
      <c r="P146" s="170">
        <f t="shared" si="12"/>
        <v>13464.635183999999</v>
      </c>
    </row>
    <row r="147" spans="1:16">
      <c r="A147" s="315"/>
      <c r="B147" s="43"/>
      <c r="C147" s="207"/>
      <c r="D147" s="322"/>
      <c r="E147" s="838"/>
      <c r="F147" s="767"/>
      <c r="G147" s="483"/>
      <c r="H147" s="207"/>
      <c r="I147" s="431"/>
      <c r="J147" s="707"/>
      <c r="K147" s="365"/>
      <c r="L147" s="229"/>
      <c r="M147" s="188">
        <v>12687.84</v>
      </c>
      <c r="N147" s="188">
        <f t="shared" si="11"/>
        <v>12307.2048</v>
      </c>
      <c r="O147" s="189">
        <v>7.0000000000000007E-2</v>
      </c>
      <c r="P147" s="170">
        <f t="shared" si="12"/>
        <v>13168.709135999999</v>
      </c>
    </row>
    <row r="148" spans="1:16" ht="35.25" thickBot="1">
      <c r="A148" s="285"/>
      <c r="B148" s="286"/>
      <c r="C148" s="67"/>
      <c r="D148" s="287"/>
      <c r="E148" s="257"/>
      <c r="F148" s="258"/>
      <c r="G148" s="220"/>
      <c r="H148" s="288"/>
      <c r="I148" s="289"/>
      <c r="J148" s="290"/>
      <c r="K148" s="291"/>
      <c r="L148" s="194"/>
      <c r="M148" s="188">
        <v>16572.599999999999</v>
      </c>
      <c r="N148" s="188">
        <f t="shared" si="11"/>
        <v>16075.421999999999</v>
      </c>
      <c r="O148" s="189">
        <v>7.0000000000000007E-2</v>
      </c>
      <c r="P148" s="170">
        <f t="shared" si="12"/>
        <v>17200.701539999998</v>
      </c>
    </row>
    <row r="149" spans="1:16">
      <c r="A149" s="157"/>
      <c r="B149" s="775" t="s">
        <v>721</v>
      </c>
      <c r="C149" s="207"/>
      <c r="D149" s="322"/>
      <c r="E149" s="728"/>
      <c r="F149" s="767"/>
      <c r="G149" s="312"/>
      <c r="H149" s="877"/>
      <c r="I149" s="506"/>
      <c r="J149" s="403"/>
      <c r="K149" s="403"/>
      <c r="L149" s="194"/>
      <c r="M149" s="188">
        <v>6021.12</v>
      </c>
      <c r="N149" s="188">
        <f>M149-(M149*0.03)</f>
        <v>5840.4863999999998</v>
      </c>
      <c r="O149" s="189">
        <v>7.0000000000000007E-2</v>
      </c>
      <c r="P149" s="170">
        <f>(N149*O149)+N149</f>
        <v>6249.3204479999995</v>
      </c>
    </row>
    <row r="150" spans="1:16">
      <c r="A150" s="157"/>
      <c r="B150" s="43" t="s">
        <v>2114</v>
      </c>
      <c r="C150" s="207" t="s">
        <v>2115</v>
      </c>
      <c r="D150" s="322" t="s">
        <v>23</v>
      </c>
      <c r="E150" s="728">
        <v>22</v>
      </c>
      <c r="F150" s="767" t="s">
        <v>2116</v>
      </c>
      <c r="G150" s="2405" t="s">
        <v>2117</v>
      </c>
      <c r="H150" s="877">
        <v>205</v>
      </c>
      <c r="I150" s="506" t="s">
        <v>724</v>
      </c>
      <c r="J150" s="2252" t="s">
        <v>2118</v>
      </c>
      <c r="K150" s="2253">
        <v>18.75</v>
      </c>
      <c r="L150" s="194"/>
      <c r="M150" s="188">
        <v>8714.16</v>
      </c>
      <c r="N150" s="188">
        <f>M150-(M150*0.03)</f>
        <v>8452.7351999999992</v>
      </c>
      <c r="O150" s="189">
        <v>7.0000000000000007E-2</v>
      </c>
      <c r="P150" s="170">
        <f>(N150*O150)+N150</f>
        <v>9044.4266639999987</v>
      </c>
    </row>
    <row r="151" spans="1:16">
      <c r="A151" s="157"/>
      <c r="B151" s="43" t="s">
        <v>2114</v>
      </c>
      <c r="C151" s="207"/>
      <c r="D151" s="322"/>
      <c r="E151" s="728"/>
      <c r="F151" s="767"/>
      <c r="G151" s="310"/>
      <c r="H151" s="207"/>
      <c r="I151" s="431"/>
      <c r="J151" s="365"/>
      <c r="K151" s="365"/>
      <c r="L151" s="194"/>
      <c r="M151" s="188">
        <v>0</v>
      </c>
      <c r="N151" s="188">
        <f>M151-(M151*0.03)</f>
        <v>0</v>
      </c>
      <c r="O151" s="189">
        <v>7.0000000000000007E-2</v>
      </c>
      <c r="P151" s="170">
        <f t="shared" ref="P151:P157" si="13">(N151*O151)+N151</f>
        <v>0</v>
      </c>
    </row>
    <row r="152" spans="1:16">
      <c r="A152" s="157"/>
      <c r="B152" s="43" t="s">
        <v>2119</v>
      </c>
      <c r="C152" s="207" t="s">
        <v>320</v>
      </c>
      <c r="D152" s="322" t="s">
        <v>30</v>
      </c>
      <c r="E152" s="728"/>
      <c r="F152" s="767"/>
      <c r="G152" s="312" t="s">
        <v>2120</v>
      </c>
      <c r="H152" s="877">
        <v>170</v>
      </c>
      <c r="I152" s="506" t="s">
        <v>2121</v>
      </c>
      <c r="J152" s="2253" t="s">
        <v>2122</v>
      </c>
      <c r="K152" s="2253">
        <v>48.75</v>
      </c>
      <c r="L152" s="194"/>
      <c r="M152" s="188">
        <v>18537.7</v>
      </c>
      <c r="N152" s="188">
        <f>M152-(M152*0.03)</f>
        <v>17981.569</v>
      </c>
      <c r="O152" s="189">
        <v>7.0000000000000007E-2</v>
      </c>
      <c r="P152" s="170">
        <f t="shared" si="13"/>
        <v>19240.278829999999</v>
      </c>
    </row>
    <row r="153" spans="1:16">
      <c r="A153" s="158"/>
      <c r="B153" s="43" t="s">
        <v>2119</v>
      </c>
      <c r="C153" s="207"/>
      <c r="D153" s="322"/>
      <c r="E153" s="728"/>
      <c r="F153" s="767"/>
      <c r="G153" s="310"/>
      <c r="H153" s="521"/>
      <c r="I153" s="456"/>
      <c r="J153" s="379"/>
      <c r="K153" s="379"/>
      <c r="L153" s="194"/>
      <c r="M153" s="188">
        <v>9031.68</v>
      </c>
      <c r="N153" s="188">
        <f t="shared" ref="N153:N162" si="14">M153-(M153*0.03)</f>
        <v>8760.7296000000006</v>
      </c>
      <c r="O153" s="189">
        <v>7.0000000000000007E-2</v>
      </c>
      <c r="P153" s="170">
        <f t="shared" si="13"/>
        <v>9373.9806720000015</v>
      </c>
    </row>
    <row r="154" spans="1:16">
      <c r="A154" s="200"/>
      <c r="B154" s="43"/>
      <c r="C154" s="207"/>
      <c r="D154" s="322"/>
      <c r="E154" s="728"/>
      <c r="F154" s="767"/>
      <c r="G154" s="310"/>
      <c r="H154" s="207"/>
      <c r="I154" s="431"/>
      <c r="J154" s="365"/>
      <c r="K154" s="365"/>
      <c r="L154" s="194"/>
      <c r="N154" s="188">
        <f t="shared" si="14"/>
        <v>0</v>
      </c>
      <c r="O154" s="189">
        <v>7.0000000000000007E-2</v>
      </c>
      <c r="P154" s="170">
        <f t="shared" si="13"/>
        <v>0</v>
      </c>
    </row>
    <row r="155" spans="1:16">
      <c r="A155" s="157"/>
      <c r="B155" s="43" t="s">
        <v>3187</v>
      </c>
      <c r="C155" s="207"/>
      <c r="D155" s="322"/>
      <c r="E155" s="728"/>
      <c r="F155" s="767"/>
      <c r="G155" s="310"/>
      <c r="H155" s="207"/>
      <c r="I155" s="431"/>
      <c r="J155" s="365"/>
      <c r="K155" s="365"/>
      <c r="L155" s="194"/>
      <c r="M155" s="188">
        <v>8478.9599999999991</v>
      </c>
      <c r="N155" s="188">
        <f t="shared" si="14"/>
        <v>8224.5911999999989</v>
      </c>
      <c r="O155" s="189">
        <v>7.0000000000000007E-2</v>
      </c>
      <c r="P155" s="170">
        <f t="shared" si="13"/>
        <v>8800.3125839999993</v>
      </c>
    </row>
    <row r="156" spans="1:16">
      <c r="A156" s="157"/>
      <c r="B156" s="81" t="s">
        <v>2091</v>
      </c>
      <c r="C156" s="207" t="s">
        <v>1275</v>
      </c>
      <c r="D156" s="322" t="s">
        <v>18</v>
      </c>
      <c r="E156" s="728">
        <v>12</v>
      </c>
      <c r="F156" s="767" t="s">
        <v>2092</v>
      </c>
      <c r="G156" s="310" t="s">
        <v>1108</v>
      </c>
      <c r="H156" s="207">
        <v>240</v>
      </c>
      <c r="I156" s="431" t="s">
        <v>2093</v>
      </c>
      <c r="J156" s="2016" t="s">
        <v>2094</v>
      </c>
      <c r="K156" s="2016">
        <v>10.029999999999999</v>
      </c>
      <c r="L156" s="194"/>
      <c r="M156" s="188">
        <v>11122.62</v>
      </c>
      <c r="N156" s="188">
        <f t="shared" si="14"/>
        <v>10788.941400000002</v>
      </c>
      <c r="O156" s="189">
        <v>7.0000000000000007E-2</v>
      </c>
      <c r="P156" s="170">
        <f t="shared" si="13"/>
        <v>11544.167298000002</v>
      </c>
    </row>
    <row r="157" spans="1:16">
      <c r="A157" s="157"/>
      <c r="B157" s="81" t="s">
        <v>2091</v>
      </c>
      <c r="C157" s="207" t="s">
        <v>2096</v>
      </c>
      <c r="D157" s="322" t="s">
        <v>23</v>
      </c>
      <c r="E157" s="728">
        <v>22</v>
      </c>
      <c r="F157" s="767" t="s">
        <v>3169</v>
      </c>
      <c r="G157" s="310" t="s">
        <v>3188</v>
      </c>
      <c r="H157" s="207">
        <v>212</v>
      </c>
      <c r="I157" s="431" t="s">
        <v>2922</v>
      </c>
      <c r="J157" s="2016" t="s">
        <v>3171</v>
      </c>
      <c r="K157" s="2016">
        <v>16.670000000000002</v>
      </c>
      <c r="L157" s="194"/>
      <c r="M157" s="188">
        <v>3813.12</v>
      </c>
      <c r="N157" s="188">
        <f t="shared" si="14"/>
        <v>3698.7264</v>
      </c>
      <c r="O157" s="189">
        <v>7.0000000000000007E-2</v>
      </c>
      <c r="P157" s="170">
        <f t="shared" si="13"/>
        <v>3957.637248</v>
      </c>
    </row>
    <row r="158" spans="1:16">
      <c r="A158" s="157"/>
      <c r="B158" s="126"/>
      <c r="C158" s="63"/>
      <c r="D158" s="196"/>
      <c r="E158" s="249"/>
      <c r="F158" s="121"/>
      <c r="G158" s="206"/>
      <c r="H158" s="115"/>
      <c r="I158" s="185"/>
      <c r="J158" s="175"/>
      <c r="K158" s="197"/>
      <c r="L158" s="194"/>
    </row>
    <row r="159" spans="1:16">
      <c r="A159" s="157"/>
      <c r="B159" s="749"/>
      <c r="C159" s="207"/>
      <c r="D159" s="322"/>
      <c r="E159" s="728"/>
      <c r="F159" s="767"/>
      <c r="G159" s="310"/>
      <c r="H159" s="207"/>
      <c r="I159" s="431"/>
      <c r="J159" s="586"/>
      <c r="K159" s="365"/>
      <c r="L159" s="194"/>
    </row>
    <row r="160" spans="1:16">
      <c r="A160" s="157"/>
      <c r="B160" s="750"/>
      <c r="C160" s="207"/>
      <c r="D160" s="322"/>
      <c r="E160" s="728"/>
      <c r="F160" s="767"/>
      <c r="G160" s="310"/>
      <c r="H160" s="207"/>
      <c r="I160" s="431"/>
      <c r="J160" s="586"/>
      <c r="K160" s="365"/>
      <c r="L160" s="194"/>
    </row>
    <row r="161" spans="1:16">
      <c r="A161" s="157"/>
      <c r="B161" s="1443"/>
      <c r="C161" s="1444"/>
      <c r="D161" s="126"/>
      <c r="E161" s="153"/>
      <c r="F161" s="61"/>
      <c r="G161" s="206"/>
      <c r="H161" s="74"/>
      <c r="I161" s="183"/>
      <c r="J161" s="175"/>
      <c r="K161" s="197"/>
      <c r="L161" s="194"/>
    </row>
    <row r="162" spans="1:16">
      <c r="A162" s="157"/>
      <c r="B162" s="74"/>
      <c r="C162" s="207"/>
      <c r="D162" s="105"/>
      <c r="E162" s="145"/>
      <c r="F162" s="61"/>
      <c r="G162" s="206"/>
      <c r="H162" s="662"/>
      <c r="I162" s="182"/>
      <c r="J162" s="1407"/>
      <c r="K162" s="1408"/>
      <c r="L162" s="194"/>
      <c r="M162" s="188">
        <v>8640</v>
      </c>
      <c r="N162" s="188">
        <f t="shared" si="14"/>
        <v>8380.7999999999993</v>
      </c>
      <c r="O162" s="189">
        <v>7.0000000000000007E-2</v>
      </c>
      <c r="P162" s="170">
        <f>(N162*O162)+N162</f>
        <v>8967.4559999999983</v>
      </c>
    </row>
    <row r="163" spans="1:16" ht="33.75" customHeight="1">
      <c r="A163" s="160"/>
      <c r="B163" s="74"/>
      <c r="C163" s="101"/>
      <c r="D163" s="105"/>
      <c r="E163" s="119"/>
      <c r="F163" s="121"/>
      <c r="G163" s="206"/>
      <c r="H163" s="662"/>
      <c r="I163" s="185"/>
      <c r="J163" s="1407"/>
      <c r="K163" s="1408"/>
      <c r="L163" s="194"/>
    </row>
    <row r="164" spans="1:16" ht="33.75" customHeight="1">
      <c r="A164" s="204"/>
      <c r="B164" s="74"/>
      <c r="C164" s="207"/>
      <c r="D164" s="105"/>
      <c r="E164" s="145"/>
      <c r="F164" s="121"/>
      <c r="G164" s="206"/>
      <c r="H164" s="662"/>
      <c r="I164" s="182"/>
      <c r="J164" s="1407"/>
      <c r="K164" s="1408"/>
      <c r="L164" s="194"/>
    </row>
    <row r="165" spans="1:16" ht="33.75" customHeight="1">
      <c r="A165" s="204"/>
      <c r="B165" s="74"/>
      <c r="C165" s="101"/>
      <c r="D165" s="105"/>
      <c r="E165" s="119"/>
      <c r="F165" s="767"/>
      <c r="G165" s="310"/>
      <c r="H165" s="662"/>
      <c r="I165" s="506"/>
      <c r="J165" s="1407"/>
      <c r="K165" s="1408"/>
      <c r="L165" s="194"/>
    </row>
    <row r="166" spans="1:16">
      <c r="A166" s="204"/>
      <c r="B166" s="559"/>
      <c r="C166" s="207"/>
      <c r="D166" s="105"/>
      <c r="E166" s="145"/>
      <c r="F166" s="767"/>
      <c r="G166" s="483"/>
      <c r="H166" s="662"/>
      <c r="I166" s="431"/>
      <c r="J166" s="1407"/>
      <c r="K166" s="1408"/>
      <c r="L166" s="194"/>
      <c r="M166" s="3444"/>
    </row>
    <row r="167" spans="1:16" ht="35.25" thickBot="1">
      <c r="B167" s="559"/>
      <c r="C167" s="101"/>
      <c r="D167" s="105"/>
      <c r="E167" s="119"/>
      <c r="F167" s="258"/>
      <c r="G167" s="220"/>
      <c r="H167" s="1445"/>
      <c r="I167" s="289"/>
      <c r="J167" s="1407"/>
      <c r="K167" s="1408"/>
      <c r="L167" s="194"/>
    </row>
    <row r="168" spans="1:16">
      <c r="B168" s="135"/>
      <c r="C168" s="68"/>
      <c r="D168" s="3444"/>
      <c r="E168" s="279"/>
      <c r="F168" s="266"/>
      <c r="G168" s="269"/>
      <c r="H168" s="75"/>
      <c r="I168" s="278"/>
      <c r="J168" s="171"/>
      <c r="K168" s="166"/>
      <c r="L168" s="168"/>
    </row>
    <row r="169" spans="1:16">
      <c r="A169" s="44" t="s">
        <v>0</v>
      </c>
      <c r="B169" s="127"/>
      <c r="C169" s="104"/>
      <c r="F169" s="68"/>
      <c r="I169" s="179"/>
      <c r="K169" s="163"/>
      <c r="L169" s="168"/>
    </row>
    <row r="170" spans="1:16">
      <c r="A170" s="3480" t="s">
        <v>2494</v>
      </c>
      <c r="B170" s="3480"/>
      <c r="C170" s="44"/>
      <c r="D170" s="109"/>
      <c r="F170" s="68"/>
      <c r="I170" s="179"/>
      <c r="K170" s="163"/>
      <c r="L170" s="168"/>
    </row>
    <row r="171" spans="1:16" ht="35.25" thickBot="1">
      <c r="F171" s="68"/>
    </row>
    <row r="172" spans="1:16">
      <c r="A172" s="3493" t="s">
        <v>2</v>
      </c>
      <c r="B172" s="3482"/>
      <c r="C172" s="48" t="s">
        <v>3</v>
      </c>
      <c r="D172" s="128" t="s">
        <v>4</v>
      </c>
      <c r="E172" s="77" t="s">
        <v>5</v>
      </c>
      <c r="F172" s="78" t="s">
        <v>5</v>
      </c>
      <c r="G172" s="211" t="s">
        <v>6</v>
      </c>
      <c r="H172" s="140" t="s">
        <v>7</v>
      </c>
      <c r="I172" s="180" t="s">
        <v>1511</v>
      </c>
      <c r="J172" s="172" t="s">
        <v>9</v>
      </c>
      <c r="K172" s="186" t="s">
        <v>9</v>
      </c>
      <c r="L172" s="192" t="s">
        <v>2495</v>
      </c>
      <c r="M172" s="190"/>
    </row>
    <row r="173" spans="1:16" ht="35.25" thickBot="1">
      <c r="A173" s="155"/>
      <c r="B173" s="138"/>
      <c r="C173" s="50"/>
      <c r="D173" s="129" t="s">
        <v>10</v>
      </c>
      <c r="E173" s="79" t="s">
        <v>11</v>
      </c>
      <c r="F173" s="80" t="s">
        <v>12</v>
      </c>
      <c r="G173" s="212"/>
      <c r="H173" s="141" t="s">
        <v>13</v>
      </c>
      <c r="I173" s="181" t="s">
        <v>1512</v>
      </c>
      <c r="J173" s="173" t="s">
        <v>15</v>
      </c>
      <c r="K173" s="187" t="s">
        <v>14</v>
      </c>
      <c r="L173" s="193" t="s">
        <v>2496</v>
      </c>
      <c r="M173" s="190"/>
    </row>
    <row r="174" spans="1:16">
      <c r="A174" s="156"/>
      <c r="B174" s="1443" t="s">
        <v>3189</v>
      </c>
      <c r="C174" s="1444"/>
      <c r="D174" s="126"/>
      <c r="E174" s="153"/>
      <c r="F174" s="61"/>
      <c r="G174" s="206"/>
      <c r="H174" s="74"/>
      <c r="I174" s="183"/>
      <c r="J174" s="175"/>
      <c r="K174" s="197"/>
      <c r="L174" s="194"/>
      <c r="M174" s="188">
        <v>3552</v>
      </c>
      <c r="N174" s="188">
        <f t="shared" ref="N174:N190" si="15">M174-(M174*0.03)</f>
        <v>3445.44</v>
      </c>
      <c r="O174" s="189">
        <v>7.0000000000000007E-2</v>
      </c>
      <c r="P174" s="170">
        <f t="shared" ref="P174:P190" si="16">(N174*O174)+N174</f>
        <v>3686.6208000000001</v>
      </c>
    </row>
    <row r="175" spans="1:16">
      <c r="A175" s="157"/>
      <c r="B175" s="74" t="s">
        <v>3190</v>
      </c>
      <c r="C175" s="207" t="s">
        <v>1263</v>
      </c>
      <c r="D175" s="105" t="s">
        <v>18</v>
      </c>
      <c r="E175" s="145">
        <v>27</v>
      </c>
      <c r="F175" s="61"/>
      <c r="G175" s="206" t="s">
        <v>3191</v>
      </c>
      <c r="H175" s="662">
        <v>500</v>
      </c>
      <c r="I175" s="182"/>
      <c r="J175" s="1407">
        <v>535</v>
      </c>
      <c r="K175" s="1408">
        <v>22.29</v>
      </c>
      <c r="L175" s="194"/>
      <c r="N175" s="188">
        <f t="shared" si="15"/>
        <v>0</v>
      </c>
      <c r="O175" s="189">
        <v>7.0000000000000007E-2</v>
      </c>
      <c r="P175" s="170">
        <f t="shared" si="16"/>
        <v>0</v>
      </c>
    </row>
    <row r="176" spans="1:16">
      <c r="A176" s="157"/>
      <c r="B176" s="74" t="s">
        <v>3190</v>
      </c>
      <c r="C176" s="101" t="s">
        <v>2213</v>
      </c>
      <c r="D176" s="105" t="s">
        <v>23</v>
      </c>
      <c r="E176" s="119">
        <v>56</v>
      </c>
      <c r="F176" s="121"/>
      <c r="G176" s="206" t="s">
        <v>3191</v>
      </c>
      <c r="H176" s="662">
        <v>550</v>
      </c>
      <c r="I176" s="185"/>
      <c r="J176" s="1407">
        <v>588.5</v>
      </c>
      <c r="K176" s="1408">
        <v>49.04</v>
      </c>
      <c r="L176" s="194"/>
      <c r="M176" s="188">
        <v>9498.06</v>
      </c>
      <c r="N176" s="188">
        <f t="shared" si="15"/>
        <v>9213.118199999999</v>
      </c>
      <c r="O176" s="189">
        <v>7.0000000000000007E-2</v>
      </c>
      <c r="P176" s="170">
        <f t="shared" si="16"/>
        <v>9858.0364739999986</v>
      </c>
    </row>
    <row r="177" spans="1:17">
      <c r="A177" s="157"/>
      <c r="B177" s="74" t="s">
        <v>3192</v>
      </c>
      <c r="C177" s="207" t="s">
        <v>1263</v>
      </c>
      <c r="D177" s="105" t="s">
        <v>18</v>
      </c>
      <c r="E177" s="145">
        <v>27</v>
      </c>
      <c r="F177" s="121"/>
      <c r="G177" s="206" t="s">
        <v>3191</v>
      </c>
      <c r="H177" s="662">
        <v>500</v>
      </c>
      <c r="I177" s="182"/>
      <c r="J177" s="1407">
        <v>535</v>
      </c>
      <c r="K177" s="1408">
        <v>22.29</v>
      </c>
      <c r="L177" s="194"/>
      <c r="M177" s="188">
        <v>15305.4</v>
      </c>
      <c r="N177" s="188">
        <f t="shared" si="15"/>
        <v>14846.237999999999</v>
      </c>
      <c r="O177" s="189">
        <v>7.0000000000000007E-2</v>
      </c>
      <c r="P177" s="170">
        <f t="shared" si="16"/>
        <v>15885.47466</v>
      </c>
    </row>
    <row r="178" spans="1:17">
      <c r="A178" s="157"/>
      <c r="B178" s="74" t="s">
        <v>3192</v>
      </c>
      <c r="C178" s="101" t="s">
        <v>2213</v>
      </c>
      <c r="D178" s="105" t="s">
        <v>23</v>
      </c>
      <c r="E178" s="119">
        <v>56</v>
      </c>
      <c r="F178" s="767"/>
      <c r="G178" s="310" t="s">
        <v>3191</v>
      </c>
      <c r="H178" s="662">
        <v>550</v>
      </c>
      <c r="I178" s="506"/>
      <c r="J178" s="1407">
        <v>588.5</v>
      </c>
      <c r="K178" s="1408">
        <v>49.04</v>
      </c>
      <c r="L178" s="194"/>
      <c r="N178" s="188">
        <f t="shared" si="15"/>
        <v>0</v>
      </c>
      <c r="O178" s="189">
        <v>7.0000000000000007E-2</v>
      </c>
      <c r="P178" s="170">
        <f t="shared" si="16"/>
        <v>0</v>
      </c>
    </row>
    <row r="179" spans="1:17">
      <c r="A179" s="157"/>
      <c r="B179" s="559" t="s">
        <v>3193</v>
      </c>
      <c r="C179" s="207" t="s">
        <v>1263</v>
      </c>
      <c r="D179" s="105" t="s">
        <v>18</v>
      </c>
      <c r="E179" s="145">
        <v>27</v>
      </c>
      <c r="F179" s="767"/>
      <c r="G179" s="483" t="s">
        <v>3191</v>
      </c>
      <c r="H179" s="662">
        <v>500</v>
      </c>
      <c r="I179" s="431"/>
      <c r="J179" s="1407">
        <v>535</v>
      </c>
      <c r="K179" s="1408">
        <v>22.29</v>
      </c>
      <c r="L179" s="194"/>
      <c r="N179" s="188">
        <f t="shared" si="15"/>
        <v>0</v>
      </c>
      <c r="O179" s="189">
        <v>7.0000000000000007E-2</v>
      </c>
      <c r="P179" s="170">
        <f t="shared" si="16"/>
        <v>0</v>
      </c>
    </row>
    <row r="180" spans="1:17" ht="35.25" thickBot="1">
      <c r="A180" s="157"/>
      <c r="B180" s="559" t="s">
        <v>3193</v>
      </c>
      <c r="C180" s="101" t="s">
        <v>2213</v>
      </c>
      <c r="D180" s="105" t="s">
        <v>23</v>
      </c>
      <c r="E180" s="119">
        <v>56</v>
      </c>
      <c r="F180" s="258"/>
      <c r="G180" s="220" t="s">
        <v>3191</v>
      </c>
      <c r="H180" s="1445">
        <v>550</v>
      </c>
      <c r="I180" s="289"/>
      <c r="J180" s="1407">
        <v>588.5</v>
      </c>
      <c r="K180" s="1408">
        <v>49.04</v>
      </c>
      <c r="L180" s="194"/>
      <c r="N180" s="188">
        <f t="shared" si="15"/>
        <v>0</v>
      </c>
      <c r="O180" s="189">
        <v>7.0000000000000007E-2</v>
      </c>
      <c r="P180" s="170">
        <f t="shared" si="16"/>
        <v>0</v>
      </c>
    </row>
    <row r="181" spans="1:17">
      <c r="A181" s="157"/>
      <c r="B181" s="43"/>
      <c r="C181" s="207"/>
      <c r="D181" s="322"/>
      <c r="E181" s="728"/>
      <c r="F181" s="1497"/>
      <c r="G181" s="310"/>
      <c r="H181" s="207"/>
      <c r="I181" s="431"/>
      <c r="J181" s="365"/>
      <c r="K181" s="365"/>
      <c r="M181" s="188">
        <v>14244.12</v>
      </c>
      <c r="N181" s="188">
        <f t="shared" si="15"/>
        <v>13816.796400000001</v>
      </c>
      <c r="O181" s="189">
        <v>7.0000000000000007E-2</v>
      </c>
      <c r="P181" s="170">
        <f t="shared" si="16"/>
        <v>14783.972148000001</v>
      </c>
    </row>
    <row r="182" spans="1:17">
      <c r="A182" s="157"/>
      <c r="B182" s="43"/>
      <c r="C182" s="207"/>
      <c r="D182" s="322"/>
      <c r="E182" s="728"/>
      <c r="F182" s="767"/>
      <c r="G182" s="310"/>
      <c r="H182" s="207"/>
      <c r="I182" s="431"/>
      <c r="J182" s="365"/>
      <c r="K182" s="365"/>
      <c r="L182" s="194"/>
      <c r="M182" s="188">
        <v>3240</v>
      </c>
      <c r="N182" s="188">
        <f t="shared" si="15"/>
        <v>3142.8</v>
      </c>
      <c r="O182" s="189">
        <v>7.0000000000000007E-2</v>
      </c>
      <c r="P182" s="170">
        <f t="shared" si="16"/>
        <v>3362.7960000000003</v>
      </c>
    </row>
    <row r="183" spans="1:17">
      <c r="A183" s="157"/>
      <c r="B183" s="43"/>
      <c r="C183" s="207"/>
      <c r="D183" s="322"/>
      <c r="E183" s="728"/>
      <c r="F183" s="767"/>
      <c r="G183" s="310"/>
      <c r="H183" s="207"/>
      <c r="I183" s="431"/>
      <c r="J183" s="365"/>
      <c r="K183" s="365"/>
      <c r="L183" s="194"/>
      <c r="M183" s="188">
        <v>14700</v>
      </c>
      <c r="N183" s="188">
        <f t="shared" si="15"/>
        <v>14259</v>
      </c>
      <c r="O183" s="189">
        <v>7.0000000000000007E-2</v>
      </c>
      <c r="P183" s="170">
        <f t="shared" si="16"/>
        <v>15257.130000000001</v>
      </c>
    </row>
    <row r="184" spans="1:17">
      <c r="A184" s="157"/>
      <c r="B184" s="81"/>
      <c r="C184" s="207"/>
      <c r="D184" s="322"/>
      <c r="E184" s="728"/>
      <c r="F184" s="767"/>
      <c r="G184" s="310"/>
      <c r="H184" s="207"/>
      <c r="I184" s="431"/>
      <c r="J184" s="365"/>
      <c r="K184" s="365"/>
      <c r="L184" s="229"/>
      <c r="M184" s="188">
        <v>14582.7</v>
      </c>
      <c r="N184" s="188">
        <f t="shared" si="15"/>
        <v>14145.219000000001</v>
      </c>
      <c r="O184" s="189">
        <v>7.0000000000000007E-2</v>
      </c>
      <c r="P184" s="170">
        <f t="shared" si="16"/>
        <v>15135.384330000001</v>
      </c>
    </row>
    <row r="185" spans="1:17">
      <c r="A185" s="157"/>
      <c r="B185" s="81"/>
      <c r="C185" s="207"/>
      <c r="D185" s="322"/>
      <c r="E185" s="728"/>
      <c r="F185" s="767"/>
      <c r="G185" s="310"/>
      <c r="H185" s="207"/>
      <c r="I185" s="431"/>
      <c r="J185" s="365"/>
      <c r="K185" s="365"/>
      <c r="L185" s="229"/>
      <c r="M185" s="188">
        <v>13483.8</v>
      </c>
      <c r="N185" s="188">
        <f t="shared" si="15"/>
        <v>13079.286</v>
      </c>
      <c r="O185" s="189">
        <v>7.0000000000000007E-2</v>
      </c>
      <c r="P185" s="170">
        <f t="shared" si="16"/>
        <v>13994.836020000001</v>
      </c>
    </row>
    <row r="186" spans="1:17">
      <c r="A186" s="157"/>
      <c r="B186" s="81"/>
      <c r="C186" s="207"/>
      <c r="D186" s="322"/>
      <c r="E186" s="728"/>
      <c r="F186" s="767"/>
      <c r="G186" s="310"/>
      <c r="H186" s="207"/>
      <c r="I186" s="474"/>
      <c r="J186" s="810"/>
      <c r="K186" s="365"/>
      <c r="L186" s="229"/>
      <c r="M186" s="188">
        <v>2669.52</v>
      </c>
      <c r="N186" s="188">
        <f t="shared" si="15"/>
        <v>2589.4344000000001</v>
      </c>
      <c r="O186" s="189">
        <v>7.0000000000000007E-2</v>
      </c>
      <c r="P186" s="170">
        <f t="shared" si="16"/>
        <v>2770.6948080000002</v>
      </c>
    </row>
    <row r="187" spans="1:17">
      <c r="A187" s="157"/>
      <c r="B187" s="95"/>
      <c r="C187" s="222"/>
      <c r="D187" s="3464"/>
      <c r="E187" s="145"/>
      <c r="F187" s="61"/>
      <c r="G187" s="223"/>
      <c r="H187" s="224"/>
      <c r="I187" s="225"/>
      <c r="J187" s="209"/>
      <c r="K187" s="226"/>
      <c r="L187" s="229"/>
      <c r="N187" s="188">
        <f t="shared" si="15"/>
        <v>0</v>
      </c>
      <c r="O187" s="189">
        <v>7.0000000000000007E-2</v>
      </c>
      <c r="P187" s="170">
        <f t="shared" si="16"/>
        <v>0</v>
      </c>
    </row>
    <row r="188" spans="1:17">
      <c r="A188" s="221"/>
      <c r="B188" s="95"/>
      <c r="C188" s="222"/>
      <c r="D188" s="3464"/>
      <c r="E188" s="145"/>
      <c r="F188" s="61"/>
      <c r="G188" s="223"/>
      <c r="H188" s="224"/>
      <c r="I188" s="225"/>
      <c r="J188" s="209"/>
      <c r="K188" s="226"/>
      <c r="L188" s="229"/>
      <c r="M188" s="188">
        <v>12972.96</v>
      </c>
      <c r="N188" s="188">
        <f t="shared" si="15"/>
        <v>12583.771199999999</v>
      </c>
      <c r="O188" s="189">
        <v>7.0000000000000007E-2</v>
      </c>
      <c r="P188" s="170">
        <f t="shared" si="16"/>
        <v>13464.635183999999</v>
      </c>
      <c r="Q188" s="76">
        <f>598.5/12</f>
        <v>49.875</v>
      </c>
    </row>
    <row r="189" spans="1:17">
      <c r="A189" s="157"/>
      <c r="B189" s="996" t="s">
        <v>3194</v>
      </c>
      <c r="C189" s="117"/>
      <c r="D189" s="412"/>
      <c r="E189" s="832"/>
      <c r="F189" s="853"/>
      <c r="G189" s="1044"/>
      <c r="H189" s="117"/>
      <c r="I189" s="432"/>
      <c r="J189" s="702"/>
      <c r="K189" s="369"/>
      <c r="L189" s="229"/>
      <c r="M189" s="188">
        <v>12687.84</v>
      </c>
      <c r="N189" s="188">
        <f t="shared" si="15"/>
        <v>12307.2048</v>
      </c>
      <c r="O189" s="189">
        <v>7.0000000000000007E-2</v>
      </c>
      <c r="P189" s="170">
        <f t="shared" si="16"/>
        <v>13168.709135999999</v>
      </c>
      <c r="Q189" s="76">
        <f>450/12</f>
        <v>37.5</v>
      </c>
    </row>
    <row r="190" spans="1:17">
      <c r="A190" s="157"/>
      <c r="B190" s="81" t="s">
        <v>3195</v>
      </c>
      <c r="C190" s="207" t="s">
        <v>2096</v>
      </c>
      <c r="D190" s="322" t="s">
        <v>23</v>
      </c>
      <c r="E190" s="728">
        <v>30</v>
      </c>
      <c r="F190" s="767"/>
      <c r="G190" s="310" t="s">
        <v>3196</v>
      </c>
      <c r="H190" s="207"/>
      <c r="I190" s="431"/>
      <c r="J190" s="365">
        <v>319.91000000000003</v>
      </c>
      <c r="K190" s="365">
        <f>J190/124</f>
        <v>2.5799193548387098</v>
      </c>
      <c r="L190" s="194"/>
      <c r="M190" s="188">
        <v>16572.599999999999</v>
      </c>
      <c r="N190" s="188">
        <f t="shared" si="15"/>
        <v>16075.421999999999</v>
      </c>
      <c r="O190" s="189">
        <v>7.0000000000000007E-2</v>
      </c>
      <c r="P190" s="170">
        <f t="shared" si="16"/>
        <v>17200.701539999998</v>
      </c>
    </row>
    <row r="191" spans="1:17">
      <c r="A191" s="157"/>
      <c r="B191" s="81" t="s">
        <v>3197</v>
      </c>
      <c r="C191" s="207" t="s">
        <v>3198</v>
      </c>
      <c r="D191" s="322" t="s">
        <v>18</v>
      </c>
      <c r="E191" s="728">
        <v>18</v>
      </c>
      <c r="F191" s="767"/>
      <c r="G191" s="310" t="s">
        <v>3199</v>
      </c>
      <c r="H191" s="207">
        <v>325.68</v>
      </c>
      <c r="I191" s="431"/>
      <c r="J191" s="365">
        <v>348.47</v>
      </c>
      <c r="K191" s="365">
        <v>14.51</v>
      </c>
      <c r="L191" s="194"/>
      <c r="M191" s="188">
        <v>6021.12</v>
      </c>
      <c r="N191" s="188">
        <f>M191-(M191*0.03)</f>
        <v>5840.4863999999998</v>
      </c>
      <c r="O191" s="189">
        <v>7.0000000000000007E-2</v>
      </c>
      <c r="P191" s="170">
        <f>(N191*O191)+N191</f>
        <v>6249.3204479999995</v>
      </c>
    </row>
    <row r="192" spans="1:17">
      <c r="A192" s="157"/>
      <c r="B192" s="81" t="s">
        <v>3197</v>
      </c>
      <c r="C192" s="207" t="s">
        <v>1263</v>
      </c>
      <c r="D192" s="322" t="s">
        <v>18</v>
      </c>
      <c r="E192" s="728">
        <v>28</v>
      </c>
      <c r="F192" s="767"/>
      <c r="G192" s="310" t="s">
        <v>3199</v>
      </c>
      <c r="H192" s="207"/>
      <c r="I192" s="431"/>
      <c r="J192" s="365" t="s">
        <v>3200</v>
      </c>
      <c r="K192" s="365">
        <v>24.5</v>
      </c>
      <c r="L192" s="194"/>
      <c r="M192" s="188">
        <v>8714.16</v>
      </c>
      <c r="N192" s="188">
        <f>M192-(M192*0.03)</f>
        <v>8452.7351999999992</v>
      </c>
      <c r="O192" s="189">
        <v>7.0000000000000007E-2</v>
      </c>
      <c r="P192" s="170">
        <f>(N192*O192)+N192</f>
        <v>9044.4266639999987</v>
      </c>
    </row>
    <row r="193" spans="1:16">
      <c r="A193" s="157"/>
      <c r="B193" s="95"/>
      <c r="C193" s="63"/>
      <c r="D193" s="199"/>
      <c r="E193" s="90"/>
      <c r="F193" s="61"/>
      <c r="G193" s="206"/>
      <c r="H193" s="74"/>
      <c r="I193" s="183"/>
      <c r="J193" s="175"/>
      <c r="K193" s="197"/>
      <c r="L193" s="194"/>
      <c r="M193" s="188">
        <v>0</v>
      </c>
      <c r="N193" s="188">
        <f>M193-(M193*0.03)</f>
        <v>0</v>
      </c>
      <c r="O193" s="189">
        <v>7.0000000000000007E-2</v>
      </c>
      <c r="P193" s="170">
        <f t="shared" ref="P193:P199" si="17">(N193*O193)+N193</f>
        <v>0</v>
      </c>
    </row>
    <row r="194" spans="1:16">
      <c r="A194" s="157"/>
      <c r="B194" s="95"/>
      <c r="C194" s="63"/>
      <c r="D194" s="199"/>
      <c r="E194" s="90"/>
      <c r="F194" s="61"/>
      <c r="G194" s="206"/>
      <c r="H194" s="74"/>
      <c r="I194" s="183"/>
      <c r="J194" s="175"/>
      <c r="K194" s="197"/>
      <c r="L194" s="194"/>
      <c r="M194" s="188">
        <v>18537.7</v>
      </c>
      <c r="N194" s="188">
        <f>M194-(M194*0.03)</f>
        <v>17981.569</v>
      </c>
      <c r="O194" s="189">
        <v>7.0000000000000007E-2</v>
      </c>
      <c r="P194" s="170">
        <f t="shared" si="17"/>
        <v>19240.278829999999</v>
      </c>
    </row>
    <row r="195" spans="1:16">
      <c r="A195" s="158"/>
      <c r="B195" s="95"/>
      <c r="C195" s="63"/>
      <c r="D195" s="199"/>
      <c r="E195" s="91"/>
      <c r="F195" s="61"/>
      <c r="G195" s="206"/>
      <c r="H195" s="74"/>
      <c r="I195" s="183"/>
      <c r="J195" s="175"/>
      <c r="K195" s="197"/>
      <c r="L195" s="194"/>
      <c r="M195" s="188">
        <v>9031.68</v>
      </c>
      <c r="N195" s="188">
        <f t="shared" ref="N195:N207" si="18">M195-(M195*0.03)</f>
        <v>8760.7296000000006</v>
      </c>
      <c r="O195" s="189">
        <v>7.0000000000000007E-2</v>
      </c>
      <c r="P195" s="170">
        <f t="shared" si="17"/>
        <v>9373.9806720000015</v>
      </c>
    </row>
    <row r="196" spans="1:16">
      <c r="A196" s="200"/>
      <c r="B196" s="95"/>
      <c r="C196" s="63"/>
      <c r="D196" s="199"/>
      <c r="E196" s="153"/>
      <c r="F196" s="61"/>
      <c r="G196" s="206"/>
      <c r="H196" s="88"/>
      <c r="I196" s="184"/>
      <c r="J196" s="201"/>
      <c r="K196" s="202"/>
      <c r="L196" s="194"/>
      <c r="N196" s="188">
        <f t="shared" si="18"/>
        <v>0</v>
      </c>
      <c r="O196" s="189">
        <v>7.0000000000000007E-2</v>
      </c>
      <c r="P196" s="170">
        <f t="shared" si="17"/>
        <v>0</v>
      </c>
    </row>
    <row r="197" spans="1:16">
      <c r="A197" s="157"/>
      <c r="B197" s="95"/>
      <c r="C197" s="63"/>
      <c r="D197" s="199"/>
      <c r="E197" s="198"/>
      <c r="F197" s="61"/>
      <c r="G197" s="206"/>
      <c r="H197" s="74"/>
      <c r="I197" s="183"/>
      <c r="J197" s="175"/>
      <c r="K197" s="197"/>
      <c r="L197" s="194"/>
      <c r="M197" s="188">
        <v>8478.9599999999991</v>
      </c>
      <c r="N197" s="188">
        <f t="shared" si="18"/>
        <v>8224.5911999999989</v>
      </c>
      <c r="O197" s="189">
        <v>7.0000000000000007E-2</v>
      </c>
      <c r="P197" s="170">
        <f t="shared" si="17"/>
        <v>8800.3125839999993</v>
      </c>
    </row>
    <row r="198" spans="1:16">
      <c r="A198" s="157"/>
      <c r="B198" s="95"/>
      <c r="C198" s="63"/>
      <c r="D198" s="199"/>
      <c r="E198" s="142"/>
      <c r="F198" s="61"/>
      <c r="G198" s="206"/>
      <c r="H198" s="74"/>
      <c r="I198" s="183"/>
      <c r="J198" s="175"/>
      <c r="K198" s="197"/>
      <c r="L198" s="194"/>
      <c r="M198" s="188">
        <v>11122.62</v>
      </c>
      <c r="N198" s="188">
        <f t="shared" si="18"/>
        <v>10788.941400000002</v>
      </c>
      <c r="O198" s="189">
        <v>7.0000000000000007E-2</v>
      </c>
      <c r="P198" s="170">
        <f t="shared" si="17"/>
        <v>11544.167298000002</v>
      </c>
    </row>
    <row r="199" spans="1:16">
      <c r="A199" s="157"/>
      <c r="B199" s="268"/>
      <c r="C199" s="63"/>
      <c r="D199" s="196"/>
      <c r="E199" s="120"/>
      <c r="F199" s="121"/>
      <c r="G199" s="206"/>
      <c r="H199" s="115"/>
      <c r="I199" s="185"/>
      <c r="J199" s="175"/>
      <c r="K199" s="197"/>
      <c r="L199" s="194"/>
      <c r="M199" s="188">
        <v>3813.12</v>
      </c>
      <c r="N199" s="188">
        <f t="shared" si="18"/>
        <v>3698.7264</v>
      </c>
      <c r="O199" s="189">
        <v>7.0000000000000007E-2</v>
      </c>
      <c r="P199" s="170">
        <f t="shared" si="17"/>
        <v>3957.637248</v>
      </c>
    </row>
    <row r="200" spans="1:16">
      <c r="A200" s="157"/>
      <c r="B200" s="95"/>
      <c r="C200" s="63"/>
      <c r="D200" s="196"/>
      <c r="E200" s="249"/>
      <c r="F200" s="121"/>
      <c r="G200" s="206"/>
      <c r="H200" s="115"/>
      <c r="I200" s="185"/>
      <c r="J200" s="175"/>
      <c r="K200" s="197"/>
      <c r="L200" s="194"/>
    </row>
    <row r="201" spans="1:16">
      <c r="A201" s="157"/>
      <c r="B201" s="95"/>
      <c r="C201" s="63"/>
      <c r="D201" s="196"/>
      <c r="E201" s="249"/>
      <c r="F201" s="121"/>
      <c r="G201" s="206"/>
      <c r="H201" s="115"/>
      <c r="I201" s="185"/>
      <c r="J201" s="175"/>
      <c r="K201" s="197"/>
      <c r="L201" s="194"/>
    </row>
    <row r="202" spans="1:16">
      <c r="A202" s="157"/>
      <c r="B202" s="95"/>
      <c r="C202" s="63"/>
      <c r="D202" s="196"/>
      <c r="E202" s="249"/>
      <c r="F202" s="121"/>
      <c r="G202" s="206"/>
      <c r="H202" s="115"/>
      <c r="I202" s="185"/>
      <c r="J202" s="175"/>
      <c r="K202" s="197"/>
      <c r="L202" s="194"/>
    </row>
    <row r="203" spans="1:16">
      <c r="A203" s="157"/>
      <c r="B203" s="95"/>
      <c r="C203" s="63"/>
      <c r="D203" s="196"/>
      <c r="E203" s="249"/>
      <c r="F203" s="121"/>
      <c r="G203" s="206"/>
      <c r="H203" s="115"/>
      <c r="I203" s="185"/>
      <c r="J203" s="175"/>
      <c r="K203" s="197"/>
      <c r="L203" s="194"/>
    </row>
    <row r="204" spans="1:16">
      <c r="A204" s="157"/>
      <c r="B204" s="95"/>
      <c r="C204" s="63"/>
      <c r="D204" s="196"/>
      <c r="E204" s="249"/>
      <c r="F204" s="121"/>
      <c r="G204" s="206"/>
      <c r="H204" s="115"/>
      <c r="I204" s="185"/>
      <c r="J204" s="175"/>
      <c r="K204" s="197"/>
      <c r="L204" s="194"/>
    </row>
    <row r="205" spans="1:16">
      <c r="A205" s="157"/>
      <c r="B205" s="95"/>
      <c r="C205" s="63"/>
      <c r="D205" s="196"/>
      <c r="E205" s="142"/>
      <c r="F205" s="61"/>
      <c r="G205" s="206"/>
      <c r="H205" s="74"/>
      <c r="I205" s="183"/>
      <c r="J205" s="175"/>
      <c r="K205" s="197"/>
      <c r="L205" s="194"/>
    </row>
    <row r="206" spans="1:16">
      <c r="A206" s="157"/>
      <c r="B206" s="95"/>
      <c r="C206" s="63"/>
      <c r="D206" s="196"/>
      <c r="E206" s="142"/>
      <c r="F206" s="61"/>
      <c r="G206" s="206"/>
      <c r="H206" s="74"/>
      <c r="I206" s="183"/>
      <c r="J206" s="175"/>
      <c r="K206" s="197"/>
      <c r="L206" s="194"/>
    </row>
    <row r="207" spans="1:16">
      <c r="A207" s="157"/>
      <c r="B207" s="95"/>
      <c r="C207" s="63"/>
      <c r="D207" s="196"/>
      <c r="E207" s="142"/>
      <c r="F207" s="61"/>
      <c r="G207" s="206"/>
      <c r="H207" s="74"/>
      <c r="I207" s="183"/>
      <c r="J207" s="175"/>
      <c r="K207" s="197"/>
      <c r="L207" s="194"/>
      <c r="M207" s="188">
        <v>8640</v>
      </c>
      <c r="N207" s="188">
        <f t="shared" si="18"/>
        <v>8380.7999999999993</v>
      </c>
      <c r="O207" s="189">
        <v>7.0000000000000007E-2</v>
      </c>
      <c r="P207" s="170">
        <f>(N207*O207)+N207</f>
        <v>8967.4559999999983</v>
      </c>
    </row>
    <row r="208" spans="1:16">
      <c r="A208" s="157"/>
      <c r="B208" s="95"/>
      <c r="C208" s="63"/>
      <c r="D208" s="196"/>
      <c r="E208" s="142"/>
      <c r="F208" s="61"/>
      <c r="G208" s="206"/>
      <c r="H208" s="74"/>
      <c r="I208" s="183"/>
      <c r="J208" s="175"/>
      <c r="K208" s="197"/>
      <c r="L208" s="194"/>
    </row>
    <row r="209" spans="1:16">
      <c r="A209" s="204"/>
      <c r="B209" s="3444"/>
      <c r="C209" s="3444"/>
      <c r="D209" s="3444"/>
      <c r="E209" s="3444"/>
      <c r="F209" s="3444"/>
      <c r="G209" s="213"/>
      <c r="H209" s="109"/>
      <c r="I209" s="3444"/>
      <c r="J209" s="234"/>
      <c r="K209" s="3444"/>
      <c r="L209" s="235"/>
      <c r="M209" s="3444"/>
    </row>
    <row r="210" spans="1:16">
      <c r="A210" s="44" t="s">
        <v>0</v>
      </c>
      <c r="B210" s="127"/>
      <c r="C210" s="104"/>
      <c r="F210" s="68"/>
      <c r="I210" s="179"/>
      <c r="K210" s="163"/>
      <c r="L210" s="168"/>
    </row>
    <row r="211" spans="1:16">
      <c r="A211" s="3480" t="s">
        <v>2512</v>
      </c>
      <c r="B211" s="3480"/>
      <c r="C211" s="44"/>
      <c r="D211" s="109"/>
      <c r="F211" s="68"/>
      <c r="I211" s="179"/>
      <c r="K211" s="163"/>
      <c r="L211" s="168"/>
    </row>
    <row r="212" spans="1:16" ht="35.25" thickBot="1">
      <c r="F212" s="68"/>
    </row>
    <row r="213" spans="1:16">
      <c r="A213" s="3493" t="s">
        <v>2</v>
      </c>
      <c r="B213" s="3482"/>
      <c r="C213" s="48" t="s">
        <v>3</v>
      </c>
      <c r="D213" s="128" t="s">
        <v>4</v>
      </c>
      <c r="E213" s="77" t="s">
        <v>5</v>
      </c>
      <c r="F213" s="78" t="s">
        <v>5</v>
      </c>
      <c r="G213" s="211" t="s">
        <v>6</v>
      </c>
      <c r="H213" s="140" t="s">
        <v>7</v>
      </c>
      <c r="I213" s="180" t="s">
        <v>1511</v>
      </c>
      <c r="J213" s="172" t="s">
        <v>9</v>
      </c>
      <c r="K213" s="186" t="s">
        <v>9</v>
      </c>
      <c r="L213" s="192" t="s">
        <v>2495</v>
      </c>
      <c r="M213" s="190"/>
    </row>
    <row r="214" spans="1:16" ht="35.25" thickBot="1">
      <c r="A214" s="155"/>
      <c r="B214" s="138"/>
      <c r="C214" s="50"/>
      <c r="D214" s="129" t="s">
        <v>10</v>
      </c>
      <c r="E214" s="79" t="s">
        <v>11</v>
      </c>
      <c r="F214" s="80" t="s">
        <v>12</v>
      </c>
      <c r="G214" s="212"/>
      <c r="H214" s="141" t="s">
        <v>13</v>
      </c>
      <c r="I214" s="181" t="s">
        <v>1512</v>
      </c>
      <c r="J214" s="173" t="s">
        <v>15</v>
      </c>
      <c r="K214" s="187" t="s">
        <v>14</v>
      </c>
      <c r="L214" s="193" t="s">
        <v>2496</v>
      </c>
      <c r="M214" s="190"/>
    </row>
    <row r="215" spans="1:16">
      <c r="A215" s="156"/>
      <c r="B215" s="276"/>
      <c r="C215" s="63"/>
      <c r="D215" s="199"/>
      <c r="E215" s="143"/>
      <c r="F215" s="69"/>
      <c r="G215" s="206"/>
      <c r="H215" s="74"/>
      <c r="I215" s="183"/>
      <c r="J215" s="175"/>
      <c r="K215" s="172"/>
      <c r="L215" s="194"/>
      <c r="M215" s="188">
        <v>3552</v>
      </c>
      <c r="N215" s="188">
        <f t="shared" ref="N215:N231" si="19">M215-(M215*0.03)</f>
        <v>3445.44</v>
      </c>
      <c r="O215" s="189">
        <v>7.0000000000000007E-2</v>
      </c>
      <c r="P215" s="170">
        <f t="shared" ref="P215:P231" si="20">(N215*O215)+N215</f>
        <v>3686.6208000000001</v>
      </c>
    </row>
    <row r="216" spans="1:16">
      <c r="A216" s="157"/>
      <c r="B216" s="95"/>
      <c r="C216" s="63"/>
      <c r="D216" s="199"/>
      <c r="E216" s="145"/>
      <c r="F216" s="61"/>
      <c r="G216" s="206"/>
      <c r="H216" s="74"/>
      <c r="I216" s="183"/>
      <c r="J216" s="175"/>
      <c r="K216" s="176"/>
      <c r="L216" s="194"/>
      <c r="N216" s="188">
        <f t="shared" si="19"/>
        <v>0</v>
      </c>
      <c r="O216" s="189">
        <v>7.0000000000000007E-2</v>
      </c>
      <c r="P216" s="170">
        <f t="shared" si="20"/>
        <v>0</v>
      </c>
    </row>
    <row r="217" spans="1:16">
      <c r="A217" s="157"/>
      <c r="B217" s="95"/>
      <c r="C217" s="63"/>
      <c r="D217" s="199"/>
      <c r="E217" s="145"/>
      <c r="F217" s="61"/>
      <c r="G217" s="206"/>
      <c r="H217" s="74"/>
      <c r="I217" s="183"/>
      <c r="J217" s="175"/>
      <c r="K217" s="245"/>
      <c r="L217" s="194"/>
      <c r="M217" s="188">
        <v>9498.06</v>
      </c>
      <c r="N217" s="188">
        <f t="shared" si="19"/>
        <v>9213.118199999999</v>
      </c>
      <c r="O217" s="189">
        <v>7.0000000000000007E-2</v>
      </c>
      <c r="P217" s="170">
        <f t="shared" si="20"/>
        <v>9858.0364739999986</v>
      </c>
    </row>
    <row r="218" spans="1:16">
      <c r="A218" s="157"/>
      <c r="B218" s="95"/>
      <c r="C218" s="63"/>
      <c r="D218" s="199"/>
      <c r="E218" s="145"/>
      <c r="F218" s="61"/>
      <c r="G218" s="206"/>
      <c r="H218" s="74"/>
      <c r="I218" s="183"/>
      <c r="J218" s="175"/>
      <c r="K218" s="197"/>
      <c r="L218" s="194"/>
      <c r="M218" s="188">
        <v>15305.4</v>
      </c>
      <c r="N218" s="188">
        <f t="shared" si="19"/>
        <v>14846.237999999999</v>
      </c>
      <c r="O218" s="189">
        <v>7.0000000000000007E-2</v>
      </c>
      <c r="P218" s="170">
        <f t="shared" si="20"/>
        <v>15885.47466</v>
      </c>
    </row>
    <row r="219" spans="1:16">
      <c r="A219" s="157"/>
      <c r="B219" s="95"/>
      <c r="C219" s="63"/>
      <c r="D219" s="199"/>
      <c r="E219" s="145"/>
      <c r="F219" s="61"/>
      <c r="G219" s="206"/>
      <c r="H219" s="74"/>
      <c r="I219" s="183"/>
      <c r="J219" s="175"/>
      <c r="K219" s="197"/>
      <c r="L219" s="194"/>
      <c r="N219" s="188">
        <f t="shared" si="19"/>
        <v>0</v>
      </c>
      <c r="O219" s="189">
        <v>7.0000000000000007E-2</v>
      </c>
      <c r="P219" s="170">
        <f t="shared" si="20"/>
        <v>0</v>
      </c>
    </row>
    <row r="220" spans="1:16">
      <c r="A220" s="157"/>
      <c r="B220" s="95"/>
      <c r="C220" s="63"/>
      <c r="D220" s="199"/>
      <c r="E220" s="145"/>
      <c r="F220" s="61"/>
      <c r="G220" s="206"/>
      <c r="H220" s="74"/>
      <c r="I220" s="183"/>
      <c r="J220" s="175"/>
      <c r="K220" s="197"/>
      <c r="L220" s="194"/>
      <c r="N220" s="188">
        <f t="shared" si="19"/>
        <v>0</v>
      </c>
      <c r="O220" s="189">
        <v>7.0000000000000007E-2</v>
      </c>
      <c r="P220" s="170">
        <f t="shared" si="20"/>
        <v>0</v>
      </c>
    </row>
    <row r="221" spans="1:16">
      <c r="A221" s="157"/>
      <c r="B221" s="95"/>
      <c r="C221" s="63"/>
      <c r="D221" s="199"/>
      <c r="E221" s="145"/>
      <c r="F221" s="61"/>
      <c r="G221" s="206"/>
      <c r="H221" s="74"/>
      <c r="I221" s="183"/>
      <c r="J221" s="175"/>
      <c r="K221" s="197"/>
      <c r="L221" s="194"/>
      <c r="N221" s="188">
        <f t="shared" si="19"/>
        <v>0</v>
      </c>
      <c r="O221" s="189">
        <v>7.0000000000000007E-2</v>
      </c>
      <c r="P221" s="170">
        <f t="shared" si="20"/>
        <v>0</v>
      </c>
    </row>
    <row r="222" spans="1:16">
      <c r="A222" s="157"/>
      <c r="B222" s="95"/>
      <c r="C222" s="222"/>
      <c r="D222" s="3464"/>
      <c r="E222" s="145"/>
      <c r="F222" s="61"/>
      <c r="G222" s="223"/>
      <c r="H222" s="224"/>
      <c r="I222" s="225"/>
      <c r="J222" s="209"/>
      <c r="K222" s="244"/>
      <c r="M222" s="188">
        <v>14244.12</v>
      </c>
      <c r="N222" s="188">
        <f t="shared" si="19"/>
        <v>13816.796400000001</v>
      </c>
      <c r="O222" s="189">
        <v>7.0000000000000007E-2</v>
      </c>
      <c r="P222" s="170">
        <f t="shared" si="20"/>
        <v>14783.972148000001</v>
      </c>
    </row>
    <row r="223" spans="1:16">
      <c r="A223" s="157"/>
      <c r="B223" s="95"/>
      <c r="C223" s="63"/>
      <c r="D223" s="199"/>
      <c r="E223" s="145"/>
      <c r="F223" s="61"/>
      <c r="G223" s="206"/>
      <c r="H223" s="74"/>
      <c r="I223" s="183"/>
      <c r="J223" s="175"/>
      <c r="K223" s="197"/>
      <c r="L223" s="194"/>
      <c r="M223" s="188">
        <v>3240</v>
      </c>
      <c r="N223" s="188">
        <f t="shared" si="19"/>
        <v>3142.8</v>
      </c>
      <c r="O223" s="189">
        <v>7.0000000000000007E-2</v>
      </c>
      <c r="P223" s="170">
        <f t="shared" si="20"/>
        <v>3362.7960000000003</v>
      </c>
    </row>
    <row r="224" spans="1:16">
      <c r="A224" s="157"/>
      <c r="B224" s="95"/>
      <c r="C224" s="63"/>
      <c r="D224" s="199"/>
      <c r="E224" s="145"/>
      <c r="F224" s="61"/>
      <c r="G224" s="206"/>
      <c r="H224" s="74"/>
      <c r="I224" s="183"/>
      <c r="J224" s="175"/>
      <c r="K224" s="197"/>
      <c r="L224" s="194"/>
      <c r="M224" s="188">
        <v>14700</v>
      </c>
      <c r="N224" s="188">
        <f t="shared" si="19"/>
        <v>14259</v>
      </c>
      <c r="O224" s="189">
        <v>7.0000000000000007E-2</v>
      </c>
      <c r="P224" s="170">
        <f t="shared" si="20"/>
        <v>15257.130000000001</v>
      </c>
    </row>
    <row r="225" spans="1:16">
      <c r="A225" s="157"/>
      <c r="B225" s="95"/>
      <c r="C225" s="222"/>
      <c r="D225" s="3464"/>
      <c r="E225" s="237"/>
      <c r="F225" s="238"/>
      <c r="G225" s="223"/>
      <c r="H225" s="224"/>
      <c r="I225" s="225"/>
      <c r="J225" s="209"/>
      <c r="K225" s="226"/>
      <c r="L225" s="229"/>
      <c r="M225" s="188">
        <v>14582.7</v>
      </c>
      <c r="N225" s="188">
        <f t="shared" si="19"/>
        <v>14145.219000000001</v>
      </c>
      <c r="O225" s="189">
        <v>7.0000000000000007E-2</v>
      </c>
      <c r="P225" s="170">
        <f t="shared" si="20"/>
        <v>15135.384330000001</v>
      </c>
    </row>
    <row r="226" spans="1:16">
      <c r="A226" s="157"/>
      <c r="B226" s="162"/>
      <c r="C226" s="63"/>
      <c r="D226" s="199"/>
      <c r="E226" s="145"/>
      <c r="F226" s="61"/>
      <c r="G226" s="206"/>
      <c r="H226" s="74"/>
      <c r="I226" s="183"/>
      <c r="J226" s="175"/>
      <c r="K226" s="197"/>
      <c r="L226" s="229"/>
      <c r="M226" s="188">
        <v>13483.8</v>
      </c>
      <c r="N226" s="188">
        <f t="shared" si="19"/>
        <v>13079.286</v>
      </c>
      <c r="O226" s="189">
        <v>7.0000000000000007E-2</v>
      </c>
      <c r="P226" s="170">
        <f t="shared" si="20"/>
        <v>13994.836020000001</v>
      </c>
    </row>
    <row r="227" spans="1:16">
      <c r="A227" s="157"/>
      <c r="B227" s="154"/>
      <c r="C227" s="222"/>
      <c r="D227" s="3464"/>
      <c r="E227" s="145"/>
      <c r="F227" s="61"/>
      <c r="G227" s="223"/>
      <c r="H227" s="224"/>
      <c r="I227" s="225"/>
      <c r="J227" s="209"/>
      <c r="K227" s="226"/>
      <c r="L227" s="229"/>
      <c r="M227" s="188">
        <v>2669.52</v>
      </c>
      <c r="N227" s="188">
        <f t="shared" si="19"/>
        <v>2589.4344000000001</v>
      </c>
      <c r="O227" s="189">
        <v>7.0000000000000007E-2</v>
      </c>
      <c r="P227" s="170">
        <f t="shared" si="20"/>
        <v>2770.6948080000002</v>
      </c>
    </row>
    <row r="228" spans="1:16" ht="35.25" customHeight="1">
      <c r="A228" s="157"/>
      <c r="B228" s="154"/>
      <c r="C228" s="222"/>
      <c r="D228" s="3464"/>
      <c r="E228" s="145"/>
      <c r="F228" s="61"/>
      <c r="G228" s="223"/>
      <c r="H228" s="224"/>
      <c r="I228" s="225"/>
      <c r="J228" s="209"/>
      <c r="K228" s="226"/>
      <c r="L228" s="229"/>
      <c r="N228" s="188">
        <f t="shared" si="19"/>
        <v>0</v>
      </c>
      <c r="O228" s="189">
        <v>7.0000000000000007E-2</v>
      </c>
      <c r="P228" s="170">
        <f t="shared" si="20"/>
        <v>0</v>
      </c>
    </row>
    <row r="229" spans="1:16">
      <c r="A229" s="221"/>
      <c r="B229" s="240"/>
      <c r="C229" s="222"/>
      <c r="D229" s="3464"/>
      <c r="E229" s="145"/>
      <c r="F229" s="61"/>
      <c r="G229" s="223"/>
      <c r="H229" s="224"/>
      <c r="I229" s="225"/>
      <c r="J229" s="209"/>
      <c r="K229" s="226"/>
      <c r="L229" s="229"/>
      <c r="M229" s="188">
        <v>12972.96</v>
      </c>
      <c r="N229" s="188">
        <f t="shared" si="19"/>
        <v>12583.771199999999</v>
      </c>
      <c r="O229" s="189">
        <v>7.0000000000000007E-2</v>
      </c>
      <c r="P229" s="170">
        <f t="shared" si="20"/>
        <v>13464.635183999999</v>
      </c>
    </row>
    <row r="230" spans="1:16">
      <c r="A230" s="157"/>
      <c r="B230" s="154"/>
      <c r="C230" s="63"/>
      <c r="D230" s="199"/>
      <c r="E230" s="145"/>
      <c r="F230" s="61"/>
      <c r="G230" s="206"/>
      <c r="H230" s="74"/>
      <c r="I230" s="183"/>
      <c r="J230" s="209"/>
      <c r="K230" s="197"/>
      <c r="L230" s="229"/>
      <c r="M230" s="188">
        <v>12687.84</v>
      </c>
      <c r="N230" s="188">
        <f t="shared" si="19"/>
        <v>12307.2048</v>
      </c>
      <c r="O230" s="189">
        <v>7.0000000000000007E-2</v>
      </c>
      <c r="P230" s="170">
        <f t="shared" si="20"/>
        <v>13168.709135999999</v>
      </c>
    </row>
    <row r="231" spans="1:16">
      <c r="A231" s="157"/>
      <c r="B231" s="154"/>
      <c r="C231" s="63"/>
      <c r="D231" s="199"/>
      <c r="E231" s="145"/>
      <c r="F231" s="61"/>
      <c r="G231" s="206"/>
      <c r="H231" s="74"/>
      <c r="I231" s="183"/>
      <c r="J231" s="175"/>
      <c r="K231" s="197"/>
      <c r="L231" s="194"/>
      <c r="M231" s="188">
        <v>16572.599999999999</v>
      </c>
      <c r="N231" s="188">
        <f t="shared" si="19"/>
        <v>16075.421999999999</v>
      </c>
      <c r="O231" s="189">
        <v>7.0000000000000007E-2</v>
      </c>
      <c r="P231" s="170">
        <f t="shared" si="20"/>
        <v>17200.701539999998</v>
      </c>
    </row>
    <row r="232" spans="1:16">
      <c r="A232" s="157"/>
      <c r="B232" s="154"/>
      <c r="C232" s="63"/>
      <c r="D232" s="199"/>
      <c r="E232" s="90"/>
      <c r="F232" s="61"/>
      <c r="G232" s="206"/>
      <c r="H232" s="74"/>
      <c r="I232" s="203"/>
      <c r="J232" s="175"/>
      <c r="K232" s="197"/>
      <c r="L232" s="194"/>
      <c r="M232" s="188">
        <v>6021.12</v>
      </c>
      <c r="N232" s="188">
        <f>M232-(M232*0.03)</f>
        <v>5840.4863999999998</v>
      </c>
      <c r="O232" s="189">
        <v>7.0000000000000007E-2</v>
      </c>
      <c r="P232" s="170">
        <f>(N232*O232)+N232</f>
        <v>6249.3204479999995</v>
      </c>
    </row>
    <row r="233" spans="1:16">
      <c r="A233" s="157"/>
      <c r="B233" s="154"/>
      <c r="C233" s="63"/>
      <c r="D233" s="199"/>
      <c r="E233" s="90"/>
      <c r="F233" s="61"/>
      <c r="G233" s="206"/>
      <c r="H233" s="74"/>
      <c r="I233" s="183"/>
      <c r="J233" s="175"/>
      <c r="K233" s="197"/>
      <c r="L233" s="194"/>
      <c r="M233" s="188">
        <v>8714.16</v>
      </c>
      <c r="N233" s="188">
        <f>M233-(M233*0.03)</f>
        <v>8452.7351999999992</v>
      </c>
      <c r="O233" s="189">
        <v>7.0000000000000007E-2</v>
      </c>
      <c r="P233" s="170">
        <f>(N233*O233)+N233</f>
        <v>9044.4266639999987</v>
      </c>
    </row>
    <row r="234" spans="1:16">
      <c r="A234" s="157"/>
      <c r="B234" s="154"/>
      <c r="C234" s="63"/>
      <c r="D234" s="199"/>
      <c r="E234" s="90"/>
      <c r="F234" s="61"/>
      <c r="G234" s="206"/>
      <c r="H234" s="74"/>
      <c r="I234" s="183"/>
      <c r="J234" s="175"/>
      <c r="K234" s="197"/>
      <c r="L234" s="194"/>
      <c r="M234" s="188">
        <v>0</v>
      </c>
      <c r="N234" s="188">
        <f>M234-(M234*0.03)</f>
        <v>0</v>
      </c>
      <c r="O234" s="189">
        <v>7.0000000000000007E-2</v>
      </c>
      <c r="P234" s="170">
        <f t="shared" ref="P234:P240" si="21">(N234*O234)+N234</f>
        <v>0</v>
      </c>
    </row>
    <row r="235" spans="1:16">
      <c r="A235" s="157"/>
      <c r="B235" s="154"/>
      <c r="C235" s="63"/>
      <c r="D235" s="199"/>
      <c r="E235" s="90"/>
      <c r="F235" s="61"/>
      <c r="G235" s="206"/>
      <c r="H235" s="74"/>
      <c r="I235" s="183"/>
      <c r="J235" s="175"/>
      <c r="K235" s="197"/>
      <c r="L235" s="194"/>
      <c r="M235" s="188">
        <v>18537.7</v>
      </c>
      <c r="N235" s="188">
        <f>M235-(M235*0.03)</f>
        <v>17981.569</v>
      </c>
      <c r="O235" s="189">
        <v>7.0000000000000007E-2</v>
      </c>
      <c r="P235" s="170">
        <f t="shared" si="21"/>
        <v>19240.278829999999</v>
      </c>
    </row>
    <row r="236" spans="1:16">
      <c r="A236" s="158"/>
      <c r="B236" s="154"/>
      <c r="C236" s="63"/>
      <c r="D236" s="199"/>
      <c r="E236" s="91"/>
      <c r="F236" s="61"/>
      <c r="G236" s="206"/>
      <c r="H236" s="74"/>
      <c r="I236" s="183"/>
      <c r="J236" s="175"/>
      <c r="K236" s="197"/>
      <c r="L236" s="194"/>
      <c r="M236" s="188">
        <v>9031.68</v>
      </c>
      <c r="N236" s="188">
        <f t="shared" ref="N236:N245" si="22">M236-(M236*0.03)</f>
        <v>8760.7296000000006</v>
      </c>
      <c r="O236" s="189">
        <v>7.0000000000000007E-2</v>
      </c>
      <c r="P236" s="170">
        <f t="shared" si="21"/>
        <v>9373.9806720000015</v>
      </c>
    </row>
    <row r="237" spans="1:16">
      <c r="A237" s="200"/>
      <c r="B237" s="154"/>
      <c r="C237" s="63"/>
      <c r="D237" s="199"/>
      <c r="E237" s="153"/>
      <c r="F237" s="61"/>
      <c r="G237" s="206"/>
      <c r="H237" s="88"/>
      <c r="I237" s="184"/>
      <c r="J237" s="201"/>
      <c r="K237" s="202"/>
      <c r="L237" s="194"/>
      <c r="N237" s="188">
        <f t="shared" si="22"/>
        <v>0</v>
      </c>
      <c r="O237" s="189">
        <v>7.0000000000000007E-2</v>
      </c>
      <c r="P237" s="170">
        <f t="shared" si="21"/>
        <v>0</v>
      </c>
    </row>
    <row r="238" spans="1:16">
      <c r="A238" s="157"/>
      <c r="B238" s="154"/>
      <c r="C238" s="63"/>
      <c r="D238" s="199"/>
      <c r="E238" s="198"/>
      <c r="F238" s="61"/>
      <c r="G238" s="206"/>
      <c r="H238" s="74"/>
      <c r="I238" s="183"/>
      <c r="J238" s="175"/>
      <c r="K238" s="197"/>
      <c r="L238" s="194"/>
      <c r="M238" s="188">
        <v>8478.9599999999991</v>
      </c>
      <c r="N238" s="188">
        <f t="shared" si="22"/>
        <v>8224.5911999999989</v>
      </c>
      <c r="O238" s="189">
        <v>7.0000000000000007E-2</v>
      </c>
      <c r="P238" s="170">
        <f t="shared" si="21"/>
        <v>8800.3125839999993</v>
      </c>
    </row>
    <row r="239" spans="1:16">
      <c r="A239" s="157"/>
      <c r="B239" s="154"/>
      <c r="C239" s="63"/>
      <c r="D239" s="199"/>
      <c r="E239" s="142"/>
      <c r="F239" s="61"/>
      <c r="G239" s="206"/>
      <c r="H239" s="74"/>
      <c r="I239" s="183"/>
      <c r="J239" s="175"/>
      <c r="K239" s="197"/>
      <c r="L239" s="194"/>
      <c r="M239" s="188">
        <v>11122.62</v>
      </c>
      <c r="N239" s="188">
        <f t="shared" si="22"/>
        <v>10788.941400000002</v>
      </c>
      <c r="O239" s="189">
        <v>7.0000000000000007E-2</v>
      </c>
      <c r="P239" s="170">
        <f t="shared" si="21"/>
        <v>11544.167298000002</v>
      </c>
    </row>
    <row r="240" spans="1:16">
      <c r="A240" s="157"/>
      <c r="B240" s="154"/>
      <c r="C240" s="63"/>
      <c r="D240" s="196"/>
      <c r="E240" s="120"/>
      <c r="F240" s="121"/>
      <c r="G240" s="206"/>
      <c r="H240" s="115"/>
      <c r="I240" s="185"/>
      <c r="J240" s="175"/>
      <c r="K240" s="197"/>
      <c r="L240" s="194"/>
      <c r="M240" s="188">
        <v>3813.12</v>
      </c>
      <c r="N240" s="188">
        <f t="shared" si="22"/>
        <v>3698.7264</v>
      </c>
      <c r="O240" s="189">
        <v>7.0000000000000007E-2</v>
      </c>
      <c r="P240" s="170">
        <f t="shared" si="21"/>
        <v>3957.637248</v>
      </c>
    </row>
    <row r="241" spans="1:16">
      <c r="A241" s="157"/>
      <c r="B241" s="154"/>
      <c r="C241" s="63"/>
      <c r="D241" s="196"/>
      <c r="E241" s="249"/>
      <c r="F241" s="121"/>
      <c r="G241" s="206"/>
      <c r="H241" s="115"/>
      <c r="I241" s="185"/>
      <c r="J241" s="175"/>
      <c r="K241" s="197"/>
      <c r="L241" s="194"/>
    </row>
    <row r="242" spans="1:16" ht="28.5" customHeight="1">
      <c r="A242" s="157"/>
      <c r="B242" s="154"/>
      <c r="C242" s="63"/>
      <c r="D242" s="196"/>
      <c r="E242" s="249"/>
      <c r="F242" s="121"/>
      <c r="G242" s="206"/>
      <c r="H242" s="115"/>
      <c r="I242" s="185"/>
      <c r="J242" s="175"/>
      <c r="K242" s="197"/>
      <c r="L242" s="194"/>
    </row>
    <row r="243" spans="1:16">
      <c r="A243" s="157"/>
      <c r="B243" s="154"/>
      <c r="C243" s="63"/>
      <c r="D243" s="196"/>
      <c r="E243" s="249"/>
      <c r="F243" s="121"/>
      <c r="G243" s="206"/>
      <c r="H243" s="115"/>
      <c r="I243" s="185"/>
      <c r="J243" s="175"/>
      <c r="K243" s="197"/>
      <c r="L243" s="194"/>
    </row>
    <row r="244" spans="1:16">
      <c r="A244" s="157"/>
      <c r="B244" s="154"/>
      <c r="C244" s="63"/>
      <c r="D244" s="196"/>
      <c r="E244" s="142"/>
      <c r="F244" s="61"/>
      <c r="G244" s="206"/>
      <c r="H244" s="74"/>
      <c r="I244" s="183"/>
      <c r="J244" s="175"/>
      <c r="K244" s="197"/>
      <c r="L244" s="194"/>
    </row>
    <row r="245" spans="1:16">
      <c r="A245" s="157"/>
      <c r="B245" s="161"/>
      <c r="C245" s="63"/>
      <c r="D245" s="196"/>
      <c r="E245" s="142"/>
      <c r="F245" s="61"/>
      <c r="G245" s="206"/>
      <c r="H245" s="74"/>
      <c r="I245" s="183"/>
      <c r="J245" s="175"/>
      <c r="K245" s="197"/>
      <c r="L245" s="194"/>
      <c r="M245" s="188">
        <v>8640</v>
      </c>
      <c r="N245" s="188">
        <f t="shared" si="22"/>
        <v>8380.7999999999993</v>
      </c>
      <c r="O245" s="189">
        <v>7.0000000000000007E-2</v>
      </c>
      <c r="P245" s="170">
        <f>(N245*O245)+N245</f>
        <v>8967.4559999999983</v>
      </c>
    </row>
    <row r="246" spans="1:16">
      <c r="A246" s="157"/>
      <c r="B246" s="161"/>
      <c r="C246" s="63"/>
      <c r="D246" s="196"/>
      <c r="E246" s="142"/>
      <c r="F246" s="61"/>
      <c r="G246" s="206"/>
      <c r="H246" s="74"/>
      <c r="I246" s="183"/>
      <c r="J246" s="175"/>
      <c r="K246" s="197"/>
      <c r="L246" s="194"/>
    </row>
    <row r="247" spans="1:16">
      <c r="A247" s="157"/>
      <c r="B247" s="161"/>
      <c r="C247" s="63"/>
      <c r="D247" s="196"/>
      <c r="E247" s="142"/>
      <c r="F247" s="61"/>
      <c r="G247" s="206"/>
      <c r="H247" s="74"/>
      <c r="I247" s="183"/>
      <c r="J247" s="175"/>
      <c r="K247" s="197"/>
      <c r="L247" s="194"/>
    </row>
    <row r="248" spans="1:16">
      <c r="A248" s="157"/>
      <c r="B248" s="161"/>
      <c r="C248" s="63"/>
      <c r="D248" s="196"/>
      <c r="E248" s="142"/>
      <c r="F248" s="61"/>
      <c r="G248" s="206"/>
      <c r="H248" s="74"/>
      <c r="I248" s="183"/>
      <c r="J248" s="175"/>
      <c r="K248" s="197"/>
      <c r="L248" s="194"/>
    </row>
    <row r="249" spans="1:16">
      <c r="A249" s="157"/>
      <c r="B249" s="161"/>
      <c r="C249" s="63"/>
      <c r="D249" s="196"/>
      <c r="E249" s="142"/>
      <c r="F249" s="61"/>
      <c r="G249" s="206"/>
      <c r="H249" s="74"/>
      <c r="I249" s="183"/>
      <c r="J249" s="175"/>
      <c r="K249" s="197"/>
      <c r="L249" s="194"/>
    </row>
    <row r="250" spans="1:16">
      <c r="A250" s="160"/>
      <c r="B250" s="154"/>
      <c r="C250" s="63"/>
      <c r="D250" s="196"/>
      <c r="E250" s="120"/>
      <c r="F250" s="121"/>
      <c r="G250" s="206"/>
      <c r="H250" s="115"/>
      <c r="I250" s="185"/>
      <c r="J250" s="174"/>
      <c r="K250" s="195"/>
      <c r="L250" s="194"/>
    </row>
    <row r="251" spans="1:16">
      <c r="F251" s="68"/>
    </row>
    <row r="252" spans="1:16">
      <c r="A252" s="44" t="s">
        <v>0</v>
      </c>
      <c r="B252" s="127"/>
      <c r="C252" s="104"/>
      <c r="F252" s="68"/>
      <c r="I252" s="179"/>
      <c r="K252" s="163"/>
      <c r="L252" s="168"/>
    </row>
    <row r="253" spans="1:16">
      <c r="A253" s="3480" t="s">
        <v>2512</v>
      </c>
      <c r="B253" s="3480"/>
      <c r="C253" s="44"/>
      <c r="D253" s="109"/>
      <c r="F253" s="68"/>
      <c r="I253" s="179"/>
      <c r="K253" s="163"/>
      <c r="L253" s="168"/>
    </row>
    <row r="254" spans="1:16" ht="35.25" thickBot="1">
      <c r="F254" s="68"/>
    </row>
    <row r="255" spans="1:16">
      <c r="A255" s="3493" t="s">
        <v>2</v>
      </c>
      <c r="B255" s="3482"/>
      <c r="C255" s="48" t="s">
        <v>3</v>
      </c>
      <c r="D255" s="128" t="s">
        <v>4</v>
      </c>
      <c r="E255" s="77" t="s">
        <v>5</v>
      </c>
      <c r="F255" s="78" t="s">
        <v>5</v>
      </c>
      <c r="G255" s="211" t="s">
        <v>6</v>
      </c>
      <c r="H255" s="140" t="s">
        <v>7</v>
      </c>
      <c r="I255" s="180" t="s">
        <v>1511</v>
      </c>
      <c r="J255" s="172" t="s">
        <v>9</v>
      </c>
      <c r="K255" s="186" t="s">
        <v>9</v>
      </c>
      <c r="L255" s="192" t="s">
        <v>2495</v>
      </c>
      <c r="M255" s="190"/>
    </row>
    <row r="256" spans="1:16" ht="35.25" thickBot="1">
      <c r="A256" s="155"/>
      <c r="B256" s="138"/>
      <c r="C256" s="50"/>
      <c r="D256" s="129" t="s">
        <v>10</v>
      </c>
      <c r="E256" s="79" t="s">
        <v>11</v>
      </c>
      <c r="F256" s="80" t="s">
        <v>12</v>
      </c>
      <c r="G256" s="212"/>
      <c r="H256" s="141" t="s">
        <v>13</v>
      </c>
      <c r="I256" s="181" t="s">
        <v>1512</v>
      </c>
      <c r="J256" s="173" t="s">
        <v>15</v>
      </c>
      <c r="K256" s="187" t="s">
        <v>14</v>
      </c>
      <c r="L256" s="193" t="s">
        <v>2496</v>
      </c>
      <c r="M256" s="190"/>
    </row>
    <row r="257" spans="1:16">
      <c r="A257" s="156"/>
      <c r="B257" s="154"/>
      <c r="C257" s="63"/>
      <c r="D257" s="199"/>
      <c r="E257" s="143"/>
      <c r="F257" s="69"/>
      <c r="G257" s="206"/>
      <c r="H257" s="74"/>
      <c r="I257" s="183"/>
      <c r="J257" s="175"/>
      <c r="K257" s="172"/>
      <c r="L257" s="194"/>
      <c r="M257" s="188">
        <v>3552</v>
      </c>
      <c r="N257" s="188">
        <f t="shared" ref="N257:N273" si="23">M257-(M257*0.03)</f>
        <v>3445.44</v>
      </c>
      <c r="O257" s="189">
        <v>7.0000000000000007E-2</v>
      </c>
      <c r="P257" s="170">
        <f t="shared" ref="P257:P273" si="24">(N257*O257)+N257</f>
        <v>3686.6208000000001</v>
      </c>
    </row>
    <row r="258" spans="1:16">
      <c r="A258" s="157"/>
      <c r="B258" s="154"/>
      <c r="C258" s="63"/>
      <c r="D258" s="199"/>
      <c r="E258" s="145"/>
      <c r="F258" s="61"/>
      <c r="G258" s="206"/>
      <c r="H258" s="74"/>
      <c r="I258" s="183"/>
      <c r="J258" s="175"/>
      <c r="K258" s="176"/>
      <c r="L258" s="194"/>
      <c r="N258" s="188">
        <f t="shared" si="23"/>
        <v>0</v>
      </c>
      <c r="O258" s="189">
        <v>7.0000000000000007E-2</v>
      </c>
      <c r="P258" s="170">
        <f t="shared" si="24"/>
        <v>0</v>
      </c>
    </row>
    <row r="259" spans="1:16">
      <c r="A259" s="157"/>
      <c r="B259" s="239"/>
      <c r="C259" s="63"/>
      <c r="D259" s="199"/>
      <c r="E259" s="145"/>
      <c r="F259" s="61"/>
      <c r="G259" s="206"/>
      <c r="H259" s="74"/>
      <c r="I259" s="183"/>
      <c r="J259" s="175"/>
      <c r="K259" s="245"/>
      <c r="L259" s="194"/>
      <c r="M259" s="188">
        <v>9498.06</v>
      </c>
      <c r="N259" s="188">
        <f t="shared" si="23"/>
        <v>9213.118199999999</v>
      </c>
      <c r="O259" s="189">
        <v>7.0000000000000007E-2</v>
      </c>
      <c r="P259" s="170">
        <f t="shared" si="24"/>
        <v>9858.0364739999986</v>
      </c>
    </row>
    <row r="260" spans="1:16">
      <c r="A260" s="157"/>
      <c r="B260" s="239"/>
      <c r="C260" s="63"/>
      <c r="D260" s="199"/>
      <c r="E260" s="145"/>
      <c r="F260" s="61"/>
      <c r="G260" s="206"/>
      <c r="H260" s="74"/>
      <c r="I260" s="183"/>
      <c r="J260" s="175"/>
      <c r="K260" s="197"/>
      <c r="L260" s="194"/>
      <c r="M260" s="188">
        <v>15305.4</v>
      </c>
      <c r="N260" s="188">
        <f t="shared" si="23"/>
        <v>14846.237999999999</v>
      </c>
      <c r="O260" s="189">
        <v>7.0000000000000007E-2</v>
      </c>
      <c r="P260" s="170">
        <f t="shared" si="24"/>
        <v>15885.47466</v>
      </c>
    </row>
    <row r="261" spans="1:16">
      <c r="A261" s="157"/>
      <c r="B261" s="154"/>
      <c r="C261" s="63"/>
      <c r="D261" s="199"/>
      <c r="E261" s="145"/>
      <c r="F261" s="61"/>
      <c r="G261" s="206"/>
      <c r="H261" s="74"/>
      <c r="I261" s="183"/>
      <c r="J261" s="175"/>
      <c r="K261" s="197"/>
      <c r="L261" s="194"/>
      <c r="N261" s="188">
        <f t="shared" si="23"/>
        <v>0</v>
      </c>
      <c r="O261" s="189">
        <v>7.0000000000000007E-2</v>
      </c>
      <c r="P261" s="170">
        <f t="shared" si="24"/>
        <v>0</v>
      </c>
    </row>
    <row r="262" spans="1:16">
      <c r="A262" s="157"/>
      <c r="B262" s="154"/>
      <c r="C262" s="63"/>
      <c r="D262" s="199"/>
      <c r="E262" s="145"/>
      <c r="F262" s="61"/>
      <c r="G262" s="206"/>
      <c r="H262" s="74"/>
      <c r="I262" s="183"/>
      <c r="J262" s="175"/>
      <c r="K262" s="197"/>
      <c r="L262" s="194"/>
      <c r="N262" s="188">
        <f t="shared" si="23"/>
        <v>0</v>
      </c>
      <c r="O262" s="189">
        <v>7.0000000000000007E-2</v>
      </c>
      <c r="P262" s="170">
        <f t="shared" si="24"/>
        <v>0</v>
      </c>
    </row>
    <row r="263" spans="1:16">
      <c r="A263" s="157"/>
      <c r="B263" s="154"/>
      <c r="C263" s="63"/>
      <c r="D263" s="199"/>
      <c r="E263" s="145"/>
      <c r="F263" s="61"/>
      <c r="G263" s="206"/>
      <c r="H263" s="74"/>
      <c r="I263" s="183"/>
      <c r="J263" s="175"/>
      <c r="K263" s="197"/>
      <c r="L263" s="194"/>
      <c r="N263" s="188">
        <f t="shared" si="23"/>
        <v>0</v>
      </c>
      <c r="O263" s="189">
        <v>7.0000000000000007E-2</v>
      </c>
      <c r="P263" s="170">
        <f t="shared" si="24"/>
        <v>0</v>
      </c>
    </row>
    <row r="264" spans="1:16">
      <c r="A264" s="157"/>
      <c r="B264" s="239"/>
      <c r="C264" s="222"/>
      <c r="D264" s="3464"/>
      <c r="E264" s="145"/>
      <c r="F264" s="61"/>
      <c r="G264" s="223"/>
      <c r="H264" s="224"/>
      <c r="I264" s="225"/>
      <c r="J264" s="209"/>
      <c r="K264" s="244"/>
      <c r="M264" s="188">
        <v>14244.12</v>
      </c>
      <c r="N264" s="188">
        <f t="shared" si="23"/>
        <v>13816.796400000001</v>
      </c>
      <c r="O264" s="189">
        <v>7.0000000000000007E-2</v>
      </c>
      <c r="P264" s="170">
        <f t="shared" si="24"/>
        <v>14783.972148000001</v>
      </c>
    </row>
    <row r="265" spans="1:16">
      <c r="A265" s="157"/>
      <c r="B265" s="162"/>
      <c r="C265" s="63"/>
      <c r="D265" s="199"/>
      <c r="E265" s="145"/>
      <c r="F265" s="61"/>
      <c r="G265" s="206"/>
      <c r="H265" s="74"/>
      <c r="I265" s="183"/>
      <c r="J265" s="175"/>
      <c r="K265" s="197"/>
      <c r="L265" s="194"/>
      <c r="M265" s="188">
        <v>3240</v>
      </c>
      <c r="N265" s="188">
        <f t="shared" si="23"/>
        <v>3142.8</v>
      </c>
      <c r="O265" s="189">
        <v>7.0000000000000007E-2</v>
      </c>
      <c r="P265" s="170">
        <f t="shared" si="24"/>
        <v>3362.7960000000003</v>
      </c>
    </row>
    <row r="266" spans="1:16">
      <c r="A266" s="157"/>
      <c r="B266" s="162"/>
      <c r="C266" s="63"/>
      <c r="D266" s="199"/>
      <c r="E266" s="145"/>
      <c r="F266" s="61"/>
      <c r="G266" s="206"/>
      <c r="H266" s="74"/>
      <c r="I266" s="183"/>
      <c r="J266" s="175"/>
      <c r="K266" s="197"/>
      <c r="L266" s="194"/>
      <c r="M266" s="188">
        <v>14700</v>
      </c>
      <c r="N266" s="188">
        <f t="shared" si="23"/>
        <v>14259</v>
      </c>
      <c r="O266" s="189">
        <v>7.0000000000000007E-2</v>
      </c>
      <c r="P266" s="170">
        <f t="shared" si="24"/>
        <v>15257.130000000001</v>
      </c>
    </row>
    <row r="267" spans="1:16">
      <c r="A267" s="157"/>
      <c r="B267" s="162"/>
      <c r="C267" s="222"/>
      <c r="D267" s="3464"/>
      <c r="E267" s="237"/>
      <c r="F267" s="238"/>
      <c r="G267" s="223"/>
      <c r="H267" s="224"/>
      <c r="I267" s="225"/>
      <c r="J267" s="209"/>
      <c r="K267" s="226"/>
      <c r="L267" s="229"/>
      <c r="M267" s="188">
        <v>14582.7</v>
      </c>
      <c r="N267" s="188">
        <f t="shared" si="23"/>
        <v>14145.219000000001</v>
      </c>
      <c r="O267" s="189">
        <v>7.0000000000000007E-2</v>
      </c>
      <c r="P267" s="170">
        <f t="shared" si="24"/>
        <v>15135.384330000001</v>
      </c>
    </row>
    <row r="268" spans="1:16">
      <c r="A268" s="157"/>
      <c r="B268" s="162"/>
      <c r="C268" s="63"/>
      <c r="D268" s="199"/>
      <c r="E268" s="145"/>
      <c r="F268" s="61"/>
      <c r="G268" s="206"/>
      <c r="H268" s="74"/>
      <c r="I268" s="183"/>
      <c r="J268" s="175"/>
      <c r="K268" s="197"/>
      <c r="L268" s="229"/>
      <c r="M268" s="188">
        <v>13483.8</v>
      </c>
      <c r="N268" s="188">
        <f t="shared" si="23"/>
        <v>13079.286</v>
      </c>
      <c r="O268" s="189">
        <v>7.0000000000000007E-2</v>
      </c>
      <c r="P268" s="170">
        <f t="shared" si="24"/>
        <v>13994.836020000001</v>
      </c>
    </row>
    <row r="269" spans="1:16">
      <c r="A269" s="157"/>
      <c r="B269" s="154"/>
      <c r="C269" s="222"/>
      <c r="D269" s="3464"/>
      <c r="E269" s="145"/>
      <c r="F269" s="61"/>
      <c r="G269" s="223"/>
      <c r="H269" s="224"/>
      <c r="I269" s="225"/>
      <c r="J269" s="209"/>
      <c r="K269" s="226"/>
      <c r="L269" s="229"/>
      <c r="M269" s="188">
        <v>2669.52</v>
      </c>
      <c r="N269" s="188">
        <f t="shared" si="23"/>
        <v>2589.4344000000001</v>
      </c>
      <c r="O269" s="189">
        <v>7.0000000000000007E-2</v>
      </c>
      <c r="P269" s="170">
        <f t="shared" si="24"/>
        <v>2770.6948080000002</v>
      </c>
    </row>
    <row r="270" spans="1:16">
      <c r="A270" s="157"/>
      <c r="B270" s="154"/>
      <c r="C270" s="222"/>
      <c r="D270" s="3464"/>
      <c r="E270" s="145"/>
      <c r="F270" s="61"/>
      <c r="G270" s="223"/>
      <c r="H270" s="224"/>
      <c r="I270" s="225"/>
      <c r="J270" s="209"/>
      <c r="K270" s="226"/>
      <c r="L270" s="229"/>
      <c r="N270" s="188">
        <f t="shared" si="23"/>
        <v>0</v>
      </c>
      <c r="O270" s="189">
        <v>7.0000000000000007E-2</v>
      </c>
      <c r="P270" s="170">
        <f t="shared" si="24"/>
        <v>0</v>
      </c>
    </row>
    <row r="271" spans="1:16">
      <c r="A271" s="221"/>
      <c r="B271" s="240"/>
      <c r="C271" s="222"/>
      <c r="D271" s="3464"/>
      <c r="E271" s="145"/>
      <c r="F271" s="61"/>
      <c r="G271" s="223"/>
      <c r="H271" s="224"/>
      <c r="I271" s="225"/>
      <c r="J271" s="209"/>
      <c r="K271" s="226"/>
      <c r="L271" s="229"/>
      <c r="M271" s="188">
        <v>12972.96</v>
      </c>
      <c r="N271" s="188">
        <f t="shared" si="23"/>
        <v>12583.771199999999</v>
      </c>
      <c r="O271" s="189">
        <v>7.0000000000000007E-2</v>
      </c>
      <c r="P271" s="170">
        <f t="shared" si="24"/>
        <v>13464.635183999999</v>
      </c>
    </row>
    <row r="272" spans="1:16">
      <c r="A272" s="157"/>
      <c r="B272" s="154"/>
      <c r="C272" s="63"/>
      <c r="D272" s="199"/>
      <c r="E272" s="145"/>
      <c r="F272" s="61"/>
      <c r="G272" s="206"/>
      <c r="H272" s="74"/>
      <c r="I272" s="183"/>
      <c r="J272" s="209"/>
      <c r="K272" s="197"/>
      <c r="L272" s="229"/>
      <c r="M272" s="188">
        <v>12687.84</v>
      </c>
      <c r="N272" s="188">
        <f t="shared" si="23"/>
        <v>12307.2048</v>
      </c>
      <c r="O272" s="189">
        <v>7.0000000000000007E-2</v>
      </c>
      <c r="P272" s="170">
        <f t="shared" si="24"/>
        <v>13168.709135999999</v>
      </c>
    </row>
    <row r="273" spans="1:16">
      <c r="A273" s="157"/>
      <c r="B273" s="154"/>
      <c r="C273" s="63"/>
      <c r="D273" s="199"/>
      <c r="E273" s="145"/>
      <c r="F273" s="61"/>
      <c r="G273" s="206"/>
      <c r="H273" s="74"/>
      <c r="I273" s="183"/>
      <c r="J273" s="175"/>
      <c r="K273" s="197"/>
      <c r="L273" s="194"/>
      <c r="M273" s="188">
        <v>16572.599999999999</v>
      </c>
      <c r="N273" s="188">
        <f t="shared" si="23"/>
        <v>16075.421999999999</v>
      </c>
      <c r="O273" s="189">
        <v>7.0000000000000007E-2</v>
      </c>
      <c r="P273" s="170">
        <f t="shared" si="24"/>
        <v>17200.701539999998</v>
      </c>
    </row>
    <row r="274" spans="1:16">
      <c r="A274" s="157"/>
      <c r="B274" s="154"/>
      <c r="C274" s="63"/>
      <c r="D274" s="199"/>
      <c r="E274" s="90"/>
      <c r="F274" s="61"/>
      <c r="G274" s="206"/>
      <c r="H274" s="74"/>
      <c r="I274" s="203"/>
      <c r="J274" s="175"/>
      <c r="K274" s="197"/>
      <c r="L274" s="194"/>
      <c r="M274" s="188">
        <v>6021.12</v>
      </c>
      <c r="N274" s="188">
        <f>M274-(M274*0.03)</f>
        <v>5840.4863999999998</v>
      </c>
      <c r="O274" s="189">
        <v>7.0000000000000007E-2</v>
      </c>
      <c r="P274" s="170">
        <f>(N274*O274)+N274</f>
        <v>6249.3204479999995</v>
      </c>
    </row>
    <row r="275" spans="1:16">
      <c r="A275" s="157"/>
      <c r="B275" s="154"/>
      <c r="C275" s="63"/>
      <c r="D275" s="199"/>
      <c r="E275" s="90"/>
      <c r="F275" s="61"/>
      <c r="G275" s="206"/>
      <c r="H275" s="74"/>
      <c r="I275" s="183"/>
      <c r="J275" s="175"/>
      <c r="K275" s="197"/>
      <c r="L275" s="194"/>
      <c r="M275" s="188">
        <v>8714.16</v>
      </c>
      <c r="N275" s="188">
        <f>M275-(M275*0.03)</f>
        <v>8452.7351999999992</v>
      </c>
      <c r="O275" s="189">
        <v>7.0000000000000007E-2</v>
      </c>
      <c r="P275" s="170">
        <f>(N275*O275)+N275</f>
        <v>9044.4266639999987</v>
      </c>
    </row>
    <row r="276" spans="1:16">
      <c r="A276" s="157"/>
      <c r="B276" s="154"/>
      <c r="C276" s="63"/>
      <c r="D276" s="199"/>
      <c r="E276" s="90"/>
      <c r="F276" s="61"/>
      <c r="G276" s="206"/>
      <c r="H276" s="74"/>
      <c r="I276" s="183"/>
      <c r="J276" s="175"/>
      <c r="K276" s="197"/>
      <c r="L276" s="194"/>
      <c r="M276" s="188">
        <v>0</v>
      </c>
      <c r="N276" s="188">
        <f>M276-(M276*0.03)</f>
        <v>0</v>
      </c>
      <c r="O276" s="189">
        <v>7.0000000000000007E-2</v>
      </c>
      <c r="P276" s="170">
        <f t="shared" ref="P276:P282" si="25">(N276*O276)+N276</f>
        <v>0</v>
      </c>
    </row>
    <row r="277" spans="1:16">
      <c r="A277" s="157"/>
      <c r="B277" s="154"/>
      <c r="C277" s="63"/>
      <c r="D277" s="199"/>
      <c r="E277" s="90"/>
      <c r="F277" s="61"/>
      <c r="G277" s="206"/>
      <c r="H277" s="74"/>
      <c r="I277" s="183"/>
      <c r="J277" s="175"/>
      <c r="K277" s="197"/>
      <c r="L277" s="194"/>
      <c r="M277" s="188">
        <v>18537.7</v>
      </c>
      <c r="N277" s="188">
        <f>M277-(M277*0.03)</f>
        <v>17981.569</v>
      </c>
      <c r="O277" s="189">
        <v>7.0000000000000007E-2</v>
      </c>
      <c r="P277" s="170">
        <f t="shared" si="25"/>
        <v>19240.278829999999</v>
      </c>
    </row>
    <row r="278" spans="1:16" ht="35.25" customHeight="1">
      <c r="A278" s="158"/>
      <c r="B278" s="154"/>
      <c r="C278" s="63"/>
      <c r="D278" s="199"/>
      <c r="E278" s="91"/>
      <c r="F278" s="61"/>
      <c r="G278" s="206"/>
      <c r="H278" s="74"/>
      <c r="I278" s="183"/>
      <c r="J278" s="175"/>
      <c r="K278" s="197"/>
      <c r="L278" s="194"/>
      <c r="M278" s="188">
        <v>9031.68</v>
      </c>
      <c r="N278" s="188">
        <f t="shared" ref="N278:N288" si="26">M278-(M278*0.03)</f>
        <v>8760.7296000000006</v>
      </c>
      <c r="O278" s="189">
        <v>7.0000000000000007E-2</v>
      </c>
      <c r="P278" s="170">
        <f t="shared" si="25"/>
        <v>9373.9806720000015</v>
      </c>
    </row>
    <row r="279" spans="1:16">
      <c r="A279" s="200"/>
      <c r="B279" s="154"/>
      <c r="C279" s="63"/>
      <c r="D279" s="199"/>
      <c r="E279" s="153"/>
      <c r="F279" s="61"/>
      <c r="G279" s="206"/>
      <c r="H279" s="88"/>
      <c r="I279" s="184"/>
      <c r="J279" s="201"/>
      <c r="K279" s="202"/>
      <c r="L279" s="194"/>
      <c r="N279" s="188">
        <f t="shared" si="26"/>
        <v>0</v>
      </c>
      <c r="O279" s="189">
        <v>7.0000000000000007E-2</v>
      </c>
      <c r="P279" s="170">
        <f t="shared" si="25"/>
        <v>0</v>
      </c>
    </row>
    <row r="280" spans="1:16">
      <c r="A280" s="157"/>
      <c r="B280" s="154"/>
      <c r="C280" s="63"/>
      <c r="D280" s="199"/>
      <c r="E280" s="198"/>
      <c r="F280" s="61"/>
      <c r="G280" s="206"/>
      <c r="H280" s="74"/>
      <c r="I280" s="183"/>
      <c r="J280" s="175"/>
      <c r="K280" s="197"/>
      <c r="L280" s="194"/>
      <c r="M280" s="188">
        <v>8478.9599999999991</v>
      </c>
      <c r="N280" s="188">
        <f t="shared" si="26"/>
        <v>8224.5911999999989</v>
      </c>
      <c r="O280" s="189">
        <v>7.0000000000000007E-2</v>
      </c>
      <c r="P280" s="170">
        <f t="shared" si="25"/>
        <v>8800.3125839999993</v>
      </c>
    </row>
    <row r="281" spans="1:16" ht="35.25" customHeight="1">
      <c r="A281" s="157"/>
      <c r="B281" s="154"/>
      <c r="C281" s="63"/>
      <c r="D281" s="199"/>
      <c r="E281" s="142"/>
      <c r="F281" s="61"/>
      <c r="G281" s="206"/>
      <c r="H281" s="74"/>
      <c r="I281" s="183"/>
      <c r="J281" s="175"/>
      <c r="K281" s="197"/>
      <c r="L281" s="194"/>
      <c r="M281" s="188">
        <v>11122.62</v>
      </c>
      <c r="N281" s="188">
        <f t="shared" si="26"/>
        <v>10788.941400000002</v>
      </c>
      <c r="O281" s="189">
        <v>7.0000000000000007E-2</v>
      </c>
      <c r="P281" s="170">
        <f t="shared" si="25"/>
        <v>11544.167298000002</v>
      </c>
    </row>
    <row r="282" spans="1:16">
      <c r="A282" s="157"/>
      <c r="B282" s="154"/>
      <c r="C282" s="63"/>
      <c r="D282" s="196"/>
      <c r="E282" s="120"/>
      <c r="F282" s="121"/>
      <c r="G282" s="206"/>
      <c r="H282" s="115"/>
      <c r="I282" s="185"/>
      <c r="J282" s="175"/>
      <c r="K282" s="197"/>
      <c r="L282" s="194"/>
      <c r="M282" s="188">
        <v>3813.12</v>
      </c>
      <c r="N282" s="188">
        <f t="shared" si="26"/>
        <v>3698.7264</v>
      </c>
      <c r="O282" s="189">
        <v>7.0000000000000007E-2</v>
      </c>
      <c r="P282" s="170">
        <f t="shared" si="25"/>
        <v>3957.637248</v>
      </c>
    </row>
    <row r="283" spans="1:16">
      <c r="A283" s="157"/>
      <c r="B283" s="154"/>
      <c r="C283" s="63"/>
      <c r="D283" s="196"/>
      <c r="E283" s="249"/>
      <c r="F283" s="121"/>
      <c r="G283" s="206"/>
      <c r="H283" s="115"/>
      <c r="I283" s="185"/>
      <c r="J283" s="175"/>
      <c r="K283" s="197"/>
      <c r="L283" s="194"/>
    </row>
    <row r="284" spans="1:16">
      <c r="A284" s="157"/>
      <c r="B284" s="154"/>
      <c r="C284" s="63"/>
      <c r="D284" s="196"/>
      <c r="E284" s="249"/>
      <c r="F284" s="121"/>
      <c r="G284" s="206"/>
      <c r="H284" s="115"/>
      <c r="I284" s="185"/>
      <c r="J284" s="175"/>
      <c r="K284" s="197"/>
      <c r="L284" s="194"/>
    </row>
    <row r="285" spans="1:16">
      <c r="A285" s="157"/>
      <c r="B285" s="154"/>
      <c r="C285" s="63"/>
      <c r="D285" s="196"/>
      <c r="E285" s="249"/>
      <c r="F285" s="121"/>
      <c r="G285" s="206"/>
      <c r="H285" s="115"/>
      <c r="I285" s="185"/>
      <c r="J285" s="175"/>
      <c r="K285" s="197"/>
      <c r="L285" s="194"/>
    </row>
    <row r="286" spans="1:16">
      <c r="A286" s="157"/>
      <c r="B286" s="154"/>
      <c r="C286" s="63"/>
      <c r="D286" s="196"/>
      <c r="E286" s="142"/>
      <c r="F286" s="61"/>
      <c r="G286" s="206"/>
      <c r="H286" s="74"/>
      <c r="I286" s="183"/>
      <c r="J286" s="175"/>
      <c r="K286" s="197"/>
      <c r="L286" s="194"/>
    </row>
    <row r="287" spans="1:16">
      <c r="A287" s="157"/>
      <c r="B287" s="154"/>
      <c r="C287" s="63"/>
      <c r="D287" s="196"/>
      <c r="E287" s="142"/>
      <c r="F287" s="61"/>
      <c r="G287" s="206"/>
      <c r="H287" s="74"/>
      <c r="I287" s="183"/>
      <c r="J287" s="175"/>
      <c r="K287" s="197"/>
      <c r="L287" s="194"/>
    </row>
    <row r="288" spans="1:16">
      <c r="A288" s="157"/>
      <c r="B288" s="161"/>
      <c r="C288" s="63"/>
      <c r="D288" s="196"/>
      <c r="E288" s="142"/>
      <c r="F288" s="61"/>
      <c r="G288" s="206"/>
      <c r="H288" s="74"/>
      <c r="I288" s="183"/>
      <c r="J288" s="175"/>
      <c r="K288" s="197"/>
      <c r="L288" s="194"/>
      <c r="M288" s="188">
        <v>8640</v>
      </c>
      <c r="N288" s="188">
        <f t="shared" si="26"/>
        <v>8380.7999999999993</v>
      </c>
      <c r="O288" s="189">
        <v>7.0000000000000007E-2</v>
      </c>
      <c r="P288" s="170">
        <f>(N288*O288)+N288</f>
        <v>8967.4559999999983</v>
      </c>
    </row>
    <row r="289" spans="1:16">
      <c r="A289" s="157"/>
      <c r="B289" s="161"/>
      <c r="C289" s="63"/>
      <c r="D289" s="196"/>
      <c r="E289" s="142"/>
      <c r="F289" s="61"/>
      <c r="G289" s="206"/>
      <c r="H289" s="74"/>
      <c r="I289" s="183"/>
      <c r="J289" s="175"/>
      <c r="K289" s="197"/>
      <c r="L289" s="194"/>
    </row>
    <row r="290" spans="1:16">
      <c r="A290" s="157"/>
      <c r="B290" s="161"/>
      <c r="C290" s="63"/>
      <c r="D290" s="196"/>
      <c r="E290" s="142"/>
      <c r="F290" s="61"/>
      <c r="G290" s="206"/>
      <c r="H290" s="74"/>
      <c r="I290" s="183"/>
      <c r="J290" s="175"/>
      <c r="K290" s="197"/>
      <c r="L290" s="194"/>
    </row>
    <row r="291" spans="1:16">
      <c r="A291" s="157"/>
      <c r="B291" s="161"/>
      <c r="C291" s="63"/>
      <c r="D291" s="196"/>
      <c r="E291" s="142"/>
      <c r="F291" s="61"/>
      <c r="G291" s="206"/>
      <c r="H291" s="74"/>
      <c r="I291" s="183"/>
      <c r="J291" s="175"/>
      <c r="K291" s="197"/>
      <c r="L291" s="194"/>
    </row>
    <row r="292" spans="1:16">
      <c r="A292" s="160"/>
      <c r="B292" s="154"/>
      <c r="C292" s="63"/>
      <c r="D292" s="196"/>
      <c r="E292" s="120"/>
      <c r="F292" s="121"/>
      <c r="G292" s="206"/>
      <c r="H292" s="115"/>
      <c r="I292" s="185"/>
      <c r="J292" s="174"/>
      <c r="K292" s="195"/>
      <c r="L292" s="194"/>
    </row>
    <row r="293" spans="1:16">
      <c r="A293" s="204"/>
      <c r="B293" s="3444"/>
      <c r="C293" s="3444"/>
      <c r="D293" s="3444"/>
      <c r="E293" s="3444"/>
      <c r="F293" s="3444"/>
      <c r="G293" s="213"/>
      <c r="H293" s="109"/>
      <c r="I293" s="3444"/>
      <c r="J293" s="234"/>
      <c r="K293" s="3444"/>
      <c r="L293" s="235"/>
      <c r="M293" s="3444"/>
    </row>
    <row r="294" spans="1:16">
      <c r="A294" s="44" t="s">
        <v>0</v>
      </c>
      <c r="B294" s="127"/>
      <c r="C294" s="104"/>
      <c r="F294" s="68"/>
      <c r="I294" s="179"/>
      <c r="K294" s="163"/>
      <c r="L294" s="168"/>
    </row>
    <row r="295" spans="1:16">
      <c r="A295" s="3480" t="s">
        <v>2512</v>
      </c>
      <c r="B295" s="3480"/>
      <c r="C295" s="44"/>
      <c r="D295" s="109"/>
      <c r="F295" s="68"/>
      <c r="I295" s="179"/>
      <c r="K295" s="163"/>
      <c r="L295" s="168"/>
    </row>
    <row r="296" spans="1:16" ht="35.25" thickBot="1">
      <c r="F296" s="68"/>
    </row>
    <row r="297" spans="1:16">
      <c r="A297" s="3493" t="s">
        <v>2</v>
      </c>
      <c r="B297" s="3482"/>
      <c r="C297" s="48" t="s">
        <v>3</v>
      </c>
      <c r="D297" s="128" t="s">
        <v>4</v>
      </c>
      <c r="E297" s="77" t="s">
        <v>5</v>
      </c>
      <c r="F297" s="78" t="s">
        <v>5</v>
      </c>
      <c r="G297" s="211" t="s">
        <v>6</v>
      </c>
      <c r="H297" s="140" t="s">
        <v>7</v>
      </c>
      <c r="I297" s="180" t="s">
        <v>1511</v>
      </c>
      <c r="J297" s="172" t="s">
        <v>9</v>
      </c>
      <c r="K297" s="186" t="s">
        <v>9</v>
      </c>
      <c r="L297" s="192" t="s">
        <v>2495</v>
      </c>
      <c r="M297" s="190"/>
    </row>
    <row r="298" spans="1:16" ht="35.25" thickBot="1">
      <c r="A298" s="155"/>
      <c r="B298" s="138"/>
      <c r="C298" s="50"/>
      <c r="D298" s="129" t="s">
        <v>10</v>
      </c>
      <c r="E298" s="79" t="s">
        <v>11</v>
      </c>
      <c r="F298" s="80" t="s">
        <v>12</v>
      </c>
      <c r="G298" s="212"/>
      <c r="H298" s="141" t="s">
        <v>13</v>
      </c>
      <c r="I298" s="181" t="s">
        <v>1512</v>
      </c>
      <c r="J298" s="173" t="s">
        <v>15</v>
      </c>
      <c r="K298" s="187" t="s">
        <v>14</v>
      </c>
      <c r="L298" s="193" t="s">
        <v>2496</v>
      </c>
      <c r="M298" s="190"/>
    </row>
    <row r="299" spans="1:16">
      <c r="A299" s="156"/>
      <c r="B299" s="154"/>
      <c r="C299" s="63"/>
      <c r="D299" s="199"/>
      <c r="E299" s="143"/>
      <c r="F299" s="69"/>
      <c r="G299" s="206"/>
      <c r="H299" s="74"/>
      <c r="I299" s="183"/>
      <c r="J299" s="175"/>
      <c r="K299" s="172"/>
      <c r="L299" s="194"/>
      <c r="M299" s="188">
        <v>3552</v>
      </c>
      <c r="N299" s="188">
        <f t="shared" ref="N299:N315" si="27">M299-(M299*0.03)</f>
        <v>3445.44</v>
      </c>
      <c r="O299" s="189">
        <v>7.0000000000000007E-2</v>
      </c>
      <c r="P299" s="170">
        <f t="shared" ref="P299:P315" si="28">(N299*O299)+N299</f>
        <v>3686.6208000000001</v>
      </c>
    </row>
    <row r="300" spans="1:16">
      <c r="A300" s="157"/>
      <c r="B300" s="154"/>
      <c r="C300" s="63"/>
      <c r="D300" s="199"/>
      <c r="E300" s="145"/>
      <c r="F300" s="61"/>
      <c r="G300" s="206"/>
      <c r="H300" s="74"/>
      <c r="I300" s="183"/>
      <c r="J300" s="175"/>
      <c r="K300" s="176"/>
      <c r="L300" s="194"/>
      <c r="N300" s="188">
        <f t="shared" si="27"/>
        <v>0</v>
      </c>
      <c r="O300" s="189">
        <v>7.0000000000000007E-2</v>
      </c>
      <c r="P300" s="170">
        <f t="shared" si="28"/>
        <v>0</v>
      </c>
    </row>
    <row r="301" spans="1:16">
      <c r="A301" s="157"/>
      <c r="B301" s="239"/>
      <c r="C301" s="63"/>
      <c r="D301" s="199"/>
      <c r="E301" s="145"/>
      <c r="F301" s="61"/>
      <c r="G301" s="206"/>
      <c r="H301" s="74"/>
      <c r="I301" s="183"/>
      <c r="J301" s="175"/>
      <c r="K301" s="245"/>
      <c r="L301" s="194"/>
      <c r="M301" s="188">
        <v>9498.06</v>
      </c>
      <c r="N301" s="188">
        <f t="shared" si="27"/>
        <v>9213.118199999999</v>
      </c>
      <c r="O301" s="189">
        <v>7.0000000000000007E-2</v>
      </c>
      <c r="P301" s="170">
        <f t="shared" si="28"/>
        <v>9858.0364739999986</v>
      </c>
    </row>
    <row r="302" spans="1:16">
      <c r="A302" s="157"/>
      <c r="B302" s="239"/>
      <c r="C302" s="63"/>
      <c r="D302" s="199"/>
      <c r="E302" s="145"/>
      <c r="F302" s="61"/>
      <c r="G302" s="206"/>
      <c r="H302" s="74"/>
      <c r="I302" s="183"/>
      <c r="J302" s="175"/>
      <c r="K302" s="197"/>
      <c r="L302" s="194"/>
      <c r="M302" s="188">
        <v>15305.4</v>
      </c>
      <c r="N302" s="188">
        <f t="shared" si="27"/>
        <v>14846.237999999999</v>
      </c>
      <c r="O302" s="189">
        <v>7.0000000000000007E-2</v>
      </c>
      <c r="P302" s="170">
        <f t="shared" si="28"/>
        <v>15885.47466</v>
      </c>
    </row>
    <row r="303" spans="1:16">
      <c r="A303" s="157"/>
      <c r="B303" s="154"/>
      <c r="C303" s="63"/>
      <c r="D303" s="199"/>
      <c r="E303" s="145"/>
      <c r="F303" s="61"/>
      <c r="G303" s="206"/>
      <c r="H303" s="74"/>
      <c r="I303" s="183"/>
      <c r="J303" s="175"/>
      <c r="K303" s="197"/>
      <c r="L303" s="194"/>
      <c r="N303" s="188">
        <f t="shared" si="27"/>
        <v>0</v>
      </c>
      <c r="O303" s="189">
        <v>7.0000000000000007E-2</v>
      </c>
      <c r="P303" s="170">
        <f t="shared" si="28"/>
        <v>0</v>
      </c>
    </row>
    <row r="304" spans="1:16">
      <c r="A304" s="157"/>
      <c r="B304" s="154"/>
      <c r="C304" s="63"/>
      <c r="D304" s="199"/>
      <c r="E304" s="145"/>
      <c r="F304" s="61"/>
      <c r="G304" s="206"/>
      <c r="H304" s="74"/>
      <c r="I304" s="183"/>
      <c r="J304" s="175"/>
      <c r="K304" s="197"/>
      <c r="L304" s="194"/>
      <c r="N304" s="188">
        <f t="shared" si="27"/>
        <v>0</v>
      </c>
      <c r="O304" s="189">
        <v>7.0000000000000007E-2</v>
      </c>
      <c r="P304" s="170">
        <f t="shared" si="28"/>
        <v>0</v>
      </c>
    </row>
    <row r="305" spans="1:16">
      <c r="A305" s="157"/>
      <c r="B305" s="154"/>
      <c r="C305" s="63"/>
      <c r="D305" s="199"/>
      <c r="E305" s="145"/>
      <c r="F305" s="61"/>
      <c r="G305" s="206"/>
      <c r="H305" s="74"/>
      <c r="I305" s="183"/>
      <c r="J305" s="175"/>
      <c r="K305" s="197"/>
      <c r="L305" s="194"/>
      <c r="N305" s="188">
        <f t="shared" si="27"/>
        <v>0</v>
      </c>
      <c r="O305" s="189">
        <v>7.0000000000000007E-2</v>
      </c>
      <c r="P305" s="170">
        <f t="shared" si="28"/>
        <v>0</v>
      </c>
    </row>
    <row r="306" spans="1:16">
      <c r="A306" s="157"/>
      <c r="B306" s="239"/>
      <c r="C306" s="222"/>
      <c r="D306" s="3464"/>
      <c r="E306" s="145"/>
      <c r="F306" s="61"/>
      <c r="G306" s="223"/>
      <c r="H306" s="224"/>
      <c r="I306" s="225"/>
      <c r="J306" s="209"/>
      <c r="K306" s="244"/>
      <c r="M306" s="188">
        <v>14244.12</v>
      </c>
      <c r="N306" s="188">
        <f t="shared" si="27"/>
        <v>13816.796400000001</v>
      </c>
      <c r="O306" s="189">
        <v>7.0000000000000007E-2</v>
      </c>
      <c r="P306" s="170">
        <f t="shared" si="28"/>
        <v>14783.972148000001</v>
      </c>
    </row>
    <row r="307" spans="1:16">
      <c r="A307" s="157"/>
      <c r="B307" s="162"/>
      <c r="C307" s="63"/>
      <c r="D307" s="199"/>
      <c r="E307" s="145"/>
      <c r="F307" s="61"/>
      <c r="G307" s="206"/>
      <c r="H307" s="74"/>
      <c r="I307" s="183"/>
      <c r="J307" s="175"/>
      <c r="K307" s="197"/>
      <c r="L307" s="194"/>
      <c r="M307" s="188">
        <v>3240</v>
      </c>
      <c r="N307" s="188">
        <f t="shared" si="27"/>
        <v>3142.8</v>
      </c>
      <c r="O307" s="189">
        <v>7.0000000000000007E-2</v>
      </c>
      <c r="P307" s="170">
        <f t="shared" si="28"/>
        <v>3362.7960000000003</v>
      </c>
    </row>
    <row r="308" spans="1:16">
      <c r="A308" s="157"/>
      <c r="B308" s="162"/>
      <c r="C308" s="63"/>
      <c r="D308" s="199"/>
      <c r="E308" s="145"/>
      <c r="F308" s="61"/>
      <c r="G308" s="206"/>
      <c r="H308" s="74"/>
      <c r="I308" s="183"/>
      <c r="J308" s="175"/>
      <c r="K308" s="197"/>
      <c r="L308" s="194"/>
      <c r="M308" s="188">
        <v>14700</v>
      </c>
      <c r="N308" s="188">
        <f t="shared" si="27"/>
        <v>14259</v>
      </c>
      <c r="O308" s="189">
        <v>7.0000000000000007E-2</v>
      </c>
      <c r="P308" s="170">
        <f t="shared" si="28"/>
        <v>15257.130000000001</v>
      </c>
    </row>
    <row r="309" spans="1:16">
      <c r="A309" s="157"/>
      <c r="B309" s="162"/>
      <c r="C309" s="222"/>
      <c r="D309" s="3464"/>
      <c r="E309" s="237"/>
      <c r="F309" s="238"/>
      <c r="G309" s="223"/>
      <c r="H309" s="224"/>
      <c r="I309" s="225"/>
      <c r="J309" s="209"/>
      <c r="K309" s="226"/>
      <c r="L309" s="229"/>
      <c r="M309" s="188">
        <v>14582.7</v>
      </c>
      <c r="N309" s="188">
        <f t="shared" si="27"/>
        <v>14145.219000000001</v>
      </c>
      <c r="O309" s="189">
        <v>7.0000000000000007E-2</v>
      </c>
      <c r="P309" s="170">
        <f t="shared" si="28"/>
        <v>15135.384330000001</v>
      </c>
    </row>
    <row r="310" spans="1:16">
      <c r="A310" s="157"/>
      <c r="B310" s="162"/>
      <c r="C310" s="63"/>
      <c r="D310" s="199"/>
      <c r="E310" s="145"/>
      <c r="F310" s="61"/>
      <c r="G310" s="206"/>
      <c r="H310" s="74"/>
      <c r="I310" s="183"/>
      <c r="J310" s="175"/>
      <c r="K310" s="197"/>
      <c r="L310" s="229"/>
      <c r="M310" s="188">
        <v>13483.8</v>
      </c>
      <c r="N310" s="188">
        <f t="shared" si="27"/>
        <v>13079.286</v>
      </c>
      <c r="O310" s="189">
        <v>7.0000000000000007E-2</v>
      </c>
      <c r="P310" s="170">
        <f t="shared" si="28"/>
        <v>13994.836020000001</v>
      </c>
    </row>
    <row r="311" spans="1:16">
      <c r="A311" s="157"/>
      <c r="B311" s="154"/>
      <c r="C311" s="222"/>
      <c r="D311" s="3464"/>
      <c r="E311" s="145"/>
      <c r="F311" s="61"/>
      <c r="G311" s="223"/>
      <c r="H311" s="224"/>
      <c r="I311" s="225"/>
      <c r="J311" s="209"/>
      <c r="K311" s="226"/>
      <c r="L311" s="229"/>
      <c r="M311" s="188">
        <v>2669.52</v>
      </c>
      <c r="N311" s="188">
        <f t="shared" si="27"/>
        <v>2589.4344000000001</v>
      </c>
      <c r="O311" s="189">
        <v>7.0000000000000007E-2</v>
      </c>
      <c r="P311" s="170">
        <f t="shared" si="28"/>
        <v>2770.6948080000002</v>
      </c>
    </row>
    <row r="312" spans="1:16">
      <c r="A312" s="157"/>
      <c r="B312" s="154"/>
      <c r="C312" s="222"/>
      <c r="D312" s="3464"/>
      <c r="E312" s="145"/>
      <c r="F312" s="61"/>
      <c r="G312" s="223"/>
      <c r="H312" s="224"/>
      <c r="I312" s="225"/>
      <c r="J312" s="209"/>
      <c r="K312" s="226"/>
      <c r="L312" s="229"/>
      <c r="N312" s="188">
        <f t="shared" si="27"/>
        <v>0</v>
      </c>
      <c r="O312" s="189">
        <v>7.0000000000000007E-2</v>
      </c>
      <c r="P312" s="170">
        <f t="shared" si="28"/>
        <v>0</v>
      </c>
    </row>
    <row r="313" spans="1:16">
      <c r="A313" s="221"/>
      <c r="B313" s="240"/>
      <c r="C313" s="222"/>
      <c r="D313" s="3464"/>
      <c r="E313" s="145"/>
      <c r="F313" s="61"/>
      <c r="G313" s="223"/>
      <c r="H313" s="224"/>
      <c r="I313" s="225"/>
      <c r="J313" s="209"/>
      <c r="K313" s="226"/>
      <c r="L313" s="229"/>
      <c r="M313" s="188">
        <v>12972.96</v>
      </c>
      <c r="N313" s="188">
        <f t="shared" si="27"/>
        <v>12583.771199999999</v>
      </c>
      <c r="O313" s="189">
        <v>7.0000000000000007E-2</v>
      </c>
      <c r="P313" s="170">
        <f t="shared" si="28"/>
        <v>13464.635183999999</v>
      </c>
    </row>
    <row r="314" spans="1:16">
      <c r="A314" s="157"/>
      <c r="B314" s="154"/>
      <c r="C314" s="63"/>
      <c r="D314" s="199"/>
      <c r="E314" s="145"/>
      <c r="F314" s="61"/>
      <c r="G314" s="206"/>
      <c r="H314" s="74"/>
      <c r="I314" s="183"/>
      <c r="J314" s="209"/>
      <c r="K314" s="197"/>
      <c r="L314" s="229"/>
      <c r="M314" s="188">
        <v>12687.84</v>
      </c>
      <c r="N314" s="188">
        <f t="shared" si="27"/>
        <v>12307.2048</v>
      </c>
      <c r="O314" s="189">
        <v>7.0000000000000007E-2</v>
      </c>
      <c r="P314" s="170">
        <f t="shared" si="28"/>
        <v>13168.709135999999</v>
      </c>
    </row>
    <row r="315" spans="1:16">
      <c r="A315" s="157"/>
      <c r="B315" s="154"/>
      <c r="C315" s="63"/>
      <c r="D315" s="199"/>
      <c r="E315" s="145"/>
      <c r="F315" s="61"/>
      <c r="G315" s="206"/>
      <c r="H315" s="74"/>
      <c r="I315" s="183"/>
      <c r="J315" s="175"/>
      <c r="K315" s="197"/>
      <c r="L315" s="194"/>
      <c r="M315" s="188">
        <v>16572.599999999999</v>
      </c>
      <c r="N315" s="188">
        <f t="shared" si="27"/>
        <v>16075.421999999999</v>
      </c>
      <c r="O315" s="189">
        <v>7.0000000000000007E-2</v>
      </c>
      <c r="P315" s="170">
        <f t="shared" si="28"/>
        <v>17200.701539999998</v>
      </c>
    </row>
    <row r="316" spans="1:16">
      <c r="A316" s="157"/>
      <c r="B316" s="154"/>
      <c r="C316" s="63"/>
      <c r="D316" s="199"/>
      <c r="E316" s="90"/>
      <c r="F316" s="61"/>
      <c r="G316" s="206"/>
      <c r="H316" s="74"/>
      <c r="I316" s="203"/>
      <c r="J316" s="175"/>
      <c r="K316" s="197"/>
      <c r="L316" s="194"/>
      <c r="M316" s="188">
        <v>6021.12</v>
      </c>
      <c r="N316" s="188">
        <f t="shared" ref="N316:N324" si="29">M316-(M316*0.03)</f>
        <v>5840.4863999999998</v>
      </c>
      <c r="O316" s="189">
        <v>7.0000000000000007E-2</v>
      </c>
      <c r="P316" s="170">
        <f>(N316*O316)+N316</f>
        <v>6249.3204479999995</v>
      </c>
    </row>
    <row r="317" spans="1:16">
      <c r="A317" s="157"/>
      <c r="B317" s="154"/>
      <c r="C317" s="63"/>
      <c r="D317" s="199"/>
      <c r="E317" s="90"/>
      <c r="F317" s="61"/>
      <c r="G317" s="206"/>
      <c r="H317" s="74"/>
      <c r="I317" s="183"/>
      <c r="J317" s="175"/>
      <c r="K317" s="197"/>
      <c r="L317" s="194"/>
      <c r="M317" s="188">
        <v>8714.16</v>
      </c>
      <c r="N317" s="188">
        <f t="shared" si="29"/>
        <v>8452.7351999999992</v>
      </c>
      <c r="O317" s="189">
        <v>7.0000000000000007E-2</v>
      </c>
      <c r="P317" s="170">
        <f>(N317*O317)+N317</f>
        <v>9044.4266639999987</v>
      </c>
    </row>
    <row r="318" spans="1:16">
      <c r="A318" s="157"/>
      <c r="B318" s="154"/>
      <c r="C318" s="63"/>
      <c r="D318" s="199"/>
      <c r="E318" s="90"/>
      <c r="F318" s="61"/>
      <c r="G318" s="206"/>
      <c r="H318" s="74"/>
      <c r="I318" s="183"/>
      <c r="J318" s="175"/>
      <c r="K318" s="197"/>
      <c r="L318" s="194"/>
      <c r="M318" s="188">
        <v>0</v>
      </c>
      <c r="N318" s="188">
        <f t="shared" si="29"/>
        <v>0</v>
      </c>
      <c r="O318" s="189">
        <v>7.0000000000000007E-2</v>
      </c>
      <c r="P318" s="170">
        <f t="shared" ref="P318:P324" si="30">(N318*O318)+N318</f>
        <v>0</v>
      </c>
    </row>
    <row r="319" spans="1:16" ht="35.25" customHeight="1">
      <c r="A319" s="157"/>
      <c r="B319" s="154"/>
      <c r="C319" s="63"/>
      <c r="D319" s="199"/>
      <c r="E319" s="90"/>
      <c r="F319" s="61"/>
      <c r="G319" s="206"/>
      <c r="H319" s="74"/>
      <c r="I319" s="183"/>
      <c r="J319" s="175"/>
      <c r="K319" s="197"/>
      <c r="L319" s="194"/>
      <c r="M319" s="188">
        <v>18537.7</v>
      </c>
      <c r="N319" s="188">
        <f t="shared" si="29"/>
        <v>17981.569</v>
      </c>
      <c r="O319" s="189">
        <v>7.0000000000000007E-2</v>
      </c>
      <c r="P319" s="170">
        <f t="shared" si="30"/>
        <v>19240.278829999999</v>
      </c>
    </row>
    <row r="320" spans="1:16">
      <c r="A320" s="158"/>
      <c r="B320" s="154"/>
      <c r="C320" s="63"/>
      <c r="D320" s="199"/>
      <c r="E320" s="91"/>
      <c r="F320" s="61"/>
      <c r="G320" s="206"/>
      <c r="H320" s="74"/>
      <c r="I320" s="183"/>
      <c r="J320" s="175"/>
      <c r="K320" s="197"/>
      <c r="L320" s="194"/>
      <c r="M320" s="188">
        <v>9031.68</v>
      </c>
      <c r="N320" s="188">
        <f t="shared" si="29"/>
        <v>8760.7296000000006</v>
      </c>
      <c r="O320" s="189">
        <v>7.0000000000000007E-2</v>
      </c>
      <c r="P320" s="170">
        <f t="shared" si="30"/>
        <v>9373.9806720000015</v>
      </c>
    </row>
    <row r="321" spans="1:16">
      <c r="A321" s="200"/>
      <c r="B321" s="154"/>
      <c r="C321" s="63"/>
      <c r="D321" s="199"/>
      <c r="E321" s="153"/>
      <c r="F321" s="61"/>
      <c r="G321" s="206"/>
      <c r="H321" s="88"/>
      <c r="I321" s="184"/>
      <c r="J321" s="201"/>
      <c r="K321" s="202"/>
      <c r="L321" s="194"/>
      <c r="N321" s="188">
        <f t="shared" si="29"/>
        <v>0</v>
      </c>
      <c r="O321" s="189">
        <v>7.0000000000000007E-2</v>
      </c>
      <c r="P321" s="170">
        <f t="shared" si="30"/>
        <v>0</v>
      </c>
    </row>
    <row r="322" spans="1:16">
      <c r="A322" s="157"/>
      <c r="B322" s="154"/>
      <c r="C322" s="63"/>
      <c r="D322" s="199"/>
      <c r="E322" s="198"/>
      <c r="F322" s="61"/>
      <c r="G322" s="206"/>
      <c r="H322" s="74"/>
      <c r="I322" s="183"/>
      <c r="J322" s="175"/>
      <c r="K322" s="197"/>
      <c r="L322" s="194"/>
      <c r="M322" s="188">
        <v>8478.9599999999991</v>
      </c>
      <c r="N322" s="188">
        <f t="shared" si="29"/>
        <v>8224.5911999999989</v>
      </c>
      <c r="O322" s="189">
        <v>7.0000000000000007E-2</v>
      </c>
      <c r="P322" s="170">
        <f t="shared" si="30"/>
        <v>8800.3125839999993</v>
      </c>
    </row>
    <row r="323" spans="1:16">
      <c r="A323" s="157"/>
      <c r="B323" s="154"/>
      <c r="C323" s="63"/>
      <c r="D323" s="199"/>
      <c r="E323" s="142"/>
      <c r="F323" s="61"/>
      <c r="G323" s="206"/>
      <c r="H323" s="74"/>
      <c r="I323" s="183"/>
      <c r="J323" s="175"/>
      <c r="K323" s="197"/>
      <c r="L323" s="194"/>
      <c r="M323" s="188">
        <v>11122.62</v>
      </c>
      <c r="N323" s="188">
        <f t="shared" si="29"/>
        <v>10788.941400000002</v>
      </c>
      <c r="O323" s="189">
        <v>7.0000000000000007E-2</v>
      </c>
      <c r="P323" s="170">
        <f t="shared" si="30"/>
        <v>11544.167298000002</v>
      </c>
    </row>
    <row r="324" spans="1:16">
      <c r="A324" s="157"/>
      <c r="B324" s="154"/>
      <c r="C324" s="63"/>
      <c r="D324" s="196"/>
      <c r="E324" s="120"/>
      <c r="F324" s="121"/>
      <c r="G324" s="206"/>
      <c r="H324" s="115"/>
      <c r="I324" s="185"/>
      <c r="J324" s="175"/>
      <c r="K324" s="197"/>
      <c r="L324" s="194"/>
      <c r="M324" s="188">
        <v>3813.12</v>
      </c>
      <c r="N324" s="188">
        <f t="shared" si="29"/>
        <v>3698.7264</v>
      </c>
      <c r="O324" s="189">
        <v>7.0000000000000007E-2</v>
      </c>
      <c r="P324" s="170">
        <f t="shared" si="30"/>
        <v>3957.637248</v>
      </c>
    </row>
    <row r="325" spans="1:16">
      <c r="A325" s="157"/>
      <c r="B325" s="154"/>
      <c r="C325" s="63"/>
      <c r="D325" s="196"/>
      <c r="E325" s="249"/>
      <c r="F325" s="121"/>
      <c r="G325" s="206"/>
      <c r="H325" s="115"/>
      <c r="I325" s="185"/>
      <c r="J325" s="175"/>
      <c r="K325" s="197"/>
      <c r="L325" s="194"/>
    </row>
    <row r="326" spans="1:16">
      <c r="A326" s="157"/>
      <c r="B326" s="154"/>
      <c r="C326" s="63"/>
      <c r="D326" s="196"/>
      <c r="E326" s="249"/>
      <c r="F326" s="121"/>
      <c r="G326" s="206"/>
      <c r="H326" s="115"/>
      <c r="I326" s="185"/>
      <c r="J326" s="175"/>
      <c r="K326" s="197"/>
      <c r="L326" s="194"/>
    </row>
    <row r="327" spans="1:16">
      <c r="A327" s="157"/>
      <c r="B327" s="154"/>
      <c r="C327" s="63"/>
      <c r="D327" s="196"/>
      <c r="E327" s="249"/>
      <c r="F327" s="121"/>
      <c r="G327" s="206"/>
      <c r="H327" s="115"/>
      <c r="I327" s="185"/>
      <c r="J327" s="175"/>
      <c r="K327" s="197"/>
      <c r="L327" s="194"/>
    </row>
    <row r="328" spans="1:16">
      <c r="A328" s="157"/>
      <c r="B328" s="154"/>
      <c r="C328" s="63"/>
      <c r="D328" s="196"/>
      <c r="E328" s="249"/>
      <c r="F328" s="121"/>
      <c r="G328" s="206"/>
      <c r="H328" s="115"/>
      <c r="I328" s="185"/>
      <c r="J328" s="175"/>
      <c r="K328" s="197"/>
      <c r="L328" s="194"/>
    </row>
    <row r="329" spans="1:16">
      <c r="A329" s="157"/>
      <c r="B329" s="154"/>
      <c r="C329" s="63"/>
      <c r="D329" s="196"/>
      <c r="E329" s="249"/>
      <c r="F329" s="121"/>
      <c r="G329" s="206"/>
      <c r="H329" s="115"/>
      <c r="I329" s="185"/>
      <c r="J329" s="175"/>
      <c r="K329" s="197"/>
      <c r="L329" s="194"/>
    </row>
    <row r="330" spans="1:16">
      <c r="A330" s="157"/>
      <c r="B330" s="154"/>
      <c r="C330" s="63"/>
      <c r="D330" s="196"/>
      <c r="E330" s="142"/>
      <c r="F330" s="61"/>
      <c r="G330" s="206"/>
      <c r="H330" s="74"/>
      <c r="I330" s="183"/>
      <c r="J330" s="175"/>
      <c r="K330" s="197"/>
      <c r="L330" s="194"/>
    </row>
    <row r="331" spans="1:16">
      <c r="A331" s="157"/>
      <c r="B331" s="154"/>
      <c r="C331" s="63"/>
      <c r="D331" s="196"/>
      <c r="E331" s="142"/>
      <c r="F331" s="61"/>
      <c r="G331" s="206"/>
      <c r="H331" s="74"/>
      <c r="I331" s="183"/>
      <c r="J331" s="175"/>
      <c r="K331" s="197"/>
      <c r="L331" s="194"/>
    </row>
    <row r="332" spans="1:16">
      <c r="A332" s="157"/>
      <c r="B332" s="154"/>
      <c r="C332" s="63"/>
      <c r="D332" s="196"/>
      <c r="E332" s="142"/>
      <c r="F332" s="61"/>
      <c r="G332" s="206"/>
      <c r="H332" s="74"/>
      <c r="I332" s="183"/>
      <c r="J332" s="175"/>
      <c r="K332" s="197"/>
      <c r="L332" s="194"/>
    </row>
    <row r="333" spans="1:16">
      <c r="A333" s="157"/>
      <c r="B333" s="161"/>
      <c r="C333" s="63"/>
      <c r="D333" s="196"/>
      <c r="E333" s="142"/>
      <c r="F333" s="61"/>
      <c r="G333" s="206"/>
      <c r="H333" s="74"/>
      <c r="I333" s="183"/>
      <c r="J333" s="175"/>
      <c r="K333" s="197"/>
      <c r="L333" s="194"/>
      <c r="M333" s="188">
        <v>8640</v>
      </c>
      <c r="N333" s="188">
        <f>M333-(M333*0.03)</f>
        <v>8380.7999999999993</v>
      </c>
      <c r="O333" s="189">
        <v>7.0000000000000007E-2</v>
      </c>
      <c r="P333" s="170">
        <f>(N333*O333)+N333</f>
        <v>8967.4559999999983</v>
      </c>
    </row>
    <row r="334" spans="1:16">
      <c r="A334" s="160"/>
      <c r="B334" s="154"/>
      <c r="C334" s="63"/>
      <c r="D334" s="196"/>
      <c r="E334" s="120"/>
      <c r="F334" s="121"/>
      <c r="G334" s="206"/>
      <c r="H334" s="115"/>
      <c r="I334" s="185"/>
      <c r="J334" s="174"/>
      <c r="K334" s="195"/>
      <c r="L334" s="194"/>
    </row>
    <row r="335" spans="1:16">
      <c r="F335" s="68"/>
    </row>
    <row r="336" spans="1:16">
      <c r="A336" s="44" t="s">
        <v>0</v>
      </c>
      <c r="B336" s="127"/>
      <c r="C336" s="104"/>
      <c r="F336" s="68"/>
      <c r="I336" s="179"/>
      <c r="K336" s="163"/>
      <c r="L336" s="168"/>
    </row>
    <row r="337" spans="1:16">
      <c r="A337" s="3480" t="s">
        <v>2512</v>
      </c>
      <c r="B337" s="3480"/>
      <c r="C337" s="44"/>
      <c r="D337" s="109"/>
      <c r="F337" s="68"/>
      <c r="I337" s="179"/>
      <c r="K337" s="163"/>
      <c r="L337" s="168"/>
    </row>
    <row r="338" spans="1:16" ht="35.25" thickBot="1">
      <c r="F338" s="68"/>
    </row>
    <row r="339" spans="1:16">
      <c r="A339" s="3493" t="s">
        <v>2</v>
      </c>
      <c r="B339" s="3482"/>
      <c r="C339" s="48" t="s">
        <v>3</v>
      </c>
      <c r="D339" s="128" t="s">
        <v>4</v>
      </c>
      <c r="E339" s="77" t="s">
        <v>5</v>
      </c>
      <c r="F339" s="78" t="s">
        <v>5</v>
      </c>
      <c r="G339" s="211" t="s">
        <v>6</v>
      </c>
      <c r="H339" s="140" t="s">
        <v>7</v>
      </c>
      <c r="I339" s="180" t="s">
        <v>1511</v>
      </c>
      <c r="J339" s="172" t="s">
        <v>9</v>
      </c>
      <c r="K339" s="186" t="s">
        <v>9</v>
      </c>
      <c r="L339" s="192" t="s">
        <v>2495</v>
      </c>
      <c r="M339" s="190"/>
    </row>
    <row r="340" spans="1:16" ht="35.25" thickBot="1">
      <c r="A340" s="155"/>
      <c r="B340" s="138"/>
      <c r="C340" s="50"/>
      <c r="D340" s="129" t="s">
        <v>10</v>
      </c>
      <c r="E340" s="79" t="s">
        <v>11</v>
      </c>
      <c r="F340" s="80" t="s">
        <v>12</v>
      </c>
      <c r="G340" s="212"/>
      <c r="H340" s="141" t="s">
        <v>13</v>
      </c>
      <c r="I340" s="181" t="s">
        <v>1512</v>
      </c>
      <c r="J340" s="173" t="s">
        <v>15</v>
      </c>
      <c r="K340" s="187" t="s">
        <v>14</v>
      </c>
      <c r="L340" s="193" t="s">
        <v>2496</v>
      </c>
      <c r="M340" s="190"/>
    </row>
    <row r="341" spans="1:16">
      <c r="A341" s="156"/>
      <c r="B341" s="154"/>
      <c r="C341" s="63"/>
      <c r="D341" s="199"/>
      <c r="E341" s="143"/>
      <c r="F341" s="69"/>
      <c r="G341" s="206"/>
      <c r="H341" s="74"/>
      <c r="I341" s="183"/>
      <c r="J341" s="175"/>
      <c r="K341" s="172"/>
      <c r="L341" s="194"/>
      <c r="M341" s="188">
        <v>3552</v>
      </c>
      <c r="N341" s="188">
        <f t="shared" ref="N341:N357" si="31">M341-(M341*0.03)</f>
        <v>3445.44</v>
      </c>
      <c r="O341" s="189">
        <v>7.0000000000000007E-2</v>
      </c>
      <c r="P341" s="170">
        <f t="shared" ref="P341:P357" si="32">(N341*O341)+N341</f>
        <v>3686.6208000000001</v>
      </c>
    </row>
    <row r="342" spans="1:16">
      <c r="A342" s="157"/>
      <c r="B342" s="154"/>
      <c r="C342" s="63"/>
      <c r="D342" s="199"/>
      <c r="E342" s="145"/>
      <c r="F342" s="61"/>
      <c r="G342" s="206"/>
      <c r="H342" s="74"/>
      <c r="I342" s="183"/>
      <c r="J342" s="175"/>
      <c r="K342" s="176"/>
      <c r="L342" s="194"/>
      <c r="N342" s="188">
        <f t="shared" si="31"/>
        <v>0</v>
      </c>
      <c r="O342" s="189">
        <v>7.0000000000000007E-2</v>
      </c>
      <c r="P342" s="170">
        <f t="shared" si="32"/>
        <v>0</v>
      </c>
    </row>
    <row r="343" spans="1:16">
      <c r="A343" s="157"/>
      <c r="B343" s="239"/>
      <c r="C343" s="63"/>
      <c r="D343" s="199"/>
      <c r="E343" s="145"/>
      <c r="F343" s="61"/>
      <c r="G343" s="206"/>
      <c r="H343" s="74"/>
      <c r="I343" s="183"/>
      <c r="J343" s="175"/>
      <c r="K343" s="245"/>
      <c r="L343" s="194"/>
      <c r="M343" s="188">
        <v>9498.06</v>
      </c>
      <c r="N343" s="188">
        <f t="shared" si="31"/>
        <v>9213.118199999999</v>
      </c>
      <c r="O343" s="189">
        <v>7.0000000000000007E-2</v>
      </c>
      <c r="P343" s="170">
        <f t="shared" si="32"/>
        <v>9858.0364739999986</v>
      </c>
    </row>
    <row r="344" spans="1:16">
      <c r="A344" s="157"/>
      <c r="B344" s="239"/>
      <c r="C344" s="63"/>
      <c r="D344" s="199"/>
      <c r="E344" s="145"/>
      <c r="F344" s="61"/>
      <c r="G344" s="206"/>
      <c r="H344" s="74"/>
      <c r="I344" s="183"/>
      <c r="J344" s="175"/>
      <c r="K344" s="197"/>
      <c r="L344" s="194"/>
      <c r="M344" s="188">
        <v>15305.4</v>
      </c>
      <c r="N344" s="188">
        <f t="shared" si="31"/>
        <v>14846.237999999999</v>
      </c>
      <c r="O344" s="189">
        <v>7.0000000000000007E-2</v>
      </c>
      <c r="P344" s="170">
        <f t="shared" si="32"/>
        <v>15885.47466</v>
      </c>
    </row>
    <row r="345" spans="1:16">
      <c r="A345" s="157"/>
      <c r="B345" s="154"/>
      <c r="C345" s="63"/>
      <c r="D345" s="199"/>
      <c r="E345" s="145"/>
      <c r="F345" s="61"/>
      <c r="G345" s="206"/>
      <c r="H345" s="74"/>
      <c r="I345" s="183"/>
      <c r="J345" s="175"/>
      <c r="K345" s="197"/>
      <c r="L345" s="194"/>
      <c r="N345" s="188">
        <f t="shared" si="31"/>
        <v>0</v>
      </c>
      <c r="O345" s="189">
        <v>7.0000000000000007E-2</v>
      </c>
      <c r="P345" s="170">
        <f t="shared" si="32"/>
        <v>0</v>
      </c>
    </row>
    <row r="346" spans="1:16">
      <c r="A346" s="157"/>
      <c r="B346" s="154"/>
      <c r="C346" s="63"/>
      <c r="D346" s="199"/>
      <c r="E346" s="145"/>
      <c r="F346" s="61"/>
      <c r="G346" s="206"/>
      <c r="H346" s="74"/>
      <c r="I346" s="183"/>
      <c r="J346" s="175"/>
      <c r="K346" s="197"/>
      <c r="L346" s="194"/>
      <c r="N346" s="188">
        <f t="shared" si="31"/>
        <v>0</v>
      </c>
      <c r="O346" s="189">
        <v>7.0000000000000007E-2</v>
      </c>
      <c r="P346" s="170">
        <f t="shared" si="32"/>
        <v>0</v>
      </c>
    </row>
    <row r="347" spans="1:16">
      <c r="A347" s="157"/>
      <c r="B347" s="154"/>
      <c r="C347" s="63"/>
      <c r="D347" s="199"/>
      <c r="E347" s="145"/>
      <c r="F347" s="61"/>
      <c r="G347" s="206"/>
      <c r="H347" s="74"/>
      <c r="I347" s="183"/>
      <c r="J347" s="175"/>
      <c r="K347" s="197"/>
      <c r="L347" s="194"/>
      <c r="N347" s="188">
        <f t="shared" si="31"/>
        <v>0</v>
      </c>
      <c r="O347" s="189">
        <v>7.0000000000000007E-2</v>
      </c>
      <c r="P347" s="170">
        <f t="shared" si="32"/>
        <v>0</v>
      </c>
    </row>
    <row r="348" spans="1:16">
      <c r="A348" s="157"/>
      <c r="B348" s="239"/>
      <c r="C348" s="222"/>
      <c r="D348" s="3464"/>
      <c r="E348" s="145"/>
      <c r="F348" s="61"/>
      <c r="G348" s="223"/>
      <c r="H348" s="224"/>
      <c r="I348" s="225"/>
      <c r="J348" s="209"/>
      <c r="K348" s="244"/>
      <c r="M348" s="188">
        <v>14244.12</v>
      </c>
      <c r="N348" s="188">
        <f t="shared" si="31"/>
        <v>13816.796400000001</v>
      </c>
      <c r="O348" s="189">
        <v>7.0000000000000007E-2</v>
      </c>
      <c r="P348" s="170">
        <f t="shared" si="32"/>
        <v>14783.972148000001</v>
      </c>
    </row>
    <row r="349" spans="1:16">
      <c r="A349" s="157"/>
      <c r="B349" s="162"/>
      <c r="C349" s="63"/>
      <c r="D349" s="199"/>
      <c r="E349" s="145"/>
      <c r="F349" s="61"/>
      <c r="G349" s="206"/>
      <c r="H349" s="74"/>
      <c r="I349" s="183"/>
      <c r="J349" s="175"/>
      <c r="K349" s="197"/>
      <c r="L349" s="194"/>
      <c r="M349" s="188">
        <v>3240</v>
      </c>
      <c r="N349" s="188">
        <f t="shared" si="31"/>
        <v>3142.8</v>
      </c>
      <c r="O349" s="189">
        <v>7.0000000000000007E-2</v>
      </c>
      <c r="P349" s="170">
        <f t="shared" si="32"/>
        <v>3362.7960000000003</v>
      </c>
    </row>
    <row r="350" spans="1:16">
      <c r="A350" s="157"/>
      <c r="B350" s="162"/>
      <c r="C350" s="63"/>
      <c r="D350" s="199"/>
      <c r="E350" s="145"/>
      <c r="F350" s="61"/>
      <c r="G350" s="206"/>
      <c r="H350" s="74"/>
      <c r="I350" s="183"/>
      <c r="J350" s="175"/>
      <c r="K350" s="197"/>
      <c r="L350" s="194"/>
      <c r="M350" s="188">
        <v>14700</v>
      </c>
      <c r="N350" s="188">
        <f t="shared" si="31"/>
        <v>14259</v>
      </c>
      <c r="O350" s="189">
        <v>7.0000000000000007E-2</v>
      </c>
      <c r="P350" s="170">
        <f t="shared" si="32"/>
        <v>15257.130000000001</v>
      </c>
    </row>
    <row r="351" spans="1:16">
      <c r="A351" s="157"/>
      <c r="B351" s="162"/>
      <c r="C351" s="222"/>
      <c r="D351" s="3464"/>
      <c r="E351" s="237"/>
      <c r="F351" s="238"/>
      <c r="G351" s="223"/>
      <c r="H351" s="224"/>
      <c r="I351" s="225"/>
      <c r="J351" s="209"/>
      <c r="K351" s="226"/>
      <c r="L351" s="229"/>
      <c r="M351" s="188">
        <v>14582.7</v>
      </c>
      <c r="N351" s="188">
        <f t="shared" si="31"/>
        <v>14145.219000000001</v>
      </c>
      <c r="O351" s="189">
        <v>7.0000000000000007E-2</v>
      </c>
      <c r="P351" s="170">
        <f t="shared" si="32"/>
        <v>15135.384330000001</v>
      </c>
    </row>
    <row r="352" spans="1:16">
      <c r="A352" s="157"/>
      <c r="B352" s="162"/>
      <c r="C352" s="63"/>
      <c r="D352" s="199"/>
      <c r="E352" s="145"/>
      <c r="F352" s="61"/>
      <c r="G352" s="206"/>
      <c r="H352" s="74"/>
      <c r="I352" s="183"/>
      <c r="J352" s="175"/>
      <c r="K352" s="197"/>
      <c r="L352" s="229"/>
      <c r="M352" s="188">
        <v>13483.8</v>
      </c>
      <c r="N352" s="188">
        <f t="shared" si="31"/>
        <v>13079.286</v>
      </c>
      <c r="O352" s="189">
        <v>7.0000000000000007E-2</v>
      </c>
      <c r="P352" s="170">
        <f t="shared" si="32"/>
        <v>13994.836020000001</v>
      </c>
    </row>
    <row r="353" spans="1:16">
      <c r="A353" s="157"/>
      <c r="B353" s="154"/>
      <c r="C353" s="222"/>
      <c r="D353" s="3464"/>
      <c r="E353" s="145"/>
      <c r="F353" s="61"/>
      <c r="G353" s="223"/>
      <c r="H353" s="224"/>
      <c r="I353" s="225"/>
      <c r="J353" s="209"/>
      <c r="K353" s="226"/>
      <c r="L353" s="229"/>
      <c r="M353" s="188">
        <v>2669.52</v>
      </c>
      <c r="N353" s="188">
        <f t="shared" si="31"/>
        <v>2589.4344000000001</v>
      </c>
      <c r="O353" s="189">
        <v>7.0000000000000007E-2</v>
      </c>
      <c r="P353" s="170">
        <f t="shared" si="32"/>
        <v>2770.6948080000002</v>
      </c>
    </row>
    <row r="354" spans="1:16">
      <c r="A354" s="157"/>
      <c r="B354" s="154"/>
      <c r="C354" s="222"/>
      <c r="D354" s="3464"/>
      <c r="E354" s="145"/>
      <c r="F354" s="61"/>
      <c r="G354" s="223"/>
      <c r="H354" s="224"/>
      <c r="I354" s="225"/>
      <c r="J354" s="209"/>
      <c r="K354" s="226"/>
      <c r="L354" s="229"/>
      <c r="N354" s="188">
        <f t="shared" si="31"/>
        <v>0</v>
      </c>
      <c r="O354" s="189">
        <v>7.0000000000000007E-2</v>
      </c>
      <c r="P354" s="170">
        <f t="shared" si="32"/>
        <v>0</v>
      </c>
    </row>
    <row r="355" spans="1:16">
      <c r="A355" s="221"/>
      <c r="B355" s="240"/>
      <c r="C355" s="222"/>
      <c r="D355" s="3464"/>
      <c r="E355" s="145"/>
      <c r="F355" s="61"/>
      <c r="G355" s="223"/>
      <c r="H355" s="224"/>
      <c r="I355" s="225"/>
      <c r="J355" s="209"/>
      <c r="K355" s="226"/>
      <c r="L355" s="229"/>
      <c r="M355" s="188">
        <v>12972.96</v>
      </c>
      <c r="N355" s="188">
        <f t="shared" si="31"/>
        <v>12583.771199999999</v>
      </c>
      <c r="O355" s="189">
        <v>7.0000000000000007E-2</v>
      </c>
      <c r="P355" s="170">
        <f t="shared" si="32"/>
        <v>13464.635183999999</v>
      </c>
    </row>
    <row r="356" spans="1:16">
      <c r="A356" s="157"/>
      <c r="B356" s="154"/>
      <c r="C356" s="63"/>
      <c r="D356" s="199"/>
      <c r="E356" s="145"/>
      <c r="F356" s="61"/>
      <c r="G356" s="206"/>
      <c r="H356" s="74"/>
      <c r="I356" s="183"/>
      <c r="J356" s="209"/>
      <c r="K356" s="197"/>
      <c r="L356" s="229"/>
      <c r="M356" s="188">
        <v>12687.84</v>
      </c>
      <c r="N356" s="188">
        <f t="shared" si="31"/>
        <v>12307.2048</v>
      </c>
      <c r="O356" s="189">
        <v>7.0000000000000007E-2</v>
      </c>
      <c r="P356" s="170">
        <f t="shared" si="32"/>
        <v>13168.709135999999</v>
      </c>
    </row>
    <row r="357" spans="1:16" ht="35.25" customHeight="1">
      <c r="A357" s="157"/>
      <c r="B357" s="154"/>
      <c r="C357" s="63"/>
      <c r="D357" s="199"/>
      <c r="E357" s="145"/>
      <c r="F357" s="61"/>
      <c r="G357" s="206"/>
      <c r="H357" s="74"/>
      <c r="I357" s="183"/>
      <c r="J357" s="175"/>
      <c r="K357" s="197"/>
      <c r="L357" s="194"/>
      <c r="M357" s="188">
        <v>16572.599999999999</v>
      </c>
      <c r="N357" s="188">
        <f t="shared" si="31"/>
        <v>16075.421999999999</v>
      </c>
      <c r="O357" s="189">
        <v>7.0000000000000007E-2</v>
      </c>
      <c r="P357" s="170">
        <f t="shared" si="32"/>
        <v>17200.701539999998</v>
      </c>
    </row>
    <row r="358" spans="1:16">
      <c r="A358" s="157"/>
      <c r="B358" s="154"/>
      <c r="C358" s="63"/>
      <c r="D358" s="199"/>
      <c r="E358" s="90"/>
      <c r="F358" s="61"/>
      <c r="G358" s="206"/>
      <c r="H358" s="74"/>
      <c r="I358" s="203"/>
      <c r="J358" s="175"/>
      <c r="K358" s="197"/>
      <c r="L358" s="194"/>
      <c r="M358" s="188">
        <v>6021.12</v>
      </c>
      <c r="N358" s="188">
        <f>M358-(M358*0.03)</f>
        <v>5840.4863999999998</v>
      </c>
      <c r="O358" s="189">
        <v>7.0000000000000007E-2</v>
      </c>
      <c r="P358" s="170">
        <f>(N358*O358)+N358</f>
        <v>6249.3204479999995</v>
      </c>
    </row>
    <row r="359" spans="1:16">
      <c r="A359" s="157"/>
      <c r="B359" s="154"/>
      <c r="C359" s="63"/>
      <c r="D359" s="199"/>
      <c r="E359" s="90"/>
      <c r="F359" s="61"/>
      <c r="G359" s="206"/>
      <c r="H359" s="74"/>
      <c r="I359" s="183"/>
      <c r="J359" s="175"/>
      <c r="K359" s="197"/>
      <c r="L359" s="194"/>
      <c r="M359" s="188">
        <v>8714.16</v>
      </c>
      <c r="N359" s="188">
        <f>M359-(M359*0.03)</f>
        <v>8452.7351999999992</v>
      </c>
      <c r="O359" s="189">
        <v>7.0000000000000007E-2</v>
      </c>
      <c r="P359" s="170">
        <f>(N359*O359)+N359</f>
        <v>9044.4266639999987</v>
      </c>
    </row>
    <row r="360" spans="1:16">
      <c r="A360" s="157"/>
      <c r="B360" s="154"/>
      <c r="C360" s="63"/>
      <c r="D360" s="199"/>
      <c r="E360" s="90"/>
      <c r="F360" s="61"/>
      <c r="G360" s="206"/>
      <c r="H360" s="74"/>
      <c r="I360" s="183"/>
      <c r="J360" s="175"/>
      <c r="K360" s="197"/>
      <c r="L360" s="194"/>
      <c r="M360" s="188">
        <v>0</v>
      </c>
      <c r="N360" s="188">
        <f>M360-(M360*0.03)</f>
        <v>0</v>
      </c>
      <c r="O360" s="189">
        <v>7.0000000000000007E-2</v>
      </c>
      <c r="P360" s="170">
        <f t="shared" ref="P360:P366" si="33">(N360*O360)+N360</f>
        <v>0</v>
      </c>
    </row>
    <row r="361" spans="1:16">
      <c r="A361" s="157"/>
      <c r="B361" s="154"/>
      <c r="C361" s="63"/>
      <c r="D361" s="199"/>
      <c r="E361" s="90"/>
      <c r="F361" s="61"/>
      <c r="G361" s="206"/>
      <c r="H361" s="74"/>
      <c r="I361" s="183"/>
      <c r="J361" s="175"/>
      <c r="K361" s="197"/>
      <c r="L361" s="194"/>
      <c r="M361" s="188">
        <v>18537.7</v>
      </c>
      <c r="N361" s="188">
        <f>M361-(M361*0.03)</f>
        <v>17981.569</v>
      </c>
      <c r="O361" s="189">
        <v>7.0000000000000007E-2</v>
      </c>
      <c r="P361" s="170">
        <f t="shared" si="33"/>
        <v>19240.278829999999</v>
      </c>
    </row>
    <row r="362" spans="1:16">
      <c r="A362" s="158"/>
      <c r="B362" s="154"/>
      <c r="C362" s="63"/>
      <c r="D362" s="199"/>
      <c r="E362" s="91"/>
      <c r="F362" s="61"/>
      <c r="G362" s="206"/>
      <c r="H362" s="74"/>
      <c r="I362" s="183"/>
      <c r="J362" s="175"/>
      <c r="K362" s="197"/>
      <c r="L362" s="194"/>
      <c r="M362" s="188">
        <v>9031.68</v>
      </c>
      <c r="N362" s="188">
        <f t="shared" ref="N362:N372" si="34">M362-(M362*0.03)</f>
        <v>8760.7296000000006</v>
      </c>
      <c r="O362" s="189">
        <v>7.0000000000000007E-2</v>
      </c>
      <c r="P362" s="170">
        <f t="shared" si="33"/>
        <v>9373.9806720000015</v>
      </c>
    </row>
    <row r="363" spans="1:16">
      <c r="A363" s="200"/>
      <c r="B363" s="154"/>
      <c r="C363" s="63"/>
      <c r="D363" s="199"/>
      <c r="E363" s="153"/>
      <c r="F363" s="61"/>
      <c r="G363" s="206"/>
      <c r="H363" s="88"/>
      <c r="I363" s="184"/>
      <c r="J363" s="201"/>
      <c r="K363" s="202"/>
      <c r="L363" s="194"/>
      <c r="N363" s="188">
        <f t="shared" si="34"/>
        <v>0</v>
      </c>
      <c r="O363" s="189">
        <v>7.0000000000000007E-2</v>
      </c>
      <c r="P363" s="170">
        <f t="shared" si="33"/>
        <v>0</v>
      </c>
    </row>
    <row r="364" spans="1:16">
      <c r="A364" s="157"/>
      <c r="B364" s="154"/>
      <c r="C364" s="63"/>
      <c r="D364" s="199"/>
      <c r="E364" s="198"/>
      <c r="F364" s="61"/>
      <c r="G364" s="206"/>
      <c r="H364" s="74"/>
      <c r="I364" s="183"/>
      <c r="J364" s="175"/>
      <c r="K364" s="197"/>
      <c r="L364" s="194"/>
      <c r="M364" s="188">
        <v>8478.9599999999991</v>
      </c>
      <c r="N364" s="188">
        <f t="shared" si="34"/>
        <v>8224.5911999999989</v>
      </c>
      <c r="O364" s="189">
        <v>7.0000000000000007E-2</v>
      </c>
      <c r="P364" s="170">
        <f t="shared" si="33"/>
        <v>8800.3125839999993</v>
      </c>
    </row>
    <row r="365" spans="1:16">
      <c r="A365" s="157"/>
      <c r="B365" s="154"/>
      <c r="C365" s="63"/>
      <c r="D365" s="199"/>
      <c r="E365" s="142"/>
      <c r="F365" s="61"/>
      <c r="G365" s="206"/>
      <c r="H365" s="74"/>
      <c r="I365" s="183"/>
      <c r="J365" s="175"/>
      <c r="K365" s="197"/>
      <c r="L365" s="194"/>
      <c r="M365" s="188">
        <v>11122.62</v>
      </c>
      <c r="N365" s="188">
        <f t="shared" si="34"/>
        <v>10788.941400000002</v>
      </c>
      <c r="O365" s="189">
        <v>7.0000000000000007E-2</v>
      </c>
      <c r="P365" s="170">
        <f t="shared" si="33"/>
        <v>11544.167298000002</v>
      </c>
    </row>
    <row r="366" spans="1:16">
      <c r="A366" s="157"/>
      <c r="B366" s="154"/>
      <c r="C366" s="63"/>
      <c r="D366" s="196"/>
      <c r="E366" s="120"/>
      <c r="F366" s="121"/>
      <c r="G366" s="206"/>
      <c r="H366" s="115"/>
      <c r="I366" s="185"/>
      <c r="J366" s="175"/>
      <c r="K366" s="197"/>
      <c r="L366" s="194"/>
      <c r="M366" s="188">
        <v>3813.12</v>
      </c>
      <c r="N366" s="188">
        <f t="shared" si="34"/>
        <v>3698.7264</v>
      </c>
      <c r="O366" s="189">
        <v>7.0000000000000007E-2</v>
      </c>
      <c r="P366" s="170">
        <f t="shared" si="33"/>
        <v>3957.637248</v>
      </c>
    </row>
    <row r="367" spans="1:16">
      <c r="A367" s="157"/>
      <c r="B367" s="154"/>
      <c r="C367" s="63"/>
      <c r="D367" s="196"/>
      <c r="E367" s="249"/>
      <c r="F367" s="121"/>
      <c r="G367" s="206"/>
      <c r="H367" s="115"/>
      <c r="I367" s="185"/>
      <c r="J367" s="175"/>
      <c r="K367" s="197"/>
      <c r="L367" s="194"/>
    </row>
    <row r="368" spans="1:16">
      <c r="A368" s="157"/>
      <c r="B368" s="154"/>
      <c r="C368" s="63"/>
      <c r="D368" s="196"/>
      <c r="E368" s="249"/>
      <c r="F368" s="121"/>
      <c r="G368" s="206"/>
      <c r="H368" s="115"/>
      <c r="I368" s="185"/>
      <c r="J368" s="175"/>
      <c r="K368" s="197"/>
      <c r="L368" s="194"/>
    </row>
    <row r="369" spans="1:16">
      <c r="A369" s="157"/>
      <c r="B369" s="154"/>
      <c r="C369" s="63"/>
      <c r="D369" s="196"/>
      <c r="E369" s="249"/>
      <c r="F369" s="121"/>
      <c r="G369" s="206"/>
      <c r="H369" s="115"/>
      <c r="I369" s="185"/>
      <c r="J369" s="175"/>
      <c r="K369" s="197"/>
      <c r="L369" s="194"/>
    </row>
    <row r="370" spans="1:16">
      <c r="A370" s="157"/>
      <c r="B370" s="154"/>
      <c r="C370" s="63"/>
      <c r="D370" s="196"/>
      <c r="E370" s="142"/>
      <c r="F370" s="61"/>
      <c r="G370" s="206"/>
      <c r="H370" s="74"/>
      <c r="I370" s="183"/>
      <c r="J370" s="175"/>
      <c r="K370" s="197"/>
      <c r="L370" s="194"/>
    </row>
    <row r="371" spans="1:16">
      <c r="A371" s="157"/>
      <c r="B371" s="154"/>
      <c r="C371" s="63"/>
      <c r="D371" s="196"/>
      <c r="E371" s="142"/>
      <c r="F371" s="61"/>
      <c r="G371" s="206"/>
      <c r="H371" s="74"/>
      <c r="I371" s="183"/>
      <c r="J371" s="175"/>
      <c r="K371" s="197"/>
      <c r="L371" s="194"/>
    </row>
    <row r="372" spans="1:16">
      <c r="A372" s="157"/>
      <c r="B372" s="161"/>
      <c r="C372" s="63"/>
      <c r="D372" s="196"/>
      <c r="E372" s="142"/>
      <c r="F372" s="61"/>
      <c r="G372" s="206"/>
      <c r="H372" s="74"/>
      <c r="I372" s="183"/>
      <c r="J372" s="175"/>
      <c r="K372" s="197"/>
      <c r="L372" s="194"/>
      <c r="M372" s="188">
        <v>8640</v>
      </c>
      <c r="N372" s="188">
        <f t="shared" si="34"/>
        <v>8380.7999999999993</v>
      </c>
      <c r="O372" s="189">
        <v>7.0000000000000007E-2</v>
      </c>
      <c r="P372" s="170">
        <f>(N372*O372)+N372</f>
        <v>8967.4559999999983</v>
      </c>
    </row>
    <row r="373" spans="1:16">
      <c r="A373" s="157"/>
      <c r="B373" s="161"/>
      <c r="C373" s="63"/>
      <c r="D373" s="196"/>
      <c r="E373" s="142"/>
      <c r="F373" s="61"/>
      <c r="G373" s="206"/>
      <c r="H373" s="74"/>
      <c r="I373" s="183"/>
      <c r="J373" s="175"/>
      <c r="K373" s="197"/>
      <c r="L373" s="194"/>
    </row>
    <row r="374" spans="1:16">
      <c r="A374" s="157"/>
      <c r="B374" s="161"/>
      <c r="C374" s="63"/>
      <c r="D374" s="196"/>
      <c r="E374" s="142"/>
      <c r="F374" s="61"/>
      <c r="G374" s="206"/>
      <c r="H374" s="74"/>
      <c r="I374" s="183"/>
      <c r="J374" s="175"/>
      <c r="K374" s="197"/>
      <c r="L374" s="194"/>
    </row>
    <row r="375" spans="1:16">
      <c r="A375" s="157"/>
      <c r="B375" s="161"/>
      <c r="C375" s="63"/>
      <c r="D375" s="196"/>
      <c r="E375" s="142"/>
      <c r="F375" s="61"/>
      <c r="G375" s="206"/>
      <c r="H375" s="74"/>
      <c r="I375" s="183"/>
      <c r="J375" s="175"/>
      <c r="K375" s="197"/>
      <c r="L375" s="194"/>
    </row>
    <row r="376" spans="1:16">
      <c r="A376" s="160"/>
      <c r="B376" s="154"/>
      <c r="C376" s="63"/>
      <c r="D376" s="196"/>
      <c r="E376" s="120"/>
      <c r="F376" s="121"/>
      <c r="G376" s="206"/>
      <c r="H376" s="115"/>
      <c r="I376" s="185"/>
      <c r="J376" s="174"/>
      <c r="K376" s="195"/>
      <c r="L376" s="194"/>
    </row>
    <row r="377" spans="1:16">
      <c r="A377" s="204"/>
      <c r="B377" s="3444"/>
      <c r="C377" s="3444"/>
      <c r="D377" s="3444"/>
      <c r="E377" s="3444"/>
      <c r="F377" s="3444"/>
      <c r="G377" s="213"/>
      <c r="H377" s="109"/>
      <c r="I377" s="3444"/>
      <c r="J377" s="234"/>
      <c r="K377" s="3444"/>
      <c r="L377" s="235"/>
      <c r="M377" s="3444"/>
    </row>
    <row r="378" spans="1:16">
      <c r="A378" s="44" t="s">
        <v>0</v>
      </c>
      <c r="B378" s="127"/>
      <c r="C378" s="104"/>
      <c r="F378" s="68"/>
      <c r="I378" s="179"/>
      <c r="K378" s="163"/>
      <c r="L378" s="168"/>
    </row>
    <row r="379" spans="1:16">
      <c r="A379" s="3480" t="s">
        <v>2512</v>
      </c>
      <c r="B379" s="3480"/>
      <c r="C379" s="44"/>
      <c r="D379" s="109"/>
      <c r="F379" s="68"/>
      <c r="I379" s="179"/>
      <c r="K379" s="163"/>
      <c r="L379" s="168"/>
    </row>
    <row r="380" spans="1:16" ht="35.25" thickBot="1">
      <c r="F380" s="68"/>
    </row>
    <row r="381" spans="1:16">
      <c r="A381" s="3493" t="s">
        <v>2</v>
      </c>
      <c r="B381" s="3482"/>
      <c r="C381" s="48" t="s">
        <v>3</v>
      </c>
      <c r="D381" s="128" t="s">
        <v>4</v>
      </c>
      <c r="E381" s="77" t="s">
        <v>5</v>
      </c>
      <c r="F381" s="78" t="s">
        <v>5</v>
      </c>
      <c r="G381" s="211" t="s">
        <v>6</v>
      </c>
      <c r="H381" s="140" t="s">
        <v>7</v>
      </c>
      <c r="I381" s="180" t="s">
        <v>1511</v>
      </c>
      <c r="J381" s="172" t="s">
        <v>9</v>
      </c>
      <c r="K381" s="186" t="s">
        <v>9</v>
      </c>
      <c r="L381" s="192" t="s">
        <v>2495</v>
      </c>
      <c r="M381" s="190"/>
    </row>
    <row r="382" spans="1:16" ht="35.25" thickBot="1">
      <c r="A382" s="155"/>
      <c r="B382" s="138"/>
      <c r="C382" s="50"/>
      <c r="D382" s="129" t="s">
        <v>10</v>
      </c>
      <c r="E382" s="79" t="s">
        <v>11</v>
      </c>
      <c r="F382" s="80" t="s">
        <v>12</v>
      </c>
      <c r="G382" s="212"/>
      <c r="H382" s="141" t="s">
        <v>13</v>
      </c>
      <c r="I382" s="181" t="s">
        <v>1512</v>
      </c>
      <c r="J382" s="173" t="s">
        <v>15</v>
      </c>
      <c r="K382" s="187" t="s">
        <v>14</v>
      </c>
      <c r="L382" s="193" t="s">
        <v>2496</v>
      </c>
      <c r="M382" s="190"/>
    </row>
    <row r="383" spans="1:16">
      <c r="A383" s="156"/>
      <c r="B383" s="154"/>
      <c r="C383" s="63"/>
      <c r="D383" s="199"/>
      <c r="E383" s="143"/>
      <c r="F383" s="69"/>
      <c r="G383" s="206"/>
      <c r="H383" s="74"/>
      <c r="I383" s="183"/>
      <c r="J383" s="175"/>
      <c r="K383" s="172"/>
      <c r="L383" s="194"/>
      <c r="M383" s="188">
        <v>3552</v>
      </c>
      <c r="N383" s="188">
        <f t="shared" ref="N383:N399" si="35">M383-(M383*0.03)</f>
        <v>3445.44</v>
      </c>
      <c r="O383" s="189">
        <v>7.0000000000000007E-2</v>
      </c>
      <c r="P383" s="170">
        <f t="shared" ref="P383:P399" si="36">(N383*O383)+N383</f>
        <v>3686.6208000000001</v>
      </c>
    </row>
    <row r="384" spans="1:16">
      <c r="A384" s="157"/>
      <c r="B384" s="154"/>
      <c r="C384" s="63"/>
      <c r="D384" s="199"/>
      <c r="E384" s="145"/>
      <c r="F384" s="61"/>
      <c r="G384" s="206"/>
      <c r="H384" s="74"/>
      <c r="I384" s="183"/>
      <c r="J384" s="175"/>
      <c r="K384" s="176"/>
      <c r="L384" s="194"/>
      <c r="N384" s="188">
        <f t="shared" si="35"/>
        <v>0</v>
      </c>
      <c r="O384" s="189">
        <v>7.0000000000000007E-2</v>
      </c>
      <c r="P384" s="170">
        <f t="shared" si="36"/>
        <v>0</v>
      </c>
    </row>
    <row r="385" spans="1:16">
      <c r="A385" s="157"/>
      <c r="B385" s="239"/>
      <c r="C385" s="63"/>
      <c r="D385" s="199"/>
      <c r="E385" s="145"/>
      <c r="F385" s="61"/>
      <c r="G385" s="206"/>
      <c r="H385" s="74"/>
      <c r="I385" s="183"/>
      <c r="J385" s="175"/>
      <c r="K385" s="245"/>
      <c r="L385" s="194"/>
      <c r="M385" s="188">
        <v>9498.06</v>
      </c>
      <c r="N385" s="188">
        <f t="shared" si="35"/>
        <v>9213.118199999999</v>
      </c>
      <c r="O385" s="189">
        <v>7.0000000000000007E-2</v>
      </c>
      <c r="P385" s="170">
        <f t="shared" si="36"/>
        <v>9858.0364739999986</v>
      </c>
    </row>
    <row r="386" spans="1:16">
      <c r="A386" s="157"/>
      <c r="B386" s="239"/>
      <c r="C386" s="63"/>
      <c r="D386" s="199"/>
      <c r="E386" s="145"/>
      <c r="F386" s="61"/>
      <c r="G386" s="206"/>
      <c r="H386" s="74"/>
      <c r="I386" s="183"/>
      <c r="J386" s="175"/>
      <c r="K386" s="197"/>
      <c r="L386" s="194"/>
      <c r="M386" s="188">
        <v>15305.4</v>
      </c>
      <c r="N386" s="188">
        <f t="shared" si="35"/>
        <v>14846.237999999999</v>
      </c>
      <c r="O386" s="189">
        <v>7.0000000000000007E-2</v>
      </c>
      <c r="P386" s="170">
        <f t="shared" si="36"/>
        <v>15885.47466</v>
      </c>
    </row>
    <row r="387" spans="1:16">
      <c r="A387" s="157"/>
      <c r="B387" s="154"/>
      <c r="C387" s="63"/>
      <c r="D387" s="199"/>
      <c r="E387" s="145"/>
      <c r="F387" s="61"/>
      <c r="G387" s="206"/>
      <c r="H387" s="74"/>
      <c r="I387" s="183"/>
      <c r="J387" s="175"/>
      <c r="K387" s="197"/>
      <c r="L387" s="194"/>
      <c r="N387" s="188">
        <f t="shared" si="35"/>
        <v>0</v>
      </c>
      <c r="O387" s="189">
        <v>7.0000000000000007E-2</v>
      </c>
      <c r="P387" s="170">
        <f t="shared" si="36"/>
        <v>0</v>
      </c>
    </row>
    <row r="388" spans="1:16">
      <c r="A388" s="157"/>
      <c r="B388" s="154"/>
      <c r="C388" s="63"/>
      <c r="D388" s="199"/>
      <c r="E388" s="145"/>
      <c r="F388" s="61"/>
      <c r="G388" s="206"/>
      <c r="H388" s="74"/>
      <c r="I388" s="183"/>
      <c r="J388" s="175"/>
      <c r="K388" s="197"/>
      <c r="L388" s="194"/>
      <c r="N388" s="188">
        <f t="shared" si="35"/>
        <v>0</v>
      </c>
      <c r="O388" s="189">
        <v>7.0000000000000007E-2</v>
      </c>
      <c r="P388" s="170">
        <f t="shared" si="36"/>
        <v>0</v>
      </c>
    </row>
    <row r="389" spans="1:16">
      <c r="A389" s="157"/>
      <c r="B389" s="154"/>
      <c r="C389" s="63"/>
      <c r="D389" s="199"/>
      <c r="E389" s="145"/>
      <c r="F389" s="61"/>
      <c r="G389" s="206"/>
      <c r="H389" s="74"/>
      <c r="I389" s="183"/>
      <c r="J389" s="175"/>
      <c r="K389" s="197"/>
      <c r="L389" s="194"/>
      <c r="N389" s="188">
        <f t="shared" si="35"/>
        <v>0</v>
      </c>
      <c r="O389" s="189">
        <v>7.0000000000000007E-2</v>
      </c>
      <c r="P389" s="170">
        <f t="shared" si="36"/>
        <v>0</v>
      </c>
    </row>
    <row r="390" spans="1:16">
      <c r="A390" s="157"/>
      <c r="B390" s="239"/>
      <c r="C390" s="222"/>
      <c r="D390" s="3464"/>
      <c r="E390" s="145"/>
      <c r="F390" s="61"/>
      <c r="G390" s="223"/>
      <c r="H390" s="224"/>
      <c r="I390" s="225"/>
      <c r="J390" s="209"/>
      <c r="K390" s="244"/>
      <c r="M390" s="188">
        <v>14244.12</v>
      </c>
      <c r="N390" s="188">
        <f t="shared" si="35"/>
        <v>13816.796400000001</v>
      </c>
      <c r="O390" s="189">
        <v>7.0000000000000007E-2</v>
      </c>
      <c r="P390" s="170">
        <f t="shared" si="36"/>
        <v>14783.972148000001</v>
      </c>
    </row>
    <row r="391" spans="1:16">
      <c r="A391" s="157"/>
      <c r="B391" s="162"/>
      <c r="C391" s="63"/>
      <c r="D391" s="199"/>
      <c r="E391" s="145"/>
      <c r="F391" s="61"/>
      <c r="G391" s="206"/>
      <c r="H391" s="74"/>
      <c r="I391" s="183"/>
      <c r="J391" s="175"/>
      <c r="K391" s="197"/>
      <c r="L391" s="194"/>
      <c r="M391" s="188">
        <v>3240</v>
      </c>
      <c r="N391" s="188">
        <f t="shared" si="35"/>
        <v>3142.8</v>
      </c>
      <c r="O391" s="189">
        <v>7.0000000000000007E-2</v>
      </c>
      <c r="P391" s="170">
        <f t="shared" si="36"/>
        <v>3362.7960000000003</v>
      </c>
    </row>
    <row r="392" spans="1:16">
      <c r="A392" s="157"/>
      <c r="B392" s="162"/>
      <c r="C392" s="63"/>
      <c r="D392" s="199"/>
      <c r="E392" s="145"/>
      <c r="F392" s="61"/>
      <c r="G392" s="206"/>
      <c r="H392" s="74"/>
      <c r="I392" s="183"/>
      <c r="J392" s="175"/>
      <c r="K392" s="197"/>
      <c r="L392" s="194"/>
      <c r="M392" s="188">
        <v>14700</v>
      </c>
      <c r="N392" s="188">
        <f t="shared" si="35"/>
        <v>14259</v>
      </c>
      <c r="O392" s="189">
        <v>7.0000000000000007E-2</v>
      </c>
      <c r="P392" s="170">
        <f t="shared" si="36"/>
        <v>15257.130000000001</v>
      </c>
    </row>
    <row r="393" spans="1:16">
      <c r="A393" s="157"/>
      <c r="B393" s="162"/>
      <c r="C393" s="222"/>
      <c r="D393" s="3464"/>
      <c r="E393" s="237"/>
      <c r="F393" s="238"/>
      <c r="G393" s="223"/>
      <c r="H393" s="224"/>
      <c r="I393" s="225"/>
      <c r="J393" s="209"/>
      <c r="K393" s="226"/>
      <c r="L393" s="229"/>
      <c r="M393" s="188">
        <v>14582.7</v>
      </c>
      <c r="N393" s="188">
        <f t="shared" si="35"/>
        <v>14145.219000000001</v>
      </c>
      <c r="O393" s="189">
        <v>7.0000000000000007E-2</v>
      </c>
      <c r="P393" s="170">
        <f t="shared" si="36"/>
        <v>15135.384330000001</v>
      </c>
    </row>
    <row r="394" spans="1:16">
      <c r="A394" s="157"/>
      <c r="B394" s="162"/>
      <c r="C394" s="63"/>
      <c r="D394" s="199"/>
      <c r="E394" s="145"/>
      <c r="F394" s="61"/>
      <c r="G394" s="206"/>
      <c r="H394" s="74"/>
      <c r="I394" s="183"/>
      <c r="J394" s="175"/>
      <c r="K394" s="197"/>
      <c r="L394" s="229"/>
      <c r="M394" s="188">
        <v>13483.8</v>
      </c>
      <c r="N394" s="188">
        <f t="shared" si="35"/>
        <v>13079.286</v>
      </c>
      <c r="O394" s="189">
        <v>7.0000000000000007E-2</v>
      </c>
      <c r="P394" s="170">
        <f t="shared" si="36"/>
        <v>13994.836020000001</v>
      </c>
    </row>
    <row r="395" spans="1:16">
      <c r="A395" s="157"/>
      <c r="B395" s="154"/>
      <c r="C395" s="222"/>
      <c r="D395" s="3464"/>
      <c r="E395" s="145"/>
      <c r="F395" s="61"/>
      <c r="G395" s="223"/>
      <c r="H395" s="224"/>
      <c r="I395" s="225"/>
      <c r="J395" s="209"/>
      <c r="K395" s="226"/>
      <c r="L395" s="229"/>
      <c r="M395" s="188">
        <v>2669.52</v>
      </c>
      <c r="N395" s="188">
        <f t="shared" si="35"/>
        <v>2589.4344000000001</v>
      </c>
      <c r="O395" s="189">
        <v>7.0000000000000007E-2</v>
      </c>
      <c r="P395" s="170">
        <f t="shared" si="36"/>
        <v>2770.6948080000002</v>
      </c>
    </row>
    <row r="396" spans="1:16">
      <c r="A396" s="157"/>
      <c r="B396" s="154"/>
      <c r="C396" s="222"/>
      <c r="D396" s="3464"/>
      <c r="E396" s="145"/>
      <c r="F396" s="61"/>
      <c r="G396" s="223"/>
      <c r="H396" s="224"/>
      <c r="I396" s="225"/>
      <c r="J396" s="209"/>
      <c r="K396" s="226"/>
      <c r="L396" s="229"/>
      <c r="N396" s="188">
        <f t="shared" si="35"/>
        <v>0</v>
      </c>
      <c r="O396" s="189">
        <v>7.0000000000000007E-2</v>
      </c>
      <c r="P396" s="170">
        <f t="shared" si="36"/>
        <v>0</v>
      </c>
    </row>
    <row r="397" spans="1:16">
      <c r="A397" s="221"/>
      <c r="B397" s="240"/>
      <c r="C397" s="222"/>
      <c r="D397" s="3464"/>
      <c r="E397" s="145"/>
      <c r="F397" s="61"/>
      <c r="G397" s="223"/>
      <c r="H397" s="224"/>
      <c r="I397" s="225"/>
      <c r="J397" s="209"/>
      <c r="K397" s="226"/>
      <c r="L397" s="229"/>
      <c r="M397" s="188">
        <v>12972.96</v>
      </c>
      <c r="N397" s="188">
        <f t="shared" si="35"/>
        <v>12583.771199999999</v>
      </c>
      <c r="O397" s="189">
        <v>7.0000000000000007E-2</v>
      </c>
      <c r="P397" s="170">
        <f t="shared" si="36"/>
        <v>13464.635183999999</v>
      </c>
    </row>
    <row r="398" spans="1:16">
      <c r="A398" s="157"/>
      <c r="B398" s="154"/>
      <c r="C398" s="63"/>
      <c r="D398" s="199"/>
      <c r="E398" s="145"/>
      <c r="F398" s="61"/>
      <c r="G398" s="206"/>
      <c r="H398" s="74"/>
      <c r="I398" s="183"/>
      <c r="J398" s="209"/>
      <c r="K398" s="197"/>
      <c r="L398" s="229"/>
      <c r="M398" s="188">
        <v>12687.84</v>
      </c>
      <c r="N398" s="188">
        <f t="shared" si="35"/>
        <v>12307.2048</v>
      </c>
      <c r="O398" s="189">
        <v>7.0000000000000007E-2</v>
      </c>
      <c r="P398" s="170">
        <f t="shared" si="36"/>
        <v>13168.709135999999</v>
      </c>
    </row>
    <row r="399" spans="1:16">
      <c r="A399" s="157"/>
      <c r="B399" s="154"/>
      <c r="C399" s="63"/>
      <c r="D399" s="199"/>
      <c r="E399" s="145"/>
      <c r="F399" s="61"/>
      <c r="G399" s="206"/>
      <c r="H399" s="74"/>
      <c r="I399" s="183"/>
      <c r="J399" s="175"/>
      <c r="K399" s="197"/>
      <c r="L399" s="194"/>
      <c r="M399" s="188">
        <v>16572.599999999999</v>
      </c>
      <c r="N399" s="188">
        <f t="shared" si="35"/>
        <v>16075.421999999999</v>
      </c>
      <c r="O399" s="189">
        <v>7.0000000000000007E-2</v>
      </c>
      <c r="P399" s="170">
        <f t="shared" si="36"/>
        <v>17200.701539999998</v>
      </c>
    </row>
    <row r="400" spans="1:16">
      <c r="A400" s="157"/>
      <c r="B400" s="154"/>
      <c r="C400" s="63"/>
      <c r="D400" s="199"/>
      <c r="E400" s="90"/>
      <c r="F400" s="61"/>
      <c r="G400" s="206"/>
      <c r="H400" s="74"/>
      <c r="I400" s="203"/>
      <c r="J400" s="175"/>
      <c r="K400" s="197"/>
      <c r="L400" s="194"/>
      <c r="M400" s="188">
        <v>6021.12</v>
      </c>
      <c r="N400" s="188">
        <f>M400-(M400*0.03)</f>
        <v>5840.4863999999998</v>
      </c>
      <c r="O400" s="189">
        <v>7.0000000000000007E-2</v>
      </c>
      <c r="P400" s="170">
        <f>(N400*O400)+N400</f>
        <v>6249.3204479999995</v>
      </c>
    </row>
    <row r="401" spans="1:16">
      <c r="A401" s="157"/>
      <c r="B401" s="154"/>
      <c r="C401" s="63"/>
      <c r="D401" s="199"/>
      <c r="E401" s="90"/>
      <c r="F401" s="61"/>
      <c r="G401" s="206"/>
      <c r="H401" s="74"/>
      <c r="I401" s="183"/>
      <c r="J401" s="175"/>
      <c r="K401" s="197"/>
      <c r="L401" s="194"/>
      <c r="M401" s="188">
        <v>8714.16</v>
      </c>
      <c r="N401" s="188">
        <f>M401-(M401*0.03)</f>
        <v>8452.7351999999992</v>
      </c>
      <c r="O401" s="189">
        <v>7.0000000000000007E-2</v>
      </c>
      <c r="P401" s="170">
        <f>(N401*O401)+N401</f>
        <v>9044.4266639999987</v>
      </c>
    </row>
    <row r="402" spans="1:16">
      <c r="A402" s="157"/>
      <c r="B402" s="154"/>
      <c r="C402" s="63"/>
      <c r="D402" s="199"/>
      <c r="E402" s="90"/>
      <c r="F402" s="61"/>
      <c r="G402" s="206"/>
      <c r="H402" s="74"/>
      <c r="I402" s="183"/>
      <c r="J402" s="175"/>
      <c r="K402" s="197"/>
      <c r="L402" s="194"/>
      <c r="M402" s="188">
        <v>0</v>
      </c>
      <c r="N402" s="188">
        <f>M402-(M402*0.03)</f>
        <v>0</v>
      </c>
      <c r="O402" s="189">
        <v>7.0000000000000007E-2</v>
      </c>
      <c r="P402" s="170">
        <f t="shared" ref="P402:P408" si="37">(N402*O402)+N402</f>
        <v>0</v>
      </c>
    </row>
    <row r="403" spans="1:16">
      <c r="A403" s="157"/>
      <c r="B403" s="154"/>
      <c r="C403" s="63"/>
      <c r="D403" s="199"/>
      <c r="E403" s="90"/>
      <c r="F403" s="61"/>
      <c r="G403" s="206"/>
      <c r="H403" s="74"/>
      <c r="I403" s="183"/>
      <c r="J403" s="175"/>
      <c r="K403" s="197"/>
      <c r="L403" s="194"/>
      <c r="M403" s="188">
        <v>18537.7</v>
      </c>
      <c r="N403" s="188">
        <f>M403-(M403*0.03)</f>
        <v>17981.569</v>
      </c>
      <c r="O403" s="189">
        <v>7.0000000000000007E-2</v>
      </c>
      <c r="P403" s="170">
        <f t="shared" si="37"/>
        <v>19240.278829999999</v>
      </c>
    </row>
    <row r="404" spans="1:16">
      <c r="A404" s="158"/>
      <c r="B404" s="154"/>
      <c r="C404" s="63"/>
      <c r="D404" s="199"/>
      <c r="E404" s="91"/>
      <c r="F404" s="61"/>
      <c r="G404" s="206"/>
      <c r="H404" s="74"/>
      <c r="I404" s="183"/>
      <c r="J404" s="175"/>
      <c r="K404" s="197"/>
      <c r="L404" s="194"/>
      <c r="M404" s="188">
        <v>9031.68</v>
      </c>
      <c r="N404" s="188">
        <f t="shared" ref="N404:N415" si="38">M404-(M404*0.03)</f>
        <v>8760.7296000000006</v>
      </c>
      <c r="O404" s="189">
        <v>7.0000000000000007E-2</v>
      </c>
      <c r="P404" s="170">
        <f t="shared" si="37"/>
        <v>9373.9806720000015</v>
      </c>
    </row>
    <row r="405" spans="1:16">
      <c r="A405" s="200"/>
      <c r="B405" s="154"/>
      <c r="C405" s="63"/>
      <c r="D405" s="199"/>
      <c r="E405" s="153"/>
      <c r="F405" s="61"/>
      <c r="G405" s="206"/>
      <c r="H405" s="88"/>
      <c r="I405" s="184"/>
      <c r="J405" s="201"/>
      <c r="K405" s="202"/>
      <c r="L405" s="194"/>
      <c r="N405" s="188">
        <f t="shared" si="38"/>
        <v>0</v>
      </c>
      <c r="O405" s="189">
        <v>7.0000000000000007E-2</v>
      </c>
      <c r="P405" s="170">
        <f t="shared" si="37"/>
        <v>0</v>
      </c>
    </row>
    <row r="406" spans="1:16">
      <c r="A406" s="157"/>
      <c r="B406" s="154"/>
      <c r="C406" s="63"/>
      <c r="D406" s="199"/>
      <c r="E406" s="198"/>
      <c r="F406" s="61"/>
      <c r="G406" s="206"/>
      <c r="H406" s="74"/>
      <c r="I406" s="183"/>
      <c r="J406" s="175"/>
      <c r="K406" s="197"/>
      <c r="L406" s="194"/>
      <c r="M406" s="188">
        <v>8478.9599999999991</v>
      </c>
      <c r="N406" s="188">
        <f t="shared" si="38"/>
        <v>8224.5911999999989</v>
      </c>
      <c r="O406" s="189">
        <v>7.0000000000000007E-2</v>
      </c>
      <c r="P406" s="170">
        <f t="shared" si="37"/>
        <v>8800.3125839999993</v>
      </c>
    </row>
    <row r="407" spans="1:16">
      <c r="A407" s="157"/>
      <c r="B407" s="154"/>
      <c r="C407" s="63"/>
      <c r="D407" s="199"/>
      <c r="E407" s="142"/>
      <c r="F407" s="61"/>
      <c r="G407" s="206"/>
      <c r="H407" s="74"/>
      <c r="I407" s="183"/>
      <c r="J407" s="175"/>
      <c r="K407" s="197"/>
      <c r="L407" s="194"/>
      <c r="M407" s="188">
        <v>11122.62</v>
      </c>
      <c r="N407" s="188">
        <f t="shared" si="38"/>
        <v>10788.941400000002</v>
      </c>
      <c r="O407" s="189">
        <v>7.0000000000000007E-2</v>
      </c>
      <c r="P407" s="170">
        <f t="shared" si="37"/>
        <v>11544.167298000002</v>
      </c>
    </row>
    <row r="408" spans="1:16">
      <c r="A408" s="157"/>
      <c r="B408" s="154"/>
      <c r="C408" s="63"/>
      <c r="D408" s="196"/>
      <c r="E408" s="120"/>
      <c r="F408" s="121"/>
      <c r="G408" s="206"/>
      <c r="H408" s="115"/>
      <c r="I408" s="185"/>
      <c r="J408" s="175"/>
      <c r="K408" s="197"/>
      <c r="L408" s="194"/>
      <c r="M408" s="188">
        <v>3813.12</v>
      </c>
      <c r="N408" s="188">
        <f t="shared" si="38"/>
        <v>3698.7264</v>
      </c>
      <c r="O408" s="189">
        <v>7.0000000000000007E-2</v>
      </c>
      <c r="P408" s="170">
        <f t="shared" si="37"/>
        <v>3957.637248</v>
      </c>
    </row>
    <row r="409" spans="1:16">
      <c r="A409" s="157"/>
      <c r="B409" s="154"/>
      <c r="C409" s="63"/>
      <c r="D409" s="196"/>
      <c r="E409" s="249"/>
      <c r="F409" s="121"/>
      <c r="G409" s="206"/>
      <c r="H409" s="115"/>
      <c r="I409" s="185"/>
      <c r="J409" s="175"/>
      <c r="K409" s="197"/>
      <c r="L409" s="194"/>
    </row>
    <row r="410" spans="1:16">
      <c r="A410" s="157"/>
      <c r="B410" s="154"/>
      <c r="C410" s="63"/>
      <c r="D410" s="196"/>
      <c r="E410" s="249"/>
      <c r="F410" s="121"/>
      <c r="G410" s="206"/>
      <c r="H410" s="115"/>
      <c r="I410" s="185"/>
      <c r="J410" s="175"/>
      <c r="K410" s="197"/>
      <c r="L410" s="194"/>
    </row>
    <row r="411" spans="1:16">
      <c r="A411" s="157"/>
      <c r="B411" s="154"/>
      <c r="C411" s="63"/>
      <c r="D411" s="196"/>
      <c r="E411" s="249"/>
      <c r="F411" s="121"/>
      <c r="G411" s="206"/>
      <c r="H411" s="115"/>
      <c r="I411" s="185"/>
      <c r="J411" s="175"/>
      <c r="K411" s="197"/>
      <c r="L411" s="194"/>
    </row>
    <row r="412" spans="1:16">
      <c r="A412" s="157"/>
      <c r="B412" s="154"/>
      <c r="C412" s="63"/>
      <c r="D412" s="196"/>
      <c r="E412" s="249"/>
      <c r="F412" s="121"/>
      <c r="G412" s="206"/>
      <c r="H412" s="115"/>
      <c r="I412" s="185"/>
      <c r="J412" s="175"/>
      <c r="K412" s="197"/>
      <c r="L412" s="194"/>
    </row>
    <row r="413" spans="1:16">
      <c r="A413" s="157"/>
      <c r="B413" s="154"/>
      <c r="C413" s="63"/>
      <c r="D413" s="196"/>
      <c r="E413" s="142"/>
      <c r="F413" s="61"/>
      <c r="G413" s="206"/>
      <c r="H413" s="74"/>
      <c r="I413" s="183"/>
      <c r="J413" s="175"/>
      <c r="K413" s="197"/>
      <c r="L413" s="194"/>
    </row>
    <row r="414" spans="1:16">
      <c r="A414" s="157"/>
      <c r="B414" s="154"/>
      <c r="C414" s="63"/>
      <c r="D414" s="196"/>
      <c r="E414" s="142"/>
      <c r="F414" s="61"/>
      <c r="G414" s="206"/>
      <c r="H414" s="74"/>
      <c r="I414" s="183"/>
      <c r="J414" s="175"/>
      <c r="K414" s="197"/>
      <c r="L414" s="194"/>
    </row>
    <row r="415" spans="1:16">
      <c r="A415" s="157"/>
      <c r="B415" s="161"/>
      <c r="C415" s="63"/>
      <c r="D415" s="196"/>
      <c r="E415" s="142"/>
      <c r="F415" s="61"/>
      <c r="G415" s="206"/>
      <c r="H415" s="74"/>
      <c r="I415" s="183"/>
      <c r="J415" s="175"/>
      <c r="K415" s="197"/>
      <c r="L415" s="194"/>
      <c r="M415" s="188">
        <v>8640</v>
      </c>
      <c r="N415" s="188">
        <f t="shared" si="38"/>
        <v>8380.7999999999993</v>
      </c>
      <c r="O415" s="189">
        <v>7.0000000000000007E-2</v>
      </c>
      <c r="P415" s="170">
        <f>(N415*O415)+N415</f>
        <v>8967.4559999999983</v>
      </c>
    </row>
    <row r="416" spans="1:16">
      <c r="A416" s="157"/>
      <c r="B416" s="161"/>
      <c r="C416" s="63"/>
      <c r="D416" s="196"/>
      <c r="E416" s="142"/>
      <c r="F416" s="61"/>
      <c r="G416" s="206"/>
      <c r="H416" s="74"/>
      <c r="I416" s="183"/>
      <c r="J416" s="175"/>
      <c r="K416" s="197"/>
      <c r="L416" s="194"/>
    </row>
    <row r="417" spans="1:16">
      <c r="A417" s="160"/>
      <c r="B417" s="154"/>
      <c r="C417" s="63"/>
      <c r="D417" s="196"/>
      <c r="E417" s="120"/>
      <c r="F417" s="121"/>
      <c r="G417" s="206"/>
      <c r="H417" s="115"/>
      <c r="I417" s="185"/>
      <c r="J417" s="174"/>
      <c r="K417" s="195"/>
      <c r="L417" s="194"/>
    </row>
    <row r="418" spans="1:16">
      <c r="F418" s="68"/>
    </row>
    <row r="419" spans="1:16">
      <c r="F419" s="68"/>
    </row>
    <row r="420" spans="1:16">
      <c r="A420" s="44" t="s">
        <v>0</v>
      </c>
      <c r="B420" s="127"/>
      <c r="C420" s="104"/>
      <c r="F420" s="68"/>
      <c r="I420" s="179"/>
      <c r="K420" s="163"/>
      <c r="L420" s="168"/>
    </row>
    <row r="421" spans="1:16">
      <c r="A421" s="3480" t="s">
        <v>2512</v>
      </c>
      <c r="B421" s="3480"/>
      <c r="C421" s="44"/>
      <c r="D421" s="109"/>
      <c r="F421" s="68"/>
      <c r="I421" s="179"/>
      <c r="K421" s="163"/>
      <c r="L421" s="168"/>
    </row>
    <row r="422" spans="1:16" ht="35.25" thickBot="1">
      <c r="F422" s="68"/>
    </row>
    <row r="423" spans="1:16">
      <c r="A423" s="3493" t="s">
        <v>2</v>
      </c>
      <c r="B423" s="3482"/>
      <c r="C423" s="48" t="s">
        <v>3</v>
      </c>
      <c r="D423" s="128" t="s">
        <v>4</v>
      </c>
      <c r="E423" s="77" t="s">
        <v>5</v>
      </c>
      <c r="F423" s="78" t="s">
        <v>5</v>
      </c>
      <c r="G423" s="211" t="s">
        <v>6</v>
      </c>
      <c r="H423" s="140" t="s">
        <v>7</v>
      </c>
      <c r="I423" s="180" t="s">
        <v>1511</v>
      </c>
      <c r="J423" s="172" t="s">
        <v>9</v>
      </c>
      <c r="K423" s="186" t="s">
        <v>9</v>
      </c>
      <c r="L423" s="192" t="s">
        <v>2495</v>
      </c>
      <c r="M423" s="190"/>
    </row>
    <row r="424" spans="1:16" ht="35.25" thickBot="1">
      <c r="A424" s="155"/>
      <c r="B424" s="138"/>
      <c r="C424" s="50"/>
      <c r="D424" s="129" t="s">
        <v>10</v>
      </c>
      <c r="E424" s="79" t="s">
        <v>11</v>
      </c>
      <c r="F424" s="80" t="s">
        <v>12</v>
      </c>
      <c r="G424" s="212"/>
      <c r="H424" s="141" t="s">
        <v>13</v>
      </c>
      <c r="I424" s="181" t="s">
        <v>1512</v>
      </c>
      <c r="J424" s="173" t="s">
        <v>15</v>
      </c>
      <c r="K424" s="187" t="s">
        <v>14</v>
      </c>
      <c r="L424" s="193" t="s">
        <v>2496</v>
      </c>
      <c r="M424" s="190"/>
    </row>
    <row r="425" spans="1:16">
      <c r="A425" s="156"/>
      <c r="B425" s="154"/>
      <c r="C425" s="63"/>
      <c r="D425" s="199"/>
      <c r="E425" s="143"/>
      <c r="F425" s="69"/>
      <c r="G425" s="206"/>
      <c r="H425" s="74"/>
      <c r="I425" s="183"/>
      <c r="J425" s="175"/>
      <c r="K425" s="172"/>
      <c r="L425" s="194"/>
      <c r="M425" s="188">
        <v>3552</v>
      </c>
      <c r="N425" s="188">
        <f t="shared" ref="N425:N441" si="39">M425-(M425*0.03)</f>
        <v>3445.44</v>
      </c>
      <c r="O425" s="189">
        <v>7.0000000000000007E-2</v>
      </c>
      <c r="P425" s="170">
        <f t="shared" ref="P425:P441" si="40">(N425*O425)+N425</f>
        <v>3686.6208000000001</v>
      </c>
    </row>
    <row r="426" spans="1:16">
      <c r="A426" s="157"/>
      <c r="B426" s="154"/>
      <c r="C426" s="63"/>
      <c r="D426" s="199"/>
      <c r="E426" s="145"/>
      <c r="F426" s="61"/>
      <c r="G426" s="206"/>
      <c r="H426" s="74"/>
      <c r="I426" s="183"/>
      <c r="J426" s="175"/>
      <c r="K426" s="176"/>
      <c r="L426" s="194"/>
      <c r="N426" s="188">
        <f t="shared" si="39"/>
        <v>0</v>
      </c>
      <c r="O426" s="189">
        <v>7.0000000000000007E-2</v>
      </c>
      <c r="P426" s="170">
        <f t="shared" si="40"/>
        <v>0</v>
      </c>
    </row>
    <row r="427" spans="1:16">
      <c r="A427" s="157"/>
      <c r="B427" s="239"/>
      <c r="C427" s="63"/>
      <c r="D427" s="199"/>
      <c r="E427" s="145"/>
      <c r="F427" s="61"/>
      <c r="G427" s="206"/>
      <c r="H427" s="74"/>
      <c r="I427" s="183"/>
      <c r="J427" s="175"/>
      <c r="K427" s="245"/>
      <c r="L427" s="194"/>
      <c r="M427" s="188">
        <v>9498.06</v>
      </c>
      <c r="N427" s="188">
        <f t="shared" si="39"/>
        <v>9213.118199999999</v>
      </c>
      <c r="O427" s="189">
        <v>7.0000000000000007E-2</v>
      </c>
      <c r="P427" s="170">
        <f t="shared" si="40"/>
        <v>9858.0364739999986</v>
      </c>
    </row>
    <row r="428" spans="1:16">
      <c r="A428" s="157"/>
      <c r="B428" s="239"/>
      <c r="C428" s="63"/>
      <c r="D428" s="199"/>
      <c r="E428" s="145"/>
      <c r="F428" s="61"/>
      <c r="G428" s="206"/>
      <c r="H428" s="74"/>
      <c r="I428" s="183"/>
      <c r="J428" s="175"/>
      <c r="K428" s="197"/>
      <c r="L428" s="194"/>
      <c r="M428" s="188">
        <v>15305.4</v>
      </c>
      <c r="N428" s="188">
        <f t="shared" si="39"/>
        <v>14846.237999999999</v>
      </c>
      <c r="O428" s="189">
        <v>7.0000000000000007E-2</v>
      </c>
      <c r="P428" s="170">
        <f t="shared" si="40"/>
        <v>15885.47466</v>
      </c>
    </row>
    <row r="429" spans="1:16">
      <c r="A429" s="157"/>
      <c r="B429" s="154"/>
      <c r="C429" s="63"/>
      <c r="D429" s="199"/>
      <c r="E429" s="145"/>
      <c r="F429" s="61"/>
      <c r="G429" s="206"/>
      <c r="H429" s="74"/>
      <c r="I429" s="183"/>
      <c r="J429" s="175"/>
      <c r="K429" s="197"/>
      <c r="L429" s="194"/>
      <c r="N429" s="188">
        <f t="shared" si="39"/>
        <v>0</v>
      </c>
      <c r="O429" s="189">
        <v>7.0000000000000007E-2</v>
      </c>
      <c r="P429" s="170">
        <f t="shared" si="40"/>
        <v>0</v>
      </c>
    </row>
    <row r="430" spans="1:16">
      <c r="A430" s="157"/>
      <c r="B430" s="154"/>
      <c r="C430" s="63"/>
      <c r="D430" s="199"/>
      <c r="E430" s="145"/>
      <c r="F430" s="61"/>
      <c r="G430" s="206"/>
      <c r="H430" s="74"/>
      <c r="I430" s="183"/>
      <c r="J430" s="175"/>
      <c r="K430" s="197"/>
      <c r="L430" s="194"/>
      <c r="N430" s="188">
        <f t="shared" si="39"/>
        <v>0</v>
      </c>
      <c r="O430" s="189">
        <v>7.0000000000000007E-2</v>
      </c>
      <c r="P430" s="170">
        <f t="shared" si="40"/>
        <v>0</v>
      </c>
    </row>
    <row r="431" spans="1:16">
      <c r="A431" s="157"/>
      <c r="B431" s="154"/>
      <c r="C431" s="63"/>
      <c r="D431" s="199"/>
      <c r="E431" s="145"/>
      <c r="F431" s="61"/>
      <c r="G431" s="206"/>
      <c r="H431" s="74"/>
      <c r="I431" s="183"/>
      <c r="J431" s="175"/>
      <c r="K431" s="197"/>
      <c r="L431" s="194"/>
      <c r="N431" s="188">
        <f t="shared" si="39"/>
        <v>0</v>
      </c>
      <c r="O431" s="189">
        <v>7.0000000000000007E-2</v>
      </c>
      <c r="P431" s="170">
        <f t="shared" si="40"/>
        <v>0</v>
      </c>
    </row>
    <row r="432" spans="1:16">
      <c r="A432" s="157"/>
      <c r="B432" s="239"/>
      <c r="C432" s="222"/>
      <c r="D432" s="3464"/>
      <c r="E432" s="145"/>
      <c r="F432" s="61"/>
      <c r="G432" s="223"/>
      <c r="H432" s="224"/>
      <c r="I432" s="225"/>
      <c r="J432" s="209"/>
      <c r="K432" s="244"/>
      <c r="M432" s="188">
        <v>14244.12</v>
      </c>
      <c r="N432" s="188">
        <f t="shared" si="39"/>
        <v>13816.796400000001</v>
      </c>
      <c r="O432" s="189">
        <v>7.0000000000000007E-2</v>
      </c>
      <c r="P432" s="170">
        <f t="shared" si="40"/>
        <v>14783.972148000001</v>
      </c>
    </row>
    <row r="433" spans="1:16">
      <c r="A433" s="157"/>
      <c r="B433" s="162"/>
      <c r="C433" s="63"/>
      <c r="D433" s="199"/>
      <c r="E433" s="145"/>
      <c r="F433" s="61"/>
      <c r="G433" s="206"/>
      <c r="H433" s="74"/>
      <c r="I433" s="183"/>
      <c r="J433" s="175"/>
      <c r="K433" s="197"/>
      <c r="L433" s="194"/>
      <c r="M433" s="188">
        <v>3240</v>
      </c>
      <c r="N433" s="188">
        <f t="shared" si="39"/>
        <v>3142.8</v>
      </c>
      <c r="O433" s="189">
        <v>7.0000000000000007E-2</v>
      </c>
      <c r="P433" s="170">
        <f t="shared" si="40"/>
        <v>3362.7960000000003</v>
      </c>
    </row>
    <row r="434" spans="1:16">
      <c r="A434" s="157"/>
      <c r="B434" s="162"/>
      <c r="C434" s="63"/>
      <c r="D434" s="199"/>
      <c r="E434" s="145"/>
      <c r="F434" s="61"/>
      <c r="G434" s="206"/>
      <c r="H434" s="74"/>
      <c r="I434" s="183"/>
      <c r="J434" s="175"/>
      <c r="K434" s="197"/>
      <c r="L434" s="194"/>
      <c r="M434" s="188">
        <v>14700</v>
      </c>
      <c r="N434" s="188">
        <f t="shared" si="39"/>
        <v>14259</v>
      </c>
      <c r="O434" s="189">
        <v>7.0000000000000007E-2</v>
      </c>
      <c r="P434" s="170">
        <f t="shared" si="40"/>
        <v>15257.130000000001</v>
      </c>
    </row>
    <row r="435" spans="1:16">
      <c r="A435" s="157"/>
      <c r="B435" s="162"/>
      <c r="C435" s="222"/>
      <c r="D435" s="3464"/>
      <c r="E435" s="237"/>
      <c r="F435" s="238"/>
      <c r="G435" s="223"/>
      <c r="H435" s="224"/>
      <c r="I435" s="225"/>
      <c r="J435" s="209"/>
      <c r="K435" s="226"/>
      <c r="L435" s="229"/>
      <c r="M435" s="188">
        <v>14582.7</v>
      </c>
      <c r="N435" s="188">
        <f t="shared" si="39"/>
        <v>14145.219000000001</v>
      </c>
      <c r="O435" s="189">
        <v>7.0000000000000007E-2</v>
      </c>
      <c r="P435" s="170">
        <f t="shared" si="40"/>
        <v>15135.384330000001</v>
      </c>
    </row>
    <row r="436" spans="1:16">
      <c r="A436" s="157"/>
      <c r="B436" s="162"/>
      <c r="C436" s="63"/>
      <c r="D436" s="199"/>
      <c r="E436" s="145"/>
      <c r="F436" s="61"/>
      <c r="G436" s="206"/>
      <c r="H436" s="74"/>
      <c r="I436" s="183"/>
      <c r="J436" s="175"/>
      <c r="K436" s="197"/>
      <c r="L436" s="229"/>
      <c r="M436" s="188">
        <v>13483.8</v>
      </c>
      <c r="N436" s="188">
        <f t="shared" si="39"/>
        <v>13079.286</v>
      </c>
      <c r="O436" s="189">
        <v>7.0000000000000007E-2</v>
      </c>
      <c r="P436" s="170">
        <f t="shared" si="40"/>
        <v>13994.836020000001</v>
      </c>
    </row>
    <row r="437" spans="1:16">
      <c r="A437" s="157"/>
      <c r="B437" s="154"/>
      <c r="C437" s="222"/>
      <c r="D437" s="3464"/>
      <c r="E437" s="145"/>
      <c r="F437" s="61"/>
      <c r="G437" s="223"/>
      <c r="H437" s="224"/>
      <c r="I437" s="225"/>
      <c r="J437" s="209"/>
      <c r="K437" s="226"/>
      <c r="L437" s="229"/>
      <c r="M437" s="188">
        <v>2669.52</v>
      </c>
      <c r="N437" s="188">
        <f t="shared" si="39"/>
        <v>2589.4344000000001</v>
      </c>
      <c r="O437" s="189">
        <v>7.0000000000000007E-2</v>
      </c>
      <c r="P437" s="170">
        <f t="shared" si="40"/>
        <v>2770.6948080000002</v>
      </c>
    </row>
    <row r="438" spans="1:16">
      <c r="A438" s="157"/>
      <c r="B438" s="154"/>
      <c r="C438" s="222"/>
      <c r="D438" s="3464"/>
      <c r="E438" s="145"/>
      <c r="F438" s="61"/>
      <c r="G438" s="223"/>
      <c r="H438" s="224"/>
      <c r="I438" s="225"/>
      <c r="J438" s="209"/>
      <c r="K438" s="226"/>
      <c r="L438" s="229"/>
      <c r="N438" s="188">
        <f t="shared" si="39"/>
        <v>0</v>
      </c>
      <c r="O438" s="189">
        <v>7.0000000000000007E-2</v>
      </c>
      <c r="P438" s="170">
        <f t="shared" si="40"/>
        <v>0</v>
      </c>
    </row>
    <row r="439" spans="1:16">
      <c r="A439" s="221"/>
      <c r="B439" s="240"/>
      <c r="C439" s="222"/>
      <c r="D439" s="3464"/>
      <c r="E439" s="145"/>
      <c r="F439" s="61"/>
      <c r="G439" s="223"/>
      <c r="H439" s="224"/>
      <c r="I439" s="225"/>
      <c r="J439" s="209"/>
      <c r="K439" s="226"/>
      <c r="L439" s="229"/>
      <c r="M439" s="188">
        <v>12972.96</v>
      </c>
      <c r="N439" s="188">
        <f t="shared" si="39"/>
        <v>12583.771199999999</v>
      </c>
      <c r="O439" s="189">
        <v>7.0000000000000007E-2</v>
      </c>
      <c r="P439" s="170">
        <f t="shared" si="40"/>
        <v>13464.635183999999</v>
      </c>
    </row>
    <row r="440" spans="1:16">
      <c r="A440" s="157"/>
      <c r="B440" s="154"/>
      <c r="C440" s="63"/>
      <c r="D440" s="199"/>
      <c r="E440" s="145"/>
      <c r="F440" s="61"/>
      <c r="G440" s="206"/>
      <c r="H440" s="74"/>
      <c r="I440" s="183"/>
      <c r="J440" s="209"/>
      <c r="K440" s="197"/>
      <c r="L440" s="229"/>
      <c r="M440" s="188">
        <v>12687.84</v>
      </c>
      <c r="N440" s="188">
        <f t="shared" si="39"/>
        <v>12307.2048</v>
      </c>
      <c r="O440" s="189">
        <v>7.0000000000000007E-2</v>
      </c>
      <c r="P440" s="170">
        <f t="shared" si="40"/>
        <v>13168.709135999999</v>
      </c>
    </row>
    <row r="441" spans="1:16">
      <c r="A441" s="157"/>
      <c r="B441" s="154"/>
      <c r="C441" s="63"/>
      <c r="D441" s="199"/>
      <c r="E441" s="145"/>
      <c r="F441" s="61"/>
      <c r="G441" s="206"/>
      <c r="H441" s="74"/>
      <c r="I441" s="183"/>
      <c r="J441" s="175"/>
      <c r="K441" s="197"/>
      <c r="L441" s="194"/>
      <c r="M441" s="188">
        <v>16572.599999999999</v>
      </c>
      <c r="N441" s="188">
        <f t="shared" si="39"/>
        <v>16075.421999999999</v>
      </c>
      <c r="O441" s="189">
        <v>7.0000000000000007E-2</v>
      </c>
      <c r="P441" s="170">
        <f t="shared" si="40"/>
        <v>17200.701539999998</v>
      </c>
    </row>
    <row r="442" spans="1:16">
      <c r="A442" s="157"/>
      <c r="B442" s="154"/>
      <c r="C442" s="63"/>
      <c r="D442" s="199"/>
      <c r="E442" s="90"/>
      <c r="F442" s="61"/>
      <c r="G442" s="206"/>
      <c r="H442" s="74"/>
      <c r="I442" s="203"/>
      <c r="J442" s="175"/>
      <c r="K442" s="197"/>
      <c r="L442" s="194"/>
      <c r="M442" s="188">
        <v>6021.12</v>
      </c>
      <c r="N442" s="188">
        <f>M442-(M442*0.03)</f>
        <v>5840.4863999999998</v>
      </c>
      <c r="O442" s="189">
        <v>7.0000000000000007E-2</v>
      </c>
      <c r="P442" s="170">
        <f>(N442*O442)+N442</f>
        <v>6249.3204479999995</v>
      </c>
    </row>
    <row r="443" spans="1:16">
      <c r="A443" s="157"/>
      <c r="B443" s="154"/>
      <c r="C443" s="63"/>
      <c r="D443" s="199"/>
      <c r="E443" s="90"/>
      <c r="F443" s="61"/>
      <c r="G443" s="206"/>
      <c r="H443" s="74"/>
      <c r="I443" s="183"/>
      <c r="J443" s="175"/>
      <c r="K443" s="197"/>
      <c r="L443" s="194"/>
      <c r="M443" s="188">
        <v>8714.16</v>
      </c>
      <c r="N443" s="188">
        <f>M443-(M443*0.03)</f>
        <v>8452.7351999999992</v>
      </c>
      <c r="O443" s="189">
        <v>7.0000000000000007E-2</v>
      </c>
      <c r="P443" s="170">
        <f>(N443*O443)+N443</f>
        <v>9044.4266639999987</v>
      </c>
    </row>
    <row r="444" spans="1:16">
      <c r="A444" s="157"/>
      <c r="B444" s="154"/>
      <c r="C444" s="63"/>
      <c r="D444" s="199"/>
      <c r="E444" s="90"/>
      <c r="F444" s="61"/>
      <c r="G444" s="206"/>
      <c r="H444" s="74"/>
      <c r="I444" s="183"/>
      <c r="J444" s="175"/>
      <c r="K444" s="197"/>
      <c r="L444" s="194"/>
      <c r="M444" s="188">
        <v>0</v>
      </c>
      <c r="N444" s="188">
        <f>M444-(M444*0.03)</f>
        <v>0</v>
      </c>
      <c r="O444" s="189">
        <v>7.0000000000000007E-2</v>
      </c>
      <c r="P444" s="170">
        <f t="shared" ref="P444:P450" si="41">(N444*O444)+N444</f>
        <v>0</v>
      </c>
    </row>
    <row r="445" spans="1:16">
      <c r="A445" s="157"/>
      <c r="B445" s="154"/>
      <c r="C445" s="63"/>
      <c r="D445" s="199"/>
      <c r="E445" s="90"/>
      <c r="F445" s="61"/>
      <c r="G445" s="206"/>
      <c r="H445" s="74"/>
      <c r="I445" s="183"/>
      <c r="J445" s="175"/>
      <c r="K445" s="197"/>
      <c r="L445" s="194"/>
      <c r="M445" s="188">
        <v>18537.7</v>
      </c>
      <c r="N445" s="188">
        <f>M445-(M445*0.03)</f>
        <v>17981.569</v>
      </c>
      <c r="O445" s="189">
        <v>7.0000000000000007E-2</v>
      </c>
      <c r="P445" s="170">
        <f t="shared" si="41"/>
        <v>19240.278829999999</v>
      </c>
    </row>
    <row r="446" spans="1:16">
      <c r="A446" s="158"/>
      <c r="B446" s="154"/>
      <c r="C446" s="63"/>
      <c r="D446" s="199"/>
      <c r="E446" s="91"/>
      <c r="F446" s="61"/>
      <c r="G446" s="206"/>
      <c r="H446" s="74"/>
      <c r="I446" s="183"/>
      <c r="J446" s="175"/>
      <c r="K446" s="197"/>
      <c r="L446" s="194"/>
      <c r="M446" s="188">
        <v>9031.68</v>
      </c>
      <c r="N446" s="188">
        <f t="shared" ref="N446:N458" si="42">M446-(M446*0.03)</f>
        <v>8760.7296000000006</v>
      </c>
      <c r="O446" s="189">
        <v>7.0000000000000007E-2</v>
      </c>
      <c r="P446" s="170">
        <f t="shared" si="41"/>
        <v>9373.9806720000015</v>
      </c>
    </row>
    <row r="447" spans="1:16">
      <c r="A447" s="200"/>
      <c r="B447" s="154"/>
      <c r="C447" s="63"/>
      <c r="D447" s="199"/>
      <c r="E447" s="153"/>
      <c r="F447" s="61"/>
      <c r="G447" s="206"/>
      <c r="H447" s="88"/>
      <c r="I447" s="184"/>
      <c r="J447" s="201"/>
      <c r="K447" s="202"/>
      <c r="L447" s="194"/>
      <c r="N447" s="188">
        <f t="shared" si="42"/>
        <v>0</v>
      </c>
      <c r="O447" s="189">
        <v>7.0000000000000007E-2</v>
      </c>
      <c r="P447" s="170">
        <f t="shared" si="41"/>
        <v>0</v>
      </c>
    </row>
    <row r="448" spans="1:16">
      <c r="A448" s="157"/>
      <c r="B448" s="154"/>
      <c r="C448" s="63"/>
      <c r="D448" s="199"/>
      <c r="E448" s="198"/>
      <c r="F448" s="61"/>
      <c r="G448" s="206"/>
      <c r="H448" s="74"/>
      <c r="I448" s="183"/>
      <c r="J448" s="175"/>
      <c r="K448" s="197"/>
      <c r="L448" s="194"/>
      <c r="M448" s="188">
        <v>8478.9599999999991</v>
      </c>
      <c r="N448" s="188">
        <f t="shared" si="42"/>
        <v>8224.5911999999989</v>
      </c>
      <c r="O448" s="189">
        <v>7.0000000000000007E-2</v>
      </c>
      <c r="P448" s="170">
        <f t="shared" si="41"/>
        <v>8800.3125839999993</v>
      </c>
    </row>
    <row r="449" spans="1:16">
      <c r="A449" s="157"/>
      <c r="B449" s="154"/>
      <c r="C449" s="63"/>
      <c r="D449" s="199"/>
      <c r="E449" s="142"/>
      <c r="F449" s="61"/>
      <c r="G449" s="206"/>
      <c r="H449" s="74"/>
      <c r="I449" s="183"/>
      <c r="J449" s="175"/>
      <c r="K449" s="197"/>
      <c r="L449" s="194"/>
      <c r="M449" s="188">
        <v>11122.62</v>
      </c>
      <c r="N449" s="188">
        <f t="shared" si="42"/>
        <v>10788.941400000002</v>
      </c>
      <c r="O449" s="189">
        <v>7.0000000000000007E-2</v>
      </c>
      <c r="P449" s="170">
        <f t="shared" si="41"/>
        <v>11544.167298000002</v>
      </c>
    </row>
    <row r="450" spans="1:16">
      <c r="A450" s="157"/>
      <c r="B450" s="154"/>
      <c r="C450" s="63"/>
      <c r="D450" s="196"/>
      <c r="E450" s="120"/>
      <c r="F450" s="121"/>
      <c r="G450" s="206"/>
      <c r="H450" s="115"/>
      <c r="I450" s="185"/>
      <c r="J450" s="175"/>
      <c r="K450" s="197"/>
      <c r="L450" s="194"/>
      <c r="M450" s="188">
        <v>3813.12</v>
      </c>
      <c r="N450" s="188">
        <f t="shared" si="42"/>
        <v>3698.7264</v>
      </c>
      <c r="O450" s="189">
        <v>7.0000000000000007E-2</v>
      </c>
      <c r="P450" s="170">
        <f t="shared" si="41"/>
        <v>3957.637248</v>
      </c>
    </row>
    <row r="451" spans="1:16">
      <c r="A451" s="157"/>
      <c r="B451" s="154"/>
      <c r="C451" s="63"/>
      <c r="D451" s="196"/>
      <c r="E451" s="249"/>
      <c r="F451" s="121"/>
      <c r="G451" s="206"/>
      <c r="H451" s="115"/>
      <c r="I451" s="185"/>
      <c r="J451" s="175"/>
      <c r="K451" s="197"/>
      <c r="L451" s="194"/>
    </row>
    <row r="452" spans="1:16">
      <c r="A452" s="157"/>
      <c r="B452" s="154"/>
      <c r="C452" s="63"/>
      <c r="D452" s="196"/>
      <c r="E452" s="249"/>
      <c r="F452" s="121"/>
      <c r="G452" s="206"/>
      <c r="H452" s="115"/>
      <c r="I452" s="185"/>
      <c r="J452" s="175"/>
      <c r="K452" s="197"/>
      <c r="L452" s="194"/>
    </row>
    <row r="453" spans="1:16">
      <c r="A453" s="157"/>
      <c r="B453" s="154"/>
      <c r="C453" s="63"/>
      <c r="D453" s="196"/>
      <c r="E453" s="249"/>
      <c r="F453" s="121"/>
      <c r="G453" s="206"/>
      <c r="H453" s="115"/>
      <c r="I453" s="185"/>
      <c r="J453" s="175"/>
      <c r="K453" s="197"/>
      <c r="L453" s="194"/>
    </row>
    <row r="454" spans="1:16">
      <c r="A454" s="157"/>
      <c r="B454" s="154"/>
      <c r="C454" s="63"/>
      <c r="D454" s="196"/>
      <c r="E454" s="249"/>
      <c r="F454" s="121"/>
      <c r="G454" s="206"/>
      <c r="H454" s="115"/>
      <c r="I454" s="185"/>
      <c r="J454" s="175"/>
      <c r="K454" s="197"/>
      <c r="L454" s="194"/>
    </row>
    <row r="455" spans="1:16">
      <c r="A455" s="157"/>
      <c r="B455" s="154"/>
      <c r="C455" s="63"/>
      <c r="D455" s="196"/>
      <c r="E455" s="249"/>
      <c r="F455" s="121"/>
      <c r="G455" s="206"/>
      <c r="H455" s="115"/>
      <c r="I455" s="185"/>
      <c r="J455" s="175"/>
      <c r="K455" s="197"/>
      <c r="L455" s="194"/>
    </row>
    <row r="456" spans="1:16">
      <c r="A456" s="157"/>
      <c r="B456" s="154"/>
      <c r="C456" s="63"/>
      <c r="D456" s="196"/>
      <c r="E456" s="142"/>
      <c r="F456" s="61"/>
      <c r="G456" s="206"/>
      <c r="H456" s="74"/>
      <c r="I456" s="183"/>
      <c r="J456" s="175"/>
      <c r="K456" s="197"/>
      <c r="L456" s="194"/>
    </row>
    <row r="457" spans="1:16">
      <c r="A457" s="157"/>
      <c r="B457" s="154"/>
      <c r="C457" s="63"/>
      <c r="D457" s="196"/>
      <c r="E457" s="142"/>
      <c r="F457" s="61"/>
      <c r="G457" s="206"/>
      <c r="H457" s="74"/>
      <c r="I457" s="183"/>
      <c r="J457" s="175"/>
      <c r="K457" s="197"/>
      <c r="L457" s="194"/>
    </row>
    <row r="458" spans="1:16">
      <c r="A458" s="157"/>
      <c r="B458" s="161"/>
      <c r="C458" s="63"/>
      <c r="D458" s="196"/>
      <c r="E458" s="142"/>
      <c r="F458" s="61"/>
      <c r="G458" s="206"/>
      <c r="H458" s="74"/>
      <c r="I458" s="183"/>
      <c r="J458" s="175"/>
      <c r="K458" s="197"/>
      <c r="L458" s="194"/>
      <c r="M458" s="188">
        <v>8640</v>
      </c>
      <c r="N458" s="188">
        <f t="shared" si="42"/>
        <v>8380.7999999999993</v>
      </c>
      <c r="O458" s="189">
        <v>7.0000000000000007E-2</v>
      </c>
      <c r="P458" s="170">
        <f>(N458*O458)+N458</f>
        <v>8967.4559999999983</v>
      </c>
    </row>
    <row r="459" spans="1:16">
      <c r="A459" s="160"/>
      <c r="B459" s="154"/>
      <c r="C459" s="63"/>
      <c r="D459" s="196"/>
      <c r="E459" s="120"/>
      <c r="F459" s="121"/>
      <c r="G459" s="206"/>
      <c r="H459" s="115"/>
      <c r="I459" s="185"/>
      <c r="J459" s="174"/>
      <c r="K459" s="195"/>
      <c r="L459" s="194"/>
    </row>
    <row r="460" spans="1:16">
      <c r="F460" s="68"/>
    </row>
    <row r="461" spans="1:16">
      <c r="F461" s="68"/>
    </row>
    <row r="462" spans="1:16">
      <c r="A462" s="44" t="s">
        <v>0</v>
      </c>
      <c r="B462" s="127"/>
      <c r="C462" s="104"/>
      <c r="F462" s="68"/>
      <c r="I462" s="179"/>
      <c r="K462" s="163"/>
      <c r="L462" s="168"/>
    </row>
    <row r="463" spans="1:16">
      <c r="A463" s="3480" t="s">
        <v>2512</v>
      </c>
      <c r="B463" s="3480"/>
      <c r="C463" s="44"/>
      <c r="D463" s="109"/>
      <c r="F463" s="68"/>
      <c r="I463" s="179"/>
      <c r="K463" s="163"/>
      <c r="L463" s="168"/>
    </row>
    <row r="464" spans="1:16" ht="35.25" thickBot="1">
      <c r="F464" s="68"/>
    </row>
    <row r="465" spans="1:16">
      <c r="A465" s="3493" t="s">
        <v>2</v>
      </c>
      <c r="B465" s="3482"/>
      <c r="C465" s="48" t="s">
        <v>3</v>
      </c>
      <c r="D465" s="128" t="s">
        <v>4</v>
      </c>
      <c r="E465" s="77" t="s">
        <v>5</v>
      </c>
      <c r="F465" s="78" t="s">
        <v>5</v>
      </c>
      <c r="G465" s="211" t="s">
        <v>6</v>
      </c>
      <c r="H465" s="140" t="s">
        <v>7</v>
      </c>
      <c r="I465" s="180" t="s">
        <v>1511</v>
      </c>
      <c r="J465" s="172" t="s">
        <v>9</v>
      </c>
      <c r="K465" s="186" t="s">
        <v>9</v>
      </c>
      <c r="L465" s="192" t="s">
        <v>2495</v>
      </c>
      <c r="M465" s="190"/>
    </row>
    <row r="466" spans="1:16" ht="35.25" thickBot="1">
      <c r="A466" s="155"/>
      <c r="B466" s="138"/>
      <c r="C466" s="50"/>
      <c r="D466" s="129" t="s">
        <v>10</v>
      </c>
      <c r="E466" s="79" t="s">
        <v>11</v>
      </c>
      <c r="F466" s="80" t="s">
        <v>12</v>
      </c>
      <c r="G466" s="212"/>
      <c r="H466" s="141" t="s">
        <v>13</v>
      </c>
      <c r="I466" s="181" t="s">
        <v>1512</v>
      </c>
      <c r="J466" s="173" t="s">
        <v>15</v>
      </c>
      <c r="K466" s="187" t="s">
        <v>14</v>
      </c>
      <c r="L466" s="193" t="s">
        <v>2496</v>
      </c>
      <c r="M466" s="190"/>
    </row>
    <row r="467" spans="1:16">
      <c r="A467" s="156"/>
      <c r="B467" s="154"/>
      <c r="C467" s="63"/>
      <c r="D467" s="199"/>
      <c r="E467" s="143"/>
      <c r="F467" s="69"/>
      <c r="G467" s="206"/>
      <c r="H467" s="74"/>
      <c r="I467" s="183"/>
      <c r="J467" s="175"/>
      <c r="K467" s="172"/>
      <c r="L467" s="194"/>
      <c r="M467" s="188">
        <v>3552</v>
      </c>
      <c r="N467" s="188">
        <f t="shared" ref="N467:N483" si="43">M467-(M467*0.03)</f>
        <v>3445.44</v>
      </c>
      <c r="O467" s="189">
        <v>7.0000000000000007E-2</v>
      </c>
      <c r="P467" s="170">
        <f t="shared" ref="P467:P483" si="44">(N467*O467)+N467</f>
        <v>3686.6208000000001</v>
      </c>
    </row>
    <row r="468" spans="1:16">
      <c r="A468" s="157"/>
      <c r="B468" s="154"/>
      <c r="C468" s="63"/>
      <c r="D468" s="199"/>
      <c r="E468" s="145"/>
      <c r="F468" s="61"/>
      <c r="G468" s="206"/>
      <c r="H468" s="74"/>
      <c r="I468" s="183"/>
      <c r="J468" s="175"/>
      <c r="K468" s="176"/>
      <c r="L468" s="194"/>
      <c r="N468" s="188">
        <f t="shared" si="43"/>
        <v>0</v>
      </c>
      <c r="O468" s="189">
        <v>7.0000000000000007E-2</v>
      </c>
      <c r="P468" s="170">
        <f t="shared" si="44"/>
        <v>0</v>
      </c>
    </row>
    <row r="469" spans="1:16">
      <c r="A469" s="157"/>
      <c r="B469" s="239"/>
      <c r="C469" s="63"/>
      <c r="D469" s="199"/>
      <c r="E469" s="145"/>
      <c r="F469" s="61"/>
      <c r="G469" s="206"/>
      <c r="H469" s="74"/>
      <c r="I469" s="183"/>
      <c r="J469" s="175"/>
      <c r="K469" s="245"/>
      <c r="L469" s="194"/>
      <c r="M469" s="188">
        <v>9498.06</v>
      </c>
      <c r="N469" s="188">
        <f t="shared" si="43"/>
        <v>9213.118199999999</v>
      </c>
      <c r="O469" s="189">
        <v>7.0000000000000007E-2</v>
      </c>
      <c r="P469" s="170">
        <f t="shared" si="44"/>
        <v>9858.0364739999986</v>
      </c>
    </row>
    <row r="470" spans="1:16">
      <c r="A470" s="157"/>
      <c r="B470" s="239"/>
      <c r="C470" s="63"/>
      <c r="D470" s="199"/>
      <c r="E470" s="145"/>
      <c r="F470" s="61"/>
      <c r="G470" s="206"/>
      <c r="H470" s="74"/>
      <c r="I470" s="183"/>
      <c r="J470" s="175"/>
      <c r="K470" s="197"/>
      <c r="L470" s="194"/>
      <c r="M470" s="188">
        <v>15305.4</v>
      </c>
      <c r="N470" s="188">
        <f t="shared" si="43"/>
        <v>14846.237999999999</v>
      </c>
      <c r="O470" s="189">
        <v>7.0000000000000007E-2</v>
      </c>
      <c r="P470" s="170">
        <f t="shared" si="44"/>
        <v>15885.47466</v>
      </c>
    </row>
    <row r="471" spans="1:16">
      <c r="A471" s="157"/>
      <c r="B471" s="154"/>
      <c r="C471" s="63"/>
      <c r="D471" s="199"/>
      <c r="E471" s="145"/>
      <c r="F471" s="61"/>
      <c r="G471" s="206"/>
      <c r="H471" s="74"/>
      <c r="I471" s="183"/>
      <c r="J471" s="175"/>
      <c r="K471" s="197"/>
      <c r="L471" s="194"/>
      <c r="N471" s="188">
        <f t="shared" si="43"/>
        <v>0</v>
      </c>
      <c r="O471" s="189">
        <v>7.0000000000000007E-2</v>
      </c>
      <c r="P471" s="170">
        <f t="shared" si="44"/>
        <v>0</v>
      </c>
    </row>
    <row r="472" spans="1:16">
      <c r="A472" s="157"/>
      <c r="B472" s="154"/>
      <c r="C472" s="63"/>
      <c r="D472" s="199"/>
      <c r="E472" s="145"/>
      <c r="F472" s="61"/>
      <c r="G472" s="206"/>
      <c r="H472" s="74"/>
      <c r="I472" s="183"/>
      <c r="J472" s="175"/>
      <c r="K472" s="197"/>
      <c r="L472" s="194"/>
      <c r="N472" s="188">
        <f t="shared" si="43"/>
        <v>0</v>
      </c>
      <c r="O472" s="189">
        <v>7.0000000000000007E-2</v>
      </c>
      <c r="P472" s="170">
        <f t="shared" si="44"/>
        <v>0</v>
      </c>
    </row>
    <row r="473" spans="1:16">
      <c r="A473" s="157"/>
      <c r="B473" s="154"/>
      <c r="C473" s="63"/>
      <c r="D473" s="199"/>
      <c r="E473" s="145"/>
      <c r="F473" s="61"/>
      <c r="G473" s="206"/>
      <c r="H473" s="74"/>
      <c r="I473" s="183"/>
      <c r="J473" s="175"/>
      <c r="K473" s="197"/>
      <c r="L473" s="194"/>
      <c r="N473" s="188">
        <f t="shared" si="43"/>
        <v>0</v>
      </c>
      <c r="O473" s="189">
        <v>7.0000000000000007E-2</v>
      </c>
      <c r="P473" s="170">
        <f t="shared" si="44"/>
        <v>0</v>
      </c>
    </row>
    <row r="474" spans="1:16">
      <c r="A474" s="157"/>
      <c r="B474" s="239"/>
      <c r="C474" s="222"/>
      <c r="D474" s="3464"/>
      <c r="E474" s="145"/>
      <c r="F474" s="61"/>
      <c r="G474" s="223"/>
      <c r="H474" s="224"/>
      <c r="I474" s="225"/>
      <c r="J474" s="209"/>
      <c r="K474" s="244"/>
      <c r="M474" s="188">
        <v>14244.12</v>
      </c>
      <c r="N474" s="188">
        <f t="shared" si="43"/>
        <v>13816.796400000001</v>
      </c>
      <c r="O474" s="189">
        <v>7.0000000000000007E-2</v>
      </c>
      <c r="P474" s="170">
        <f t="shared" si="44"/>
        <v>14783.972148000001</v>
      </c>
    </row>
    <row r="475" spans="1:16">
      <c r="A475" s="157"/>
      <c r="B475" s="162"/>
      <c r="C475" s="63"/>
      <c r="D475" s="199"/>
      <c r="E475" s="145"/>
      <c r="F475" s="61"/>
      <c r="G475" s="206"/>
      <c r="H475" s="74"/>
      <c r="I475" s="183"/>
      <c r="J475" s="175"/>
      <c r="K475" s="197"/>
      <c r="L475" s="194"/>
      <c r="M475" s="188">
        <v>3240</v>
      </c>
      <c r="N475" s="188">
        <f t="shared" si="43"/>
        <v>3142.8</v>
      </c>
      <c r="O475" s="189">
        <v>7.0000000000000007E-2</v>
      </c>
      <c r="P475" s="170">
        <f t="shared" si="44"/>
        <v>3362.7960000000003</v>
      </c>
    </row>
    <row r="476" spans="1:16">
      <c r="A476" s="157"/>
      <c r="B476" s="162"/>
      <c r="C476" s="63"/>
      <c r="D476" s="199"/>
      <c r="E476" s="145"/>
      <c r="F476" s="61"/>
      <c r="G476" s="206"/>
      <c r="H476" s="74"/>
      <c r="I476" s="183"/>
      <c r="J476" s="175"/>
      <c r="K476" s="197"/>
      <c r="L476" s="194"/>
      <c r="M476" s="188">
        <v>14700</v>
      </c>
      <c r="N476" s="188">
        <f t="shared" si="43"/>
        <v>14259</v>
      </c>
      <c r="O476" s="189">
        <v>7.0000000000000007E-2</v>
      </c>
      <c r="P476" s="170">
        <f t="shared" si="44"/>
        <v>15257.130000000001</v>
      </c>
    </row>
    <row r="477" spans="1:16">
      <c r="A477" s="157"/>
      <c r="B477" s="162"/>
      <c r="C477" s="222"/>
      <c r="D477" s="3464"/>
      <c r="E477" s="237"/>
      <c r="F477" s="238"/>
      <c r="G477" s="223"/>
      <c r="H477" s="224"/>
      <c r="I477" s="225"/>
      <c r="J477" s="209"/>
      <c r="K477" s="226"/>
      <c r="L477" s="229"/>
      <c r="M477" s="188">
        <v>14582.7</v>
      </c>
      <c r="N477" s="188">
        <f t="shared" si="43"/>
        <v>14145.219000000001</v>
      </c>
      <c r="O477" s="189">
        <v>7.0000000000000007E-2</v>
      </c>
      <c r="P477" s="170">
        <f t="shared" si="44"/>
        <v>15135.384330000001</v>
      </c>
    </row>
    <row r="478" spans="1:16">
      <c r="A478" s="157"/>
      <c r="B478" s="162"/>
      <c r="C478" s="63"/>
      <c r="D478" s="199"/>
      <c r="E478" s="145"/>
      <c r="F478" s="61"/>
      <c r="G478" s="206"/>
      <c r="H478" s="74"/>
      <c r="I478" s="183"/>
      <c r="J478" s="175"/>
      <c r="K478" s="197"/>
      <c r="L478" s="229"/>
      <c r="M478" s="188">
        <v>13483.8</v>
      </c>
      <c r="N478" s="188">
        <f t="shared" si="43"/>
        <v>13079.286</v>
      </c>
      <c r="O478" s="189">
        <v>7.0000000000000007E-2</v>
      </c>
      <c r="P478" s="170">
        <f t="shared" si="44"/>
        <v>13994.836020000001</v>
      </c>
    </row>
    <row r="479" spans="1:16">
      <c r="A479" s="157"/>
      <c r="B479" s="154"/>
      <c r="C479" s="222"/>
      <c r="D479" s="3464"/>
      <c r="E479" s="145"/>
      <c r="F479" s="61"/>
      <c r="G479" s="223"/>
      <c r="H479" s="224"/>
      <c r="I479" s="225"/>
      <c r="J479" s="209"/>
      <c r="K479" s="226"/>
      <c r="L479" s="229"/>
      <c r="M479" s="188">
        <v>2669.52</v>
      </c>
      <c r="N479" s="188">
        <f t="shared" si="43"/>
        <v>2589.4344000000001</v>
      </c>
      <c r="O479" s="189">
        <v>7.0000000000000007E-2</v>
      </c>
      <c r="P479" s="170">
        <f t="shared" si="44"/>
        <v>2770.6948080000002</v>
      </c>
    </row>
    <row r="480" spans="1:16">
      <c r="A480" s="157"/>
      <c r="B480" s="154"/>
      <c r="C480" s="222"/>
      <c r="D480" s="3464"/>
      <c r="E480" s="145"/>
      <c r="F480" s="61"/>
      <c r="G480" s="223"/>
      <c r="H480" s="224"/>
      <c r="I480" s="225"/>
      <c r="J480" s="209"/>
      <c r="K480" s="226"/>
      <c r="L480" s="229"/>
      <c r="N480" s="188">
        <f t="shared" si="43"/>
        <v>0</v>
      </c>
      <c r="O480" s="189">
        <v>7.0000000000000007E-2</v>
      </c>
      <c r="P480" s="170">
        <f t="shared" si="44"/>
        <v>0</v>
      </c>
    </row>
    <row r="481" spans="1:16">
      <c r="A481" s="221"/>
      <c r="B481" s="240"/>
      <c r="C481" s="222"/>
      <c r="D481" s="3464"/>
      <c r="E481" s="145"/>
      <c r="F481" s="61"/>
      <c r="G481" s="223"/>
      <c r="H481" s="224"/>
      <c r="I481" s="225"/>
      <c r="J481" s="209"/>
      <c r="K481" s="226"/>
      <c r="L481" s="229"/>
      <c r="M481" s="188">
        <v>12972.96</v>
      </c>
      <c r="N481" s="188">
        <f t="shared" si="43"/>
        <v>12583.771199999999</v>
      </c>
      <c r="O481" s="189">
        <v>7.0000000000000007E-2</v>
      </c>
      <c r="P481" s="170">
        <f t="shared" si="44"/>
        <v>13464.635183999999</v>
      </c>
    </row>
    <row r="482" spans="1:16">
      <c r="A482" s="157"/>
      <c r="B482" s="154"/>
      <c r="C482" s="63"/>
      <c r="D482" s="199"/>
      <c r="E482" s="145"/>
      <c r="F482" s="61"/>
      <c r="G482" s="206"/>
      <c r="H482" s="74"/>
      <c r="I482" s="183"/>
      <c r="J482" s="209"/>
      <c r="K482" s="197"/>
      <c r="L482" s="229"/>
      <c r="M482" s="188">
        <v>12687.84</v>
      </c>
      <c r="N482" s="188">
        <f t="shared" si="43"/>
        <v>12307.2048</v>
      </c>
      <c r="O482" s="189">
        <v>7.0000000000000007E-2</v>
      </c>
      <c r="P482" s="170">
        <f t="shared" si="44"/>
        <v>13168.709135999999</v>
      </c>
    </row>
    <row r="483" spans="1:16">
      <c r="A483" s="157"/>
      <c r="B483" s="154"/>
      <c r="C483" s="63"/>
      <c r="D483" s="199"/>
      <c r="E483" s="145"/>
      <c r="F483" s="61"/>
      <c r="G483" s="206"/>
      <c r="H483" s="74"/>
      <c r="I483" s="183"/>
      <c r="J483" s="175"/>
      <c r="K483" s="197"/>
      <c r="L483" s="194"/>
      <c r="M483" s="188">
        <v>16572.599999999999</v>
      </c>
      <c r="N483" s="188">
        <f t="shared" si="43"/>
        <v>16075.421999999999</v>
      </c>
      <c r="O483" s="189">
        <v>7.0000000000000007E-2</v>
      </c>
      <c r="P483" s="170">
        <f t="shared" si="44"/>
        <v>17200.701539999998</v>
      </c>
    </row>
    <row r="484" spans="1:16">
      <c r="A484" s="157"/>
      <c r="B484" s="154"/>
      <c r="C484" s="63"/>
      <c r="D484" s="199"/>
      <c r="E484" s="90"/>
      <c r="F484" s="61"/>
      <c r="G484" s="206"/>
      <c r="H484" s="74"/>
      <c r="I484" s="203"/>
      <c r="J484" s="175"/>
      <c r="K484" s="197"/>
      <c r="L484" s="194"/>
      <c r="M484" s="188">
        <v>6021.12</v>
      </c>
      <c r="N484" s="188">
        <f>M484-(M484*0.03)</f>
        <v>5840.4863999999998</v>
      </c>
      <c r="O484" s="189">
        <v>7.0000000000000007E-2</v>
      </c>
      <c r="P484" s="170">
        <f>(N484*O484)+N484</f>
        <v>6249.3204479999995</v>
      </c>
    </row>
    <row r="485" spans="1:16">
      <c r="A485" s="157"/>
      <c r="B485" s="154"/>
      <c r="C485" s="63"/>
      <c r="D485" s="199"/>
      <c r="E485" s="90"/>
      <c r="F485" s="61"/>
      <c r="G485" s="206"/>
      <c r="H485" s="74"/>
      <c r="I485" s="183"/>
      <c r="J485" s="175"/>
      <c r="K485" s="197"/>
      <c r="L485" s="194"/>
      <c r="M485" s="188">
        <v>8714.16</v>
      </c>
      <c r="N485" s="188">
        <f>M485-(M485*0.03)</f>
        <v>8452.7351999999992</v>
      </c>
      <c r="O485" s="189">
        <v>7.0000000000000007E-2</v>
      </c>
      <c r="P485" s="170">
        <f>(N485*O485)+N485</f>
        <v>9044.4266639999987</v>
      </c>
    </row>
    <row r="486" spans="1:16">
      <c r="A486" s="157"/>
      <c r="B486" s="154"/>
      <c r="C486" s="63"/>
      <c r="D486" s="199"/>
      <c r="E486" s="90"/>
      <c r="F486" s="61"/>
      <c r="G486" s="206"/>
      <c r="H486" s="74"/>
      <c r="I486" s="183"/>
      <c r="J486" s="175"/>
      <c r="K486" s="197"/>
      <c r="L486" s="194"/>
      <c r="M486" s="188">
        <v>0</v>
      </c>
      <c r="N486" s="188">
        <f>M486-(M486*0.03)</f>
        <v>0</v>
      </c>
      <c r="O486" s="189">
        <v>7.0000000000000007E-2</v>
      </c>
      <c r="P486" s="170">
        <f t="shared" ref="P486:P492" si="45">(N486*O486)+N486</f>
        <v>0</v>
      </c>
    </row>
    <row r="487" spans="1:16">
      <c r="A487" s="157"/>
      <c r="B487" s="154"/>
      <c r="C487" s="63"/>
      <c r="D487" s="199"/>
      <c r="E487" s="90"/>
      <c r="F487" s="61"/>
      <c r="G487" s="206"/>
      <c r="H487" s="74"/>
      <c r="I487" s="183"/>
      <c r="J487" s="175"/>
      <c r="K487" s="197"/>
      <c r="L487" s="194"/>
      <c r="M487" s="188">
        <v>18537.7</v>
      </c>
      <c r="N487" s="188">
        <f>M487-(M487*0.03)</f>
        <v>17981.569</v>
      </c>
      <c r="O487" s="189">
        <v>7.0000000000000007E-2</v>
      </c>
      <c r="P487" s="170">
        <f t="shared" si="45"/>
        <v>19240.278829999999</v>
      </c>
    </row>
    <row r="488" spans="1:16">
      <c r="A488" s="158"/>
      <c r="B488" s="154"/>
      <c r="C488" s="63"/>
      <c r="D488" s="199"/>
      <c r="E488" s="91"/>
      <c r="F488" s="61"/>
      <c r="G488" s="206"/>
      <c r="H488" s="74"/>
      <c r="I488" s="183"/>
      <c r="J488" s="175"/>
      <c r="K488" s="197"/>
      <c r="L488" s="194"/>
      <c r="M488" s="188">
        <v>9031.68</v>
      </c>
      <c r="N488" s="188">
        <f t="shared" ref="N488:N500" si="46">M488-(M488*0.03)</f>
        <v>8760.7296000000006</v>
      </c>
      <c r="O488" s="189">
        <v>7.0000000000000007E-2</v>
      </c>
      <c r="P488" s="170">
        <f t="shared" si="45"/>
        <v>9373.9806720000015</v>
      </c>
    </row>
    <row r="489" spans="1:16">
      <c r="A489" s="200"/>
      <c r="B489" s="154"/>
      <c r="C489" s="63"/>
      <c r="D489" s="199"/>
      <c r="E489" s="153"/>
      <c r="F489" s="61"/>
      <c r="G489" s="206"/>
      <c r="H489" s="88"/>
      <c r="I489" s="184"/>
      <c r="J489" s="201"/>
      <c r="K489" s="202"/>
      <c r="L489" s="194"/>
      <c r="N489" s="188">
        <f t="shared" si="46"/>
        <v>0</v>
      </c>
      <c r="O489" s="189">
        <v>7.0000000000000007E-2</v>
      </c>
      <c r="P489" s="170">
        <f t="shared" si="45"/>
        <v>0</v>
      </c>
    </row>
    <row r="490" spans="1:16">
      <c r="A490" s="157"/>
      <c r="B490" s="154"/>
      <c r="C490" s="63"/>
      <c r="D490" s="199"/>
      <c r="E490" s="198"/>
      <c r="F490" s="61"/>
      <c r="G490" s="206"/>
      <c r="H490" s="74"/>
      <c r="I490" s="183"/>
      <c r="J490" s="175"/>
      <c r="K490" s="197"/>
      <c r="L490" s="194"/>
      <c r="M490" s="188">
        <v>8478.9599999999991</v>
      </c>
      <c r="N490" s="188">
        <f t="shared" si="46"/>
        <v>8224.5911999999989</v>
      </c>
      <c r="O490" s="189">
        <v>7.0000000000000007E-2</v>
      </c>
      <c r="P490" s="170">
        <f t="shared" si="45"/>
        <v>8800.3125839999993</v>
      </c>
    </row>
    <row r="491" spans="1:16">
      <c r="A491" s="157"/>
      <c r="B491" s="154"/>
      <c r="C491" s="63"/>
      <c r="D491" s="199"/>
      <c r="E491" s="142"/>
      <c r="F491" s="61"/>
      <c r="G491" s="206"/>
      <c r="H491" s="74"/>
      <c r="I491" s="183"/>
      <c r="J491" s="175"/>
      <c r="K491" s="197"/>
      <c r="L491" s="194"/>
      <c r="M491" s="188">
        <v>11122.62</v>
      </c>
      <c r="N491" s="188">
        <f t="shared" si="46"/>
        <v>10788.941400000002</v>
      </c>
      <c r="O491" s="189">
        <v>7.0000000000000007E-2</v>
      </c>
      <c r="P491" s="170">
        <f t="shared" si="45"/>
        <v>11544.167298000002</v>
      </c>
    </row>
    <row r="492" spans="1:16">
      <c r="A492" s="157"/>
      <c r="B492" s="154"/>
      <c r="C492" s="63"/>
      <c r="D492" s="196"/>
      <c r="E492" s="120"/>
      <c r="F492" s="121"/>
      <c r="G492" s="206"/>
      <c r="H492" s="115"/>
      <c r="I492" s="185"/>
      <c r="J492" s="175"/>
      <c r="K492" s="197"/>
      <c r="L492" s="194"/>
      <c r="M492" s="188">
        <v>3813.12</v>
      </c>
      <c r="N492" s="188">
        <f t="shared" si="46"/>
        <v>3698.7264</v>
      </c>
      <c r="O492" s="189">
        <v>7.0000000000000007E-2</v>
      </c>
      <c r="P492" s="170">
        <f t="shared" si="45"/>
        <v>3957.637248</v>
      </c>
    </row>
    <row r="493" spans="1:16">
      <c r="A493" s="157"/>
      <c r="B493" s="154"/>
      <c r="C493" s="63"/>
      <c r="D493" s="196"/>
      <c r="E493" s="249"/>
      <c r="F493" s="121"/>
      <c r="G493" s="206"/>
      <c r="H493" s="115"/>
      <c r="I493" s="185"/>
      <c r="J493" s="175"/>
      <c r="K493" s="197"/>
      <c r="L493" s="194"/>
    </row>
    <row r="494" spans="1:16">
      <c r="A494" s="157"/>
      <c r="B494" s="154"/>
      <c r="C494" s="63"/>
      <c r="D494" s="196"/>
      <c r="E494" s="249"/>
      <c r="F494" s="121"/>
      <c r="G494" s="206"/>
      <c r="H494" s="115"/>
      <c r="I494" s="185"/>
      <c r="J494" s="175"/>
      <c r="K494" s="197"/>
      <c r="L494" s="194"/>
    </row>
    <row r="495" spans="1:16">
      <c r="A495" s="157"/>
      <c r="B495" s="154"/>
      <c r="C495" s="63"/>
      <c r="D495" s="196"/>
      <c r="E495" s="249"/>
      <c r="F495" s="121"/>
      <c r="G495" s="206"/>
      <c r="H495" s="115"/>
      <c r="I495" s="185"/>
      <c r="J495" s="175"/>
      <c r="K495" s="197"/>
      <c r="L495" s="194"/>
    </row>
    <row r="496" spans="1:16">
      <c r="A496" s="157"/>
      <c r="B496" s="154"/>
      <c r="C496" s="63"/>
      <c r="D496" s="196"/>
      <c r="E496" s="249"/>
      <c r="F496" s="121"/>
      <c r="G496" s="206"/>
      <c r="H496" s="115"/>
      <c r="I496" s="185"/>
      <c r="J496" s="175"/>
      <c r="K496" s="197"/>
      <c r="L496" s="194"/>
    </row>
    <row r="497" spans="1:16">
      <c r="A497" s="157"/>
      <c r="B497" s="154"/>
      <c r="C497" s="63"/>
      <c r="D497" s="196"/>
      <c r="E497" s="249"/>
      <c r="F497" s="121"/>
      <c r="G497" s="206"/>
      <c r="H497" s="115"/>
      <c r="I497" s="185"/>
      <c r="J497" s="175"/>
      <c r="K497" s="197"/>
      <c r="L497" s="194"/>
    </row>
    <row r="498" spans="1:16">
      <c r="A498" s="157"/>
      <c r="B498" s="154"/>
      <c r="C498" s="63"/>
      <c r="D498" s="196"/>
      <c r="E498" s="249"/>
      <c r="F498" s="121"/>
      <c r="G498" s="206"/>
      <c r="H498" s="115"/>
      <c r="I498" s="185"/>
      <c r="J498" s="175"/>
      <c r="K498" s="197"/>
      <c r="L498" s="194"/>
    </row>
    <row r="499" spans="1:16">
      <c r="A499" s="157"/>
      <c r="B499" s="154"/>
      <c r="C499" s="63"/>
      <c r="D499" s="196"/>
      <c r="E499" s="142"/>
      <c r="F499" s="61"/>
      <c r="G499" s="206"/>
      <c r="H499" s="74"/>
      <c r="I499" s="183"/>
      <c r="J499" s="175"/>
      <c r="K499" s="197"/>
      <c r="L499" s="194"/>
    </row>
    <row r="500" spans="1:16">
      <c r="A500" s="157"/>
      <c r="B500" s="161"/>
      <c r="C500" s="63"/>
      <c r="D500" s="196"/>
      <c r="E500" s="142"/>
      <c r="F500" s="61"/>
      <c r="G500" s="206"/>
      <c r="H500" s="74"/>
      <c r="I500" s="183"/>
      <c r="J500" s="175"/>
      <c r="K500" s="197"/>
      <c r="L500" s="194"/>
      <c r="M500" s="188">
        <v>8640</v>
      </c>
      <c r="N500" s="188">
        <f t="shared" si="46"/>
        <v>8380.7999999999993</v>
      </c>
      <c r="O500" s="189">
        <v>7.0000000000000007E-2</v>
      </c>
      <c r="P500" s="170">
        <f>(N500*O500)+N500</f>
        <v>8967.4559999999983</v>
      </c>
    </row>
    <row r="501" spans="1:16">
      <c r="A501" s="160"/>
      <c r="B501" s="154"/>
      <c r="C501" s="63"/>
      <c r="D501" s="196"/>
      <c r="E501" s="120"/>
      <c r="F501" s="121"/>
      <c r="G501" s="206"/>
      <c r="H501" s="115"/>
      <c r="I501" s="185"/>
      <c r="J501" s="174"/>
      <c r="K501" s="195"/>
      <c r="L501" s="194"/>
    </row>
    <row r="502" spans="1:16">
      <c r="F502" s="68"/>
    </row>
    <row r="503" spans="1:16">
      <c r="F503" s="68"/>
    </row>
    <row r="504" spans="1:16">
      <c r="A504" s="44" t="s">
        <v>0</v>
      </c>
      <c r="B504" s="127"/>
      <c r="C504" s="104"/>
      <c r="F504" s="68"/>
      <c r="I504" s="179"/>
      <c r="K504" s="163"/>
      <c r="L504" s="168"/>
    </row>
    <row r="505" spans="1:16">
      <c r="A505" s="3480" t="s">
        <v>2512</v>
      </c>
      <c r="B505" s="3480"/>
      <c r="C505" s="44"/>
      <c r="D505" s="109"/>
      <c r="F505" s="68"/>
      <c r="I505" s="179"/>
      <c r="K505" s="163"/>
      <c r="L505" s="168"/>
    </row>
    <row r="506" spans="1:16" ht="35.25" thickBot="1">
      <c r="F506" s="68"/>
    </row>
    <row r="507" spans="1:16">
      <c r="A507" s="3493" t="s">
        <v>2</v>
      </c>
      <c r="B507" s="3482"/>
      <c r="C507" s="48" t="s">
        <v>3</v>
      </c>
      <c r="D507" s="128" t="s">
        <v>4</v>
      </c>
      <c r="E507" s="77" t="s">
        <v>5</v>
      </c>
      <c r="F507" s="78" t="s">
        <v>5</v>
      </c>
      <c r="G507" s="211" t="s">
        <v>6</v>
      </c>
      <c r="H507" s="140" t="s">
        <v>7</v>
      </c>
      <c r="I507" s="180" t="s">
        <v>1511</v>
      </c>
      <c r="J507" s="172" t="s">
        <v>9</v>
      </c>
      <c r="K507" s="186" t="s">
        <v>9</v>
      </c>
      <c r="L507" s="192" t="s">
        <v>2495</v>
      </c>
      <c r="M507" s="190"/>
    </row>
    <row r="508" spans="1:16" ht="35.25" thickBot="1">
      <c r="A508" s="155"/>
      <c r="B508" s="138"/>
      <c r="C508" s="50"/>
      <c r="D508" s="129" t="s">
        <v>10</v>
      </c>
      <c r="E508" s="79" t="s">
        <v>11</v>
      </c>
      <c r="F508" s="80" t="s">
        <v>12</v>
      </c>
      <c r="G508" s="212"/>
      <c r="H508" s="141" t="s">
        <v>13</v>
      </c>
      <c r="I508" s="181" t="s">
        <v>1512</v>
      </c>
      <c r="J508" s="173" t="s">
        <v>15</v>
      </c>
      <c r="K508" s="187" t="s">
        <v>14</v>
      </c>
      <c r="L508" s="193" t="s">
        <v>2496</v>
      </c>
      <c r="M508" s="190"/>
    </row>
    <row r="509" spans="1:16">
      <c r="A509" s="156"/>
      <c r="B509" s="154"/>
      <c r="C509" s="63"/>
      <c r="D509" s="199"/>
      <c r="E509" s="143"/>
      <c r="F509" s="69"/>
      <c r="G509" s="206"/>
      <c r="H509" s="74"/>
      <c r="I509" s="183"/>
      <c r="J509" s="175"/>
      <c r="K509" s="172"/>
      <c r="L509" s="194"/>
      <c r="M509" s="188">
        <v>3552</v>
      </c>
      <c r="N509" s="188">
        <f t="shared" ref="N509:N525" si="47">M509-(M509*0.03)</f>
        <v>3445.44</v>
      </c>
      <c r="O509" s="189">
        <v>7.0000000000000007E-2</v>
      </c>
      <c r="P509" s="170">
        <f t="shared" ref="P509:P525" si="48">(N509*O509)+N509</f>
        <v>3686.6208000000001</v>
      </c>
    </row>
    <row r="510" spans="1:16">
      <c r="A510" s="157"/>
      <c r="B510" s="154"/>
      <c r="C510" s="63"/>
      <c r="D510" s="199"/>
      <c r="E510" s="145"/>
      <c r="F510" s="61"/>
      <c r="G510" s="206"/>
      <c r="H510" s="74"/>
      <c r="I510" s="183"/>
      <c r="J510" s="175"/>
      <c r="K510" s="176"/>
      <c r="L510" s="194"/>
      <c r="N510" s="188">
        <f t="shared" si="47"/>
        <v>0</v>
      </c>
      <c r="O510" s="189">
        <v>7.0000000000000007E-2</v>
      </c>
      <c r="P510" s="170">
        <f t="shared" si="48"/>
        <v>0</v>
      </c>
    </row>
    <row r="511" spans="1:16">
      <c r="A511" s="157"/>
      <c r="B511" s="239"/>
      <c r="C511" s="63"/>
      <c r="D511" s="199"/>
      <c r="E511" s="145"/>
      <c r="F511" s="61"/>
      <c r="G511" s="206"/>
      <c r="H511" s="74"/>
      <c r="I511" s="183"/>
      <c r="J511" s="175"/>
      <c r="K511" s="245"/>
      <c r="L511" s="194"/>
      <c r="M511" s="188">
        <v>9498.06</v>
      </c>
      <c r="N511" s="188">
        <f t="shared" si="47"/>
        <v>9213.118199999999</v>
      </c>
      <c r="O511" s="189">
        <v>7.0000000000000007E-2</v>
      </c>
      <c r="P511" s="170">
        <f t="shared" si="48"/>
        <v>9858.0364739999986</v>
      </c>
    </row>
    <row r="512" spans="1:16">
      <c r="A512" s="157"/>
      <c r="B512" s="239"/>
      <c r="C512" s="63"/>
      <c r="D512" s="199"/>
      <c r="E512" s="145"/>
      <c r="F512" s="61"/>
      <c r="G512" s="206"/>
      <c r="H512" s="74"/>
      <c r="I512" s="183"/>
      <c r="J512" s="175"/>
      <c r="K512" s="197"/>
      <c r="L512" s="194"/>
      <c r="M512" s="188">
        <v>15305.4</v>
      </c>
      <c r="N512" s="188">
        <f t="shared" si="47"/>
        <v>14846.237999999999</v>
      </c>
      <c r="O512" s="189">
        <v>7.0000000000000007E-2</v>
      </c>
      <c r="P512" s="170">
        <f t="shared" si="48"/>
        <v>15885.47466</v>
      </c>
    </row>
    <row r="513" spans="1:16">
      <c r="A513" s="157"/>
      <c r="B513" s="154"/>
      <c r="C513" s="63"/>
      <c r="D513" s="199"/>
      <c r="E513" s="145"/>
      <c r="F513" s="61"/>
      <c r="G513" s="206"/>
      <c r="H513" s="74"/>
      <c r="I513" s="183"/>
      <c r="J513" s="175"/>
      <c r="K513" s="197"/>
      <c r="L513" s="194"/>
      <c r="N513" s="188">
        <f t="shared" si="47"/>
        <v>0</v>
      </c>
      <c r="O513" s="189">
        <v>7.0000000000000007E-2</v>
      </c>
      <c r="P513" s="170">
        <f t="shared" si="48"/>
        <v>0</v>
      </c>
    </row>
    <row r="514" spans="1:16">
      <c r="A514" s="157"/>
      <c r="B514" s="154"/>
      <c r="C514" s="63"/>
      <c r="D514" s="199"/>
      <c r="E514" s="145"/>
      <c r="F514" s="61"/>
      <c r="G514" s="206"/>
      <c r="H514" s="74"/>
      <c r="I514" s="183"/>
      <c r="J514" s="175"/>
      <c r="K514" s="197"/>
      <c r="L514" s="194"/>
      <c r="N514" s="188">
        <f t="shared" si="47"/>
        <v>0</v>
      </c>
      <c r="O514" s="189">
        <v>7.0000000000000007E-2</v>
      </c>
      <c r="P514" s="170">
        <f t="shared" si="48"/>
        <v>0</v>
      </c>
    </row>
    <row r="515" spans="1:16">
      <c r="A515" s="157"/>
      <c r="B515" s="154"/>
      <c r="C515" s="63"/>
      <c r="D515" s="199"/>
      <c r="E515" s="145"/>
      <c r="F515" s="61"/>
      <c r="G515" s="206"/>
      <c r="H515" s="74"/>
      <c r="I515" s="183"/>
      <c r="J515" s="175"/>
      <c r="K515" s="197"/>
      <c r="L515" s="194"/>
      <c r="N515" s="188">
        <f t="shared" si="47"/>
        <v>0</v>
      </c>
      <c r="O515" s="189">
        <v>7.0000000000000007E-2</v>
      </c>
      <c r="P515" s="170">
        <f t="shared" si="48"/>
        <v>0</v>
      </c>
    </row>
    <row r="516" spans="1:16">
      <c r="A516" s="157"/>
      <c r="B516" s="239"/>
      <c r="C516" s="222"/>
      <c r="D516" s="3464"/>
      <c r="E516" s="145"/>
      <c r="F516" s="61"/>
      <c r="G516" s="223"/>
      <c r="H516" s="224"/>
      <c r="I516" s="225"/>
      <c r="J516" s="209"/>
      <c r="K516" s="244"/>
      <c r="M516" s="188">
        <v>14244.12</v>
      </c>
      <c r="N516" s="188">
        <f t="shared" si="47"/>
        <v>13816.796400000001</v>
      </c>
      <c r="O516" s="189">
        <v>7.0000000000000007E-2</v>
      </c>
      <c r="P516" s="170">
        <f t="shared" si="48"/>
        <v>14783.972148000001</v>
      </c>
    </row>
    <row r="517" spans="1:16">
      <c r="A517" s="157"/>
      <c r="B517" s="162"/>
      <c r="C517" s="63"/>
      <c r="D517" s="199"/>
      <c r="E517" s="145"/>
      <c r="F517" s="61"/>
      <c r="G517" s="206"/>
      <c r="H517" s="74"/>
      <c r="I517" s="183"/>
      <c r="J517" s="175"/>
      <c r="K517" s="197"/>
      <c r="L517" s="194"/>
      <c r="M517" s="188">
        <v>3240</v>
      </c>
      <c r="N517" s="188">
        <f t="shared" si="47"/>
        <v>3142.8</v>
      </c>
      <c r="O517" s="189">
        <v>7.0000000000000007E-2</v>
      </c>
      <c r="P517" s="170">
        <f t="shared" si="48"/>
        <v>3362.7960000000003</v>
      </c>
    </row>
    <row r="518" spans="1:16">
      <c r="A518" s="157"/>
      <c r="B518" s="162"/>
      <c r="C518" s="63"/>
      <c r="D518" s="199"/>
      <c r="E518" s="145"/>
      <c r="F518" s="61"/>
      <c r="G518" s="206"/>
      <c r="H518" s="74"/>
      <c r="I518" s="183"/>
      <c r="J518" s="175"/>
      <c r="K518" s="197"/>
      <c r="L518" s="194"/>
      <c r="M518" s="188">
        <v>14700</v>
      </c>
      <c r="N518" s="188">
        <f t="shared" si="47"/>
        <v>14259</v>
      </c>
      <c r="O518" s="189">
        <v>7.0000000000000007E-2</v>
      </c>
      <c r="P518" s="170">
        <f t="shared" si="48"/>
        <v>15257.130000000001</v>
      </c>
    </row>
    <row r="519" spans="1:16">
      <c r="A519" s="157"/>
      <c r="B519" s="162"/>
      <c r="C519" s="222"/>
      <c r="D519" s="3464"/>
      <c r="E519" s="237"/>
      <c r="F519" s="238"/>
      <c r="G519" s="223"/>
      <c r="H519" s="224"/>
      <c r="I519" s="225"/>
      <c r="J519" s="209"/>
      <c r="K519" s="226"/>
      <c r="L519" s="229"/>
      <c r="M519" s="188">
        <v>14582.7</v>
      </c>
      <c r="N519" s="188">
        <f t="shared" si="47"/>
        <v>14145.219000000001</v>
      </c>
      <c r="O519" s="189">
        <v>7.0000000000000007E-2</v>
      </c>
      <c r="P519" s="170">
        <f t="shared" si="48"/>
        <v>15135.384330000001</v>
      </c>
    </row>
    <row r="520" spans="1:16">
      <c r="A520" s="157"/>
      <c r="B520" s="162"/>
      <c r="C520" s="63"/>
      <c r="D520" s="199"/>
      <c r="E520" s="145"/>
      <c r="F520" s="61"/>
      <c r="G520" s="206"/>
      <c r="H520" s="74"/>
      <c r="I520" s="183"/>
      <c r="J520" s="175"/>
      <c r="K520" s="197"/>
      <c r="L520" s="229"/>
      <c r="M520" s="188">
        <v>13483.8</v>
      </c>
      <c r="N520" s="188">
        <f t="shared" si="47"/>
        <v>13079.286</v>
      </c>
      <c r="O520" s="189">
        <v>7.0000000000000007E-2</v>
      </c>
      <c r="P520" s="170">
        <f t="shared" si="48"/>
        <v>13994.836020000001</v>
      </c>
    </row>
    <row r="521" spans="1:16">
      <c r="A521" s="157"/>
      <c r="B521" s="154"/>
      <c r="C521" s="222"/>
      <c r="D521" s="3464"/>
      <c r="E521" s="145"/>
      <c r="F521" s="61"/>
      <c r="G521" s="223"/>
      <c r="H521" s="224"/>
      <c r="I521" s="225"/>
      <c r="J521" s="209"/>
      <c r="K521" s="226"/>
      <c r="L521" s="229"/>
      <c r="M521" s="188">
        <v>2669.52</v>
      </c>
      <c r="N521" s="188">
        <f t="shared" si="47"/>
        <v>2589.4344000000001</v>
      </c>
      <c r="O521" s="189">
        <v>7.0000000000000007E-2</v>
      </c>
      <c r="P521" s="170">
        <f t="shared" si="48"/>
        <v>2770.6948080000002</v>
      </c>
    </row>
    <row r="522" spans="1:16">
      <c r="A522" s="157"/>
      <c r="B522" s="154"/>
      <c r="C522" s="222"/>
      <c r="D522" s="3464"/>
      <c r="E522" s="145"/>
      <c r="F522" s="61"/>
      <c r="G522" s="223"/>
      <c r="H522" s="224"/>
      <c r="I522" s="225"/>
      <c r="J522" s="209"/>
      <c r="K522" s="226"/>
      <c r="L522" s="229"/>
      <c r="N522" s="188">
        <f t="shared" si="47"/>
        <v>0</v>
      </c>
      <c r="O522" s="189">
        <v>7.0000000000000007E-2</v>
      </c>
      <c r="P522" s="170">
        <f t="shared" si="48"/>
        <v>0</v>
      </c>
    </row>
    <row r="523" spans="1:16">
      <c r="A523" s="221"/>
      <c r="B523" s="240"/>
      <c r="C523" s="222"/>
      <c r="D523" s="3464"/>
      <c r="E523" s="145"/>
      <c r="F523" s="61"/>
      <c r="G523" s="223"/>
      <c r="H523" s="224"/>
      <c r="I523" s="225"/>
      <c r="J523" s="209"/>
      <c r="K523" s="226"/>
      <c r="L523" s="229"/>
      <c r="M523" s="188">
        <v>12972.96</v>
      </c>
      <c r="N523" s="188">
        <f t="shared" si="47"/>
        <v>12583.771199999999</v>
      </c>
      <c r="O523" s="189">
        <v>7.0000000000000007E-2</v>
      </c>
      <c r="P523" s="170">
        <f t="shared" si="48"/>
        <v>13464.635183999999</v>
      </c>
    </row>
    <row r="524" spans="1:16">
      <c r="A524" s="157"/>
      <c r="B524" s="154"/>
      <c r="C524" s="63"/>
      <c r="D524" s="199"/>
      <c r="E524" s="145"/>
      <c r="F524" s="61"/>
      <c r="G524" s="206"/>
      <c r="H524" s="74"/>
      <c r="I524" s="183"/>
      <c r="J524" s="209"/>
      <c r="K524" s="197"/>
      <c r="L524" s="229"/>
      <c r="M524" s="188">
        <v>12687.84</v>
      </c>
      <c r="N524" s="188">
        <f t="shared" si="47"/>
        <v>12307.2048</v>
      </c>
      <c r="O524" s="189">
        <v>7.0000000000000007E-2</v>
      </c>
      <c r="P524" s="170">
        <f t="shared" si="48"/>
        <v>13168.709135999999</v>
      </c>
    </row>
    <row r="525" spans="1:16">
      <c r="A525" s="157"/>
      <c r="B525" s="154"/>
      <c r="C525" s="63"/>
      <c r="D525" s="199"/>
      <c r="E525" s="145"/>
      <c r="F525" s="61"/>
      <c r="G525" s="206"/>
      <c r="H525" s="74"/>
      <c r="I525" s="183"/>
      <c r="J525" s="175"/>
      <c r="K525" s="197"/>
      <c r="L525" s="194"/>
      <c r="M525" s="188">
        <v>16572.599999999999</v>
      </c>
      <c r="N525" s="188">
        <f t="shared" si="47"/>
        <v>16075.421999999999</v>
      </c>
      <c r="O525" s="189">
        <v>7.0000000000000007E-2</v>
      </c>
      <c r="P525" s="170">
        <f t="shared" si="48"/>
        <v>17200.701539999998</v>
      </c>
    </row>
    <row r="526" spans="1:16">
      <c r="A526" s="157"/>
      <c r="B526" s="154"/>
      <c r="C526" s="63"/>
      <c r="D526" s="199"/>
      <c r="E526" s="90"/>
      <c r="F526" s="61"/>
      <c r="G526" s="206"/>
      <c r="H526" s="74"/>
      <c r="I526" s="203"/>
      <c r="J526" s="175"/>
      <c r="K526" s="197"/>
      <c r="L526" s="194"/>
      <c r="M526" s="188">
        <v>6021.12</v>
      </c>
      <c r="N526" s="188">
        <f>M526-(M526*0.03)</f>
        <v>5840.4863999999998</v>
      </c>
      <c r="O526" s="189">
        <v>7.0000000000000007E-2</v>
      </c>
      <c r="P526" s="170">
        <f>(N526*O526)+N526</f>
        <v>6249.3204479999995</v>
      </c>
    </row>
    <row r="527" spans="1:16">
      <c r="A527" s="157"/>
      <c r="B527" s="154"/>
      <c r="C527" s="63"/>
      <c r="D527" s="199"/>
      <c r="E527" s="90"/>
      <c r="F527" s="61"/>
      <c r="G527" s="206"/>
      <c r="H527" s="74"/>
      <c r="I527" s="183"/>
      <c r="J527" s="175"/>
      <c r="K527" s="197"/>
      <c r="L527" s="194"/>
      <c r="M527" s="188">
        <v>8714.16</v>
      </c>
      <c r="N527" s="188">
        <f>M527-(M527*0.03)</f>
        <v>8452.7351999999992</v>
      </c>
      <c r="O527" s="189">
        <v>7.0000000000000007E-2</v>
      </c>
      <c r="P527" s="170">
        <f>(N527*O527)+N527</f>
        <v>9044.4266639999987</v>
      </c>
    </row>
    <row r="528" spans="1:16">
      <c r="A528" s="157"/>
      <c r="B528" s="154"/>
      <c r="C528" s="63"/>
      <c r="D528" s="199"/>
      <c r="E528" s="90"/>
      <c r="F528" s="61"/>
      <c r="G528" s="206"/>
      <c r="H528" s="74"/>
      <c r="I528" s="183"/>
      <c r="J528" s="175"/>
      <c r="K528" s="197"/>
      <c r="L528" s="194"/>
      <c r="M528" s="188">
        <v>0</v>
      </c>
      <c r="N528" s="188">
        <f>M528-(M528*0.03)</f>
        <v>0</v>
      </c>
      <c r="O528" s="189">
        <v>7.0000000000000007E-2</v>
      </c>
      <c r="P528" s="170">
        <f t="shared" ref="P528:P534" si="49">(N528*O528)+N528</f>
        <v>0</v>
      </c>
    </row>
    <row r="529" spans="1:16">
      <c r="A529" s="157"/>
      <c r="B529" s="154"/>
      <c r="C529" s="63"/>
      <c r="D529" s="199"/>
      <c r="E529" s="90"/>
      <c r="F529" s="61"/>
      <c r="G529" s="206"/>
      <c r="H529" s="74"/>
      <c r="I529" s="183"/>
      <c r="J529" s="175"/>
      <c r="K529" s="197"/>
      <c r="L529" s="194"/>
      <c r="M529" s="188">
        <v>18537.7</v>
      </c>
      <c r="N529" s="188">
        <f>M529-(M529*0.03)</f>
        <v>17981.569</v>
      </c>
      <c r="O529" s="189">
        <v>7.0000000000000007E-2</v>
      </c>
      <c r="P529" s="170">
        <f t="shared" si="49"/>
        <v>19240.278829999999</v>
      </c>
    </row>
    <row r="530" spans="1:16">
      <c r="A530" s="158"/>
      <c r="B530" s="154"/>
      <c r="C530" s="63"/>
      <c r="D530" s="199"/>
      <c r="E530" s="91"/>
      <c r="F530" s="61"/>
      <c r="G530" s="206"/>
      <c r="H530" s="74"/>
      <c r="I530" s="183"/>
      <c r="J530" s="175"/>
      <c r="K530" s="197"/>
      <c r="L530" s="194"/>
      <c r="M530" s="188">
        <v>9031.68</v>
      </c>
      <c r="N530" s="188">
        <f t="shared" ref="N530:N542" si="50">M530-(M530*0.03)</f>
        <v>8760.7296000000006</v>
      </c>
      <c r="O530" s="189">
        <v>7.0000000000000007E-2</v>
      </c>
      <c r="P530" s="170">
        <f t="shared" si="49"/>
        <v>9373.9806720000015</v>
      </c>
    </row>
    <row r="531" spans="1:16">
      <c r="A531" s="200"/>
      <c r="B531" s="154"/>
      <c r="C531" s="63"/>
      <c r="D531" s="199"/>
      <c r="E531" s="153"/>
      <c r="F531" s="61"/>
      <c r="G531" s="206"/>
      <c r="H531" s="88"/>
      <c r="I531" s="184"/>
      <c r="J531" s="201"/>
      <c r="K531" s="202"/>
      <c r="L531" s="194"/>
      <c r="N531" s="188">
        <f t="shared" si="50"/>
        <v>0</v>
      </c>
      <c r="O531" s="189">
        <v>7.0000000000000007E-2</v>
      </c>
      <c r="P531" s="170">
        <f t="shared" si="49"/>
        <v>0</v>
      </c>
    </row>
    <row r="532" spans="1:16">
      <c r="A532" s="157"/>
      <c r="B532" s="154"/>
      <c r="C532" s="63"/>
      <c r="D532" s="199"/>
      <c r="E532" s="198"/>
      <c r="F532" s="61"/>
      <c r="G532" s="206"/>
      <c r="H532" s="74"/>
      <c r="I532" s="183"/>
      <c r="J532" s="175"/>
      <c r="K532" s="197"/>
      <c r="L532" s="194"/>
      <c r="M532" s="188">
        <v>8478.9599999999991</v>
      </c>
      <c r="N532" s="188">
        <f t="shared" si="50"/>
        <v>8224.5911999999989</v>
      </c>
      <c r="O532" s="189">
        <v>7.0000000000000007E-2</v>
      </c>
      <c r="P532" s="170">
        <f t="shared" si="49"/>
        <v>8800.3125839999993</v>
      </c>
    </row>
    <row r="533" spans="1:16">
      <c r="A533" s="157"/>
      <c r="B533" s="154"/>
      <c r="C533" s="63"/>
      <c r="D533" s="199"/>
      <c r="E533" s="142"/>
      <c r="F533" s="61"/>
      <c r="G533" s="206"/>
      <c r="H533" s="74"/>
      <c r="I533" s="183"/>
      <c r="J533" s="175"/>
      <c r="K533" s="197"/>
      <c r="L533" s="194"/>
      <c r="M533" s="188">
        <v>11122.62</v>
      </c>
      <c r="N533" s="188">
        <f t="shared" si="50"/>
        <v>10788.941400000002</v>
      </c>
      <c r="O533" s="189">
        <v>7.0000000000000007E-2</v>
      </c>
      <c r="P533" s="170">
        <f t="shared" si="49"/>
        <v>11544.167298000002</v>
      </c>
    </row>
    <row r="534" spans="1:16">
      <c r="A534" s="157"/>
      <c r="B534" s="154"/>
      <c r="C534" s="63"/>
      <c r="D534" s="196"/>
      <c r="E534" s="120"/>
      <c r="F534" s="121"/>
      <c r="G534" s="206"/>
      <c r="H534" s="115"/>
      <c r="I534" s="185"/>
      <c r="J534" s="175"/>
      <c r="K534" s="197"/>
      <c r="L534" s="194"/>
      <c r="M534" s="188">
        <v>3813.12</v>
      </c>
      <c r="N534" s="188">
        <f t="shared" si="50"/>
        <v>3698.7264</v>
      </c>
      <c r="O534" s="189">
        <v>7.0000000000000007E-2</v>
      </c>
      <c r="P534" s="170">
        <f t="shared" si="49"/>
        <v>3957.637248</v>
      </c>
    </row>
    <row r="535" spans="1:16">
      <c r="A535" s="157"/>
      <c r="B535" s="154"/>
      <c r="C535" s="63"/>
      <c r="D535" s="196"/>
      <c r="E535" s="249"/>
      <c r="F535" s="121"/>
      <c r="G535" s="206"/>
      <c r="H535" s="115"/>
      <c r="I535" s="185"/>
      <c r="J535" s="175"/>
      <c r="K535" s="197"/>
      <c r="L535" s="194"/>
    </row>
    <row r="536" spans="1:16">
      <c r="A536" s="157"/>
      <c r="B536" s="154"/>
      <c r="C536" s="63"/>
      <c r="D536" s="196"/>
      <c r="E536" s="249"/>
      <c r="F536" s="121"/>
      <c r="G536" s="206"/>
      <c r="H536" s="115"/>
      <c r="I536" s="185"/>
      <c r="J536" s="175"/>
      <c r="K536" s="197"/>
      <c r="L536" s="194"/>
    </row>
    <row r="537" spans="1:16">
      <c r="A537" s="157"/>
      <c r="B537" s="154"/>
      <c r="C537" s="63"/>
      <c r="D537" s="196"/>
      <c r="E537" s="249"/>
      <c r="F537" s="121"/>
      <c r="G537" s="206"/>
      <c r="H537" s="115"/>
      <c r="I537" s="185"/>
      <c r="J537" s="175"/>
      <c r="K537" s="197"/>
      <c r="L537" s="194"/>
    </row>
    <row r="538" spans="1:16">
      <c r="A538" s="157"/>
      <c r="B538" s="154"/>
      <c r="C538" s="63"/>
      <c r="D538" s="196"/>
      <c r="E538" s="249"/>
      <c r="F538" s="121"/>
      <c r="G538" s="206"/>
      <c r="H538" s="115"/>
      <c r="I538" s="185"/>
      <c r="J538" s="175"/>
      <c r="K538" s="197"/>
      <c r="L538" s="194"/>
    </row>
    <row r="539" spans="1:16">
      <c r="A539" s="157"/>
      <c r="B539" s="154"/>
      <c r="C539" s="63"/>
      <c r="D539" s="196"/>
      <c r="E539" s="249"/>
      <c r="F539" s="121"/>
      <c r="G539" s="206"/>
      <c r="H539" s="115"/>
      <c r="I539" s="185"/>
      <c r="J539" s="175"/>
      <c r="K539" s="197"/>
      <c r="L539" s="194"/>
    </row>
    <row r="540" spans="1:16">
      <c r="A540" s="157"/>
      <c r="B540" s="154"/>
      <c r="C540" s="63"/>
      <c r="D540" s="196"/>
      <c r="E540" s="249"/>
      <c r="F540" s="121"/>
      <c r="G540" s="206"/>
      <c r="H540" s="115"/>
      <c r="I540" s="185"/>
      <c r="J540" s="175"/>
      <c r="K540" s="197"/>
      <c r="L540" s="194"/>
    </row>
    <row r="541" spans="1:16">
      <c r="A541" s="157"/>
      <c r="B541" s="154"/>
      <c r="C541" s="63"/>
      <c r="D541" s="196"/>
      <c r="E541" s="142"/>
      <c r="F541" s="61"/>
      <c r="G541" s="206"/>
      <c r="H541" s="74"/>
      <c r="I541" s="183"/>
      <c r="J541" s="175"/>
      <c r="K541" s="197"/>
      <c r="L541" s="194"/>
    </row>
    <row r="542" spans="1:16">
      <c r="A542" s="157"/>
      <c r="B542" s="161"/>
      <c r="C542" s="63"/>
      <c r="D542" s="196"/>
      <c r="E542" s="142"/>
      <c r="F542" s="61"/>
      <c r="G542" s="206"/>
      <c r="H542" s="74"/>
      <c r="I542" s="183"/>
      <c r="J542" s="175"/>
      <c r="K542" s="197"/>
      <c r="L542" s="194"/>
      <c r="M542" s="188">
        <v>8640</v>
      </c>
      <c r="N542" s="188">
        <f t="shared" si="50"/>
        <v>8380.7999999999993</v>
      </c>
      <c r="O542" s="189">
        <v>7.0000000000000007E-2</v>
      </c>
      <c r="P542" s="170">
        <f>(N542*O542)+N542</f>
        <v>8967.4559999999983</v>
      </c>
    </row>
    <row r="543" spans="1:16">
      <c r="A543" s="160"/>
      <c r="B543" s="154"/>
      <c r="C543" s="63"/>
      <c r="D543" s="196"/>
      <c r="E543" s="120"/>
      <c r="F543" s="121"/>
      <c r="G543" s="206"/>
      <c r="H543" s="115"/>
      <c r="I543" s="185"/>
      <c r="J543" s="174"/>
      <c r="K543" s="195"/>
      <c r="L543" s="194"/>
    </row>
    <row r="544" spans="1:16">
      <c r="F544" s="68"/>
    </row>
    <row r="545" spans="1:16">
      <c r="F545" s="68"/>
    </row>
    <row r="546" spans="1:16">
      <c r="A546" s="44" t="s">
        <v>0</v>
      </c>
      <c r="B546" s="127"/>
      <c r="C546" s="104"/>
      <c r="F546" s="68"/>
      <c r="I546" s="179"/>
      <c r="K546" s="163"/>
      <c r="L546" s="168"/>
    </row>
    <row r="547" spans="1:16">
      <c r="A547" s="3480" t="s">
        <v>2512</v>
      </c>
      <c r="B547" s="3480"/>
      <c r="C547" s="44"/>
      <c r="D547" s="109"/>
      <c r="F547" s="68"/>
      <c r="I547" s="179"/>
      <c r="K547" s="163"/>
      <c r="L547" s="168"/>
    </row>
    <row r="548" spans="1:16" ht="35.25" thickBot="1">
      <c r="F548" s="68"/>
    </row>
    <row r="549" spans="1:16">
      <c r="A549" s="3493" t="s">
        <v>2</v>
      </c>
      <c r="B549" s="3482"/>
      <c r="C549" s="48" t="s">
        <v>3</v>
      </c>
      <c r="D549" s="128" t="s">
        <v>4</v>
      </c>
      <c r="E549" s="77" t="s">
        <v>5</v>
      </c>
      <c r="F549" s="78" t="s">
        <v>5</v>
      </c>
      <c r="G549" s="211" t="s">
        <v>6</v>
      </c>
      <c r="H549" s="140" t="s">
        <v>7</v>
      </c>
      <c r="I549" s="180" t="s">
        <v>1511</v>
      </c>
      <c r="J549" s="172" t="s">
        <v>9</v>
      </c>
      <c r="K549" s="186" t="s">
        <v>9</v>
      </c>
      <c r="L549" s="192" t="s">
        <v>2495</v>
      </c>
      <c r="M549" s="190"/>
    </row>
    <row r="550" spans="1:16" ht="35.25" thickBot="1">
      <c r="A550" s="155"/>
      <c r="B550" s="138"/>
      <c r="C550" s="50"/>
      <c r="D550" s="129" t="s">
        <v>10</v>
      </c>
      <c r="E550" s="79" t="s">
        <v>11</v>
      </c>
      <c r="F550" s="80" t="s">
        <v>12</v>
      </c>
      <c r="G550" s="212"/>
      <c r="H550" s="141" t="s">
        <v>13</v>
      </c>
      <c r="I550" s="181" t="s">
        <v>1512</v>
      </c>
      <c r="J550" s="173" t="s">
        <v>15</v>
      </c>
      <c r="K550" s="187" t="s">
        <v>14</v>
      </c>
      <c r="L550" s="193" t="s">
        <v>2496</v>
      </c>
      <c r="M550" s="190"/>
    </row>
    <row r="551" spans="1:16">
      <c r="A551" s="156"/>
      <c r="B551" s="154"/>
      <c r="C551" s="63"/>
      <c r="D551" s="199"/>
      <c r="E551" s="143"/>
      <c r="F551" s="69"/>
      <c r="G551" s="206"/>
      <c r="H551" s="74"/>
      <c r="I551" s="183"/>
      <c r="J551" s="175"/>
      <c r="K551" s="172"/>
      <c r="L551" s="194"/>
      <c r="M551" s="188">
        <v>3552</v>
      </c>
      <c r="N551" s="188">
        <f t="shared" ref="N551:N567" si="51">M551-(M551*0.03)</f>
        <v>3445.44</v>
      </c>
      <c r="O551" s="189">
        <v>7.0000000000000007E-2</v>
      </c>
      <c r="P551" s="170">
        <f t="shared" ref="P551:P567" si="52">(N551*O551)+N551</f>
        <v>3686.6208000000001</v>
      </c>
    </row>
    <row r="552" spans="1:16">
      <c r="A552" s="157"/>
      <c r="B552" s="154"/>
      <c r="C552" s="63"/>
      <c r="D552" s="199"/>
      <c r="E552" s="145"/>
      <c r="F552" s="61"/>
      <c r="G552" s="206"/>
      <c r="H552" s="74"/>
      <c r="I552" s="183"/>
      <c r="J552" s="175"/>
      <c r="K552" s="176"/>
      <c r="L552" s="194"/>
      <c r="N552" s="188">
        <f t="shared" si="51"/>
        <v>0</v>
      </c>
      <c r="O552" s="189">
        <v>7.0000000000000007E-2</v>
      </c>
      <c r="P552" s="170">
        <f t="shared" si="52"/>
        <v>0</v>
      </c>
    </row>
    <row r="553" spans="1:16">
      <c r="A553" s="157"/>
      <c r="B553" s="239"/>
      <c r="C553" s="63"/>
      <c r="D553" s="199"/>
      <c r="E553" s="145"/>
      <c r="F553" s="61"/>
      <c r="G553" s="206"/>
      <c r="H553" s="74"/>
      <c r="I553" s="183"/>
      <c r="J553" s="175"/>
      <c r="K553" s="245"/>
      <c r="L553" s="194"/>
      <c r="M553" s="188">
        <v>9498.06</v>
      </c>
      <c r="N553" s="188">
        <f t="shared" si="51"/>
        <v>9213.118199999999</v>
      </c>
      <c r="O553" s="189">
        <v>7.0000000000000007E-2</v>
      </c>
      <c r="P553" s="170">
        <f t="shared" si="52"/>
        <v>9858.0364739999986</v>
      </c>
    </row>
    <row r="554" spans="1:16">
      <c r="A554" s="157"/>
      <c r="B554" s="239"/>
      <c r="C554" s="63"/>
      <c r="D554" s="199"/>
      <c r="E554" s="145"/>
      <c r="F554" s="61"/>
      <c r="G554" s="206"/>
      <c r="H554" s="74"/>
      <c r="I554" s="183"/>
      <c r="J554" s="175"/>
      <c r="K554" s="197"/>
      <c r="L554" s="194"/>
      <c r="M554" s="188">
        <v>15305.4</v>
      </c>
      <c r="N554" s="188">
        <f t="shared" si="51"/>
        <v>14846.237999999999</v>
      </c>
      <c r="O554" s="189">
        <v>7.0000000000000007E-2</v>
      </c>
      <c r="P554" s="170">
        <f t="shared" si="52"/>
        <v>15885.47466</v>
      </c>
    </row>
    <row r="555" spans="1:16">
      <c r="A555" s="157"/>
      <c r="B555" s="154"/>
      <c r="C555" s="63"/>
      <c r="D555" s="199"/>
      <c r="E555" s="145"/>
      <c r="F555" s="61"/>
      <c r="G555" s="206"/>
      <c r="H555" s="74"/>
      <c r="I555" s="183"/>
      <c r="J555" s="175"/>
      <c r="K555" s="197"/>
      <c r="L555" s="194"/>
      <c r="N555" s="188">
        <f t="shared" si="51"/>
        <v>0</v>
      </c>
      <c r="O555" s="189">
        <v>7.0000000000000007E-2</v>
      </c>
      <c r="P555" s="170">
        <f t="shared" si="52"/>
        <v>0</v>
      </c>
    </row>
    <row r="556" spans="1:16">
      <c r="A556" s="157"/>
      <c r="B556" s="154"/>
      <c r="C556" s="63"/>
      <c r="D556" s="199"/>
      <c r="E556" s="145"/>
      <c r="F556" s="61"/>
      <c r="G556" s="206"/>
      <c r="H556" s="74"/>
      <c r="I556" s="183"/>
      <c r="J556" s="175"/>
      <c r="K556" s="197"/>
      <c r="L556" s="194"/>
      <c r="N556" s="188">
        <f t="shared" si="51"/>
        <v>0</v>
      </c>
      <c r="O556" s="189">
        <v>7.0000000000000007E-2</v>
      </c>
      <c r="P556" s="170">
        <f t="shared" si="52"/>
        <v>0</v>
      </c>
    </row>
    <row r="557" spans="1:16">
      <c r="A557" s="157"/>
      <c r="B557" s="154"/>
      <c r="C557" s="63"/>
      <c r="D557" s="199"/>
      <c r="E557" s="145"/>
      <c r="F557" s="61"/>
      <c r="G557" s="206"/>
      <c r="H557" s="74"/>
      <c r="I557" s="183"/>
      <c r="J557" s="175"/>
      <c r="K557" s="197"/>
      <c r="L557" s="194"/>
      <c r="N557" s="188">
        <f t="shared" si="51"/>
        <v>0</v>
      </c>
      <c r="O557" s="189">
        <v>7.0000000000000007E-2</v>
      </c>
      <c r="P557" s="170">
        <f t="shared" si="52"/>
        <v>0</v>
      </c>
    </row>
    <row r="558" spans="1:16">
      <c r="A558" s="157"/>
      <c r="B558" s="239"/>
      <c r="C558" s="222"/>
      <c r="D558" s="3464"/>
      <c r="E558" s="145"/>
      <c r="F558" s="61"/>
      <c r="G558" s="223"/>
      <c r="H558" s="224"/>
      <c r="I558" s="225"/>
      <c r="J558" s="209"/>
      <c r="K558" s="244"/>
      <c r="M558" s="188">
        <v>14244.12</v>
      </c>
      <c r="N558" s="188">
        <f t="shared" si="51"/>
        <v>13816.796400000001</v>
      </c>
      <c r="O558" s="189">
        <v>7.0000000000000007E-2</v>
      </c>
      <c r="P558" s="170">
        <f t="shared" si="52"/>
        <v>14783.972148000001</v>
      </c>
    </row>
    <row r="559" spans="1:16">
      <c r="A559" s="157"/>
      <c r="B559" s="162"/>
      <c r="C559" s="63"/>
      <c r="D559" s="199"/>
      <c r="E559" s="145"/>
      <c r="F559" s="61"/>
      <c r="G559" s="206"/>
      <c r="H559" s="74"/>
      <c r="I559" s="183"/>
      <c r="J559" s="175"/>
      <c r="K559" s="197"/>
      <c r="L559" s="194"/>
      <c r="M559" s="188">
        <v>3240</v>
      </c>
      <c r="N559" s="188">
        <f t="shared" si="51"/>
        <v>3142.8</v>
      </c>
      <c r="O559" s="189">
        <v>7.0000000000000007E-2</v>
      </c>
      <c r="P559" s="170">
        <f t="shared" si="52"/>
        <v>3362.7960000000003</v>
      </c>
    </row>
    <row r="560" spans="1:16">
      <c r="A560" s="157"/>
      <c r="B560" s="162"/>
      <c r="C560" s="63"/>
      <c r="D560" s="199"/>
      <c r="E560" s="145"/>
      <c r="F560" s="61"/>
      <c r="G560" s="206"/>
      <c r="H560" s="74"/>
      <c r="I560" s="183"/>
      <c r="J560" s="175"/>
      <c r="K560" s="197"/>
      <c r="L560" s="194"/>
      <c r="M560" s="188">
        <v>14700</v>
      </c>
      <c r="N560" s="188">
        <f t="shared" si="51"/>
        <v>14259</v>
      </c>
      <c r="O560" s="189">
        <v>7.0000000000000007E-2</v>
      </c>
      <c r="P560" s="170">
        <f t="shared" si="52"/>
        <v>15257.130000000001</v>
      </c>
    </row>
    <row r="561" spans="1:16">
      <c r="A561" s="157"/>
      <c r="B561" s="162"/>
      <c r="C561" s="222"/>
      <c r="D561" s="3464"/>
      <c r="E561" s="237"/>
      <c r="F561" s="238"/>
      <c r="G561" s="223"/>
      <c r="H561" s="224"/>
      <c r="I561" s="225"/>
      <c r="J561" s="209"/>
      <c r="K561" s="226"/>
      <c r="L561" s="229"/>
      <c r="M561" s="188">
        <v>14582.7</v>
      </c>
      <c r="N561" s="188">
        <f t="shared" si="51"/>
        <v>14145.219000000001</v>
      </c>
      <c r="O561" s="189">
        <v>7.0000000000000007E-2</v>
      </c>
      <c r="P561" s="170">
        <f t="shared" si="52"/>
        <v>15135.384330000001</v>
      </c>
    </row>
    <row r="562" spans="1:16">
      <c r="A562" s="157"/>
      <c r="B562" s="162"/>
      <c r="C562" s="63"/>
      <c r="D562" s="199"/>
      <c r="E562" s="145"/>
      <c r="F562" s="61"/>
      <c r="G562" s="206"/>
      <c r="H562" s="74"/>
      <c r="I562" s="183"/>
      <c r="J562" s="175"/>
      <c r="K562" s="197"/>
      <c r="L562" s="229"/>
      <c r="M562" s="188">
        <v>13483.8</v>
      </c>
      <c r="N562" s="188">
        <f t="shared" si="51"/>
        <v>13079.286</v>
      </c>
      <c r="O562" s="189">
        <v>7.0000000000000007E-2</v>
      </c>
      <c r="P562" s="170">
        <f t="shared" si="52"/>
        <v>13994.836020000001</v>
      </c>
    </row>
    <row r="563" spans="1:16">
      <c r="A563" s="157"/>
      <c r="B563" s="154"/>
      <c r="C563" s="222"/>
      <c r="D563" s="3464"/>
      <c r="E563" s="145"/>
      <c r="F563" s="61"/>
      <c r="G563" s="223"/>
      <c r="H563" s="224"/>
      <c r="I563" s="225"/>
      <c r="J563" s="209"/>
      <c r="K563" s="226"/>
      <c r="L563" s="229"/>
      <c r="M563" s="188">
        <v>2669.52</v>
      </c>
      <c r="N563" s="188">
        <f t="shared" si="51"/>
        <v>2589.4344000000001</v>
      </c>
      <c r="O563" s="189">
        <v>7.0000000000000007E-2</v>
      </c>
      <c r="P563" s="170">
        <f t="shared" si="52"/>
        <v>2770.6948080000002</v>
      </c>
    </row>
    <row r="564" spans="1:16">
      <c r="A564" s="157"/>
      <c r="B564" s="154"/>
      <c r="C564" s="222"/>
      <c r="D564" s="3464"/>
      <c r="E564" s="145"/>
      <c r="F564" s="61"/>
      <c r="G564" s="223"/>
      <c r="H564" s="224"/>
      <c r="I564" s="225"/>
      <c r="J564" s="209"/>
      <c r="K564" s="226"/>
      <c r="L564" s="229"/>
      <c r="N564" s="188">
        <f t="shared" si="51"/>
        <v>0</v>
      </c>
      <c r="O564" s="189">
        <v>7.0000000000000007E-2</v>
      </c>
      <c r="P564" s="170">
        <f t="shared" si="52"/>
        <v>0</v>
      </c>
    </row>
    <row r="565" spans="1:16">
      <c r="A565" s="221"/>
      <c r="B565" s="240"/>
      <c r="C565" s="222"/>
      <c r="D565" s="3464"/>
      <c r="E565" s="145"/>
      <c r="F565" s="61"/>
      <c r="G565" s="223"/>
      <c r="H565" s="224"/>
      <c r="I565" s="225"/>
      <c r="J565" s="209"/>
      <c r="K565" s="226"/>
      <c r="L565" s="229"/>
      <c r="M565" s="188">
        <v>12972.96</v>
      </c>
      <c r="N565" s="188">
        <f t="shared" si="51"/>
        <v>12583.771199999999</v>
      </c>
      <c r="O565" s="189">
        <v>7.0000000000000007E-2</v>
      </c>
      <c r="P565" s="170">
        <f t="shared" si="52"/>
        <v>13464.635183999999</v>
      </c>
    </row>
    <row r="566" spans="1:16">
      <c r="A566" s="157"/>
      <c r="B566" s="154"/>
      <c r="C566" s="63"/>
      <c r="D566" s="199"/>
      <c r="E566" s="145"/>
      <c r="F566" s="61"/>
      <c r="G566" s="206"/>
      <c r="H566" s="74"/>
      <c r="I566" s="183"/>
      <c r="J566" s="209"/>
      <c r="K566" s="197"/>
      <c r="L566" s="229"/>
      <c r="M566" s="188">
        <v>12687.84</v>
      </c>
      <c r="N566" s="188">
        <f t="shared" si="51"/>
        <v>12307.2048</v>
      </c>
      <c r="O566" s="189">
        <v>7.0000000000000007E-2</v>
      </c>
      <c r="P566" s="170">
        <f t="shared" si="52"/>
        <v>13168.709135999999</v>
      </c>
    </row>
    <row r="567" spans="1:16">
      <c r="A567" s="157"/>
      <c r="B567" s="154"/>
      <c r="C567" s="63"/>
      <c r="D567" s="199"/>
      <c r="E567" s="145"/>
      <c r="F567" s="61"/>
      <c r="G567" s="206"/>
      <c r="H567" s="74"/>
      <c r="I567" s="183"/>
      <c r="J567" s="175"/>
      <c r="K567" s="197"/>
      <c r="L567" s="194"/>
      <c r="M567" s="188">
        <v>16572.599999999999</v>
      </c>
      <c r="N567" s="188">
        <f t="shared" si="51"/>
        <v>16075.421999999999</v>
      </c>
      <c r="O567" s="189">
        <v>7.0000000000000007E-2</v>
      </c>
      <c r="P567" s="170">
        <f t="shared" si="52"/>
        <v>17200.701539999998</v>
      </c>
    </row>
    <row r="568" spans="1:16">
      <c r="A568" s="157"/>
      <c r="B568" s="154"/>
      <c r="C568" s="63"/>
      <c r="D568" s="199"/>
      <c r="E568" s="90"/>
      <c r="F568" s="61"/>
      <c r="G568" s="206"/>
      <c r="H568" s="74"/>
      <c r="I568" s="203"/>
      <c r="J568" s="175"/>
      <c r="K568" s="197"/>
      <c r="L568" s="194"/>
      <c r="M568" s="188">
        <v>6021.12</v>
      </c>
      <c r="N568" s="188">
        <f>M568-(M568*0.03)</f>
        <v>5840.4863999999998</v>
      </c>
      <c r="O568" s="189">
        <v>7.0000000000000007E-2</v>
      </c>
      <c r="P568" s="170">
        <f>(N568*O568)+N568</f>
        <v>6249.3204479999995</v>
      </c>
    </row>
    <row r="569" spans="1:16">
      <c r="A569" s="157"/>
      <c r="B569" s="154"/>
      <c r="C569" s="63"/>
      <c r="D569" s="199"/>
      <c r="E569" s="90"/>
      <c r="F569" s="61"/>
      <c r="G569" s="206"/>
      <c r="H569" s="74"/>
      <c r="I569" s="183"/>
      <c r="J569" s="175"/>
      <c r="K569" s="197"/>
      <c r="L569" s="194"/>
      <c r="M569" s="188">
        <v>8714.16</v>
      </c>
      <c r="N569" s="188">
        <f>M569-(M569*0.03)</f>
        <v>8452.7351999999992</v>
      </c>
      <c r="O569" s="189">
        <v>7.0000000000000007E-2</v>
      </c>
      <c r="P569" s="170">
        <f>(N569*O569)+N569</f>
        <v>9044.4266639999987</v>
      </c>
    </row>
    <row r="570" spans="1:16">
      <c r="A570" s="157"/>
      <c r="B570" s="154"/>
      <c r="C570" s="63"/>
      <c r="D570" s="199"/>
      <c r="E570" s="90"/>
      <c r="F570" s="61"/>
      <c r="G570" s="206"/>
      <c r="H570" s="74"/>
      <c r="I570" s="183"/>
      <c r="J570" s="175"/>
      <c r="K570" s="197"/>
      <c r="L570" s="194"/>
      <c r="M570" s="188">
        <v>0</v>
      </c>
      <c r="N570" s="188">
        <f>M570-(M570*0.03)</f>
        <v>0</v>
      </c>
      <c r="O570" s="189">
        <v>7.0000000000000007E-2</v>
      </c>
      <c r="P570" s="170">
        <f t="shared" ref="P570:P576" si="53">(N570*O570)+N570</f>
        <v>0</v>
      </c>
    </row>
    <row r="571" spans="1:16">
      <c r="A571" s="157"/>
      <c r="B571" s="154"/>
      <c r="C571" s="63"/>
      <c r="D571" s="199"/>
      <c r="E571" s="90"/>
      <c r="F571" s="61"/>
      <c r="G571" s="206"/>
      <c r="H571" s="74"/>
      <c r="I571" s="183"/>
      <c r="J571" s="175"/>
      <c r="K571" s="197"/>
      <c r="L571" s="194"/>
      <c r="M571" s="188">
        <v>18537.7</v>
      </c>
      <c r="N571" s="188">
        <f>M571-(M571*0.03)</f>
        <v>17981.569</v>
      </c>
      <c r="O571" s="189">
        <v>7.0000000000000007E-2</v>
      </c>
      <c r="P571" s="170">
        <f t="shared" si="53"/>
        <v>19240.278829999999</v>
      </c>
    </row>
    <row r="572" spans="1:16">
      <c r="A572" s="158"/>
      <c r="B572" s="154"/>
      <c r="C572" s="63"/>
      <c r="D572" s="199"/>
      <c r="E572" s="91"/>
      <c r="F572" s="61"/>
      <c r="G572" s="206"/>
      <c r="H572" s="74"/>
      <c r="I572" s="183"/>
      <c r="J572" s="175"/>
      <c r="K572" s="197"/>
      <c r="L572" s="194"/>
      <c r="M572" s="188">
        <v>9031.68</v>
      </c>
      <c r="N572" s="188">
        <f t="shared" ref="N572:N582" si="54">M572-(M572*0.03)</f>
        <v>8760.7296000000006</v>
      </c>
      <c r="O572" s="189">
        <v>7.0000000000000007E-2</v>
      </c>
      <c r="P572" s="170">
        <f t="shared" si="53"/>
        <v>9373.9806720000015</v>
      </c>
    </row>
    <row r="573" spans="1:16">
      <c r="A573" s="200"/>
      <c r="B573" s="154"/>
      <c r="C573" s="63"/>
      <c r="D573" s="199"/>
      <c r="E573" s="153"/>
      <c r="F573" s="61"/>
      <c r="G573" s="206"/>
      <c r="H573" s="88"/>
      <c r="I573" s="184"/>
      <c r="J573" s="201"/>
      <c r="K573" s="202"/>
      <c r="L573" s="194"/>
      <c r="N573" s="188">
        <f t="shared" si="54"/>
        <v>0</v>
      </c>
      <c r="O573" s="189">
        <v>7.0000000000000007E-2</v>
      </c>
      <c r="P573" s="170">
        <f t="shared" si="53"/>
        <v>0</v>
      </c>
    </row>
    <row r="574" spans="1:16">
      <c r="A574" s="157"/>
      <c r="B574" s="154"/>
      <c r="C574" s="63"/>
      <c r="D574" s="199"/>
      <c r="E574" s="198"/>
      <c r="F574" s="61"/>
      <c r="G574" s="206"/>
      <c r="H574" s="74"/>
      <c r="I574" s="183"/>
      <c r="J574" s="175"/>
      <c r="K574" s="197"/>
      <c r="L574" s="194"/>
      <c r="M574" s="188">
        <v>8478.9599999999991</v>
      </c>
      <c r="N574" s="188">
        <f t="shared" si="54"/>
        <v>8224.5911999999989</v>
      </c>
      <c r="O574" s="189">
        <v>7.0000000000000007E-2</v>
      </c>
      <c r="P574" s="170">
        <f t="shared" si="53"/>
        <v>8800.3125839999993</v>
      </c>
    </row>
    <row r="575" spans="1:16">
      <c r="A575" s="157"/>
      <c r="B575" s="154"/>
      <c r="C575" s="63"/>
      <c r="D575" s="199"/>
      <c r="E575" s="142"/>
      <c r="F575" s="61"/>
      <c r="G575" s="206"/>
      <c r="H575" s="74"/>
      <c r="I575" s="183"/>
      <c r="J575" s="175"/>
      <c r="K575" s="197"/>
      <c r="L575" s="194"/>
      <c r="M575" s="188">
        <v>11122.62</v>
      </c>
      <c r="N575" s="188">
        <f t="shared" si="54"/>
        <v>10788.941400000002</v>
      </c>
      <c r="O575" s="189">
        <v>7.0000000000000007E-2</v>
      </c>
      <c r="P575" s="170">
        <f t="shared" si="53"/>
        <v>11544.167298000002</v>
      </c>
    </row>
    <row r="576" spans="1:16">
      <c r="A576" s="157"/>
      <c r="B576" s="154"/>
      <c r="C576" s="63"/>
      <c r="D576" s="196"/>
      <c r="E576" s="120"/>
      <c r="F576" s="121"/>
      <c r="G576" s="206"/>
      <c r="H576" s="115"/>
      <c r="I576" s="185"/>
      <c r="J576" s="175"/>
      <c r="K576" s="197"/>
      <c r="L576" s="194"/>
      <c r="M576" s="188">
        <v>3813.12</v>
      </c>
      <c r="N576" s="188">
        <f t="shared" si="54"/>
        <v>3698.7264</v>
      </c>
      <c r="O576" s="189">
        <v>7.0000000000000007E-2</v>
      </c>
      <c r="P576" s="170">
        <f t="shared" si="53"/>
        <v>3957.637248</v>
      </c>
    </row>
    <row r="577" spans="1:16">
      <c r="A577" s="157"/>
      <c r="B577" s="154"/>
      <c r="C577" s="63"/>
      <c r="D577" s="196"/>
      <c r="E577" s="249"/>
      <c r="F577" s="121"/>
      <c r="G577" s="206"/>
      <c r="H577" s="115"/>
      <c r="I577" s="185"/>
      <c r="J577" s="175"/>
      <c r="K577" s="197"/>
      <c r="L577" s="194"/>
    </row>
    <row r="578" spans="1:16">
      <c r="A578" s="157"/>
      <c r="B578" s="154"/>
      <c r="C578" s="63"/>
      <c r="D578" s="196"/>
      <c r="E578" s="249"/>
      <c r="F578" s="121"/>
      <c r="G578" s="206"/>
      <c r="H578" s="115"/>
      <c r="I578" s="185"/>
      <c r="J578" s="175"/>
      <c r="K578" s="197"/>
      <c r="L578" s="194"/>
    </row>
    <row r="579" spans="1:16">
      <c r="A579" s="157"/>
      <c r="B579" s="154"/>
      <c r="C579" s="63"/>
      <c r="D579" s="196"/>
      <c r="E579" s="249"/>
      <c r="F579" s="121"/>
      <c r="G579" s="206"/>
      <c r="H579" s="115"/>
      <c r="I579" s="185"/>
      <c r="J579" s="175"/>
      <c r="K579" s="197"/>
      <c r="L579" s="194"/>
    </row>
    <row r="580" spans="1:16">
      <c r="A580" s="157"/>
      <c r="B580" s="154"/>
      <c r="C580" s="63"/>
      <c r="D580" s="196"/>
      <c r="E580" s="142"/>
      <c r="F580" s="61"/>
      <c r="G580" s="206"/>
      <c r="H580" s="74"/>
      <c r="I580" s="183"/>
      <c r="J580" s="175"/>
      <c r="K580" s="197"/>
      <c r="L580" s="194"/>
    </row>
    <row r="581" spans="1:16">
      <c r="A581" s="157"/>
      <c r="B581" s="154"/>
      <c r="C581" s="63"/>
      <c r="D581" s="196"/>
      <c r="E581" s="142"/>
      <c r="F581" s="61"/>
      <c r="G581" s="206"/>
      <c r="H581" s="74"/>
      <c r="I581" s="183"/>
      <c r="J581" s="175"/>
      <c r="K581" s="197"/>
      <c r="L581" s="194"/>
    </row>
    <row r="582" spans="1:16">
      <c r="A582" s="157"/>
      <c r="B582" s="161"/>
      <c r="C582" s="63"/>
      <c r="D582" s="196"/>
      <c r="E582" s="142"/>
      <c r="F582" s="61"/>
      <c r="G582" s="206"/>
      <c r="H582" s="74"/>
      <c r="I582" s="183"/>
      <c r="J582" s="175"/>
      <c r="K582" s="197"/>
      <c r="L582" s="194"/>
      <c r="M582" s="188">
        <v>8640</v>
      </c>
      <c r="N582" s="188">
        <f t="shared" si="54"/>
        <v>8380.7999999999993</v>
      </c>
      <c r="O582" s="189">
        <v>7.0000000000000007E-2</v>
      </c>
      <c r="P582" s="170">
        <f>(N582*O582)+N582</f>
        <v>8967.4559999999983</v>
      </c>
    </row>
    <row r="583" spans="1:16">
      <c r="A583" s="157"/>
      <c r="B583" s="161"/>
      <c r="C583" s="63"/>
      <c r="D583" s="196"/>
      <c r="E583" s="142"/>
      <c r="F583" s="61"/>
      <c r="G583" s="206"/>
      <c r="H583" s="74"/>
      <c r="I583" s="183"/>
      <c r="J583" s="175"/>
      <c r="K583" s="197"/>
      <c r="L583" s="194"/>
    </row>
    <row r="584" spans="1:16">
      <c r="A584" s="157"/>
      <c r="B584" s="161"/>
      <c r="C584" s="63"/>
      <c r="D584" s="196"/>
      <c r="E584" s="142"/>
      <c r="F584" s="61"/>
      <c r="G584" s="206"/>
      <c r="H584" s="74"/>
      <c r="I584" s="183"/>
      <c r="J584" s="175"/>
      <c r="K584" s="197"/>
      <c r="L584" s="194"/>
    </row>
    <row r="585" spans="1:16">
      <c r="A585" s="160"/>
      <c r="B585" s="154"/>
      <c r="C585" s="63"/>
      <c r="D585" s="196"/>
      <c r="E585" s="120"/>
      <c r="F585" s="121"/>
      <c r="G585" s="206"/>
      <c r="H585" s="115"/>
      <c r="I585" s="185"/>
      <c r="J585" s="174"/>
      <c r="K585" s="195"/>
      <c r="L585" s="194"/>
    </row>
    <row r="586" spans="1:16">
      <c r="F586" s="68"/>
    </row>
    <row r="587" spans="1:16">
      <c r="F587" s="68"/>
    </row>
    <row r="588" spans="1:16">
      <c r="A588" s="44" t="s">
        <v>0</v>
      </c>
      <c r="B588" s="127"/>
      <c r="C588" s="104"/>
      <c r="F588" s="68"/>
      <c r="I588" s="179"/>
      <c r="K588" s="163"/>
      <c r="L588" s="168"/>
    </row>
    <row r="589" spans="1:16">
      <c r="A589" s="3480" t="s">
        <v>2512</v>
      </c>
      <c r="B589" s="3480"/>
      <c r="C589" s="44"/>
      <c r="D589" s="109"/>
      <c r="F589" s="68"/>
      <c r="I589" s="179"/>
      <c r="K589" s="163"/>
      <c r="L589" s="168"/>
    </row>
    <row r="590" spans="1:16" ht="35.25" thickBot="1">
      <c r="F590" s="68"/>
    </row>
    <row r="591" spans="1:16">
      <c r="A591" s="3493" t="s">
        <v>2</v>
      </c>
      <c r="B591" s="3482"/>
      <c r="C591" s="48" t="s">
        <v>3</v>
      </c>
      <c r="D591" s="128" t="s">
        <v>4</v>
      </c>
      <c r="E591" s="77" t="s">
        <v>5</v>
      </c>
      <c r="F591" s="78" t="s">
        <v>5</v>
      </c>
      <c r="G591" s="211" t="s">
        <v>6</v>
      </c>
      <c r="H591" s="140" t="s">
        <v>7</v>
      </c>
      <c r="I591" s="180" t="s">
        <v>1511</v>
      </c>
      <c r="J591" s="172" t="s">
        <v>9</v>
      </c>
      <c r="K591" s="186" t="s">
        <v>9</v>
      </c>
      <c r="L591" s="192" t="s">
        <v>2495</v>
      </c>
      <c r="M591" s="190"/>
    </row>
    <row r="592" spans="1:16" ht="35.25" thickBot="1">
      <c r="A592" s="155"/>
      <c r="B592" s="138"/>
      <c r="C592" s="50"/>
      <c r="D592" s="129" t="s">
        <v>10</v>
      </c>
      <c r="E592" s="79" t="s">
        <v>11</v>
      </c>
      <c r="F592" s="80" t="s">
        <v>12</v>
      </c>
      <c r="G592" s="212"/>
      <c r="H592" s="141" t="s">
        <v>13</v>
      </c>
      <c r="I592" s="181" t="s">
        <v>1512</v>
      </c>
      <c r="J592" s="173" t="s">
        <v>15</v>
      </c>
      <c r="K592" s="187" t="s">
        <v>14</v>
      </c>
      <c r="L592" s="193" t="s">
        <v>2496</v>
      </c>
      <c r="M592" s="190"/>
    </row>
    <row r="593" spans="1:16">
      <c r="A593" s="156"/>
      <c r="B593" s="154"/>
      <c r="C593" s="63"/>
      <c r="D593" s="199"/>
      <c r="E593" s="143"/>
      <c r="F593" s="69"/>
      <c r="G593" s="206"/>
      <c r="H593" s="74"/>
      <c r="I593" s="183"/>
      <c r="J593" s="175"/>
      <c r="K593" s="172"/>
      <c r="L593" s="194"/>
      <c r="M593" s="188">
        <v>3552</v>
      </c>
      <c r="N593" s="188">
        <f t="shared" ref="N593:N609" si="55">M593-(M593*0.03)</f>
        <v>3445.44</v>
      </c>
      <c r="O593" s="189">
        <v>7.0000000000000007E-2</v>
      </c>
      <c r="P593" s="170">
        <f t="shared" ref="P593:P609" si="56">(N593*O593)+N593</f>
        <v>3686.6208000000001</v>
      </c>
    </row>
    <row r="594" spans="1:16">
      <c r="A594" s="157"/>
      <c r="B594" s="154"/>
      <c r="C594" s="63"/>
      <c r="D594" s="199"/>
      <c r="E594" s="145"/>
      <c r="F594" s="61"/>
      <c r="G594" s="206"/>
      <c r="H594" s="74"/>
      <c r="I594" s="183"/>
      <c r="J594" s="175"/>
      <c r="K594" s="176"/>
      <c r="L594" s="194"/>
      <c r="N594" s="188">
        <f t="shared" si="55"/>
        <v>0</v>
      </c>
      <c r="O594" s="189">
        <v>7.0000000000000007E-2</v>
      </c>
      <c r="P594" s="170">
        <f t="shared" si="56"/>
        <v>0</v>
      </c>
    </row>
    <row r="595" spans="1:16">
      <c r="A595" s="157"/>
      <c r="B595" s="239"/>
      <c r="C595" s="63"/>
      <c r="D595" s="199"/>
      <c r="E595" s="145"/>
      <c r="F595" s="61"/>
      <c r="G595" s="206"/>
      <c r="H595" s="74"/>
      <c r="I595" s="183"/>
      <c r="J595" s="175"/>
      <c r="K595" s="245"/>
      <c r="L595" s="194"/>
      <c r="M595" s="188">
        <v>9498.06</v>
      </c>
      <c r="N595" s="188">
        <f t="shared" si="55"/>
        <v>9213.118199999999</v>
      </c>
      <c r="O595" s="189">
        <v>7.0000000000000007E-2</v>
      </c>
      <c r="P595" s="170">
        <f t="shared" si="56"/>
        <v>9858.0364739999986</v>
      </c>
    </row>
    <row r="596" spans="1:16">
      <c r="A596" s="157"/>
      <c r="B596" s="239"/>
      <c r="C596" s="63"/>
      <c r="D596" s="199"/>
      <c r="E596" s="145"/>
      <c r="F596" s="61"/>
      <c r="G596" s="206"/>
      <c r="H596" s="74"/>
      <c r="I596" s="183"/>
      <c r="J596" s="175"/>
      <c r="K596" s="197"/>
      <c r="L596" s="194"/>
      <c r="M596" s="188">
        <v>15305.4</v>
      </c>
      <c r="N596" s="188">
        <f t="shared" si="55"/>
        <v>14846.237999999999</v>
      </c>
      <c r="O596" s="189">
        <v>7.0000000000000007E-2</v>
      </c>
      <c r="P596" s="170">
        <f t="shared" si="56"/>
        <v>15885.47466</v>
      </c>
    </row>
    <row r="597" spans="1:16">
      <c r="A597" s="157"/>
      <c r="B597" s="154"/>
      <c r="C597" s="63"/>
      <c r="D597" s="199"/>
      <c r="E597" s="145"/>
      <c r="F597" s="61"/>
      <c r="G597" s="206"/>
      <c r="H597" s="74"/>
      <c r="I597" s="183"/>
      <c r="J597" s="175"/>
      <c r="K597" s="197"/>
      <c r="L597" s="194"/>
      <c r="N597" s="188">
        <f t="shared" si="55"/>
        <v>0</v>
      </c>
      <c r="O597" s="189">
        <v>7.0000000000000007E-2</v>
      </c>
      <c r="P597" s="170">
        <f t="shared" si="56"/>
        <v>0</v>
      </c>
    </row>
    <row r="598" spans="1:16">
      <c r="A598" s="157"/>
      <c r="B598" s="154"/>
      <c r="C598" s="63"/>
      <c r="D598" s="199"/>
      <c r="E598" s="145"/>
      <c r="F598" s="61"/>
      <c r="G598" s="206"/>
      <c r="H598" s="74"/>
      <c r="I598" s="183"/>
      <c r="J598" s="175"/>
      <c r="K598" s="197"/>
      <c r="L598" s="194"/>
      <c r="N598" s="188">
        <f t="shared" si="55"/>
        <v>0</v>
      </c>
      <c r="O598" s="189">
        <v>7.0000000000000007E-2</v>
      </c>
      <c r="P598" s="170">
        <f t="shared" si="56"/>
        <v>0</v>
      </c>
    </row>
    <row r="599" spans="1:16">
      <c r="A599" s="157"/>
      <c r="B599" s="154"/>
      <c r="C599" s="63"/>
      <c r="D599" s="199"/>
      <c r="E599" s="145"/>
      <c r="F599" s="61"/>
      <c r="G599" s="206"/>
      <c r="H599" s="74"/>
      <c r="I599" s="183"/>
      <c r="J599" s="175"/>
      <c r="K599" s="197"/>
      <c r="L599" s="194"/>
      <c r="N599" s="188">
        <f t="shared" si="55"/>
        <v>0</v>
      </c>
      <c r="O599" s="189">
        <v>7.0000000000000007E-2</v>
      </c>
      <c r="P599" s="170">
        <f t="shared" si="56"/>
        <v>0</v>
      </c>
    </row>
    <row r="600" spans="1:16">
      <c r="A600" s="157"/>
      <c r="B600" s="239"/>
      <c r="C600" s="222"/>
      <c r="D600" s="3464"/>
      <c r="E600" s="145"/>
      <c r="F600" s="61"/>
      <c r="G600" s="223"/>
      <c r="H600" s="224"/>
      <c r="I600" s="225"/>
      <c r="J600" s="209"/>
      <c r="K600" s="244"/>
      <c r="M600" s="188">
        <v>14244.12</v>
      </c>
      <c r="N600" s="188">
        <f t="shared" si="55"/>
        <v>13816.796400000001</v>
      </c>
      <c r="O600" s="189">
        <v>7.0000000000000007E-2</v>
      </c>
      <c r="P600" s="170">
        <f t="shared" si="56"/>
        <v>14783.972148000001</v>
      </c>
    </row>
    <row r="601" spans="1:16">
      <c r="A601" s="157"/>
      <c r="B601" s="162"/>
      <c r="C601" s="63"/>
      <c r="D601" s="199"/>
      <c r="E601" s="145"/>
      <c r="F601" s="61"/>
      <c r="G601" s="206"/>
      <c r="H601" s="74"/>
      <c r="I601" s="183"/>
      <c r="J601" s="175"/>
      <c r="K601" s="197"/>
      <c r="L601" s="194"/>
      <c r="M601" s="188">
        <v>3240</v>
      </c>
      <c r="N601" s="188">
        <f t="shared" si="55"/>
        <v>3142.8</v>
      </c>
      <c r="O601" s="189">
        <v>7.0000000000000007E-2</v>
      </c>
      <c r="P601" s="170">
        <f t="shared" si="56"/>
        <v>3362.7960000000003</v>
      </c>
    </row>
    <row r="602" spans="1:16">
      <c r="A602" s="157"/>
      <c r="B602" s="162"/>
      <c r="C602" s="63"/>
      <c r="D602" s="199"/>
      <c r="E602" s="145"/>
      <c r="F602" s="61"/>
      <c r="G602" s="206"/>
      <c r="H602" s="74"/>
      <c r="I602" s="183"/>
      <c r="J602" s="175"/>
      <c r="K602" s="197"/>
      <c r="L602" s="194"/>
      <c r="M602" s="188">
        <v>14700</v>
      </c>
      <c r="N602" s="188">
        <f t="shared" si="55"/>
        <v>14259</v>
      </c>
      <c r="O602" s="189">
        <v>7.0000000000000007E-2</v>
      </c>
      <c r="P602" s="170">
        <f t="shared" si="56"/>
        <v>15257.130000000001</v>
      </c>
    </row>
    <row r="603" spans="1:16">
      <c r="A603" s="157"/>
      <c r="B603" s="162"/>
      <c r="C603" s="222"/>
      <c r="D603" s="3464"/>
      <c r="E603" s="237"/>
      <c r="F603" s="238"/>
      <c r="G603" s="223"/>
      <c r="H603" s="224"/>
      <c r="I603" s="225"/>
      <c r="J603" s="209"/>
      <c r="K603" s="226"/>
      <c r="L603" s="229"/>
      <c r="M603" s="188">
        <v>14582.7</v>
      </c>
      <c r="N603" s="188">
        <f t="shared" si="55"/>
        <v>14145.219000000001</v>
      </c>
      <c r="O603" s="189">
        <v>7.0000000000000007E-2</v>
      </c>
      <c r="P603" s="170">
        <f t="shared" si="56"/>
        <v>15135.384330000001</v>
      </c>
    </row>
    <row r="604" spans="1:16">
      <c r="A604" s="157"/>
      <c r="B604" s="162"/>
      <c r="C604" s="63"/>
      <c r="D604" s="199"/>
      <c r="E604" s="145"/>
      <c r="F604" s="61"/>
      <c r="G604" s="206"/>
      <c r="H604" s="74"/>
      <c r="I604" s="183"/>
      <c r="J604" s="175"/>
      <c r="K604" s="197"/>
      <c r="L604" s="229"/>
      <c r="M604" s="188">
        <v>13483.8</v>
      </c>
      <c r="N604" s="188">
        <f t="shared" si="55"/>
        <v>13079.286</v>
      </c>
      <c r="O604" s="189">
        <v>7.0000000000000007E-2</v>
      </c>
      <c r="P604" s="170">
        <f t="shared" si="56"/>
        <v>13994.836020000001</v>
      </c>
    </row>
    <row r="605" spans="1:16">
      <c r="A605" s="157"/>
      <c r="B605" s="154"/>
      <c r="C605" s="222"/>
      <c r="D605" s="3464"/>
      <c r="E605" s="145"/>
      <c r="F605" s="61"/>
      <c r="G605" s="223"/>
      <c r="H605" s="224"/>
      <c r="I605" s="225"/>
      <c r="J605" s="209"/>
      <c r="K605" s="226"/>
      <c r="L605" s="229"/>
      <c r="M605" s="188">
        <v>2669.52</v>
      </c>
      <c r="N605" s="188">
        <f t="shared" si="55"/>
        <v>2589.4344000000001</v>
      </c>
      <c r="O605" s="189">
        <v>7.0000000000000007E-2</v>
      </c>
      <c r="P605" s="170">
        <f t="shared" si="56"/>
        <v>2770.6948080000002</v>
      </c>
    </row>
    <row r="606" spans="1:16">
      <c r="A606" s="157"/>
      <c r="B606" s="154"/>
      <c r="C606" s="222"/>
      <c r="D606" s="3464"/>
      <c r="E606" s="145"/>
      <c r="F606" s="61"/>
      <c r="G606" s="223"/>
      <c r="H606" s="224"/>
      <c r="I606" s="225"/>
      <c r="J606" s="209"/>
      <c r="K606" s="226"/>
      <c r="L606" s="229"/>
      <c r="N606" s="188">
        <f t="shared" si="55"/>
        <v>0</v>
      </c>
      <c r="O606" s="189">
        <v>7.0000000000000007E-2</v>
      </c>
      <c r="P606" s="170">
        <f t="shared" si="56"/>
        <v>0</v>
      </c>
    </row>
    <row r="607" spans="1:16">
      <c r="A607" s="221"/>
      <c r="B607" s="240"/>
      <c r="C607" s="222"/>
      <c r="D607" s="3464"/>
      <c r="E607" s="145"/>
      <c r="F607" s="61"/>
      <c r="G607" s="223"/>
      <c r="H607" s="224"/>
      <c r="I607" s="225"/>
      <c r="J607" s="209"/>
      <c r="K607" s="226"/>
      <c r="L607" s="229"/>
      <c r="M607" s="188">
        <v>12972.96</v>
      </c>
      <c r="N607" s="188">
        <f t="shared" si="55"/>
        <v>12583.771199999999</v>
      </c>
      <c r="O607" s="189">
        <v>7.0000000000000007E-2</v>
      </c>
      <c r="P607" s="170">
        <f t="shared" si="56"/>
        <v>13464.635183999999</v>
      </c>
    </row>
    <row r="608" spans="1:16">
      <c r="A608" s="157"/>
      <c r="B608" s="154"/>
      <c r="C608" s="63"/>
      <c r="D608" s="199"/>
      <c r="E608" s="145"/>
      <c r="F608" s="61"/>
      <c r="G608" s="206"/>
      <c r="H608" s="74"/>
      <c r="I608" s="183"/>
      <c r="J608" s="209"/>
      <c r="K608" s="197"/>
      <c r="L608" s="229"/>
      <c r="M608" s="188">
        <v>12687.84</v>
      </c>
      <c r="N608" s="188">
        <f t="shared" si="55"/>
        <v>12307.2048</v>
      </c>
      <c r="O608" s="189">
        <v>7.0000000000000007E-2</v>
      </c>
      <c r="P608" s="170">
        <f t="shared" si="56"/>
        <v>13168.709135999999</v>
      </c>
    </row>
    <row r="609" spans="1:16">
      <c r="A609" s="157"/>
      <c r="B609" s="154"/>
      <c r="C609" s="63"/>
      <c r="D609" s="199"/>
      <c r="E609" s="145"/>
      <c r="F609" s="61"/>
      <c r="G609" s="206"/>
      <c r="H609" s="74"/>
      <c r="I609" s="183"/>
      <c r="J609" s="175"/>
      <c r="K609" s="197"/>
      <c r="L609" s="194"/>
      <c r="M609" s="188">
        <v>16572.599999999999</v>
      </c>
      <c r="N609" s="188">
        <f t="shared" si="55"/>
        <v>16075.421999999999</v>
      </c>
      <c r="O609" s="189">
        <v>7.0000000000000007E-2</v>
      </c>
      <c r="P609" s="170">
        <f t="shared" si="56"/>
        <v>17200.701539999998</v>
      </c>
    </row>
    <row r="610" spans="1:16">
      <c r="A610" s="157"/>
      <c r="B610" s="154"/>
      <c r="C610" s="63"/>
      <c r="D610" s="199"/>
      <c r="E610" s="90"/>
      <c r="F610" s="61"/>
      <c r="G610" s="206"/>
      <c r="H610" s="74"/>
      <c r="I610" s="203"/>
      <c r="J610" s="175"/>
      <c r="K610" s="197"/>
      <c r="L610" s="194"/>
      <c r="M610" s="188">
        <v>6021.12</v>
      </c>
      <c r="N610" s="188">
        <f>M610-(M610*0.03)</f>
        <v>5840.4863999999998</v>
      </c>
      <c r="O610" s="189">
        <v>7.0000000000000007E-2</v>
      </c>
      <c r="P610" s="170">
        <f>(N610*O610)+N610</f>
        <v>6249.3204479999995</v>
      </c>
    </row>
    <row r="611" spans="1:16">
      <c r="A611" s="157"/>
      <c r="B611" s="154"/>
      <c r="C611" s="63"/>
      <c r="D611" s="199"/>
      <c r="E611" s="90"/>
      <c r="F611" s="61"/>
      <c r="G611" s="206"/>
      <c r="H611" s="74"/>
      <c r="I611" s="183"/>
      <c r="J611" s="175"/>
      <c r="K611" s="197"/>
      <c r="L611" s="194"/>
      <c r="M611" s="188">
        <v>8714.16</v>
      </c>
      <c r="N611" s="188">
        <f>M611-(M611*0.03)</f>
        <v>8452.7351999999992</v>
      </c>
      <c r="O611" s="189">
        <v>7.0000000000000007E-2</v>
      </c>
      <c r="P611" s="170">
        <f>(N611*O611)+N611</f>
        <v>9044.4266639999987</v>
      </c>
    </row>
    <row r="612" spans="1:16">
      <c r="A612" s="157"/>
      <c r="B612" s="154"/>
      <c r="C612" s="63"/>
      <c r="D612" s="199"/>
      <c r="E612" s="90"/>
      <c r="F612" s="61"/>
      <c r="G612" s="206"/>
      <c r="H612" s="74"/>
      <c r="I612" s="183"/>
      <c r="J612" s="175"/>
      <c r="K612" s="197"/>
      <c r="L612" s="194"/>
      <c r="M612" s="188">
        <v>0</v>
      </c>
      <c r="N612" s="188">
        <f>M612-(M612*0.03)</f>
        <v>0</v>
      </c>
      <c r="O612" s="189">
        <v>7.0000000000000007E-2</v>
      </c>
      <c r="P612" s="170">
        <f t="shared" ref="P612:P618" si="57">(N612*O612)+N612</f>
        <v>0</v>
      </c>
    </row>
    <row r="613" spans="1:16">
      <c r="A613" s="157"/>
      <c r="B613" s="154"/>
      <c r="C613" s="63"/>
      <c r="D613" s="199"/>
      <c r="E613" s="90"/>
      <c r="F613" s="61"/>
      <c r="G613" s="206"/>
      <c r="H613" s="74"/>
      <c r="I613" s="183"/>
      <c r="J613" s="175"/>
      <c r="K613" s="197"/>
      <c r="L613" s="194"/>
      <c r="M613" s="188">
        <v>18537.7</v>
      </c>
      <c r="N613" s="188">
        <f>M613-(M613*0.03)</f>
        <v>17981.569</v>
      </c>
      <c r="O613" s="189">
        <v>7.0000000000000007E-2</v>
      </c>
      <c r="P613" s="170">
        <f t="shared" si="57"/>
        <v>19240.278829999999</v>
      </c>
    </row>
    <row r="614" spans="1:16">
      <c r="A614" s="158"/>
      <c r="B614" s="154"/>
      <c r="C614" s="63"/>
      <c r="D614" s="199"/>
      <c r="E614" s="91"/>
      <c r="F614" s="61"/>
      <c r="G614" s="206"/>
      <c r="H614" s="74"/>
      <c r="I614" s="183"/>
      <c r="J614" s="175"/>
      <c r="K614" s="197"/>
      <c r="L614" s="194"/>
      <c r="M614" s="188">
        <v>9031.68</v>
      </c>
      <c r="N614" s="188">
        <f t="shared" ref="N614:N623" si="58">M614-(M614*0.03)</f>
        <v>8760.7296000000006</v>
      </c>
      <c r="O614" s="189">
        <v>7.0000000000000007E-2</v>
      </c>
      <c r="P614" s="170">
        <f t="shared" si="57"/>
        <v>9373.9806720000015</v>
      </c>
    </row>
    <row r="615" spans="1:16">
      <c r="A615" s="200"/>
      <c r="B615" s="154"/>
      <c r="C615" s="63"/>
      <c r="D615" s="199"/>
      <c r="E615" s="153"/>
      <c r="F615" s="61"/>
      <c r="G615" s="206"/>
      <c r="H615" s="88"/>
      <c r="I615" s="184"/>
      <c r="J615" s="201"/>
      <c r="K615" s="202"/>
      <c r="L615" s="194"/>
      <c r="N615" s="188">
        <f t="shared" si="58"/>
        <v>0</v>
      </c>
      <c r="O615" s="189">
        <v>7.0000000000000007E-2</v>
      </c>
      <c r="P615" s="170">
        <f t="shared" si="57"/>
        <v>0</v>
      </c>
    </row>
    <row r="616" spans="1:16">
      <c r="A616" s="157"/>
      <c r="B616" s="154"/>
      <c r="C616" s="63"/>
      <c r="D616" s="199"/>
      <c r="E616" s="198"/>
      <c r="F616" s="61"/>
      <c r="G616" s="206"/>
      <c r="H616" s="74"/>
      <c r="I616" s="183"/>
      <c r="J616" s="175"/>
      <c r="K616" s="197"/>
      <c r="L616" s="194"/>
      <c r="M616" s="188">
        <v>8478.9599999999991</v>
      </c>
      <c r="N616" s="188">
        <f t="shared" si="58"/>
        <v>8224.5911999999989</v>
      </c>
      <c r="O616" s="189">
        <v>7.0000000000000007E-2</v>
      </c>
      <c r="P616" s="170">
        <f t="shared" si="57"/>
        <v>8800.3125839999993</v>
      </c>
    </row>
    <row r="617" spans="1:16">
      <c r="A617" s="157"/>
      <c r="B617" s="154"/>
      <c r="C617" s="63"/>
      <c r="D617" s="199"/>
      <c r="E617" s="142"/>
      <c r="F617" s="61"/>
      <c r="G617" s="206"/>
      <c r="H617" s="74"/>
      <c r="I617" s="183"/>
      <c r="J617" s="175"/>
      <c r="K617" s="197"/>
      <c r="L617" s="194"/>
      <c r="M617" s="188">
        <v>11122.62</v>
      </c>
      <c r="N617" s="188">
        <f t="shared" si="58"/>
        <v>10788.941400000002</v>
      </c>
      <c r="O617" s="189">
        <v>7.0000000000000007E-2</v>
      </c>
      <c r="P617" s="170">
        <f t="shared" si="57"/>
        <v>11544.167298000002</v>
      </c>
    </row>
    <row r="618" spans="1:16">
      <c r="A618" s="157"/>
      <c r="B618" s="154"/>
      <c r="C618" s="63"/>
      <c r="D618" s="196"/>
      <c r="E618" s="120"/>
      <c r="F618" s="121"/>
      <c r="G618" s="206"/>
      <c r="H618" s="115"/>
      <c r="I618" s="185"/>
      <c r="J618" s="175"/>
      <c r="K618" s="197"/>
      <c r="L618" s="194"/>
      <c r="M618" s="188">
        <v>3813.12</v>
      </c>
      <c r="N618" s="188">
        <f t="shared" si="58"/>
        <v>3698.7264</v>
      </c>
      <c r="O618" s="189">
        <v>7.0000000000000007E-2</v>
      </c>
      <c r="P618" s="170">
        <f t="shared" si="57"/>
        <v>3957.637248</v>
      </c>
    </row>
    <row r="619" spans="1:16">
      <c r="A619" s="157"/>
      <c r="B619" s="154"/>
      <c r="C619" s="63"/>
      <c r="D619" s="196"/>
      <c r="E619" s="249"/>
      <c r="F619" s="121"/>
      <c r="G619" s="206"/>
      <c r="H619" s="115"/>
      <c r="I619" s="185"/>
      <c r="J619" s="175"/>
      <c r="K619" s="197"/>
      <c r="L619" s="194"/>
    </row>
    <row r="620" spans="1:16">
      <c r="A620" s="157"/>
      <c r="B620" s="154"/>
      <c r="C620" s="63"/>
      <c r="D620" s="196"/>
      <c r="E620" s="249"/>
      <c r="F620" s="121"/>
      <c r="G620" s="206"/>
      <c r="H620" s="115"/>
      <c r="I620" s="185"/>
      <c r="J620" s="175"/>
      <c r="K620" s="197"/>
      <c r="L620" s="194"/>
    </row>
    <row r="621" spans="1:16">
      <c r="A621" s="157"/>
      <c r="B621" s="154"/>
      <c r="C621" s="63"/>
      <c r="D621" s="196"/>
      <c r="E621" s="249"/>
      <c r="F621" s="121"/>
      <c r="G621" s="206"/>
      <c r="H621" s="115"/>
      <c r="I621" s="185"/>
      <c r="J621" s="175"/>
      <c r="K621" s="197"/>
      <c r="L621" s="194"/>
    </row>
    <row r="622" spans="1:16">
      <c r="A622" s="157"/>
      <c r="B622" s="154"/>
      <c r="C622" s="63"/>
      <c r="D622" s="196"/>
      <c r="E622" s="142"/>
      <c r="F622" s="61"/>
      <c r="G622" s="206"/>
      <c r="H622" s="74"/>
      <c r="I622" s="183"/>
      <c r="J622" s="175"/>
      <c r="K622" s="197"/>
      <c r="L622" s="194"/>
    </row>
    <row r="623" spans="1:16">
      <c r="A623" s="157"/>
      <c r="B623" s="161"/>
      <c r="C623" s="63"/>
      <c r="D623" s="196"/>
      <c r="E623" s="142"/>
      <c r="F623" s="61"/>
      <c r="G623" s="206"/>
      <c r="H623" s="74"/>
      <c r="I623" s="183"/>
      <c r="J623" s="175"/>
      <c r="K623" s="197"/>
      <c r="L623" s="194"/>
      <c r="M623" s="188">
        <v>8640</v>
      </c>
      <c r="N623" s="188">
        <f t="shared" si="58"/>
        <v>8380.7999999999993</v>
      </c>
      <c r="O623" s="189">
        <v>7.0000000000000007E-2</v>
      </c>
      <c r="P623" s="170">
        <f>(N623*O623)+N623</f>
        <v>8967.4559999999983</v>
      </c>
    </row>
    <row r="624" spans="1:16">
      <c r="A624" s="160"/>
      <c r="B624" s="154"/>
      <c r="C624" s="63"/>
      <c r="D624" s="196"/>
      <c r="E624" s="120"/>
      <c r="F624" s="121"/>
      <c r="G624" s="206"/>
      <c r="H624" s="115"/>
      <c r="I624" s="185"/>
      <c r="J624" s="174"/>
      <c r="K624" s="195"/>
      <c r="L624" s="194"/>
    </row>
    <row r="625" spans="1:13">
      <c r="A625" s="204"/>
      <c r="B625" s="3444"/>
      <c r="C625" s="3444"/>
      <c r="D625" s="3444"/>
      <c r="E625" s="3444"/>
      <c r="F625" s="3444"/>
      <c r="G625" s="213"/>
      <c r="H625" s="109"/>
      <c r="I625" s="3444"/>
      <c r="J625" s="234"/>
      <c r="K625" s="3444"/>
      <c r="L625" s="235"/>
      <c r="M625" s="3444"/>
    </row>
  </sheetData>
  <mergeCells count="30">
    <mergeCell ref="A89:B89"/>
    <mergeCell ref="A3:B3"/>
    <mergeCell ref="A5:B5"/>
    <mergeCell ref="A45:B45"/>
    <mergeCell ref="A47:B47"/>
    <mergeCell ref="A87:B87"/>
    <mergeCell ref="A297:B297"/>
    <mergeCell ref="A253:B253"/>
    <mergeCell ref="A128:B128"/>
    <mergeCell ref="A130:B130"/>
    <mergeCell ref="A170:B170"/>
    <mergeCell ref="A172:B172"/>
    <mergeCell ref="A211:B211"/>
    <mergeCell ref="A213:B213"/>
    <mergeCell ref="A255:B255"/>
    <mergeCell ref="A295:B295"/>
    <mergeCell ref="A337:B337"/>
    <mergeCell ref="A339:B339"/>
    <mergeCell ref="A423:B423"/>
    <mergeCell ref="A379:B379"/>
    <mergeCell ref="A381:B381"/>
    <mergeCell ref="A421:B421"/>
    <mergeCell ref="A463:B463"/>
    <mergeCell ref="A589:B589"/>
    <mergeCell ref="A591:B591"/>
    <mergeCell ref="A505:B505"/>
    <mergeCell ref="A507:B507"/>
    <mergeCell ref="A547:B547"/>
    <mergeCell ref="A549:B549"/>
    <mergeCell ref="A465:B465"/>
  </mergeCells>
  <phoneticPr fontId="6" type="noConversion"/>
  <pageMargins left="0.75" right="0.75" top="0.25" bottom="0.26" header="0.14000000000000001" footer="0.13"/>
  <pageSetup paperSize="9" scale="56" orientation="portrait" r:id="rId1"/>
  <headerFooter alignWithMargins="0"/>
  <rowBreaks count="2" manualBreakCount="2">
    <brk id="125" max="16383" man="1"/>
    <brk id="167" max="16383" man="1"/>
  </rowBreaks>
  <colBreaks count="1" manualBreakCount="1">
    <brk id="12" max="627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5C77-9D79-4C83-B4C7-F27A077BADA4}">
  <sheetPr>
    <tabColor rgb="FFD60093"/>
  </sheetPr>
  <dimension ref="A1:Q626"/>
  <sheetViews>
    <sheetView topLeftCell="A63" zoomScale="75" zoomScaleNormal="75" workbookViewId="0">
      <selection activeCell="G60" sqref="G60"/>
    </sheetView>
  </sheetViews>
  <sheetFormatPr defaultColWidth="12.140625" defaultRowHeight="34.5"/>
  <cols>
    <col min="1" max="1" width="2.7109375" style="75" customWidth="1"/>
    <col min="2" max="2" width="31.28515625" style="125" customWidth="1"/>
    <col min="3" max="3" width="10.42578125" style="102" customWidth="1"/>
    <col min="4" max="4" width="15.7109375" style="125" customWidth="1"/>
    <col min="5" max="5" width="10.28515625" style="45" customWidth="1"/>
    <col min="6" max="6" width="9.85546875" style="152" customWidth="1"/>
    <col min="7" max="7" width="11.42578125" style="210" customWidth="1"/>
    <col min="8" max="8" width="11.5703125" style="76" customWidth="1"/>
    <col min="9" max="9" width="23" style="178" customWidth="1"/>
    <col min="10" max="10" width="9.7109375" style="170" customWidth="1"/>
    <col min="11" max="11" width="9.85546875" style="164" customWidth="1"/>
    <col min="12" max="12" width="16.140625" style="169" customWidth="1"/>
    <col min="13" max="13" width="14.85546875" style="188" customWidth="1"/>
    <col min="14" max="14" width="13.85546875" style="188" customWidth="1"/>
    <col min="15" max="15" width="8.85546875" style="189" customWidth="1"/>
    <col min="16" max="16" width="18.140625" style="170" customWidth="1"/>
    <col min="17" max="16384" width="12.140625" style="76"/>
  </cols>
  <sheetData>
    <row r="1" spans="1:16" ht="34.5" customHeight="1">
      <c r="F1" s="68"/>
    </row>
    <row r="2" spans="1:16">
      <c r="A2" s="44" t="s">
        <v>0</v>
      </c>
      <c r="B2" s="127"/>
      <c r="C2" s="104"/>
      <c r="F2" s="68"/>
      <c r="I2" s="179"/>
      <c r="K2" s="163"/>
      <c r="L2" s="168"/>
    </row>
    <row r="3" spans="1:16">
      <c r="A3" s="3480" t="s">
        <v>2494</v>
      </c>
      <c r="B3" s="3480"/>
      <c r="C3" s="44"/>
      <c r="D3" s="109"/>
      <c r="F3" s="68"/>
      <c r="I3" s="179"/>
      <c r="K3" s="163"/>
      <c r="L3" s="168"/>
    </row>
    <row r="4" spans="1:16" ht="34.5" customHeight="1" thickBot="1">
      <c r="F4" s="68"/>
    </row>
    <row r="5" spans="1:16">
      <c r="A5" s="3493" t="s">
        <v>2</v>
      </c>
      <c r="B5" s="3482"/>
      <c r="C5" s="48" t="s">
        <v>3</v>
      </c>
      <c r="D5" s="128" t="s">
        <v>4</v>
      </c>
      <c r="E5" s="77" t="s">
        <v>5</v>
      </c>
      <c r="F5" s="78" t="s">
        <v>5</v>
      </c>
      <c r="G5" s="211" t="s">
        <v>6</v>
      </c>
      <c r="H5" s="140" t="s">
        <v>7</v>
      </c>
      <c r="I5" s="180" t="s">
        <v>1511</v>
      </c>
      <c r="J5" s="172" t="s">
        <v>9</v>
      </c>
      <c r="K5" s="186" t="s">
        <v>9</v>
      </c>
      <c r="L5" s="246" t="s">
        <v>2495</v>
      </c>
      <c r="M5" s="190"/>
    </row>
    <row r="6" spans="1:16" ht="35.25" thickBot="1">
      <c r="A6" s="155"/>
      <c r="B6" s="138"/>
      <c r="C6" s="50"/>
      <c r="D6" s="129" t="s">
        <v>10</v>
      </c>
      <c r="E6" s="79" t="s">
        <v>11</v>
      </c>
      <c r="F6" s="80" t="s">
        <v>12</v>
      </c>
      <c r="G6" s="212"/>
      <c r="H6" s="141" t="s">
        <v>13</v>
      </c>
      <c r="I6" s="181" t="s">
        <v>1512</v>
      </c>
      <c r="J6" s="173" t="s">
        <v>15</v>
      </c>
      <c r="K6" s="187" t="s">
        <v>14</v>
      </c>
      <c r="L6" s="247" t="s">
        <v>2496</v>
      </c>
      <c r="M6" s="190"/>
    </row>
    <row r="7" spans="1:16">
      <c r="A7" s="156"/>
      <c r="B7" s="208" t="s">
        <v>1167</v>
      </c>
      <c r="C7" s="341"/>
      <c r="D7" s="320"/>
      <c r="E7" s="832"/>
      <c r="F7" s="767"/>
      <c r="G7" s="310"/>
      <c r="H7" s="207"/>
      <c r="I7" s="431"/>
      <c r="J7" s="586"/>
      <c r="K7" s="365"/>
      <c r="L7" s="281"/>
      <c r="M7" s="188">
        <v>3552</v>
      </c>
      <c r="N7" s="188">
        <f t="shared" ref="N7:N23" si="0">M7-(M7*0.03)</f>
        <v>3445.44</v>
      </c>
      <c r="O7" s="189">
        <v>7.0000000000000007E-2</v>
      </c>
      <c r="P7" s="170">
        <f t="shared" ref="P7:P23" si="1">(N7*O7)+N7</f>
        <v>3686.6208000000001</v>
      </c>
    </row>
    <row r="8" spans="1:16">
      <c r="A8" s="157"/>
      <c r="B8" s="43" t="s">
        <v>2263</v>
      </c>
      <c r="C8" s="207"/>
      <c r="D8" s="320" t="s">
        <v>23</v>
      </c>
      <c r="E8" s="728">
        <v>275</v>
      </c>
      <c r="F8" s="767">
        <v>25</v>
      </c>
      <c r="G8" s="310" t="s">
        <v>795</v>
      </c>
      <c r="H8" s="207"/>
      <c r="I8" s="431"/>
      <c r="J8" s="2016">
        <v>270</v>
      </c>
      <c r="K8" s="2016">
        <f>J8/12</f>
        <v>22.5</v>
      </c>
      <c r="L8" s="281"/>
      <c r="N8" s="188">
        <f t="shared" si="0"/>
        <v>0</v>
      </c>
      <c r="O8" s="189">
        <v>7.0000000000000007E-2</v>
      </c>
      <c r="P8" s="170">
        <f t="shared" si="1"/>
        <v>0</v>
      </c>
    </row>
    <row r="9" spans="1:16">
      <c r="A9" s="157"/>
      <c r="B9" s="43" t="s">
        <v>2264</v>
      </c>
      <c r="C9" s="207"/>
      <c r="D9" s="320" t="s">
        <v>23</v>
      </c>
      <c r="E9" s="728"/>
      <c r="F9" s="767"/>
      <c r="G9" s="310" t="s">
        <v>2265</v>
      </c>
      <c r="H9" s="207">
        <v>257</v>
      </c>
      <c r="I9" s="431" t="s">
        <v>2266</v>
      </c>
      <c r="J9" s="2016">
        <v>255</v>
      </c>
      <c r="K9" s="2016">
        <v>21.25</v>
      </c>
      <c r="L9" s="281"/>
      <c r="M9" s="188">
        <v>9498.06</v>
      </c>
      <c r="N9" s="188">
        <f t="shared" si="0"/>
        <v>9213.118199999999</v>
      </c>
      <c r="O9" s="189">
        <v>7.0000000000000007E-2</v>
      </c>
      <c r="P9" s="170">
        <f t="shared" si="1"/>
        <v>9858.0364739999986</v>
      </c>
    </row>
    <row r="10" spans="1:16">
      <c r="A10" s="157"/>
      <c r="B10" s="43" t="s">
        <v>2267</v>
      </c>
      <c r="C10" s="207" t="s">
        <v>2268</v>
      </c>
      <c r="D10" s="322" t="s">
        <v>2010</v>
      </c>
      <c r="E10" s="728">
        <v>28</v>
      </c>
      <c r="F10" s="767">
        <v>320</v>
      </c>
      <c r="G10" s="310" t="s">
        <v>2269</v>
      </c>
      <c r="H10" s="2017">
        <v>320</v>
      </c>
      <c r="I10" s="431" t="s">
        <v>2270</v>
      </c>
      <c r="J10" s="2016">
        <v>300</v>
      </c>
      <c r="K10" s="2016">
        <v>25</v>
      </c>
      <c r="L10" s="281"/>
      <c r="M10" s="188">
        <v>15305.4</v>
      </c>
      <c r="N10" s="188">
        <f t="shared" si="0"/>
        <v>14846.237999999999</v>
      </c>
      <c r="O10" s="189">
        <v>7.0000000000000007E-2</v>
      </c>
      <c r="P10" s="170">
        <f t="shared" si="1"/>
        <v>15885.47466</v>
      </c>
    </row>
    <row r="11" spans="1:16">
      <c r="A11" s="157"/>
      <c r="B11" s="43" t="s">
        <v>2271</v>
      </c>
      <c r="C11" s="207" t="s">
        <v>2268</v>
      </c>
      <c r="D11" s="322" t="s">
        <v>2010</v>
      </c>
      <c r="E11" s="728">
        <v>32</v>
      </c>
      <c r="F11" s="767">
        <v>345</v>
      </c>
      <c r="G11" s="310" t="s">
        <v>2272</v>
      </c>
      <c r="H11" s="2017">
        <v>330</v>
      </c>
      <c r="I11" s="431"/>
      <c r="J11" s="2016">
        <v>330</v>
      </c>
      <c r="K11" s="2016">
        <f>J11/12</f>
        <v>27.5</v>
      </c>
      <c r="L11" s="281"/>
      <c r="N11" s="188">
        <f t="shared" si="0"/>
        <v>0</v>
      </c>
      <c r="O11" s="189">
        <v>7.0000000000000007E-2</v>
      </c>
      <c r="P11" s="170">
        <f t="shared" si="1"/>
        <v>0</v>
      </c>
    </row>
    <row r="12" spans="1:16">
      <c r="A12" s="157"/>
      <c r="B12" s="43" t="s">
        <v>2273</v>
      </c>
      <c r="C12" s="207" t="s">
        <v>2274</v>
      </c>
      <c r="D12" s="322" t="s">
        <v>23</v>
      </c>
      <c r="E12" s="728">
        <v>23</v>
      </c>
      <c r="F12" s="767">
        <v>220</v>
      </c>
      <c r="G12" s="310" t="s">
        <v>2272</v>
      </c>
      <c r="H12" s="3691">
        <v>210</v>
      </c>
      <c r="I12" s="3692"/>
      <c r="J12" s="3670">
        <v>210</v>
      </c>
      <c r="K12" s="3670">
        <v>17.5</v>
      </c>
      <c r="L12" s="281"/>
      <c r="N12" s="188">
        <f t="shared" si="0"/>
        <v>0</v>
      </c>
      <c r="O12" s="189">
        <v>7.0000000000000007E-2</v>
      </c>
      <c r="P12" s="170">
        <f t="shared" si="1"/>
        <v>0</v>
      </c>
    </row>
    <row r="13" spans="1:16">
      <c r="A13" s="157"/>
      <c r="B13" s="43" t="s">
        <v>2275</v>
      </c>
      <c r="C13" s="207" t="s">
        <v>2274</v>
      </c>
      <c r="D13" s="322" t="s">
        <v>23</v>
      </c>
      <c r="E13" s="728">
        <v>33</v>
      </c>
      <c r="F13" s="767">
        <v>350</v>
      </c>
      <c r="G13" s="310" t="s">
        <v>2272</v>
      </c>
      <c r="H13" s="207">
        <v>340</v>
      </c>
      <c r="I13" s="431" t="s">
        <v>2276</v>
      </c>
      <c r="J13" s="3670">
        <v>335</v>
      </c>
      <c r="K13" s="3670">
        <v>27.92</v>
      </c>
      <c r="L13" s="281"/>
      <c r="N13" s="188">
        <f t="shared" si="0"/>
        <v>0</v>
      </c>
      <c r="O13" s="189">
        <v>7.0000000000000007E-2</v>
      </c>
      <c r="P13" s="170">
        <f t="shared" si="1"/>
        <v>0</v>
      </c>
    </row>
    <row r="14" spans="1:16">
      <c r="A14" s="157"/>
      <c r="B14" s="43"/>
      <c r="C14" s="207"/>
      <c r="D14" s="322"/>
      <c r="E14" s="728"/>
      <c r="F14" s="767"/>
      <c r="G14" s="310"/>
      <c r="H14" s="707"/>
      <c r="I14" s="431"/>
      <c r="J14" s="586"/>
      <c r="K14" s="365"/>
      <c r="L14" s="282"/>
      <c r="M14" s="188">
        <v>14244.12</v>
      </c>
      <c r="N14" s="188">
        <f t="shared" si="0"/>
        <v>13816.796400000001</v>
      </c>
      <c r="O14" s="189">
        <v>7.0000000000000007E-2</v>
      </c>
      <c r="P14" s="170">
        <f t="shared" si="1"/>
        <v>14783.972148000001</v>
      </c>
    </row>
    <row r="15" spans="1:16">
      <c r="A15" s="157"/>
      <c r="B15" s="382" t="s">
        <v>3201</v>
      </c>
      <c r="C15" s="207"/>
      <c r="D15" s="322"/>
      <c r="E15" s="728"/>
      <c r="F15" s="767"/>
      <c r="G15" s="310"/>
      <c r="H15" s="207"/>
      <c r="I15" s="431"/>
      <c r="J15" s="586"/>
      <c r="K15" s="365"/>
      <c r="L15" s="281"/>
      <c r="M15" s="188">
        <v>3240</v>
      </c>
      <c r="N15" s="188">
        <f t="shared" si="0"/>
        <v>3142.8</v>
      </c>
      <c r="O15" s="189">
        <v>7.0000000000000007E-2</v>
      </c>
      <c r="P15" s="170">
        <f t="shared" si="1"/>
        <v>3362.7960000000003</v>
      </c>
    </row>
    <row r="16" spans="1:16">
      <c r="A16" s="157"/>
      <c r="B16" s="43" t="s">
        <v>3092</v>
      </c>
      <c r="C16" s="207" t="s">
        <v>1357</v>
      </c>
      <c r="D16" s="322" t="s">
        <v>2010</v>
      </c>
      <c r="E16" s="728"/>
      <c r="F16" s="767"/>
      <c r="G16" s="310" t="s">
        <v>3093</v>
      </c>
      <c r="H16" s="707">
        <v>332</v>
      </c>
      <c r="I16" s="431" t="s">
        <v>3094</v>
      </c>
      <c r="J16" s="586">
        <v>310.06</v>
      </c>
      <c r="K16" s="365">
        <f>J16/12</f>
        <v>25.838333333333335</v>
      </c>
      <c r="L16" s="281"/>
      <c r="M16" s="188">
        <v>14700</v>
      </c>
      <c r="N16" s="188">
        <f t="shared" si="0"/>
        <v>14259</v>
      </c>
      <c r="O16" s="189">
        <v>7.0000000000000007E-2</v>
      </c>
      <c r="P16" s="170">
        <f t="shared" si="1"/>
        <v>15257.130000000001</v>
      </c>
    </row>
    <row r="17" spans="1:16">
      <c r="A17" s="157"/>
      <c r="B17" s="43" t="s">
        <v>2271</v>
      </c>
      <c r="C17" s="207"/>
      <c r="D17" s="322" t="s">
        <v>2010</v>
      </c>
      <c r="E17" s="728">
        <v>26</v>
      </c>
      <c r="F17" s="767">
        <v>280</v>
      </c>
      <c r="G17" s="310" t="s">
        <v>3093</v>
      </c>
      <c r="H17" s="707">
        <v>277</v>
      </c>
      <c r="I17" s="431" t="s">
        <v>3094</v>
      </c>
      <c r="J17" s="586">
        <v>277.37</v>
      </c>
      <c r="K17" s="365">
        <f>J17/12</f>
        <v>23.114166666666666</v>
      </c>
      <c r="L17" s="283"/>
      <c r="M17" s="188">
        <v>14582.7</v>
      </c>
      <c r="N17" s="188">
        <f t="shared" si="0"/>
        <v>14145.219000000001</v>
      </c>
      <c r="O17" s="189">
        <v>7.0000000000000007E-2</v>
      </c>
      <c r="P17" s="170">
        <f t="shared" si="1"/>
        <v>15135.384330000001</v>
      </c>
    </row>
    <row r="18" spans="1:16">
      <c r="A18" s="157"/>
      <c r="B18" s="43" t="s">
        <v>2267</v>
      </c>
      <c r="C18" s="207"/>
      <c r="D18" s="322" t="s">
        <v>2010</v>
      </c>
      <c r="E18" s="728">
        <v>24</v>
      </c>
      <c r="F18" s="767">
        <v>260</v>
      </c>
      <c r="G18" s="310"/>
      <c r="H18" s="707"/>
      <c r="I18" s="431"/>
      <c r="J18" s="586"/>
      <c r="K18" s="365"/>
      <c r="L18" s="283"/>
      <c r="M18" s="188">
        <v>13483.8</v>
      </c>
      <c r="N18" s="188">
        <f t="shared" si="0"/>
        <v>13079.286</v>
      </c>
      <c r="O18" s="189">
        <v>7.0000000000000007E-2</v>
      </c>
      <c r="P18" s="170">
        <f t="shared" si="1"/>
        <v>13994.836020000001</v>
      </c>
    </row>
    <row r="19" spans="1:16">
      <c r="A19" s="157"/>
      <c r="B19" s="43" t="s">
        <v>2267</v>
      </c>
      <c r="C19" s="207" t="s">
        <v>316</v>
      </c>
      <c r="D19" s="322" t="s">
        <v>2010</v>
      </c>
      <c r="E19" s="728"/>
      <c r="F19" s="767"/>
      <c r="G19" s="312" t="s">
        <v>3093</v>
      </c>
      <c r="H19" s="878">
        <v>299</v>
      </c>
      <c r="I19" s="431" t="s">
        <v>3094</v>
      </c>
      <c r="J19" s="604">
        <v>258.69</v>
      </c>
      <c r="K19" s="365">
        <f>J19/12</f>
        <v>21.557500000000001</v>
      </c>
      <c r="L19" s="283"/>
      <c r="M19" s="188">
        <v>2669.52</v>
      </c>
      <c r="N19" s="188">
        <f t="shared" si="0"/>
        <v>2589.4344000000001</v>
      </c>
      <c r="O19" s="189">
        <v>7.0000000000000007E-2</v>
      </c>
      <c r="P19" s="170">
        <f t="shared" si="1"/>
        <v>2770.6948080000002</v>
      </c>
    </row>
    <row r="20" spans="1:16">
      <c r="A20" s="157"/>
      <c r="B20" s="43" t="s">
        <v>2264</v>
      </c>
      <c r="C20" s="207"/>
      <c r="D20" s="322" t="s">
        <v>2010</v>
      </c>
      <c r="E20" s="728">
        <v>5.5</v>
      </c>
      <c r="F20" s="767" t="s">
        <v>3202</v>
      </c>
      <c r="G20" s="310"/>
      <c r="H20" s="707"/>
      <c r="I20" s="431"/>
      <c r="J20" s="586"/>
      <c r="K20" s="365"/>
      <c r="L20" s="283"/>
      <c r="N20" s="188">
        <f t="shared" si="0"/>
        <v>0</v>
      </c>
      <c r="O20" s="189">
        <v>7.0000000000000007E-2</v>
      </c>
      <c r="P20" s="170">
        <f t="shared" si="1"/>
        <v>0</v>
      </c>
    </row>
    <row r="21" spans="1:16">
      <c r="A21" s="221"/>
      <c r="B21" s="433" t="s">
        <v>3203</v>
      </c>
      <c r="C21" s="207"/>
      <c r="D21" s="421" t="s">
        <v>23</v>
      </c>
      <c r="E21" s="839"/>
      <c r="F21" s="767"/>
      <c r="G21" s="310" t="s">
        <v>3093</v>
      </c>
      <c r="H21" s="707">
        <v>132</v>
      </c>
      <c r="I21" s="431" t="s">
        <v>3094</v>
      </c>
      <c r="J21" s="586">
        <v>279.24</v>
      </c>
      <c r="K21" s="365">
        <f>J21/12</f>
        <v>23.27</v>
      </c>
      <c r="L21" s="283"/>
      <c r="M21" s="188">
        <v>12972.96</v>
      </c>
      <c r="N21" s="188">
        <f t="shared" si="0"/>
        <v>12583.771199999999</v>
      </c>
      <c r="O21" s="189">
        <v>7.0000000000000007E-2</v>
      </c>
      <c r="P21" s="170">
        <f t="shared" si="1"/>
        <v>13464.635183999999</v>
      </c>
    </row>
    <row r="22" spans="1:16">
      <c r="A22" s="157"/>
      <c r="B22" s="43" t="s">
        <v>3204</v>
      </c>
      <c r="C22" s="341"/>
      <c r="D22" s="420" t="s">
        <v>23</v>
      </c>
      <c r="E22" s="728"/>
      <c r="F22" s="860"/>
      <c r="G22" s="312" t="s">
        <v>3093</v>
      </c>
      <c r="H22" s="878">
        <v>297</v>
      </c>
      <c r="I22" s="431" t="s">
        <v>3094</v>
      </c>
      <c r="J22" s="604">
        <v>123.28</v>
      </c>
      <c r="K22" s="365">
        <f>J22/12</f>
        <v>10.273333333333333</v>
      </c>
      <c r="L22" s="283"/>
      <c r="M22" s="188">
        <v>12687.84</v>
      </c>
      <c r="N22" s="188">
        <f t="shared" si="0"/>
        <v>12307.2048</v>
      </c>
      <c r="O22" s="189">
        <v>7.0000000000000007E-2</v>
      </c>
      <c r="P22" s="170">
        <f t="shared" si="1"/>
        <v>13168.709135999999</v>
      </c>
    </row>
    <row r="23" spans="1:16">
      <c r="A23" s="157"/>
      <c r="B23" s="43"/>
      <c r="C23" s="207"/>
      <c r="D23" s="322"/>
      <c r="E23" s="728"/>
      <c r="F23" s="767"/>
      <c r="G23" s="310"/>
      <c r="H23" s="207"/>
      <c r="I23" s="431"/>
      <c r="J23" s="586"/>
      <c r="K23" s="365"/>
      <c r="L23" s="281"/>
      <c r="M23" s="188">
        <v>16572.599999999999</v>
      </c>
      <c r="N23" s="188">
        <f t="shared" si="0"/>
        <v>16075.421999999999</v>
      </c>
      <c r="O23" s="189">
        <v>7.0000000000000007E-2</v>
      </c>
      <c r="P23" s="170">
        <f t="shared" si="1"/>
        <v>17200.701539999998</v>
      </c>
    </row>
    <row r="24" spans="1:16">
      <c r="A24" s="157"/>
      <c r="B24" s="781" t="s">
        <v>3205</v>
      </c>
      <c r="C24" s="207"/>
      <c r="D24" s="322"/>
      <c r="E24" s="728"/>
      <c r="F24" s="767"/>
      <c r="G24" s="310"/>
      <c r="H24" s="207"/>
      <c r="I24" s="431"/>
      <c r="J24" s="586"/>
      <c r="K24" s="365"/>
      <c r="L24" s="281"/>
      <c r="M24" s="188">
        <v>6021.12</v>
      </c>
      <c r="N24" s="188">
        <f>M24-(M24*0.03)</f>
        <v>5840.4863999999998</v>
      </c>
      <c r="O24" s="189">
        <v>7.0000000000000007E-2</v>
      </c>
      <c r="P24" s="170">
        <f>(N24*O24)+N24</f>
        <v>6249.3204479999995</v>
      </c>
    </row>
    <row r="25" spans="1:16">
      <c r="A25" s="157"/>
      <c r="B25" s="43" t="s">
        <v>2277</v>
      </c>
      <c r="C25" s="207" t="s">
        <v>2213</v>
      </c>
      <c r="D25" s="339"/>
      <c r="E25" s="84">
        <v>35</v>
      </c>
      <c r="F25" s="767" t="s">
        <v>2278</v>
      </c>
      <c r="G25" s="477" t="s">
        <v>2279</v>
      </c>
      <c r="H25" s="115">
        <v>365</v>
      </c>
      <c r="I25" s="431"/>
      <c r="J25" s="590">
        <v>359.84</v>
      </c>
      <c r="K25" s="526">
        <v>29.98</v>
      </c>
      <c r="L25" s="281"/>
      <c r="M25" s="188">
        <v>8714.16</v>
      </c>
      <c r="N25" s="188">
        <f>M25-(M25*0.03)</f>
        <v>8452.7351999999992</v>
      </c>
      <c r="O25" s="189">
        <v>7.0000000000000007E-2</v>
      </c>
      <c r="P25" s="170">
        <f>(N25*O25)+N25</f>
        <v>9044.4266639999987</v>
      </c>
    </row>
    <row r="26" spans="1:16">
      <c r="A26" s="157"/>
      <c r="B26" s="43" t="s">
        <v>2277</v>
      </c>
      <c r="C26" s="207" t="s">
        <v>2280</v>
      </c>
      <c r="D26" s="322"/>
      <c r="E26" s="728">
        <v>25</v>
      </c>
      <c r="F26" s="767" t="s">
        <v>2281</v>
      </c>
      <c r="G26" s="310" t="s">
        <v>2282</v>
      </c>
      <c r="H26" s="707">
        <v>255</v>
      </c>
      <c r="I26" s="431"/>
      <c r="J26" s="586">
        <v>262.14999999999998</v>
      </c>
      <c r="K26" s="365">
        <v>21.84</v>
      </c>
      <c r="L26" s="281"/>
      <c r="M26" s="188">
        <v>0</v>
      </c>
      <c r="N26" s="188">
        <f>M26-(M26*0.03)</f>
        <v>0</v>
      </c>
      <c r="O26" s="189">
        <v>7.0000000000000007E-2</v>
      </c>
      <c r="P26" s="170">
        <f t="shared" ref="P26:P32" si="2">(N26*O26)+N26</f>
        <v>0</v>
      </c>
    </row>
    <row r="27" spans="1:16">
      <c r="A27" s="157"/>
      <c r="B27" s="43"/>
      <c r="C27" s="207"/>
      <c r="D27" s="322"/>
      <c r="E27" s="728"/>
      <c r="F27" s="767"/>
      <c r="G27" s="310"/>
      <c r="H27" s="707"/>
      <c r="I27" s="431"/>
      <c r="J27" s="586"/>
      <c r="K27" s="365"/>
      <c r="L27" s="281"/>
      <c r="M27" s="188">
        <v>18537.7</v>
      </c>
      <c r="N27" s="188">
        <f>M27-(M27*0.03)</f>
        <v>17981.569</v>
      </c>
      <c r="O27" s="189">
        <v>7.0000000000000007E-2</v>
      </c>
      <c r="P27" s="170">
        <f t="shared" si="2"/>
        <v>19240.278829999999</v>
      </c>
    </row>
    <row r="28" spans="1:16">
      <c r="A28" s="158"/>
      <c r="B28" s="775" t="s">
        <v>2283</v>
      </c>
      <c r="C28" s="986"/>
      <c r="D28" s="322"/>
      <c r="E28" s="728"/>
      <c r="F28" s="767"/>
      <c r="G28" s="310"/>
      <c r="H28" s="707"/>
      <c r="I28" s="431"/>
      <c r="J28" s="586"/>
      <c r="K28" s="365"/>
      <c r="L28" s="281"/>
      <c r="M28" s="188">
        <v>9031.68</v>
      </c>
      <c r="N28" s="188">
        <f t="shared" ref="N28:N38" si="3">M28-(M28*0.03)</f>
        <v>8760.7296000000006</v>
      </c>
      <c r="O28" s="189">
        <v>7.0000000000000007E-2</v>
      </c>
      <c r="P28" s="170">
        <f t="shared" si="2"/>
        <v>9373.9806720000015</v>
      </c>
    </row>
    <row r="29" spans="1:16">
      <c r="A29" s="200"/>
      <c r="B29" s="43" t="s">
        <v>2284</v>
      </c>
      <c r="C29" s="207" t="s">
        <v>2285</v>
      </c>
      <c r="D29" s="322" t="s">
        <v>23</v>
      </c>
      <c r="E29" s="728">
        <v>26</v>
      </c>
      <c r="F29" s="767">
        <v>290</v>
      </c>
      <c r="G29" s="312" t="s">
        <v>2286</v>
      </c>
      <c r="H29" s="878">
        <v>441</v>
      </c>
      <c r="I29" s="764" t="s">
        <v>2287</v>
      </c>
      <c r="J29" s="604">
        <v>267.39</v>
      </c>
      <c r="K29" s="365">
        <v>22.28</v>
      </c>
      <c r="L29" s="281"/>
      <c r="N29" s="188">
        <f t="shared" si="3"/>
        <v>0</v>
      </c>
      <c r="O29" s="189">
        <v>7.0000000000000007E-2</v>
      </c>
      <c r="P29" s="170">
        <f t="shared" si="2"/>
        <v>0</v>
      </c>
    </row>
    <row r="30" spans="1:16">
      <c r="A30" s="157"/>
      <c r="B30" s="362" t="s">
        <v>2288</v>
      </c>
      <c r="C30" s="207" t="s">
        <v>2289</v>
      </c>
      <c r="D30" s="322" t="s">
        <v>23</v>
      </c>
      <c r="E30" s="728">
        <v>23</v>
      </c>
      <c r="F30" s="3693" t="s">
        <v>2290</v>
      </c>
      <c r="G30" s="310" t="s">
        <v>2291</v>
      </c>
      <c r="H30" s="707">
        <v>272</v>
      </c>
      <c r="I30" s="431"/>
      <c r="J30" s="586">
        <v>235.01</v>
      </c>
      <c r="K30" s="365">
        <v>19.579999999999998</v>
      </c>
      <c r="L30" s="281"/>
      <c r="M30" s="188">
        <v>8478.9599999999991</v>
      </c>
      <c r="N30" s="188">
        <f t="shared" si="3"/>
        <v>8224.5911999999989</v>
      </c>
      <c r="O30" s="189">
        <v>7.0000000000000007E-2</v>
      </c>
      <c r="P30" s="170">
        <f t="shared" si="2"/>
        <v>8800.3125839999993</v>
      </c>
    </row>
    <row r="31" spans="1:16">
      <c r="A31" s="157"/>
      <c r="B31" s="433"/>
      <c r="C31" s="207"/>
      <c r="D31" s="421"/>
      <c r="E31" s="839"/>
      <c r="F31" s="767"/>
      <c r="G31" s="310"/>
      <c r="H31" s="707"/>
      <c r="I31" s="431"/>
      <c r="J31" s="586"/>
      <c r="K31" s="365"/>
      <c r="L31" s="281"/>
      <c r="M31" s="188">
        <v>11122.62</v>
      </c>
      <c r="N31" s="188">
        <f t="shared" si="3"/>
        <v>10788.941400000002</v>
      </c>
      <c r="O31" s="189">
        <v>7.0000000000000007E-2</v>
      </c>
      <c r="P31" s="170">
        <f t="shared" si="2"/>
        <v>11544.167298000002</v>
      </c>
    </row>
    <row r="32" spans="1:16">
      <c r="A32" s="157"/>
      <c r="B32" s="3694" t="s">
        <v>2039</v>
      </c>
      <c r="C32" s="207"/>
      <c r="D32" s="321"/>
      <c r="E32" s="728"/>
      <c r="F32" s="767"/>
      <c r="G32" s="310"/>
      <c r="H32" s="207"/>
      <c r="I32" s="431"/>
      <c r="J32" s="586"/>
      <c r="K32" s="365"/>
      <c r="L32" s="281"/>
      <c r="M32" s="188">
        <v>3813.12</v>
      </c>
      <c r="N32" s="188">
        <f t="shared" si="3"/>
        <v>3698.7264</v>
      </c>
      <c r="O32" s="189">
        <v>7.0000000000000007E-2</v>
      </c>
      <c r="P32" s="170">
        <f t="shared" si="2"/>
        <v>3957.637248</v>
      </c>
    </row>
    <row r="33" spans="1:16">
      <c r="A33" s="157"/>
      <c r="B33" s="43" t="s">
        <v>2292</v>
      </c>
      <c r="C33" s="207" t="s">
        <v>2293</v>
      </c>
      <c r="D33" s="322" t="s">
        <v>2214</v>
      </c>
      <c r="E33" s="728">
        <v>32</v>
      </c>
      <c r="F33" s="767">
        <v>360</v>
      </c>
      <c r="G33" s="310" t="s">
        <v>2269</v>
      </c>
      <c r="H33" s="207">
        <v>403.74</v>
      </c>
      <c r="I33" s="431" t="s">
        <v>3206</v>
      </c>
      <c r="J33" s="586">
        <v>331.2</v>
      </c>
      <c r="K33" s="365">
        <v>27.6</v>
      </c>
      <c r="L33" s="281"/>
    </row>
    <row r="34" spans="1:16">
      <c r="A34" s="157"/>
      <c r="B34" s="162"/>
      <c r="C34" s="523"/>
      <c r="D34" s="425"/>
      <c r="E34" s="728"/>
      <c r="F34" s="860"/>
      <c r="G34" s="426"/>
      <c r="H34" s="523"/>
      <c r="I34" s="509"/>
      <c r="J34" s="710"/>
      <c r="K34" s="983"/>
      <c r="L34" s="281"/>
    </row>
    <row r="35" spans="1:16">
      <c r="A35" s="157"/>
      <c r="B35" s="781" t="s">
        <v>1040</v>
      </c>
      <c r="C35" s="341"/>
      <c r="D35" s="413"/>
      <c r="E35" s="728"/>
      <c r="F35" s="767"/>
      <c r="G35" s="312"/>
      <c r="H35" s="341"/>
      <c r="I35" s="505"/>
      <c r="J35" s="604"/>
      <c r="K35" s="378"/>
      <c r="L35" s="281"/>
    </row>
    <row r="36" spans="1:16">
      <c r="A36" s="157"/>
      <c r="B36" s="406" t="s">
        <v>1886</v>
      </c>
      <c r="C36" s="341" t="s">
        <v>309</v>
      </c>
      <c r="D36" s="3469" t="s">
        <v>2297</v>
      </c>
      <c r="E36" s="84" t="s">
        <v>2298</v>
      </c>
      <c r="F36" s="767" t="s">
        <v>2299</v>
      </c>
      <c r="G36" s="2765" t="s">
        <v>2300</v>
      </c>
      <c r="H36" s="925">
        <v>205</v>
      </c>
      <c r="I36" s="505" t="s">
        <v>411</v>
      </c>
      <c r="J36" s="591">
        <v>215</v>
      </c>
      <c r="K36" s="527">
        <v>21.5</v>
      </c>
      <c r="L36" s="281"/>
    </row>
    <row r="37" spans="1:16">
      <c r="A37" s="157"/>
      <c r="B37" s="406" t="s">
        <v>2301</v>
      </c>
      <c r="C37" s="341" t="s">
        <v>309</v>
      </c>
      <c r="D37" s="3469" t="s">
        <v>2297</v>
      </c>
      <c r="E37" s="120"/>
      <c r="F37" s="121"/>
      <c r="G37" s="310" t="s">
        <v>2302</v>
      </c>
      <c r="H37" s="207">
        <v>170</v>
      </c>
      <c r="I37" s="505" t="s">
        <v>411</v>
      </c>
      <c r="J37" s="586">
        <v>180</v>
      </c>
      <c r="K37" s="365">
        <v>18</v>
      </c>
      <c r="L37" s="281"/>
    </row>
    <row r="38" spans="1:16">
      <c r="A38" s="157"/>
      <c r="B38" s="406" t="s">
        <v>1896</v>
      </c>
      <c r="C38" s="341" t="s">
        <v>309</v>
      </c>
      <c r="D38" s="3469" t="s">
        <v>2297</v>
      </c>
      <c r="E38" s="84"/>
      <c r="F38" s="767"/>
      <c r="G38" s="477"/>
      <c r="H38" s="115"/>
      <c r="I38" s="505" t="s">
        <v>411</v>
      </c>
      <c r="J38" s="590"/>
      <c r="K38" s="526"/>
      <c r="L38" s="281"/>
      <c r="M38" s="188">
        <v>8640</v>
      </c>
      <c r="N38" s="188">
        <f t="shared" si="3"/>
        <v>8380.7999999999993</v>
      </c>
      <c r="O38" s="189">
        <v>7.0000000000000007E-2</v>
      </c>
      <c r="P38" s="170">
        <f>(N38*O38)+N38</f>
        <v>8967.4559999999983</v>
      </c>
    </row>
    <row r="39" spans="1:16">
      <c r="A39" s="160"/>
      <c r="B39" s="268"/>
      <c r="C39" s="101"/>
      <c r="D39" s="462"/>
      <c r="E39" s="120"/>
      <c r="F39" s="121"/>
      <c r="G39" s="206"/>
      <c r="H39" s="115"/>
      <c r="I39" s="185"/>
      <c r="J39" s="3695"/>
      <c r="K39" s="1501"/>
      <c r="L39" s="281"/>
    </row>
    <row r="40" spans="1:16">
      <c r="A40" s="284"/>
      <c r="B40" s="781" t="s">
        <v>2303</v>
      </c>
      <c r="C40" s="207"/>
      <c r="D40" s="339"/>
      <c r="E40" s="84"/>
      <c r="F40" s="767"/>
      <c r="G40" s="477"/>
      <c r="H40" s="115"/>
      <c r="I40" s="431"/>
      <c r="J40" s="590"/>
      <c r="K40" s="526"/>
      <c r="L40" s="281"/>
    </row>
    <row r="41" spans="1:16">
      <c r="A41" s="284"/>
      <c r="B41" s="268" t="s">
        <v>2304</v>
      </c>
      <c r="C41" s="101" t="s">
        <v>100</v>
      </c>
      <c r="D41" s="462" t="s">
        <v>495</v>
      </c>
      <c r="E41" s="120"/>
      <c r="F41" s="121"/>
      <c r="G41" s="206" t="s">
        <v>2097</v>
      </c>
      <c r="H41" s="115">
        <v>230</v>
      </c>
      <c r="I41" s="185"/>
      <c r="J41" s="3695">
        <v>246.1</v>
      </c>
      <c r="K41" s="1501">
        <v>10.25</v>
      </c>
      <c r="L41" s="281"/>
      <c r="M41" s="3444"/>
    </row>
    <row r="42" spans="1:16" ht="35.25" thickBot="1">
      <c r="A42" s="285"/>
      <c r="B42" s="268" t="s">
        <v>2304</v>
      </c>
      <c r="C42" s="101" t="s">
        <v>284</v>
      </c>
      <c r="D42" s="462" t="s">
        <v>618</v>
      </c>
      <c r="E42" s="249">
        <v>8</v>
      </c>
      <c r="F42" s="121" t="s">
        <v>2305</v>
      </c>
      <c r="G42" s="206" t="s">
        <v>2306</v>
      </c>
      <c r="H42" s="115">
        <v>270</v>
      </c>
      <c r="I42" s="185"/>
      <c r="J42" s="3695">
        <v>288.89999999999998</v>
      </c>
      <c r="K42" s="1501">
        <v>6.01</v>
      </c>
      <c r="L42" s="292"/>
    </row>
    <row r="43" spans="1:16" ht="35.25" customHeight="1">
      <c r="B43" s="93"/>
      <c r="C43" s="68"/>
      <c r="D43" s="3444"/>
      <c r="E43" s="273"/>
      <c r="F43" s="274"/>
      <c r="G43" s="269"/>
      <c r="H43" s="270"/>
      <c r="I43" s="271"/>
      <c r="J43" s="272"/>
      <c r="K43" s="165"/>
      <c r="L43" s="168"/>
    </row>
    <row r="44" spans="1:16">
      <c r="A44" s="44" t="s">
        <v>0</v>
      </c>
      <c r="B44" s="127"/>
      <c r="C44" s="104"/>
      <c r="F44" s="68"/>
      <c r="I44" s="179"/>
      <c r="K44" s="163"/>
      <c r="L44" s="168"/>
    </row>
    <row r="45" spans="1:16" ht="35.25" customHeight="1">
      <c r="A45" s="3480" t="s">
        <v>2512</v>
      </c>
      <c r="B45" s="3480"/>
      <c r="C45" s="44"/>
      <c r="D45" s="109"/>
      <c r="F45" s="68"/>
      <c r="I45" s="179"/>
      <c r="K45" s="163"/>
      <c r="L45" s="168"/>
    </row>
    <row r="46" spans="1:16" ht="35.25" customHeight="1" thickBot="1">
      <c r="F46" s="68"/>
    </row>
    <row r="47" spans="1:16">
      <c r="A47" s="3493" t="s">
        <v>2</v>
      </c>
      <c r="B47" s="3482"/>
      <c r="C47" s="48" t="s">
        <v>3</v>
      </c>
      <c r="D47" s="128" t="s">
        <v>4</v>
      </c>
      <c r="E47" s="77" t="s">
        <v>5</v>
      </c>
      <c r="F47" s="78" t="s">
        <v>5</v>
      </c>
      <c r="G47" s="211" t="s">
        <v>6</v>
      </c>
      <c r="H47" s="140" t="s">
        <v>7</v>
      </c>
      <c r="I47" s="180" t="s">
        <v>1511</v>
      </c>
      <c r="J47" s="172" t="s">
        <v>9</v>
      </c>
      <c r="K47" s="186" t="s">
        <v>9</v>
      </c>
      <c r="L47" s="192" t="s">
        <v>2495</v>
      </c>
      <c r="M47" s="190"/>
    </row>
    <row r="48" spans="1:16" ht="35.25" thickBot="1">
      <c r="A48" s="155"/>
      <c r="B48" s="138"/>
      <c r="C48" s="50"/>
      <c r="D48" s="129" t="s">
        <v>10</v>
      </c>
      <c r="E48" s="79" t="s">
        <v>11</v>
      </c>
      <c r="F48" s="80" t="s">
        <v>12</v>
      </c>
      <c r="G48" s="212"/>
      <c r="H48" s="141" t="s">
        <v>13</v>
      </c>
      <c r="I48" s="181" t="s">
        <v>1512</v>
      </c>
      <c r="J48" s="173" t="s">
        <v>15</v>
      </c>
      <c r="K48" s="187" t="s">
        <v>14</v>
      </c>
      <c r="L48" s="193" t="s">
        <v>2496</v>
      </c>
      <c r="M48" s="190"/>
    </row>
    <row r="49" spans="1:16">
      <c r="A49" s="388"/>
      <c r="B49" s="3452" t="s">
        <v>2310</v>
      </c>
      <c r="C49" s="207"/>
      <c r="D49" s="411"/>
      <c r="E49" s="833"/>
      <c r="F49" s="858"/>
      <c r="G49" s="310"/>
      <c r="H49" s="207"/>
      <c r="I49" s="431"/>
      <c r="J49" s="704"/>
      <c r="K49" s="365"/>
      <c r="L49" s="194"/>
      <c r="M49" s="188">
        <v>3552</v>
      </c>
      <c r="N49" s="188">
        <f t="shared" ref="N49:N74" si="4">M49-(M49*0.03)</f>
        <v>3445.44</v>
      </c>
      <c r="O49" s="189">
        <v>7.0000000000000007E-2</v>
      </c>
      <c r="P49" s="170">
        <f t="shared" ref="P49:P65" si="5">(N49*O49)+N49</f>
        <v>3686.6208000000001</v>
      </c>
    </row>
    <row r="50" spans="1:16">
      <c r="A50" s="315"/>
      <c r="B50" s="43" t="s">
        <v>2311</v>
      </c>
      <c r="C50" s="207" t="s">
        <v>1286</v>
      </c>
      <c r="D50" s="322" t="s">
        <v>2083</v>
      </c>
      <c r="E50" s="728">
        <v>48</v>
      </c>
      <c r="F50" s="859" t="s">
        <v>2312</v>
      </c>
      <c r="G50" s="3466" t="s">
        <v>2313</v>
      </c>
      <c r="H50" s="207">
        <v>977</v>
      </c>
      <c r="I50" s="2019" t="s">
        <v>2314</v>
      </c>
      <c r="J50" s="707">
        <v>983.32</v>
      </c>
      <c r="K50" s="365">
        <v>40.97</v>
      </c>
      <c r="L50" s="194"/>
      <c r="N50" s="188">
        <f t="shared" si="4"/>
        <v>0</v>
      </c>
      <c r="O50" s="189">
        <v>7.0000000000000007E-2</v>
      </c>
      <c r="P50" s="170">
        <f t="shared" si="5"/>
        <v>0</v>
      </c>
    </row>
    <row r="51" spans="1:16">
      <c r="A51" s="315"/>
      <c r="B51" s="43" t="s">
        <v>2311</v>
      </c>
      <c r="C51" s="207" t="s">
        <v>2315</v>
      </c>
      <c r="D51" s="410" t="s">
        <v>2010</v>
      </c>
      <c r="E51" s="728">
        <v>89</v>
      </c>
      <c r="F51" s="2020" t="s">
        <v>2316</v>
      </c>
      <c r="G51" s="3466" t="s">
        <v>2313</v>
      </c>
      <c r="H51" s="207">
        <v>925</v>
      </c>
      <c r="I51" s="764" t="s">
        <v>2317</v>
      </c>
      <c r="J51" s="586">
        <v>931.33</v>
      </c>
      <c r="K51" s="365">
        <v>77.61</v>
      </c>
      <c r="L51" s="194"/>
      <c r="M51" s="188">
        <v>9498.06</v>
      </c>
      <c r="N51" s="188">
        <f t="shared" si="4"/>
        <v>9213.118199999999</v>
      </c>
      <c r="O51" s="189">
        <v>7.0000000000000007E-2</v>
      </c>
      <c r="P51" s="170">
        <f t="shared" si="5"/>
        <v>9858.0364739999986</v>
      </c>
    </row>
    <row r="52" spans="1:16">
      <c r="A52" s="315"/>
      <c r="B52" s="43" t="s">
        <v>2318</v>
      </c>
      <c r="C52" s="207" t="s">
        <v>1286</v>
      </c>
      <c r="D52" s="322" t="s">
        <v>2083</v>
      </c>
      <c r="E52" s="728">
        <v>43</v>
      </c>
      <c r="F52" s="859" t="s">
        <v>2319</v>
      </c>
      <c r="G52" s="3466" t="s">
        <v>2313</v>
      </c>
      <c r="H52" s="207">
        <v>853</v>
      </c>
      <c r="I52" s="764" t="s">
        <v>2320</v>
      </c>
      <c r="J52" s="586">
        <v>860</v>
      </c>
      <c r="K52" s="365">
        <v>35.79</v>
      </c>
      <c r="L52" s="194"/>
      <c r="M52" s="188">
        <v>15305.4</v>
      </c>
      <c r="N52" s="188">
        <f t="shared" si="4"/>
        <v>14846.237999999999</v>
      </c>
      <c r="O52" s="189">
        <v>7.0000000000000007E-2</v>
      </c>
      <c r="P52" s="170">
        <f t="shared" si="5"/>
        <v>15885.47466</v>
      </c>
    </row>
    <row r="53" spans="1:16">
      <c r="A53" s="315"/>
      <c r="B53" s="43" t="s">
        <v>2318</v>
      </c>
      <c r="C53" s="207" t="s">
        <v>2321</v>
      </c>
      <c r="D53" s="410" t="s">
        <v>2010</v>
      </c>
      <c r="E53" s="728">
        <v>79</v>
      </c>
      <c r="F53" s="859" t="s">
        <v>2322</v>
      </c>
      <c r="G53" s="3466" t="s">
        <v>2313</v>
      </c>
      <c r="H53" s="207">
        <v>812</v>
      </c>
      <c r="I53" s="764" t="s">
        <v>2323</v>
      </c>
      <c r="J53" s="586">
        <v>818</v>
      </c>
      <c r="K53" s="365">
        <v>68.14</v>
      </c>
      <c r="L53" s="194"/>
      <c r="N53" s="188">
        <f t="shared" si="4"/>
        <v>0</v>
      </c>
      <c r="O53" s="189">
        <v>7.0000000000000007E-2</v>
      </c>
      <c r="P53" s="170">
        <f t="shared" si="5"/>
        <v>0</v>
      </c>
    </row>
    <row r="54" spans="1:16">
      <c r="A54" s="315"/>
      <c r="B54" s="43" t="s">
        <v>2324</v>
      </c>
      <c r="C54" s="207" t="s">
        <v>2325</v>
      </c>
      <c r="D54" s="410" t="s">
        <v>18</v>
      </c>
      <c r="E54" s="728">
        <v>24</v>
      </c>
      <c r="F54" s="859"/>
      <c r="G54" s="3466" t="s">
        <v>1486</v>
      </c>
      <c r="H54" s="207">
        <v>499.3</v>
      </c>
      <c r="I54" s="431"/>
      <c r="J54" s="586">
        <v>496.85</v>
      </c>
      <c r="K54" s="365">
        <v>20.7</v>
      </c>
      <c r="L54" s="194"/>
      <c r="N54" s="188">
        <f t="shared" si="4"/>
        <v>0</v>
      </c>
      <c r="O54" s="189">
        <v>7.0000000000000007E-2</v>
      </c>
      <c r="P54" s="170">
        <f t="shared" si="5"/>
        <v>0</v>
      </c>
    </row>
    <row r="55" spans="1:16">
      <c r="A55" s="315"/>
      <c r="B55" s="43" t="s">
        <v>2326</v>
      </c>
      <c r="C55" s="207" t="s">
        <v>2325</v>
      </c>
      <c r="D55" s="410" t="s">
        <v>18</v>
      </c>
      <c r="E55" s="837">
        <v>25</v>
      </c>
      <c r="F55" s="859"/>
      <c r="G55" s="3466" t="s">
        <v>1486</v>
      </c>
      <c r="H55" s="207">
        <v>524.77</v>
      </c>
      <c r="I55" s="431"/>
      <c r="J55" s="586">
        <v>522.19000000000005</v>
      </c>
      <c r="K55" s="365">
        <v>21.76</v>
      </c>
      <c r="L55" s="194"/>
      <c r="N55" s="188">
        <f t="shared" si="4"/>
        <v>0</v>
      </c>
      <c r="O55" s="189">
        <v>7.0000000000000007E-2</v>
      </c>
      <c r="P55" s="170">
        <f t="shared" si="5"/>
        <v>0</v>
      </c>
    </row>
    <row r="56" spans="1:16">
      <c r="A56" s="315"/>
      <c r="B56" s="43" t="s">
        <v>3207</v>
      </c>
      <c r="C56" s="207" t="s">
        <v>2096</v>
      </c>
      <c r="D56" s="322" t="s">
        <v>23</v>
      </c>
      <c r="E56" s="728">
        <v>40</v>
      </c>
      <c r="F56" s="859" t="s">
        <v>3208</v>
      </c>
      <c r="G56" s="3466" t="s">
        <v>3209</v>
      </c>
      <c r="H56" s="207">
        <v>425</v>
      </c>
      <c r="I56" s="431" t="s">
        <v>3210</v>
      </c>
      <c r="J56" s="1944" t="s">
        <v>3211</v>
      </c>
      <c r="K56" s="365">
        <v>35.049999999999997</v>
      </c>
      <c r="M56" s="188">
        <v>14244.12</v>
      </c>
      <c r="N56" s="188">
        <f t="shared" si="4"/>
        <v>13816.796400000001</v>
      </c>
      <c r="O56" s="189">
        <v>7.0000000000000007E-2</v>
      </c>
      <c r="P56" s="170">
        <f t="shared" si="5"/>
        <v>14783.972148000001</v>
      </c>
    </row>
    <row r="57" spans="1:16">
      <c r="A57" s="315"/>
      <c r="B57" s="43" t="s">
        <v>3212</v>
      </c>
      <c r="C57" s="207" t="s">
        <v>2096</v>
      </c>
      <c r="D57" s="322" t="s">
        <v>23</v>
      </c>
      <c r="E57" s="728">
        <v>32</v>
      </c>
      <c r="F57" s="859" t="s">
        <v>2942</v>
      </c>
      <c r="G57" s="3466" t="s">
        <v>3209</v>
      </c>
      <c r="H57" s="207">
        <v>344</v>
      </c>
      <c r="I57" s="431" t="s">
        <v>3213</v>
      </c>
      <c r="J57" s="1944" t="s">
        <v>3214</v>
      </c>
      <c r="K57" s="365">
        <v>27.91</v>
      </c>
      <c r="L57" s="194"/>
      <c r="M57" s="188">
        <v>3240</v>
      </c>
      <c r="N57" s="188">
        <f t="shared" si="4"/>
        <v>3142.8</v>
      </c>
      <c r="O57" s="189">
        <v>7.0000000000000007E-2</v>
      </c>
      <c r="P57" s="170">
        <f t="shared" si="5"/>
        <v>3362.7960000000003</v>
      </c>
    </row>
    <row r="58" spans="1:16">
      <c r="A58" s="315"/>
      <c r="B58" s="43" t="s">
        <v>3215</v>
      </c>
      <c r="C58" s="207" t="s">
        <v>2096</v>
      </c>
      <c r="D58" s="320" t="s">
        <v>23</v>
      </c>
      <c r="E58" s="728">
        <v>190</v>
      </c>
      <c r="F58" s="767">
        <v>19</v>
      </c>
      <c r="G58" s="310" t="s">
        <v>3216</v>
      </c>
      <c r="H58" s="207">
        <v>224</v>
      </c>
      <c r="I58" s="431"/>
      <c r="J58" s="586">
        <v>180.14</v>
      </c>
      <c r="K58" s="365">
        <f>J58/12</f>
        <v>15.011666666666665</v>
      </c>
      <c r="L58" s="194"/>
      <c r="M58" s="188">
        <v>14700</v>
      </c>
      <c r="N58" s="188">
        <f t="shared" si="4"/>
        <v>14259</v>
      </c>
      <c r="O58" s="189">
        <v>7.0000000000000007E-2</v>
      </c>
      <c r="P58" s="170">
        <f t="shared" si="5"/>
        <v>15257.130000000001</v>
      </c>
    </row>
    <row r="59" spans="1:16">
      <c r="A59" s="753"/>
      <c r="B59" s="43" t="s">
        <v>3217</v>
      </c>
      <c r="C59" s="207" t="s">
        <v>3218</v>
      </c>
      <c r="D59" s="320" t="s">
        <v>23</v>
      </c>
      <c r="E59" s="728"/>
      <c r="F59" s="767">
        <v>15</v>
      </c>
      <c r="G59" s="310" t="s">
        <v>3085</v>
      </c>
      <c r="H59" s="207">
        <v>125</v>
      </c>
      <c r="I59" s="431"/>
      <c r="J59" s="586">
        <v>133.75</v>
      </c>
      <c r="K59" s="365">
        <f>J59/12</f>
        <v>11.145833333333334</v>
      </c>
      <c r="L59" s="229"/>
      <c r="M59" s="188">
        <v>14582.7</v>
      </c>
      <c r="N59" s="188">
        <f t="shared" si="4"/>
        <v>14145.219000000001</v>
      </c>
      <c r="O59" s="189">
        <v>7.0000000000000007E-2</v>
      </c>
      <c r="P59" s="170">
        <f t="shared" si="5"/>
        <v>15135.384330000001</v>
      </c>
    </row>
    <row r="60" spans="1:16">
      <c r="A60" s="753"/>
      <c r="B60" s="113" t="s">
        <v>3219</v>
      </c>
      <c r="C60" s="411" t="s">
        <v>617</v>
      </c>
      <c r="D60" s="417" t="s">
        <v>264</v>
      </c>
      <c r="E60" s="728"/>
      <c r="F60" s="859"/>
      <c r="G60" s="3466" t="s">
        <v>2707</v>
      </c>
      <c r="H60" s="207">
        <v>873</v>
      </c>
      <c r="I60" s="553" t="s">
        <v>3220</v>
      </c>
      <c r="J60" s="707" t="s">
        <v>3221</v>
      </c>
      <c r="K60" s="365">
        <v>12.33</v>
      </c>
      <c r="L60" s="229"/>
      <c r="M60" s="188">
        <v>13483.8</v>
      </c>
      <c r="N60" s="188">
        <f t="shared" si="4"/>
        <v>13079.286</v>
      </c>
      <c r="O60" s="189">
        <v>7.0000000000000007E-2</v>
      </c>
      <c r="P60" s="170">
        <f t="shared" si="5"/>
        <v>13994.836020000001</v>
      </c>
    </row>
    <row r="61" spans="1:16">
      <c r="A61" s="3451" t="s">
        <v>3222</v>
      </c>
      <c r="B61" s="1406"/>
      <c r="C61" s="1406"/>
      <c r="D61" s="2418"/>
      <c r="E61" s="728"/>
      <c r="F61" s="859"/>
      <c r="G61" s="3466"/>
      <c r="H61" s="207"/>
      <c r="I61" s="431"/>
      <c r="J61" s="586"/>
      <c r="K61" s="365"/>
      <c r="L61" s="229"/>
      <c r="M61" s="188">
        <v>2669.52</v>
      </c>
      <c r="N61" s="188">
        <f t="shared" si="4"/>
        <v>2589.4344000000001</v>
      </c>
      <c r="O61" s="189">
        <v>7.0000000000000007E-2</v>
      </c>
      <c r="P61" s="170">
        <f t="shared" si="5"/>
        <v>2770.6948080000002</v>
      </c>
    </row>
    <row r="62" spans="1:16">
      <c r="A62" s="315"/>
      <c r="B62" s="43" t="s">
        <v>3223</v>
      </c>
      <c r="C62" s="207" t="s">
        <v>3224</v>
      </c>
      <c r="D62" s="322" t="s">
        <v>2083</v>
      </c>
      <c r="E62" s="728">
        <v>24</v>
      </c>
      <c r="F62" s="859">
        <v>385</v>
      </c>
      <c r="G62" s="3466" t="s">
        <v>1114</v>
      </c>
      <c r="H62" s="207">
        <v>470</v>
      </c>
      <c r="I62" s="431" t="s">
        <v>2355</v>
      </c>
      <c r="J62" s="586">
        <v>437.1</v>
      </c>
      <c r="K62" s="365">
        <v>36.42</v>
      </c>
      <c r="L62" s="229"/>
      <c r="N62" s="188">
        <f t="shared" si="4"/>
        <v>0</v>
      </c>
      <c r="O62" s="189">
        <v>7.0000000000000007E-2</v>
      </c>
      <c r="P62" s="170">
        <f t="shared" si="5"/>
        <v>0</v>
      </c>
    </row>
    <row r="63" spans="1:16">
      <c r="A63" s="315"/>
      <c r="B63" s="43" t="s">
        <v>3223</v>
      </c>
      <c r="C63" s="207" t="s">
        <v>3225</v>
      </c>
      <c r="D63" s="322" t="s">
        <v>2010</v>
      </c>
      <c r="E63" s="728">
        <v>36</v>
      </c>
      <c r="F63" s="859">
        <v>385</v>
      </c>
      <c r="G63" s="3466" t="s">
        <v>3093</v>
      </c>
      <c r="H63" s="207">
        <v>386</v>
      </c>
      <c r="I63" s="431" t="s">
        <v>3226</v>
      </c>
      <c r="J63" s="586">
        <f>9167.5/25</f>
        <v>366.7</v>
      </c>
      <c r="K63" s="365">
        <f>J63/12</f>
        <v>30.558333333333334</v>
      </c>
      <c r="L63" s="229"/>
      <c r="M63" s="188">
        <v>12972.96</v>
      </c>
      <c r="N63" s="188">
        <f t="shared" si="4"/>
        <v>12583.771199999999</v>
      </c>
      <c r="O63" s="189">
        <v>7.0000000000000007E-2</v>
      </c>
      <c r="P63" s="170">
        <f t="shared" si="5"/>
        <v>13464.635183999999</v>
      </c>
    </row>
    <row r="64" spans="1:16">
      <c r="A64" s="315"/>
      <c r="B64" s="43" t="s">
        <v>2363</v>
      </c>
      <c r="C64" s="207" t="s">
        <v>3227</v>
      </c>
      <c r="D64" s="410" t="s">
        <v>18</v>
      </c>
      <c r="E64" s="728"/>
      <c r="F64" s="859"/>
      <c r="G64" s="3466" t="s">
        <v>1114</v>
      </c>
      <c r="H64" s="207">
        <v>480</v>
      </c>
      <c r="I64" s="553" t="s">
        <v>3228</v>
      </c>
      <c r="J64" s="586">
        <v>446.4</v>
      </c>
      <c r="K64" s="365">
        <v>37.200000000000003</v>
      </c>
      <c r="L64" s="229"/>
      <c r="M64" s="188">
        <v>12687.84</v>
      </c>
      <c r="N64" s="188">
        <f t="shared" si="4"/>
        <v>12307.2048</v>
      </c>
      <c r="O64" s="189">
        <v>7.0000000000000007E-2</v>
      </c>
      <c r="P64" s="170">
        <f t="shared" si="5"/>
        <v>13168.709135999999</v>
      </c>
    </row>
    <row r="65" spans="1:16">
      <c r="A65" s="315"/>
      <c r="B65" s="43" t="s">
        <v>2363</v>
      </c>
      <c r="C65" s="207" t="s">
        <v>3229</v>
      </c>
      <c r="D65" s="410" t="s">
        <v>2010</v>
      </c>
      <c r="E65" s="728">
        <v>38</v>
      </c>
      <c r="F65" s="859">
        <v>410</v>
      </c>
      <c r="G65" s="3466" t="s">
        <v>3230</v>
      </c>
      <c r="H65" s="207">
        <v>410</v>
      </c>
      <c r="I65" s="553" t="s">
        <v>3231</v>
      </c>
      <c r="J65" s="586">
        <v>389.5</v>
      </c>
      <c r="K65" s="365">
        <v>32.46</v>
      </c>
      <c r="L65" s="194"/>
      <c r="M65" s="188">
        <v>16572.599999999999</v>
      </c>
      <c r="N65" s="188">
        <f t="shared" si="4"/>
        <v>16075.421999999999</v>
      </c>
      <c r="O65" s="189">
        <v>7.0000000000000007E-2</v>
      </c>
      <c r="P65" s="170">
        <f t="shared" si="5"/>
        <v>17200.701539999998</v>
      </c>
    </row>
    <row r="66" spans="1:16">
      <c r="A66" s="315"/>
      <c r="B66" s="43" t="s">
        <v>3232</v>
      </c>
      <c r="C66" s="207" t="s">
        <v>100</v>
      </c>
      <c r="D66" s="322" t="s">
        <v>2083</v>
      </c>
      <c r="E66" s="728">
        <v>22</v>
      </c>
      <c r="F66" s="859">
        <v>22</v>
      </c>
      <c r="G66" s="3466"/>
      <c r="H66" s="207"/>
      <c r="I66" s="431"/>
      <c r="J66" s="586">
        <v>324.95999999999998</v>
      </c>
      <c r="K66" s="365">
        <v>27.08</v>
      </c>
      <c r="L66" s="194"/>
      <c r="M66" s="188">
        <v>6021.12</v>
      </c>
      <c r="N66" s="188">
        <f t="shared" si="4"/>
        <v>5840.4863999999998</v>
      </c>
      <c r="O66" s="189">
        <v>7.0000000000000007E-2</v>
      </c>
      <c r="P66" s="170">
        <f>(N66*O66)+N66</f>
        <v>6249.3204479999995</v>
      </c>
    </row>
    <row r="67" spans="1:16">
      <c r="A67" s="315"/>
      <c r="B67" s="43" t="s">
        <v>2343</v>
      </c>
      <c r="C67" s="207" t="s">
        <v>100</v>
      </c>
      <c r="D67" s="322" t="s">
        <v>2083</v>
      </c>
      <c r="E67" s="728"/>
      <c r="F67" s="859"/>
      <c r="G67" s="3466"/>
      <c r="H67" s="207"/>
      <c r="I67" s="553"/>
      <c r="J67" s="586"/>
      <c r="K67" s="365"/>
      <c r="L67" s="194"/>
      <c r="M67" s="188">
        <v>8714.16</v>
      </c>
      <c r="N67" s="188">
        <f t="shared" si="4"/>
        <v>8452.7351999999992</v>
      </c>
      <c r="O67" s="189">
        <v>7.0000000000000007E-2</v>
      </c>
      <c r="P67" s="170">
        <f>(N67*O67)+N67</f>
        <v>9044.4266639999987</v>
      </c>
    </row>
    <row r="68" spans="1:16">
      <c r="A68" s="315"/>
      <c r="B68" s="43" t="s">
        <v>2343</v>
      </c>
      <c r="C68" s="207" t="s">
        <v>2347</v>
      </c>
      <c r="D68" s="322" t="s">
        <v>23</v>
      </c>
      <c r="E68" s="728">
        <v>30</v>
      </c>
      <c r="F68" s="859"/>
      <c r="G68" s="3466" t="s">
        <v>1114</v>
      </c>
      <c r="H68" s="207">
        <v>325</v>
      </c>
      <c r="I68" s="553" t="s">
        <v>3233</v>
      </c>
      <c r="J68" s="586">
        <v>292.5</v>
      </c>
      <c r="K68" s="365">
        <v>24.37</v>
      </c>
      <c r="L68" s="194"/>
      <c r="M68" s="188">
        <v>0</v>
      </c>
      <c r="N68" s="188">
        <f t="shared" si="4"/>
        <v>0</v>
      </c>
      <c r="O68" s="189">
        <v>7.0000000000000007E-2</v>
      </c>
      <c r="P68" s="170">
        <f t="shared" ref="P68:P74" si="6">(N68*O68)+N68</f>
        <v>0</v>
      </c>
    </row>
    <row r="69" spans="1:16">
      <c r="A69" s="315"/>
      <c r="B69" s="444" t="s">
        <v>3234</v>
      </c>
      <c r="C69" s="207"/>
      <c r="D69" s="322"/>
      <c r="E69" s="728"/>
      <c r="F69" s="859"/>
      <c r="G69" s="3466"/>
      <c r="H69" s="207"/>
      <c r="I69" s="431"/>
      <c r="J69" s="586"/>
      <c r="K69" s="365"/>
      <c r="L69" s="194"/>
      <c r="M69" s="188">
        <v>18537.7</v>
      </c>
      <c r="N69" s="188">
        <f t="shared" si="4"/>
        <v>17981.569</v>
      </c>
      <c r="O69" s="189">
        <v>7.0000000000000007E-2</v>
      </c>
      <c r="P69" s="170">
        <f t="shared" si="6"/>
        <v>19240.278829999999</v>
      </c>
    </row>
    <row r="70" spans="1:16">
      <c r="A70" s="315"/>
      <c r="B70" s="43" t="s">
        <v>3235</v>
      </c>
      <c r="C70" s="207" t="s">
        <v>2573</v>
      </c>
      <c r="D70" s="410" t="s">
        <v>2010</v>
      </c>
      <c r="E70" s="728">
        <v>25</v>
      </c>
      <c r="F70" s="859"/>
      <c r="G70" s="310" t="s">
        <v>3085</v>
      </c>
      <c r="H70" s="207"/>
      <c r="I70" s="431"/>
      <c r="J70" s="586">
        <v>262.14999999999998</v>
      </c>
      <c r="K70" s="365">
        <v>21.85</v>
      </c>
      <c r="L70" s="194"/>
      <c r="M70" s="188">
        <v>9031.68</v>
      </c>
      <c r="N70" s="188">
        <f t="shared" si="4"/>
        <v>8760.7296000000006</v>
      </c>
      <c r="O70" s="189">
        <v>7.0000000000000007E-2</v>
      </c>
      <c r="P70" s="170">
        <f t="shared" si="6"/>
        <v>9373.9806720000015</v>
      </c>
    </row>
    <row r="71" spans="1:16">
      <c r="A71" s="315"/>
      <c r="B71" s="43" t="s">
        <v>3234</v>
      </c>
      <c r="C71" s="207" t="s">
        <v>3236</v>
      </c>
      <c r="D71" s="322" t="s">
        <v>2083</v>
      </c>
      <c r="E71" s="728">
        <v>25</v>
      </c>
      <c r="F71" s="859" t="s">
        <v>2626</v>
      </c>
      <c r="G71" s="879">
        <v>22222</v>
      </c>
      <c r="H71" s="207"/>
      <c r="I71" s="431"/>
      <c r="J71" s="586">
        <v>528</v>
      </c>
      <c r="K71" s="365">
        <v>22</v>
      </c>
      <c r="L71" s="194"/>
      <c r="N71" s="188">
        <f t="shared" si="4"/>
        <v>0</v>
      </c>
      <c r="O71" s="189">
        <v>7.0000000000000007E-2</v>
      </c>
      <c r="P71" s="170">
        <f t="shared" si="6"/>
        <v>0</v>
      </c>
    </row>
    <row r="72" spans="1:16">
      <c r="A72" s="315"/>
      <c r="B72" s="43" t="s">
        <v>3234</v>
      </c>
      <c r="C72" s="207" t="s">
        <v>3237</v>
      </c>
      <c r="D72" s="410" t="s">
        <v>2010</v>
      </c>
      <c r="E72" s="728">
        <v>64</v>
      </c>
      <c r="F72" s="859" t="s">
        <v>3238</v>
      </c>
      <c r="G72" s="310" t="s">
        <v>3239</v>
      </c>
      <c r="H72" s="207"/>
      <c r="I72" s="431"/>
      <c r="J72" s="586">
        <v>636</v>
      </c>
      <c r="K72" s="365">
        <v>53</v>
      </c>
      <c r="L72" s="194"/>
      <c r="M72" s="188">
        <v>8478.9599999999991</v>
      </c>
      <c r="N72" s="188">
        <f t="shared" si="4"/>
        <v>8224.5911999999989</v>
      </c>
      <c r="O72" s="189">
        <v>7.0000000000000007E-2</v>
      </c>
      <c r="P72" s="170">
        <f t="shared" si="6"/>
        <v>8800.3125839999993</v>
      </c>
    </row>
    <row r="73" spans="1:16">
      <c r="A73" s="315"/>
      <c r="B73" s="43" t="s">
        <v>3240</v>
      </c>
      <c r="C73" s="207" t="s">
        <v>3236</v>
      </c>
      <c r="D73" s="322" t="s">
        <v>2083</v>
      </c>
      <c r="E73" s="728">
        <v>37</v>
      </c>
      <c r="F73" s="859"/>
      <c r="G73" s="879">
        <v>21382</v>
      </c>
      <c r="H73" s="207"/>
      <c r="I73" s="431" t="s">
        <v>3241</v>
      </c>
      <c r="J73" s="586">
        <v>768</v>
      </c>
      <c r="K73" s="365">
        <v>32</v>
      </c>
      <c r="L73" s="194"/>
      <c r="M73" s="188">
        <v>11122.62</v>
      </c>
      <c r="N73" s="188">
        <f t="shared" si="4"/>
        <v>10788.941400000002</v>
      </c>
      <c r="O73" s="189">
        <v>7.0000000000000007E-2</v>
      </c>
      <c r="P73" s="170">
        <f t="shared" si="6"/>
        <v>11544.167298000002</v>
      </c>
    </row>
    <row r="74" spans="1:16" ht="35.25" thickBot="1">
      <c r="A74" s="315"/>
      <c r="B74" s="275"/>
      <c r="C74" s="63"/>
      <c r="D74" s="196"/>
      <c r="E74" s="249"/>
      <c r="F74" s="121"/>
      <c r="G74" s="206"/>
      <c r="H74" s="115"/>
      <c r="I74" s="185"/>
      <c r="J74" s="175"/>
      <c r="K74" s="197"/>
      <c r="L74" s="194"/>
      <c r="M74" s="188">
        <v>3813.12</v>
      </c>
      <c r="N74" s="188">
        <f t="shared" si="4"/>
        <v>3698.7264</v>
      </c>
      <c r="O74" s="189">
        <v>7.0000000000000007E-2</v>
      </c>
      <c r="P74" s="170">
        <f t="shared" si="6"/>
        <v>3957.637248</v>
      </c>
    </row>
    <row r="75" spans="1:16">
      <c r="A75" s="315"/>
      <c r="B75" s="1472"/>
      <c r="C75" s="753"/>
      <c r="D75" s="753"/>
      <c r="E75" s="844"/>
      <c r="F75" s="853"/>
      <c r="G75" s="310"/>
      <c r="H75" s="207"/>
      <c r="I75" s="431"/>
      <c r="J75" s="704"/>
      <c r="K75" s="365"/>
      <c r="L75" s="194"/>
    </row>
    <row r="76" spans="1:16">
      <c r="A76" s="315"/>
      <c r="B76" s="139"/>
      <c r="C76" s="207"/>
      <c r="D76" s="421"/>
      <c r="E76" s="839"/>
      <c r="F76" s="767"/>
      <c r="G76" s="310"/>
      <c r="H76" s="207"/>
      <c r="I76" s="431"/>
      <c r="J76" s="586"/>
      <c r="K76" s="365"/>
      <c r="L76" s="194"/>
    </row>
    <row r="77" spans="1:16">
      <c r="A77" s="58"/>
      <c r="B77" s="466"/>
      <c r="C77" s="207"/>
      <c r="D77" s="421"/>
      <c r="E77" s="839"/>
      <c r="F77" s="767"/>
      <c r="G77" s="310"/>
      <c r="H77" s="207"/>
      <c r="I77" s="431"/>
      <c r="J77" s="586"/>
      <c r="K77" s="365"/>
      <c r="L77" s="194"/>
    </row>
    <row r="78" spans="1:16" ht="35.25" thickBot="1">
      <c r="A78" s="58"/>
      <c r="B78" s="95"/>
      <c r="C78" s="101"/>
      <c r="D78" s="462"/>
      <c r="E78" s="1409"/>
      <c r="F78" s="861"/>
      <c r="G78" s="979"/>
      <c r="H78" s="115"/>
      <c r="I78" s="217"/>
      <c r="J78" s="311"/>
      <c r="K78" s="1408"/>
      <c r="L78" s="194"/>
    </row>
    <row r="79" spans="1:16">
      <c r="A79" s="58"/>
      <c r="B79" s="1472"/>
      <c r="C79" s="753"/>
      <c r="D79" s="753"/>
      <c r="E79" s="844"/>
      <c r="F79" s="853"/>
      <c r="G79" s="310"/>
      <c r="H79" s="207"/>
      <c r="I79" s="431"/>
      <c r="J79" s="704"/>
      <c r="K79" s="365"/>
      <c r="L79" s="194"/>
    </row>
    <row r="80" spans="1:16" s="75" customFormat="1" ht="27.75" customHeight="1">
      <c r="A80" s="58"/>
      <c r="B80" s="139"/>
      <c r="C80" s="207"/>
      <c r="D80" s="421"/>
      <c r="E80" s="839"/>
      <c r="F80" s="767"/>
      <c r="G80" s="310"/>
      <c r="H80" s="207"/>
      <c r="I80" s="431"/>
      <c r="J80" s="586"/>
      <c r="K80" s="365"/>
      <c r="L80" s="194"/>
      <c r="M80" s="3444"/>
      <c r="N80" s="188"/>
      <c r="O80" s="189"/>
      <c r="P80" s="170"/>
    </row>
    <row r="81" spans="1:16">
      <c r="A81" s="58"/>
      <c r="B81" s="466"/>
      <c r="C81" s="207"/>
      <c r="D81" s="421"/>
      <c r="E81" s="839"/>
      <c r="F81" s="767"/>
      <c r="G81" s="310"/>
      <c r="H81" s="207"/>
      <c r="I81" s="431"/>
      <c r="J81" s="586"/>
      <c r="K81" s="365"/>
      <c r="L81" s="194"/>
    </row>
    <row r="82" spans="1:16">
      <c r="A82" s="58"/>
      <c r="B82" s="139" t="s">
        <v>3242</v>
      </c>
      <c r="C82" s="207"/>
      <c r="D82" s="421"/>
      <c r="E82" s="839"/>
      <c r="F82" s="767"/>
      <c r="G82" s="310"/>
      <c r="H82" s="207"/>
      <c r="I82" s="431"/>
      <c r="J82" s="586"/>
      <c r="K82" s="365"/>
      <c r="L82" s="194"/>
    </row>
    <row r="83" spans="1:16">
      <c r="A83" s="58"/>
      <c r="B83" s="466" t="s">
        <v>3243</v>
      </c>
      <c r="C83" s="207" t="s">
        <v>352</v>
      </c>
      <c r="D83" s="421" t="s">
        <v>353</v>
      </c>
      <c r="E83" s="839"/>
      <c r="F83" s="767"/>
      <c r="G83" s="310" t="s">
        <v>3244</v>
      </c>
      <c r="H83" s="207"/>
      <c r="I83" s="431"/>
      <c r="J83" s="586">
        <v>1100</v>
      </c>
      <c r="K83" s="365" t="s">
        <v>3245</v>
      </c>
      <c r="L83" s="194" t="s">
        <v>3246</v>
      </c>
    </row>
    <row r="84" spans="1:16">
      <c r="A84" s="58"/>
      <c r="B84" s="95"/>
      <c r="C84" s="101"/>
      <c r="D84" s="462"/>
      <c r="E84" s="249"/>
      <c r="F84" s="121"/>
      <c r="G84" s="979"/>
      <c r="H84" s="115"/>
      <c r="I84" s="217"/>
      <c r="J84" s="2365"/>
      <c r="K84" s="1408"/>
      <c r="L84" s="194"/>
    </row>
    <row r="85" spans="1:16">
      <c r="A85" s="44"/>
      <c r="B85" s="75"/>
      <c r="C85" s="68"/>
      <c r="D85" s="3444"/>
      <c r="E85" s="273"/>
      <c r="F85" s="274"/>
      <c r="G85" s="269"/>
      <c r="H85" s="270"/>
      <c r="I85" s="271"/>
      <c r="J85" s="171"/>
      <c r="K85" s="166"/>
      <c r="L85" s="168"/>
    </row>
    <row r="86" spans="1:16">
      <c r="A86" s="44" t="s">
        <v>0</v>
      </c>
      <c r="B86" s="127"/>
      <c r="C86" s="104"/>
      <c r="F86" s="68"/>
      <c r="I86" s="179"/>
      <c r="K86" s="163"/>
      <c r="L86" s="168"/>
    </row>
    <row r="87" spans="1:16" ht="35.25" customHeight="1">
      <c r="A87" s="3480" t="s">
        <v>2494</v>
      </c>
      <c r="B87" s="3480"/>
      <c r="C87" s="44"/>
      <c r="D87" s="109"/>
      <c r="F87" s="68"/>
      <c r="I87" s="179"/>
      <c r="K87" s="163"/>
      <c r="L87" s="168"/>
    </row>
    <row r="88" spans="1:16" ht="35.25" thickBot="1">
      <c r="F88" s="68"/>
    </row>
    <row r="89" spans="1:16">
      <c r="A89" s="3511" t="s">
        <v>2</v>
      </c>
      <c r="B89" s="3512"/>
      <c r="C89" s="65" t="s">
        <v>3</v>
      </c>
      <c r="D89" s="261" t="s">
        <v>4</v>
      </c>
      <c r="E89" s="77" t="s">
        <v>5</v>
      </c>
      <c r="F89" s="78" t="s">
        <v>5</v>
      </c>
      <c r="G89" s="211" t="s">
        <v>6</v>
      </c>
      <c r="H89" s="140" t="s">
        <v>7</v>
      </c>
      <c r="I89" s="180" t="s">
        <v>1511</v>
      </c>
      <c r="J89" s="172" t="s">
        <v>9</v>
      </c>
      <c r="K89" s="186" t="s">
        <v>9</v>
      </c>
      <c r="L89" s="192" t="s">
        <v>2495</v>
      </c>
      <c r="M89" s="190"/>
    </row>
    <row r="90" spans="1:16" ht="35.25" thickBot="1">
      <c r="A90" s="1502"/>
      <c r="B90" s="1503"/>
      <c r="C90" s="350"/>
      <c r="D90" s="1504" t="s">
        <v>10</v>
      </c>
      <c r="E90" s="79" t="s">
        <v>11</v>
      </c>
      <c r="F90" s="80" t="s">
        <v>12</v>
      </c>
      <c r="G90" s="212"/>
      <c r="H90" s="141" t="s">
        <v>13</v>
      </c>
      <c r="I90" s="181" t="s">
        <v>1512</v>
      </c>
      <c r="J90" s="173" t="s">
        <v>15</v>
      </c>
      <c r="K90" s="187" t="s">
        <v>14</v>
      </c>
      <c r="L90" s="193" t="s">
        <v>2496</v>
      </c>
      <c r="M90" s="190"/>
    </row>
    <row r="91" spans="1:16">
      <c r="A91" s="1472" t="s">
        <v>3247</v>
      </c>
      <c r="B91" s="1472"/>
      <c r="C91" s="753"/>
      <c r="D91" s="753"/>
      <c r="E91" s="844"/>
      <c r="F91" s="853"/>
      <c r="G91" s="310"/>
      <c r="H91" s="207"/>
      <c r="I91" s="431"/>
      <c r="J91" s="704"/>
      <c r="K91" s="365"/>
      <c r="L91" s="194"/>
      <c r="M91" s="188">
        <v>3552</v>
      </c>
      <c r="N91" s="188">
        <f t="shared" ref="N91:N107" si="7">M91-(M91*0.03)</f>
        <v>3445.44</v>
      </c>
      <c r="O91" s="189">
        <v>7.0000000000000007E-2</v>
      </c>
      <c r="P91" s="170">
        <f t="shared" ref="P91:P107" si="8">(N91*O91)+N91</f>
        <v>3686.6208000000001</v>
      </c>
    </row>
    <row r="92" spans="1:16">
      <c r="A92" s="157"/>
      <c r="B92" s="139" t="s">
        <v>3248</v>
      </c>
      <c r="C92" s="207" t="s">
        <v>2293</v>
      </c>
      <c r="D92" s="421" t="s">
        <v>23</v>
      </c>
      <c r="E92" s="839">
        <v>18</v>
      </c>
      <c r="F92" s="767"/>
      <c r="G92" s="310" t="s">
        <v>2454</v>
      </c>
      <c r="H92" s="207">
        <v>173</v>
      </c>
      <c r="I92" s="431" t="s">
        <v>3249</v>
      </c>
      <c r="J92" s="586">
        <v>175.85</v>
      </c>
      <c r="K92" s="365">
        <v>14.65</v>
      </c>
      <c r="L92" s="194"/>
      <c r="N92" s="188">
        <f t="shared" si="7"/>
        <v>0</v>
      </c>
      <c r="O92" s="189">
        <v>7.0000000000000007E-2</v>
      </c>
      <c r="P92" s="170">
        <f t="shared" si="8"/>
        <v>0</v>
      </c>
    </row>
    <row r="93" spans="1:16">
      <c r="A93" s="157"/>
      <c r="B93" s="466" t="s">
        <v>2277</v>
      </c>
      <c r="C93" s="207" t="s">
        <v>3250</v>
      </c>
      <c r="D93" s="421" t="s">
        <v>23</v>
      </c>
      <c r="E93" s="839">
        <v>35</v>
      </c>
      <c r="F93" s="767"/>
      <c r="G93" s="310" t="s">
        <v>1458</v>
      </c>
      <c r="H93" s="207">
        <v>365</v>
      </c>
      <c r="I93" s="431"/>
      <c r="J93" s="586">
        <v>350.85</v>
      </c>
      <c r="K93" s="365">
        <v>29.24</v>
      </c>
      <c r="L93" s="194"/>
      <c r="M93" s="188">
        <v>9498.06</v>
      </c>
      <c r="N93" s="188">
        <f t="shared" si="7"/>
        <v>9213.118199999999</v>
      </c>
      <c r="O93" s="189">
        <v>7.0000000000000007E-2</v>
      </c>
      <c r="P93" s="170">
        <f t="shared" si="8"/>
        <v>9858.0364739999986</v>
      </c>
    </row>
    <row r="94" spans="1:16">
      <c r="A94" s="157"/>
      <c r="B94" s="2364" t="s">
        <v>3251</v>
      </c>
      <c r="C94" s="63"/>
      <c r="D94" s="196"/>
      <c r="E94" s="249"/>
      <c r="F94" s="121"/>
      <c r="G94" s="206" t="s">
        <v>3252</v>
      </c>
      <c r="H94" s="115"/>
      <c r="I94" s="185"/>
      <c r="J94" s="175"/>
      <c r="K94" s="197"/>
      <c r="L94" s="194"/>
      <c r="M94" s="188">
        <v>15305.4</v>
      </c>
      <c r="N94" s="188">
        <f t="shared" si="7"/>
        <v>14846.237999999999</v>
      </c>
      <c r="O94" s="189">
        <v>7.0000000000000007E-2</v>
      </c>
      <c r="P94" s="170">
        <f t="shared" si="8"/>
        <v>15885.47466</v>
      </c>
    </row>
    <row r="95" spans="1:16">
      <c r="A95" s="976"/>
      <c r="B95" s="95" t="s">
        <v>3253</v>
      </c>
      <c r="C95" s="101" t="s">
        <v>2268</v>
      </c>
      <c r="D95" s="462" t="s">
        <v>23</v>
      </c>
      <c r="E95" s="1409">
        <v>14</v>
      </c>
      <c r="F95" s="861" t="s">
        <v>3254</v>
      </c>
      <c r="G95" s="979" t="s">
        <v>1411</v>
      </c>
      <c r="H95" s="115">
        <v>105</v>
      </c>
      <c r="I95" s="217" t="s">
        <v>3255</v>
      </c>
      <c r="J95" s="311">
        <v>105</v>
      </c>
      <c r="K95" s="1408">
        <v>8.75</v>
      </c>
      <c r="L95" s="194"/>
      <c r="N95" s="188">
        <f t="shared" si="7"/>
        <v>0</v>
      </c>
      <c r="O95" s="189">
        <v>7.0000000000000007E-2</v>
      </c>
      <c r="P95" s="170">
        <f t="shared" si="8"/>
        <v>0</v>
      </c>
    </row>
    <row r="96" spans="1:16">
      <c r="A96" s="157"/>
      <c r="B96" s="95" t="s">
        <v>3256</v>
      </c>
      <c r="C96" s="101" t="s">
        <v>2268</v>
      </c>
      <c r="D96" s="462" t="s">
        <v>23</v>
      </c>
      <c r="E96" s="1409">
        <v>14</v>
      </c>
      <c r="F96" s="861" t="s">
        <v>3254</v>
      </c>
      <c r="G96" s="979" t="s">
        <v>1411</v>
      </c>
      <c r="H96" s="115">
        <v>105</v>
      </c>
      <c r="I96" s="217" t="s">
        <v>3255</v>
      </c>
      <c r="J96" s="311">
        <v>105</v>
      </c>
      <c r="K96" s="1408">
        <v>8.75</v>
      </c>
      <c r="L96" s="194"/>
      <c r="N96" s="188">
        <f t="shared" si="7"/>
        <v>0</v>
      </c>
      <c r="O96" s="189">
        <v>7.0000000000000007E-2</v>
      </c>
      <c r="P96" s="170">
        <f t="shared" si="8"/>
        <v>0</v>
      </c>
    </row>
    <row r="97" spans="1:16">
      <c r="A97" s="157"/>
      <c r="B97" s="95" t="s">
        <v>3257</v>
      </c>
      <c r="C97" s="101" t="s">
        <v>284</v>
      </c>
      <c r="D97" s="462" t="s">
        <v>353</v>
      </c>
      <c r="E97" s="1409">
        <v>14</v>
      </c>
      <c r="F97" s="861" t="s">
        <v>3258</v>
      </c>
      <c r="G97" s="979" t="s">
        <v>1411</v>
      </c>
      <c r="H97" s="115">
        <v>120</v>
      </c>
      <c r="I97" s="217" t="s">
        <v>3255</v>
      </c>
      <c r="J97" s="2365" t="s">
        <v>3259</v>
      </c>
      <c r="K97" s="1408">
        <v>10</v>
      </c>
      <c r="L97" s="194"/>
      <c r="N97" s="188">
        <f t="shared" si="7"/>
        <v>0</v>
      </c>
      <c r="O97" s="189">
        <v>7.0000000000000007E-2</v>
      </c>
      <c r="P97" s="170">
        <f t="shared" si="8"/>
        <v>0</v>
      </c>
    </row>
    <row r="98" spans="1:16">
      <c r="A98" s="976"/>
      <c r="B98" s="2454" t="s">
        <v>3260</v>
      </c>
      <c r="C98" s="101" t="s">
        <v>3261</v>
      </c>
      <c r="D98" s="462" t="s">
        <v>3262</v>
      </c>
      <c r="E98" s="1409">
        <v>60</v>
      </c>
      <c r="F98" s="861" t="s">
        <v>109</v>
      </c>
      <c r="G98" s="979" t="s">
        <v>3263</v>
      </c>
      <c r="H98" s="115">
        <v>180</v>
      </c>
      <c r="I98" s="217" t="s">
        <v>3255</v>
      </c>
      <c r="J98" s="2365" t="s">
        <v>3264</v>
      </c>
      <c r="K98" s="1408">
        <v>45</v>
      </c>
      <c r="L98" s="194"/>
      <c r="M98" s="188">
        <v>14244.12</v>
      </c>
      <c r="N98" s="188">
        <f t="shared" si="7"/>
        <v>13816.796400000001</v>
      </c>
      <c r="O98" s="189">
        <v>7.0000000000000007E-2</v>
      </c>
      <c r="P98" s="170">
        <f t="shared" si="8"/>
        <v>14783.972148000001</v>
      </c>
    </row>
    <row r="99" spans="1:16">
      <c r="A99" s="157"/>
      <c r="B99" s="95" t="s">
        <v>3265</v>
      </c>
      <c r="C99" s="101" t="s">
        <v>2225</v>
      </c>
      <c r="D99" s="462" t="s">
        <v>23</v>
      </c>
      <c r="E99" s="1409">
        <v>25</v>
      </c>
      <c r="F99" s="861" t="s">
        <v>2116</v>
      </c>
      <c r="G99" s="979" t="s">
        <v>3266</v>
      </c>
      <c r="H99" s="115">
        <v>220</v>
      </c>
      <c r="I99" s="217"/>
      <c r="J99" s="311" t="s">
        <v>3267</v>
      </c>
      <c r="K99" s="1408">
        <v>18.329999999999998</v>
      </c>
      <c r="L99" s="194"/>
      <c r="M99" s="188">
        <v>3240</v>
      </c>
      <c r="N99" s="188">
        <f t="shared" si="7"/>
        <v>3142.8</v>
      </c>
      <c r="O99" s="189">
        <v>7.0000000000000007E-2</v>
      </c>
      <c r="P99" s="170">
        <f t="shared" si="8"/>
        <v>3362.7960000000003</v>
      </c>
    </row>
    <row r="100" spans="1:16">
      <c r="A100" s="157"/>
      <c r="B100" s="95" t="s">
        <v>3268</v>
      </c>
      <c r="C100" s="101" t="s">
        <v>3269</v>
      </c>
      <c r="D100" s="462" t="s">
        <v>23</v>
      </c>
      <c r="E100" s="1409">
        <v>12</v>
      </c>
      <c r="F100" s="861" t="s">
        <v>3270</v>
      </c>
      <c r="G100" s="979" t="s">
        <v>1411</v>
      </c>
      <c r="H100" s="115">
        <v>120</v>
      </c>
      <c r="I100" s="217" t="s">
        <v>3255</v>
      </c>
      <c r="J100" s="2365" t="s">
        <v>3259</v>
      </c>
      <c r="K100" s="1408">
        <v>10</v>
      </c>
      <c r="L100" s="229"/>
      <c r="M100" s="188">
        <v>14700</v>
      </c>
      <c r="N100" s="188">
        <f t="shared" si="7"/>
        <v>14259</v>
      </c>
      <c r="O100" s="189">
        <v>7.0000000000000007E-2</v>
      </c>
      <c r="P100" s="170">
        <f t="shared" si="8"/>
        <v>15257.130000000001</v>
      </c>
    </row>
    <row r="101" spans="1:16">
      <c r="A101" s="157"/>
      <c r="B101" s="2419" t="s">
        <v>3271</v>
      </c>
      <c r="C101" s="101" t="s">
        <v>100</v>
      </c>
      <c r="D101" s="462" t="s">
        <v>23</v>
      </c>
      <c r="E101" s="1409">
        <v>22</v>
      </c>
      <c r="F101" s="861" t="s">
        <v>3272</v>
      </c>
      <c r="G101" s="979" t="s">
        <v>3273</v>
      </c>
      <c r="H101" s="115">
        <v>210</v>
      </c>
      <c r="I101" s="217"/>
      <c r="J101" s="2365" t="s">
        <v>3274</v>
      </c>
      <c r="K101" s="1408">
        <v>17.5</v>
      </c>
      <c r="L101" s="229"/>
      <c r="M101" s="188">
        <v>14582.7</v>
      </c>
      <c r="N101" s="188">
        <f t="shared" si="7"/>
        <v>14145.219000000001</v>
      </c>
      <c r="O101" s="189">
        <v>7.0000000000000007E-2</v>
      </c>
      <c r="P101" s="170">
        <f t="shared" si="8"/>
        <v>15135.384330000001</v>
      </c>
    </row>
    <row r="102" spans="1:16">
      <c r="A102" s="157"/>
      <c r="B102" s="2419" t="s">
        <v>3275</v>
      </c>
      <c r="C102" s="101" t="s">
        <v>3161</v>
      </c>
      <c r="D102" s="462" t="s">
        <v>30</v>
      </c>
      <c r="E102" s="1409">
        <v>65</v>
      </c>
      <c r="F102" s="861" t="s">
        <v>3163</v>
      </c>
      <c r="G102" s="979" t="s">
        <v>3273</v>
      </c>
      <c r="H102" s="115">
        <v>210</v>
      </c>
      <c r="I102" s="217"/>
      <c r="J102" s="2365" t="s">
        <v>3274</v>
      </c>
      <c r="K102" s="1408">
        <v>52.5</v>
      </c>
      <c r="L102" s="229"/>
      <c r="M102" s="188">
        <v>13483.8</v>
      </c>
      <c r="N102" s="188">
        <f t="shared" si="7"/>
        <v>13079.286</v>
      </c>
      <c r="O102" s="189">
        <v>7.0000000000000007E-2</v>
      </c>
      <c r="P102" s="170">
        <f t="shared" si="8"/>
        <v>13994.836020000001</v>
      </c>
    </row>
    <row r="103" spans="1:16">
      <c r="A103" s="157"/>
      <c r="B103" s="95" t="s">
        <v>3276</v>
      </c>
      <c r="C103" s="101" t="s">
        <v>3277</v>
      </c>
      <c r="D103" s="462" t="s">
        <v>23</v>
      </c>
      <c r="E103" s="1409">
        <v>30</v>
      </c>
      <c r="F103" s="861"/>
      <c r="G103" s="979" t="s">
        <v>1411</v>
      </c>
      <c r="H103" s="115">
        <v>250</v>
      </c>
      <c r="I103" s="217"/>
      <c r="J103" s="2365" t="s">
        <v>3278</v>
      </c>
      <c r="K103" s="1408">
        <v>20.83</v>
      </c>
      <c r="L103" s="229"/>
      <c r="M103" s="188">
        <v>2669.52</v>
      </c>
      <c r="N103" s="188">
        <f t="shared" si="7"/>
        <v>2589.4344000000001</v>
      </c>
      <c r="O103" s="189">
        <v>7.0000000000000007E-2</v>
      </c>
      <c r="P103" s="170">
        <f t="shared" si="8"/>
        <v>2770.6948080000002</v>
      </c>
    </row>
    <row r="104" spans="1:16">
      <c r="A104" s="157"/>
      <c r="B104" s="95" t="s">
        <v>1883</v>
      </c>
      <c r="C104" s="101" t="s">
        <v>284</v>
      </c>
      <c r="D104" s="462" t="s">
        <v>353</v>
      </c>
      <c r="E104" s="249">
        <v>95</v>
      </c>
      <c r="F104" s="121"/>
      <c r="G104" s="979" t="s">
        <v>3279</v>
      </c>
      <c r="H104" s="115">
        <v>1540</v>
      </c>
      <c r="I104" s="217" t="s">
        <v>3255</v>
      </c>
      <c r="J104" s="2365" t="s">
        <v>3280</v>
      </c>
      <c r="K104" s="1408">
        <v>77</v>
      </c>
      <c r="L104" s="229"/>
      <c r="N104" s="188">
        <f t="shared" si="7"/>
        <v>0</v>
      </c>
      <c r="O104" s="189">
        <v>7.0000000000000007E-2</v>
      </c>
      <c r="P104" s="170">
        <f t="shared" si="8"/>
        <v>0</v>
      </c>
    </row>
    <row r="105" spans="1:16">
      <c r="A105" s="157"/>
      <c r="B105" s="95" t="s">
        <v>3174</v>
      </c>
      <c r="C105" s="101" t="s">
        <v>284</v>
      </c>
      <c r="D105" s="462"/>
      <c r="E105" s="249">
        <v>60</v>
      </c>
      <c r="F105" s="121"/>
      <c r="G105" s="979"/>
      <c r="H105" s="115"/>
      <c r="I105" s="217"/>
      <c r="J105" s="2365"/>
      <c r="K105" s="1408"/>
      <c r="L105" s="229"/>
      <c r="M105" s="188">
        <v>12972.96</v>
      </c>
      <c r="N105" s="188">
        <f t="shared" si="7"/>
        <v>12583.771199999999</v>
      </c>
      <c r="O105" s="189">
        <v>7.0000000000000007E-2</v>
      </c>
      <c r="P105" s="170">
        <f t="shared" si="8"/>
        <v>13464.635183999999</v>
      </c>
    </row>
    <row r="106" spans="1:16">
      <c r="A106" s="157"/>
      <c r="B106" s="3448" t="s">
        <v>3281</v>
      </c>
      <c r="C106" s="207"/>
      <c r="D106" s="421"/>
      <c r="E106" s="839"/>
      <c r="F106" s="767"/>
      <c r="G106" s="310"/>
      <c r="H106" s="207"/>
      <c r="I106" s="431"/>
      <c r="J106" s="586"/>
      <c r="K106" s="365"/>
      <c r="L106" s="229"/>
      <c r="M106" s="188">
        <v>12687.84</v>
      </c>
      <c r="N106" s="188">
        <f t="shared" si="7"/>
        <v>12307.2048</v>
      </c>
      <c r="O106" s="189">
        <v>7.0000000000000007E-2</v>
      </c>
      <c r="P106" s="170">
        <f t="shared" si="8"/>
        <v>13168.709135999999</v>
      </c>
    </row>
    <row r="107" spans="1:16">
      <c r="A107" s="157"/>
      <c r="B107" s="139" t="s">
        <v>3281</v>
      </c>
      <c r="C107" s="207"/>
      <c r="D107" s="421" t="s">
        <v>23</v>
      </c>
      <c r="E107" s="839">
        <v>20</v>
      </c>
      <c r="F107" s="767" t="s">
        <v>3282</v>
      </c>
      <c r="G107" s="2405" t="s">
        <v>3283</v>
      </c>
      <c r="H107" s="207"/>
      <c r="I107" s="431"/>
      <c r="J107" s="586">
        <v>185</v>
      </c>
      <c r="K107" s="365">
        <v>15.42</v>
      </c>
      <c r="L107" s="194"/>
      <c r="M107" s="188">
        <v>16572.599999999999</v>
      </c>
      <c r="N107" s="188">
        <f t="shared" si="7"/>
        <v>16075.421999999999</v>
      </c>
      <c r="O107" s="189">
        <v>7.0000000000000007E-2</v>
      </c>
      <c r="P107" s="170">
        <f t="shared" si="8"/>
        <v>17200.701539999998</v>
      </c>
    </row>
    <row r="108" spans="1:16">
      <c r="A108" s="157"/>
      <c r="B108" s="1033" t="s">
        <v>2090</v>
      </c>
      <c r="C108" s="207"/>
      <c r="D108" s="411"/>
      <c r="E108" s="837"/>
      <c r="F108" s="767"/>
      <c r="G108" s="310"/>
      <c r="H108" s="207"/>
      <c r="I108" s="431"/>
      <c r="J108" s="586"/>
      <c r="K108" s="365"/>
      <c r="L108" s="194"/>
      <c r="M108" s="188">
        <v>6021.12</v>
      </c>
      <c r="N108" s="188">
        <f>M108-(M108*0.03)</f>
        <v>5840.4863999999998</v>
      </c>
      <c r="O108" s="189">
        <v>7.0000000000000007E-2</v>
      </c>
      <c r="P108" s="170">
        <f>(N108*O108)+N108</f>
        <v>6249.3204479999995</v>
      </c>
    </row>
    <row r="109" spans="1:16">
      <c r="A109" s="157"/>
      <c r="B109" s="433" t="s">
        <v>2095</v>
      </c>
      <c r="C109" s="207" t="s">
        <v>2096</v>
      </c>
      <c r="D109" s="411" t="s">
        <v>23</v>
      </c>
      <c r="E109" s="837">
        <v>22</v>
      </c>
      <c r="F109" s="767">
        <v>230</v>
      </c>
      <c r="G109" s="310" t="s">
        <v>2097</v>
      </c>
      <c r="H109" s="207">
        <v>212</v>
      </c>
      <c r="I109" s="431" t="s">
        <v>2098</v>
      </c>
      <c r="J109" s="586">
        <v>210.79</v>
      </c>
      <c r="K109" s="365">
        <v>17.559999999999999</v>
      </c>
      <c r="L109" s="194"/>
      <c r="M109" s="188">
        <v>8714.16</v>
      </c>
      <c r="N109" s="188">
        <f>M109-(M109*0.03)</f>
        <v>8452.7351999999992</v>
      </c>
      <c r="O109" s="189">
        <v>7.0000000000000007E-2</v>
      </c>
      <c r="P109" s="170">
        <f>(N109*O109)+N109</f>
        <v>9044.4266639999987</v>
      </c>
    </row>
    <row r="110" spans="1:16">
      <c r="A110" s="157"/>
      <c r="B110" s="433" t="s">
        <v>2095</v>
      </c>
      <c r="C110" s="207" t="s">
        <v>1275</v>
      </c>
      <c r="D110" s="411" t="s">
        <v>18</v>
      </c>
      <c r="E110" s="837">
        <v>12</v>
      </c>
      <c r="F110" s="767" t="s">
        <v>2997</v>
      </c>
      <c r="G110" s="310" t="s">
        <v>1108</v>
      </c>
      <c r="H110" s="207">
        <v>240</v>
      </c>
      <c r="I110" s="431" t="s">
        <v>2098</v>
      </c>
      <c r="J110" s="586">
        <v>240.75</v>
      </c>
      <c r="K110" s="365">
        <v>10.029999999999999</v>
      </c>
      <c r="L110" s="194"/>
      <c r="M110" s="188">
        <v>0</v>
      </c>
      <c r="N110" s="188">
        <f>M110-(M110*0.03)</f>
        <v>0</v>
      </c>
      <c r="O110" s="189">
        <v>7.0000000000000007E-2</v>
      </c>
      <c r="P110" s="170">
        <f t="shared" ref="P110:P116" si="9">(N110*O110)+N110</f>
        <v>0</v>
      </c>
    </row>
    <row r="111" spans="1:16">
      <c r="A111" s="157"/>
      <c r="B111" s="433"/>
      <c r="C111" s="207"/>
      <c r="D111" s="411"/>
      <c r="E111" s="837"/>
      <c r="F111" s="767"/>
      <c r="G111" s="310"/>
      <c r="H111" s="207"/>
      <c r="I111" s="431"/>
      <c r="J111" s="586"/>
      <c r="K111" s="365"/>
      <c r="L111" s="194"/>
      <c r="M111" s="188">
        <v>18537.7</v>
      </c>
      <c r="N111" s="188">
        <f>M111-(M111*0.03)</f>
        <v>17981.569</v>
      </c>
      <c r="O111" s="189">
        <v>7.0000000000000007E-2</v>
      </c>
      <c r="P111" s="170">
        <f t="shared" si="9"/>
        <v>19240.278829999999</v>
      </c>
    </row>
    <row r="112" spans="1:16">
      <c r="A112" s="157"/>
      <c r="B112" s="1033" t="s">
        <v>2090</v>
      </c>
      <c r="C112" s="207"/>
      <c r="D112" s="421"/>
      <c r="E112" s="839"/>
      <c r="F112" s="767"/>
      <c r="G112" s="310"/>
      <c r="H112" s="207"/>
      <c r="I112" s="431"/>
      <c r="J112" s="586"/>
      <c r="K112" s="365"/>
      <c r="L112" s="194"/>
      <c r="M112" s="188">
        <v>9031.68</v>
      </c>
      <c r="N112" s="188">
        <f t="shared" ref="N112:N120" si="10">M112-(M112*0.03)</f>
        <v>8760.7296000000006</v>
      </c>
      <c r="O112" s="189">
        <v>7.0000000000000007E-2</v>
      </c>
      <c r="P112" s="170">
        <f t="shared" si="9"/>
        <v>9373.9806720000015</v>
      </c>
    </row>
    <row r="113" spans="1:16">
      <c r="A113" s="157"/>
      <c r="B113" s="433" t="s">
        <v>3284</v>
      </c>
      <c r="C113" s="207" t="s">
        <v>1275</v>
      </c>
      <c r="D113" s="421" t="s">
        <v>108</v>
      </c>
      <c r="E113" s="839">
        <v>12</v>
      </c>
      <c r="F113" s="767"/>
      <c r="G113" s="310" t="s">
        <v>3285</v>
      </c>
      <c r="H113" s="207"/>
      <c r="I113" s="431"/>
      <c r="J113" s="586">
        <v>355.24</v>
      </c>
      <c r="K113" s="365">
        <v>9.8699999999999992</v>
      </c>
      <c r="L113" s="194"/>
      <c r="N113" s="188">
        <f t="shared" si="10"/>
        <v>0</v>
      </c>
      <c r="O113" s="189">
        <v>7.0000000000000007E-2</v>
      </c>
      <c r="P113" s="170">
        <f t="shared" si="9"/>
        <v>0</v>
      </c>
    </row>
    <row r="114" spans="1:16">
      <c r="A114" s="157"/>
      <c r="B114" s="458" t="s">
        <v>3286</v>
      </c>
      <c r="C114" s="341" t="s">
        <v>3287</v>
      </c>
      <c r="D114" s="422" t="s">
        <v>23</v>
      </c>
      <c r="E114" s="845">
        <v>20</v>
      </c>
      <c r="F114" s="860"/>
      <c r="G114" s="312" t="s">
        <v>3285</v>
      </c>
      <c r="H114" s="341"/>
      <c r="I114" s="505"/>
      <c r="J114" s="604">
        <v>212</v>
      </c>
      <c r="K114" s="378">
        <v>17</v>
      </c>
      <c r="L114" s="194"/>
      <c r="M114" s="188">
        <v>8478.9599999999991</v>
      </c>
      <c r="N114" s="188">
        <f t="shared" si="10"/>
        <v>8224.5911999999989</v>
      </c>
      <c r="O114" s="189">
        <v>7.0000000000000007E-2</v>
      </c>
      <c r="P114" s="170">
        <f t="shared" si="9"/>
        <v>8800.3125839999993</v>
      </c>
    </row>
    <row r="115" spans="1:16">
      <c r="A115" s="157"/>
      <c r="B115" s="1385" t="s">
        <v>3288</v>
      </c>
      <c r="C115" s="986"/>
      <c r="D115" s="411"/>
      <c r="E115" s="837"/>
      <c r="F115" s="767"/>
      <c r="G115" s="310" t="s">
        <v>3289</v>
      </c>
      <c r="H115" s="207"/>
      <c r="I115" s="431"/>
      <c r="J115" s="586"/>
      <c r="K115" s="365"/>
      <c r="L115" s="194"/>
      <c r="M115" s="188">
        <v>11122.62</v>
      </c>
      <c r="N115" s="188">
        <f t="shared" si="10"/>
        <v>10788.941400000002</v>
      </c>
      <c r="O115" s="189">
        <v>7.0000000000000007E-2</v>
      </c>
      <c r="P115" s="170">
        <f t="shared" si="9"/>
        <v>11544.167298000002</v>
      </c>
    </row>
    <row r="116" spans="1:16">
      <c r="A116" s="157"/>
      <c r="B116" s="1032" t="s">
        <v>3290</v>
      </c>
      <c r="C116" s="207"/>
      <c r="D116" s="411" t="s">
        <v>23</v>
      </c>
      <c r="E116" s="837">
        <v>12</v>
      </c>
      <c r="F116" s="767"/>
      <c r="G116" s="310" t="s">
        <v>3291</v>
      </c>
      <c r="H116" s="207">
        <v>100</v>
      </c>
      <c r="I116" s="431" t="s">
        <v>3292</v>
      </c>
      <c r="J116" s="586">
        <v>94.33</v>
      </c>
      <c r="K116" s="365">
        <v>7.86</v>
      </c>
      <c r="L116" s="194"/>
      <c r="M116" s="188">
        <v>3813.12</v>
      </c>
      <c r="N116" s="188">
        <f t="shared" si="10"/>
        <v>3698.7264</v>
      </c>
      <c r="O116" s="189">
        <v>7.0000000000000007E-2</v>
      </c>
      <c r="P116" s="170">
        <f t="shared" si="9"/>
        <v>3957.637248</v>
      </c>
    </row>
    <row r="117" spans="1:16">
      <c r="A117" s="157"/>
      <c r="B117" s="433"/>
      <c r="C117" s="207"/>
      <c r="D117" s="411"/>
      <c r="E117" s="837"/>
      <c r="F117" s="767"/>
      <c r="G117" s="310"/>
      <c r="H117" s="207"/>
      <c r="I117" s="431"/>
      <c r="J117" s="586"/>
      <c r="K117" s="365"/>
      <c r="L117" s="194"/>
    </row>
    <row r="118" spans="1:16">
      <c r="A118" s="157"/>
      <c r="B118" s="433"/>
      <c r="C118" s="207"/>
      <c r="D118" s="339"/>
      <c r="E118" s="84"/>
      <c r="F118" s="767"/>
      <c r="G118" s="477"/>
      <c r="H118" s="115"/>
      <c r="I118" s="431"/>
      <c r="J118" s="590"/>
      <c r="K118" s="526"/>
      <c r="L118" s="194"/>
    </row>
    <row r="119" spans="1:16">
      <c r="A119" s="157"/>
      <c r="B119" s="781" t="s">
        <v>2943</v>
      </c>
      <c r="C119" s="126" t="s">
        <v>2944</v>
      </c>
      <c r="D119" s="3457"/>
      <c r="E119" s="728"/>
      <c r="F119" s="767"/>
      <c r="G119" s="314"/>
      <c r="H119" s="207"/>
      <c r="I119" s="105"/>
      <c r="J119" s="701"/>
      <c r="K119" s="365"/>
      <c r="L119" s="194"/>
    </row>
    <row r="120" spans="1:16">
      <c r="A120" s="157"/>
      <c r="B120" s="1032" t="s">
        <v>2947</v>
      </c>
      <c r="C120" s="207"/>
      <c r="D120" s="411" t="s">
        <v>23</v>
      </c>
      <c r="E120" s="728"/>
      <c r="F120" s="767"/>
      <c r="G120" s="310" t="s">
        <v>2948</v>
      </c>
      <c r="H120" s="207"/>
      <c r="I120" s="431"/>
      <c r="J120" s="586">
        <v>90</v>
      </c>
      <c r="K120" s="365">
        <v>7.5</v>
      </c>
      <c r="L120" s="194"/>
      <c r="M120" s="188">
        <v>8640</v>
      </c>
      <c r="N120" s="188">
        <f t="shared" si="10"/>
        <v>8380.7999999999993</v>
      </c>
      <c r="O120" s="189">
        <v>7.0000000000000007E-2</v>
      </c>
      <c r="P120" s="170">
        <f>(N120*O120)+N120</f>
        <v>8967.4559999999983</v>
      </c>
    </row>
    <row r="121" spans="1:16" ht="35.25" thickBot="1">
      <c r="A121" s="160"/>
      <c r="B121" s="126"/>
      <c r="C121" s="63"/>
      <c r="D121" s="196"/>
      <c r="E121" s="257"/>
      <c r="F121" s="258"/>
      <c r="G121" s="206"/>
      <c r="H121" s="115"/>
      <c r="I121" s="185"/>
      <c r="J121" s="174"/>
      <c r="K121" s="195"/>
      <c r="L121" s="194"/>
    </row>
    <row r="122" spans="1:16" ht="35.25" customHeight="1">
      <c r="A122" s="157"/>
      <c r="B122" s="131"/>
      <c r="C122" s="63"/>
      <c r="D122" s="196"/>
      <c r="E122" s="142"/>
      <c r="F122" s="61"/>
      <c r="G122" s="206"/>
      <c r="H122" s="74"/>
      <c r="I122" s="183"/>
      <c r="J122" s="175"/>
      <c r="K122" s="197"/>
      <c r="L122" s="194"/>
      <c r="M122" s="3444"/>
    </row>
    <row r="123" spans="1:16" ht="35.25" customHeight="1">
      <c r="A123" s="157"/>
      <c r="B123" s="131"/>
      <c r="C123" s="63"/>
      <c r="D123" s="196"/>
      <c r="E123" s="198"/>
      <c r="F123" s="280"/>
      <c r="G123" s="206"/>
      <c r="H123" s="74"/>
      <c r="I123" s="183"/>
      <c r="J123" s="175"/>
      <c r="K123" s="197"/>
      <c r="L123" s="194"/>
      <c r="M123" s="3444"/>
    </row>
    <row r="124" spans="1:16" ht="35.25" customHeight="1">
      <c r="A124" s="157"/>
      <c r="B124" s="131"/>
      <c r="C124" s="63"/>
      <c r="D124" s="196"/>
      <c r="E124" s="198"/>
      <c r="F124" s="280"/>
      <c r="G124" s="206"/>
      <c r="H124" s="74"/>
      <c r="I124" s="183"/>
      <c r="J124" s="175"/>
      <c r="K124" s="197"/>
      <c r="L124" s="194"/>
      <c r="M124" s="3444"/>
    </row>
    <row r="125" spans="1:16" ht="35.25" thickBot="1">
      <c r="A125" s="160"/>
      <c r="B125" s="126"/>
      <c r="C125" s="63"/>
      <c r="D125" s="196"/>
      <c r="E125" s="257"/>
      <c r="F125" s="258"/>
      <c r="G125" s="206"/>
      <c r="H125" s="115"/>
      <c r="I125" s="185"/>
      <c r="J125" s="174"/>
      <c r="K125" s="195"/>
      <c r="L125" s="194"/>
    </row>
    <row r="126" spans="1:16">
      <c r="A126" s="44"/>
      <c r="B126" s="127"/>
      <c r="C126" s="104"/>
      <c r="F126" s="68"/>
      <c r="I126" s="179"/>
      <c r="K126" s="163"/>
      <c r="L126" s="168"/>
    </row>
    <row r="127" spans="1:16">
      <c r="A127" s="44" t="s">
        <v>0</v>
      </c>
      <c r="B127" s="127"/>
      <c r="C127" s="104"/>
      <c r="F127" s="68"/>
      <c r="I127" s="179"/>
      <c r="K127" s="163"/>
      <c r="L127" s="168"/>
    </row>
    <row r="128" spans="1:16" ht="35.25" customHeight="1">
      <c r="A128" s="3480" t="s">
        <v>2494</v>
      </c>
      <c r="B128" s="3480"/>
      <c r="C128" s="44"/>
      <c r="D128" s="109"/>
      <c r="F128" s="68"/>
      <c r="I128" s="179"/>
      <c r="K128" s="163"/>
      <c r="L128" s="168"/>
    </row>
    <row r="129" spans="1:16" ht="35.25" thickBot="1">
      <c r="F129" s="68"/>
    </row>
    <row r="130" spans="1:16">
      <c r="A130" s="3493" t="s">
        <v>2</v>
      </c>
      <c r="B130" s="3482"/>
      <c r="C130" s="48" t="s">
        <v>3</v>
      </c>
      <c r="D130" s="128" t="s">
        <v>4</v>
      </c>
      <c r="E130" s="77" t="s">
        <v>5</v>
      </c>
      <c r="F130" s="78" t="s">
        <v>5</v>
      </c>
      <c r="G130" s="211" t="s">
        <v>6</v>
      </c>
      <c r="H130" s="140" t="s">
        <v>7</v>
      </c>
      <c r="I130" s="180" t="s">
        <v>1511</v>
      </c>
      <c r="J130" s="172" t="s">
        <v>9</v>
      </c>
      <c r="K130" s="186" t="s">
        <v>9</v>
      </c>
      <c r="L130" s="192" t="s">
        <v>2495</v>
      </c>
      <c r="M130" s="190"/>
    </row>
    <row r="131" spans="1:16" ht="35.25" thickBot="1">
      <c r="A131" s="155"/>
      <c r="B131" s="138"/>
      <c r="C131" s="50"/>
      <c r="D131" s="129" t="s">
        <v>10</v>
      </c>
      <c r="E131" s="79" t="s">
        <v>11</v>
      </c>
      <c r="F131" s="80" t="s">
        <v>12</v>
      </c>
      <c r="G131" s="212"/>
      <c r="H131" s="141" t="s">
        <v>13</v>
      </c>
      <c r="I131" s="181" t="s">
        <v>1512</v>
      </c>
      <c r="J131" s="173" t="s">
        <v>15</v>
      </c>
      <c r="K131" s="187" t="s">
        <v>14</v>
      </c>
      <c r="L131" s="193" t="s">
        <v>2496</v>
      </c>
      <c r="M131" s="190"/>
    </row>
    <row r="132" spans="1:16">
      <c r="A132" s="156"/>
      <c r="B132" s="268"/>
      <c r="C132" s="63"/>
      <c r="D132" s="199"/>
      <c r="E132" s="143"/>
      <c r="F132" s="69"/>
      <c r="G132" s="206"/>
      <c r="H132" s="74"/>
      <c r="I132" s="183"/>
      <c r="J132" s="175"/>
      <c r="K132" s="172"/>
      <c r="L132" s="194"/>
      <c r="M132" s="188">
        <v>3552</v>
      </c>
      <c r="N132" s="188">
        <f t="shared" ref="N132:N148" si="11">M132-(M132*0.03)</f>
        <v>3445.44</v>
      </c>
      <c r="O132" s="189">
        <v>7.0000000000000007E-2</v>
      </c>
      <c r="P132" s="170">
        <f t="shared" ref="P132:P148" si="12">(N132*O132)+N132</f>
        <v>3686.6208000000001</v>
      </c>
    </row>
    <row r="133" spans="1:16">
      <c r="A133" s="157"/>
      <c r="B133" s="96"/>
      <c r="C133" s="63"/>
      <c r="D133" s="199"/>
      <c r="E133" s="145"/>
      <c r="F133" s="61"/>
      <c r="G133" s="206"/>
      <c r="H133" s="74"/>
      <c r="I133" s="183"/>
      <c r="J133" s="175"/>
      <c r="K133" s="176"/>
      <c r="L133" s="194"/>
      <c r="N133" s="188">
        <f t="shared" si="11"/>
        <v>0</v>
      </c>
      <c r="O133" s="189">
        <v>7.0000000000000007E-2</v>
      </c>
      <c r="P133" s="170">
        <f t="shared" si="12"/>
        <v>0</v>
      </c>
    </row>
    <row r="134" spans="1:16">
      <c r="A134" s="157"/>
      <c r="B134" s="96"/>
      <c r="C134" s="63"/>
      <c r="D134" s="199"/>
      <c r="E134" s="145"/>
      <c r="F134" s="61"/>
      <c r="G134" s="206"/>
      <c r="H134" s="74"/>
      <c r="I134" s="183"/>
      <c r="J134" s="175"/>
      <c r="K134" s="245"/>
      <c r="L134" s="194"/>
      <c r="M134" s="188">
        <v>9498.06</v>
      </c>
      <c r="N134" s="188">
        <f t="shared" si="11"/>
        <v>9213.118199999999</v>
      </c>
      <c r="O134" s="189">
        <v>7.0000000000000007E-2</v>
      </c>
      <c r="P134" s="170">
        <f t="shared" si="12"/>
        <v>9858.0364739999986</v>
      </c>
    </row>
    <row r="135" spans="1:16">
      <c r="A135" s="157"/>
      <c r="B135" s="95"/>
      <c r="C135" s="63"/>
      <c r="D135" s="199"/>
      <c r="E135" s="145"/>
      <c r="F135" s="61"/>
      <c r="G135" s="206"/>
      <c r="H135" s="74"/>
      <c r="I135" s="183"/>
      <c r="J135" s="175"/>
      <c r="K135" s="197"/>
      <c r="L135" s="194"/>
      <c r="M135" s="188">
        <v>15305.4</v>
      </c>
      <c r="N135" s="188">
        <f t="shared" si="11"/>
        <v>14846.237999999999</v>
      </c>
      <c r="O135" s="189">
        <v>7.0000000000000007E-2</v>
      </c>
      <c r="P135" s="170">
        <f t="shared" si="12"/>
        <v>15885.47466</v>
      </c>
    </row>
    <row r="136" spans="1:16">
      <c r="A136" s="157"/>
      <c r="B136" s="74"/>
      <c r="C136" s="63"/>
      <c r="D136" s="199"/>
      <c r="E136" s="145"/>
      <c r="F136" s="61"/>
      <c r="G136" s="206"/>
      <c r="H136" s="74"/>
      <c r="I136" s="183"/>
      <c r="J136" s="175"/>
      <c r="K136" s="197"/>
      <c r="L136" s="194"/>
      <c r="N136" s="188">
        <f t="shared" si="11"/>
        <v>0</v>
      </c>
      <c r="O136" s="189">
        <v>7.0000000000000007E-2</v>
      </c>
      <c r="P136" s="170">
        <f t="shared" si="12"/>
        <v>0</v>
      </c>
    </row>
    <row r="137" spans="1:16">
      <c r="A137" s="157"/>
      <c r="B137" s="74"/>
      <c r="C137" s="63"/>
      <c r="D137" s="199"/>
      <c r="E137" s="145"/>
      <c r="F137" s="61"/>
      <c r="G137" s="206"/>
      <c r="H137" s="74"/>
      <c r="I137" s="183"/>
      <c r="J137" s="175"/>
      <c r="K137" s="197"/>
      <c r="L137" s="194"/>
      <c r="N137" s="188">
        <f t="shared" si="11"/>
        <v>0</v>
      </c>
      <c r="O137" s="189">
        <v>7.0000000000000007E-2</v>
      </c>
      <c r="P137" s="170">
        <f t="shared" si="12"/>
        <v>0</v>
      </c>
    </row>
    <row r="138" spans="1:16">
      <c r="A138" s="157"/>
      <c r="B138" s="96"/>
      <c r="C138" s="63"/>
      <c r="D138" s="199"/>
      <c r="E138" s="145"/>
      <c r="F138" s="61"/>
      <c r="G138" s="206"/>
      <c r="H138" s="74"/>
      <c r="I138" s="183"/>
      <c r="J138" s="175"/>
      <c r="K138" s="197"/>
      <c r="L138" s="194"/>
      <c r="N138" s="188">
        <f t="shared" si="11"/>
        <v>0</v>
      </c>
      <c r="O138" s="189">
        <v>7.0000000000000007E-2</v>
      </c>
      <c r="P138" s="170">
        <f t="shared" si="12"/>
        <v>0</v>
      </c>
    </row>
    <row r="139" spans="1:16">
      <c r="A139" s="157"/>
      <c r="B139" s="95"/>
      <c r="C139" s="222"/>
      <c r="D139" s="3464"/>
      <c r="E139" s="145"/>
      <c r="F139" s="61"/>
      <c r="G139" s="223"/>
      <c r="H139" s="224"/>
      <c r="I139" s="225"/>
      <c r="J139" s="209"/>
      <c r="K139" s="244"/>
      <c r="M139" s="188">
        <v>14244.12</v>
      </c>
      <c r="N139" s="188">
        <f t="shared" si="11"/>
        <v>13816.796400000001</v>
      </c>
      <c r="O139" s="189">
        <v>7.0000000000000007E-2</v>
      </c>
      <c r="P139" s="170">
        <f t="shared" si="12"/>
        <v>14783.972148000001</v>
      </c>
    </row>
    <row r="140" spans="1:16">
      <c r="A140" s="157"/>
      <c r="B140" s="95"/>
      <c r="C140" s="63"/>
      <c r="D140" s="199"/>
      <c r="E140" s="145"/>
      <c r="F140" s="61"/>
      <c r="G140" s="206"/>
      <c r="H140" s="74"/>
      <c r="I140" s="183"/>
      <c r="J140" s="175"/>
      <c r="K140" s="197"/>
      <c r="L140" s="194"/>
      <c r="M140" s="188">
        <v>3240</v>
      </c>
      <c r="N140" s="188">
        <f t="shared" si="11"/>
        <v>3142.8</v>
      </c>
      <c r="O140" s="189">
        <v>7.0000000000000007E-2</v>
      </c>
      <c r="P140" s="170">
        <f t="shared" si="12"/>
        <v>3362.7960000000003</v>
      </c>
    </row>
    <row r="141" spans="1:16">
      <c r="A141" s="157"/>
      <c r="B141" s="268"/>
      <c r="C141" s="63"/>
      <c r="D141" s="199"/>
      <c r="E141" s="145"/>
      <c r="F141" s="61"/>
      <c r="G141" s="206"/>
      <c r="H141" s="74"/>
      <c r="I141" s="183"/>
      <c r="J141" s="175"/>
      <c r="K141" s="197"/>
      <c r="L141" s="194"/>
      <c r="M141" s="188">
        <v>14700</v>
      </c>
      <c r="N141" s="188">
        <f t="shared" si="11"/>
        <v>14259</v>
      </c>
      <c r="O141" s="189">
        <v>7.0000000000000007E-2</v>
      </c>
      <c r="P141" s="170">
        <f t="shared" si="12"/>
        <v>15257.130000000001</v>
      </c>
    </row>
    <row r="142" spans="1:16">
      <c r="A142" s="157"/>
      <c r="B142" s="95"/>
      <c r="C142" s="222"/>
      <c r="D142" s="3464"/>
      <c r="E142" s="237"/>
      <c r="F142" s="238"/>
      <c r="G142" s="223"/>
      <c r="H142" s="224"/>
      <c r="I142" s="225"/>
      <c r="J142" s="209"/>
      <c r="K142" s="226"/>
      <c r="L142" s="229"/>
      <c r="M142" s="188">
        <v>14582.7</v>
      </c>
      <c r="N142" s="188">
        <f t="shared" si="11"/>
        <v>14145.219000000001</v>
      </c>
      <c r="O142" s="189">
        <v>7.0000000000000007E-2</v>
      </c>
      <c r="P142" s="170">
        <f t="shared" si="12"/>
        <v>15135.384330000001</v>
      </c>
    </row>
    <row r="143" spans="1:16">
      <c r="A143" s="157"/>
      <c r="B143" s="95"/>
      <c r="C143" s="63"/>
      <c r="D143" s="199"/>
      <c r="E143" s="145"/>
      <c r="F143" s="61"/>
      <c r="G143" s="206"/>
      <c r="H143" s="74"/>
      <c r="I143" s="183"/>
      <c r="J143" s="175"/>
      <c r="K143" s="197"/>
      <c r="L143" s="229"/>
      <c r="M143" s="188">
        <v>13483.8</v>
      </c>
      <c r="N143" s="188">
        <f t="shared" si="11"/>
        <v>13079.286</v>
      </c>
      <c r="O143" s="189">
        <v>7.0000000000000007E-2</v>
      </c>
      <c r="P143" s="170">
        <f t="shared" si="12"/>
        <v>13994.836020000001</v>
      </c>
    </row>
    <row r="144" spans="1:16">
      <c r="A144" s="157"/>
      <c r="B144" s="95"/>
      <c r="C144" s="222"/>
      <c r="D144" s="3464"/>
      <c r="E144" s="145"/>
      <c r="F144" s="61"/>
      <c r="G144" s="223"/>
      <c r="H144" s="224"/>
      <c r="I144" s="225"/>
      <c r="J144" s="209"/>
      <c r="K144" s="226"/>
      <c r="L144" s="229"/>
      <c r="M144" s="188">
        <v>2669.52</v>
      </c>
      <c r="N144" s="188">
        <f t="shared" si="11"/>
        <v>2589.4344000000001</v>
      </c>
      <c r="O144" s="189">
        <v>7.0000000000000007E-2</v>
      </c>
      <c r="P144" s="170">
        <f t="shared" si="12"/>
        <v>2770.6948080000002</v>
      </c>
    </row>
    <row r="145" spans="1:16">
      <c r="A145" s="157"/>
      <c r="B145" s="95"/>
      <c r="C145" s="222"/>
      <c r="D145" s="3464"/>
      <c r="E145" s="145"/>
      <c r="F145" s="61"/>
      <c r="G145" s="223"/>
      <c r="H145" s="224"/>
      <c r="I145" s="225"/>
      <c r="J145" s="209"/>
      <c r="K145" s="226"/>
      <c r="L145" s="229"/>
      <c r="N145" s="188">
        <f t="shared" si="11"/>
        <v>0</v>
      </c>
      <c r="O145" s="189">
        <v>7.0000000000000007E-2</v>
      </c>
      <c r="P145" s="170">
        <f t="shared" si="12"/>
        <v>0</v>
      </c>
    </row>
    <row r="146" spans="1:16">
      <c r="A146" s="221"/>
      <c r="B146" s="268"/>
      <c r="C146" s="222"/>
      <c r="D146" s="3464"/>
      <c r="E146" s="145"/>
      <c r="F146" s="61"/>
      <c r="G146" s="223"/>
      <c r="H146" s="224"/>
      <c r="I146" s="225"/>
      <c r="J146" s="209"/>
      <c r="K146" s="226"/>
      <c r="L146" s="229"/>
      <c r="M146" s="188">
        <v>12972.96</v>
      </c>
      <c r="N146" s="188">
        <f t="shared" si="11"/>
        <v>12583.771199999999</v>
      </c>
      <c r="O146" s="189">
        <v>7.0000000000000007E-2</v>
      </c>
      <c r="P146" s="170">
        <f t="shared" si="12"/>
        <v>13464.635183999999</v>
      </c>
    </row>
    <row r="147" spans="1:16">
      <c r="A147" s="157"/>
      <c r="B147" s="95"/>
      <c r="C147" s="63"/>
      <c r="D147" s="199"/>
      <c r="E147" s="145"/>
      <c r="F147" s="61"/>
      <c r="G147" s="206"/>
      <c r="H147" s="74"/>
      <c r="I147" s="183"/>
      <c r="J147" s="209"/>
      <c r="K147" s="197"/>
      <c r="L147" s="229"/>
      <c r="M147" s="188">
        <v>12687.84</v>
      </c>
      <c r="N147" s="188">
        <f t="shared" si="11"/>
        <v>12307.2048</v>
      </c>
      <c r="O147" s="189">
        <v>7.0000000000000007E-2</v>
      </c>
      <c r="P147" s="170">
        <f t="shared" si="12"/>
        <v>13168.709135999999</v>
      </c>
    </row>
    <row r="148" spans="1:16">
      <c r="A148" s="157"/>
      <c r="B148" s="95"/>
      <c r="C148" s="63"/>
      <c r="D148" s="199"/>
      <c r="E148" s="145"/>
      <c r="F148" s="61"/>
      <c r="G148" s="206"/>
      <c r="H148" s="74"/>
      <c r="I148" s="183"/>
      <c r="J148" s="175"/>
      <c r="K148" s="197"/>
      <c r="L148" s="194"/>
      <c r="M148" s="188">
        <v>16572.599999999999</v>
      </c>
      <c r="N148" s="188">
        <f t="shared" si="11"/>
        <v>16075.421999999999</v>
      </c>
      <c r="O148" s="189">
        <v>7.0000000000000007E-2</v>
      </c>
      <c r="P148" s="170">
        <f t="shared" si="12"/>
        <v>17200.701539999998</v>
      </c>
    </row>
    <row r="149" spans="1:16">
      <c r="A149" s="157"/>
      <c r="B149" s="95"/>
      <c r="C149" s="63"/>
      <c r="D149" s="199"/>
      <c r="E149" s="90"/>
      <c r="F149" s="61"/>
      <c r="G149" s="206"/>
      <c r="H149" s="74"/>
      <c r="I149" s="203"/>
      <c r="J149" s="175"/>
      <c r="K149" s="197"/>
      <c r="L149" s="194"/>
      <c r="M149" s="188">
        <v>6021.12</v>
      </c>
      <c r="N149" s="188">
        <f>M149-(M149*0.03)</f>
        <v>5840.4863999999998</v>
      </c>
      <c r="O149" s="189">
        <v>7.0000000000000007E-2</v>
      </c>
      <c r="P149" s="170">
        <f>(N149*O149)+N149</f>
        <v>6249.3204479999995</v>
      </c>
    </row>
    <row r="150" spans="1:16">
      <c r="A150" s="157"/>
      <c r="B150" s="95"/>
      <c r="C150" s="63"/>
      <c r="D150" s="199"/>
      <c r="E150" s="90"/>
      <c r="F150" s="61"/>
      <c r="G150" s="206"/>
      <c r="H150" s="74"/>
      <c r="I150" s="183"/>
      <c r="J150" s="175"/>
      <c r="K150" s="197"/>
      <c r="L150" s="194"/>
      <c r="M150" s="188">
        <v>8714.16</v>
      </c>
      <c r="N150" s="188">
        <f>M150-(M150*0.03)</f>
        <v>8452.7351999999992</v>
      </c>
      <c r="O150" s="189">
        <v>7.0000000000000007E-2</v>
      </c>
      <c r="P150" s="170">
        <f>(N150*O150)+N150</f>
        <v>9044.4266639999987</v>
      </c>
    </row>
    <row r="151" spans="1:16">
      <c r="A151" s="157"/>
      <c r="B151" s="95"/>
      <c r="C151" s="63"/>
      <c r="D151" s="199"/>
      <c r="E151" s="90"/>
      <c r="F151" s="61"/>
      <c r="G151" s="206"/>
      <c r="H151" s="74"/>
      <c r="I151" s="183"/>
      <c r="J151" s="175"/>
      <c r="K151" s="197"/>
      <c r="L151" s="194"/>
      <c r="M151" s="188">
        <v>0</v>
      </c>
      <c r="N151" s="188">
        <f>M151-(M151*0.03)</f>
        <v>0</v>
      </c>
      <c r="O151" s="189">
        <v>7.0000000000000007E-2</v>
      </c>
      <c r="P151" s="170">
        <f t="shared" ref="P151:P157" si="13">(N151*O151)+N151</f>
        <v>0</v>
      </c>
    </row>
    <row r="152" spans="1:16">
      <c r="A152" s="157"/>
      <c r="B152" s="268"/>
      <c r="C152" s="63"/>
      <c r="D152" s="199"/>
      <c r="E152" s="90"/>
      <c r="F152" s="61"/>
      <c r="G152" s="206"/>
      <c r="H152" s="74"/>
      <c r="I152" s="183"/>
      <c r="J152" s="175"/>
      <c r="K152" s="197"/>
      <c r="L152" s="194"/>
      <c r="M152" s="188">
        <v>18537.7</v>
      </c>
      <c r="N152" s="188">
        <f>M152-(M152*0.03)</f>
        <v>17981.569</v>
      </c>
      <c r="O152" s="189">
        <v>7.0000000000000007E-2</v>
      </c>
      <c r="P152" s="170">
        <f t="shared" si="13"/>
        <v>19240.278829999999</v>
      </c>
    </row>
    <row r="153" spans="1:16">
      <c r="A153" s="158"/>
      <c r="B153" s="95"/>
      <c r="C153" s="63"/>
      <c r="D153" s="199"/>
      <c r="E153" s="91"/>
      <c r="F153" s="61"/>
      <c r="G153" s="206"/>
      <c r="H153" s="74"/>
      <c r="I153" s="183"/>
      <c r="J153" s="175"/>
      <c r="K153" s="197"/>
      <c r="L153" s="194"/>
      <c r="M153" s="188">
        <v>9031.68</v>
      </c>
      <c r="N153" s="188">
        <f t="shared" ref="N153:N162" si="14">M153-(M153*0.03)</f>
        <v>8760.7296000000006</v>
      </c>
      <c r="O153" s="189">
        <v>7.0000000000000007E-2</v>
      </c>
      <c r="P153" s="170">
        <f t="shared" si="13"/>
        <v>9373.9806720000015</v>
      </c>
    </row>
    <row r="154" spans="1:16">
      <c r="A154" s="200"/>
      <c r="B154" s="95"/>
      <c r="C154" s="63"/>
      <c r="D154" s="199"/>
      <c r="E154" s="153"/>
      <c r="F154" s="61"/>
      <c r="G154" s="206"/>
      <c r="H154" s="88"/>
      <c r="I154" s="184"/>
      <c r="J154" s="201"/>
      <c r="K154" s="202"/>
      <c r="L154" s="194"/>
      <c r="N154" s="188">
        <f t="shared" si="14"/>
        <v>0</v>
      </c>
      <c r="O154" s="189">
        <v>7.0000000000000007E-2</v>
      </c>
      <c r="P154" s="170">
        <f t="shared" si="13"/>
        <v>0</v>
      </c>
    </row>
    <row r="155" spans="1:16">
      <c r="A155" s="157"/>
      <c r="B155" s="95"/>
      <c r="C155" s="63"/>
      <c r="D155" s="199"/>
      <c r="E155" s="198"/>
      <c r="F155" s="61"/>
      <c r="G155" s="206"/>
      <c r="H155" s="74"/>
      <c r="I155" s="183"/>
      <c r="J155" s="175"/>
      <c r="K155" s="197"/>
      <c r="L155" s="194"/>
      <c r="M155" s="188">
        <v>8478.9599999999991</v>
      </c>
      <c r="N155" s="188">
        <f t="shared" si="14"/>
        <v>8224.5911999999989</v>
      </c>
      <c r="O155" s="189">
        <v>7.0000000000000007E-2</v>
      </c>
      <c r="P155" s="170">
        <f t="shared" si="13"/>
        <v>8800.3125839999993</v>
      </c>
    </row>
    <row r="156" spans="1:16">
      <c r="A156" s="157"/>
      <c r="B156" s="95"/>
      <c r="C156" s="63"/>
      <c r="D156" s="199"/>
      <c r="E156" s="142"/>
      <c r="F156" s="61"/>
      <c r="G156" s="206"/>
      <c r="H156" s="74"/>
      <c r="I156" s="183"/>
      <c r="J156" s="175"/>
      <c r="K156" s="197"/>
      <c r="L156" s="194"/>
      <c r="M156" s="188">
        <v>11122.62</v>
      </c>
      <c r="N156" s="188">
        <f t="shared" si="14"/>
        <v>10788.941400000002</v>
      </c>
      <c r="O156" s="189">
        <v>7.0000000000000007E-2</v>
      </c>
      <c r="P156" s="170">
        <f t="shared" si="13"/>
        <v>11544.167298000002</v>
      </c>
    </row>
    <row r="157" spans="1:16">
      <c r="A157" s="157"/>
      <c r="B157" s="126"/>
      <c r="C157" s="63"/>
      <c r="D157" s="196"/>
      <c r="E157" s="120"/>
      <c r="F157" s="121"/>
      <c r="G157" s="206"/>
      <c r="H157" s="115"/>
      <c r="I157" s="185"/>
      <c r="J157" s="175"/>
      <c r="K157" s="197"/>
      <c r="L157" s="194"/>
      <c r="M157" s="188">
        <v>3813.12</v>
      </c>
      <c r="N157" s="188">
        <f t="shared" si="14"/>
        <v>3698.7264</v>
      </c>
      <c r="O157" s="189">
        <v>7.0000000000000007E-2</v>
      </c>
      <c r="P157" s="170">
        <f t="shared" si="13"/>
        <v>3957.637248</v>
      </c>
    </row>
    <row r="158" spans="1:16">
      <c r="A158" s="157"/>
      <c r="B158" s="126"/>
      <c r="C158" s="63"/>
      <c r="D158" s="196"/>
      <c r="E158" s="249"/>
      <c r="F158" s="121"/>
      <c r="G158" s="206"/>
      <c r="H158" s="115"/>
      <c r="I158" s="185"/>
      <c r="J158" s="175"/>
      <c r="K158" s="197"/>
      <c r="L158" s="194"/>
    </row>
    <row r="159" spans="1:16">
      <c r="A159" s="157"/>
      <c r="B159" s="126"/>
      <c r="C159" s="63"/>
      <c r="D159" s="196"/>
      <c r="E159" s="249"/>
      <c r="F159" s="121"/>
      <c r="G159" s="206"/>
      <c r="H159" s="115"/>
      <c r="I159" s="185"/>
      <c r="J159" s="175"/>
      <c r="K159" s="197"/>
      <c r="L159" s="194"/>
    </row>
    <row r="160" spans="1:16">
      <c r="A160" s="157"/>
      <c r="B160" s="126"/>
      <c r="C160" s="63"/>
      <c r="D160" s="196"/>
      <c r="E160" s="249"/>
      <c r="F160" s="121"/>
      <c r="G160" s="206"/>
      <c r="H160" s="115"/>
      <c r="I160" s="185"/>
      <c r="J160" s="175"/>
      <c r="K160" s="197"/>
      <c r="L160" s="194"/>
    </row>
    <row r="161" spans="1:16">
      <c r="A161" s="157"/>
      <c r="B161" s="126"/>
      <c r="C161" s="63"/>
      <c r="D161" s="196"/>
      <c r="E161" s="142"/>
      <c r="F161" s="61"/>
      <c r="G161" s="206"/>
      <c r="H161" s="74"/>
      <c r="I161" s="183"/>
      <c r="J161" s="175"/>
      <c r="K161" s="197"/>
      <c r="L161" s="194"/>
    </row>
    <row r="162" spans="1:16">
      <c r="A162" s="157"/>
      <c r="B162" s="131"/>
      <c r="C162" s="63"/>
      <c r="D162" s="196"/>
      <c r="E162" s="142"/>
      <c r="F162" s="61"/>
      <c r="G162" s="206"/>
      <c r="H162" s="74"/>
      <c r="I162" s="183"/>
      <c r="J162" s="175"/>
      <c r="K162" s="197"/>
      <c r="L162" s="194"/>
      <c r="M162" s="188">
        <v>8640</v>
      </c>
      <c r="N162" s="188">
        <f t="shared" si="14"/>
        <v>8380.7999999999993</v>
      </c>
      <c r="O162" s="189">
        <v>7.0000000000000007E-2</v>
      </c>
      <c r="P162" s="170">
        <f>(N162*O162)+N162</f>
        <v>8967.4559999999983</v>
      </c>
    </row>
    <row r="163" spans="1:16" ht="33.75" customHeight="1">
      <c r="A163" s="160"/>
      <c r="B163" s="126"/>
      <c r="C163" s="63"/>
      <c r="D163" s="196"/>
      <c r="E163" s="120"/>
      <c r="F163" s="121"/>
      <c r="G163" s="206"/>
      <c r="H163" s="115"/>
      <c r="I163" s="185"/>
      <c r="J163" s="174"/>
      <c r="K163" s="195"/>
      <c r="L163" s="194"/>
    </row>
    <row r="164" spans="1:16" ht="33.75" customHeight="1">
      <c r="A164" s="204"/>
      <c r="B164" s="126"/>
      <c r="C164" s="63"/>
      <c r="D164" s="196"/>
      <c r="E164" s="249"/>
      <c r="F164" s="121"/>
      <c r="G164" s="206"/>
      <c r="H164" s="115"/>
      <c r="I164" s="185"/>
      <c r="J164" s="174"/>
      <c r="K164" s="195"/>
      <c r="L164" s="194"/>
    </row>
    <row r="165" spans="1:16" ht="33.75" customHeight="1">
      <c r="A165" s="204"/>
      <c r="B165" s="126"/>
      <c r="C165" s="63"/>
      <c r="D165" s="196"/>
      <c r="E165" s="249"/>
      <c r="F165" s="121"/>
      <c r="G165" s="206"/>
      <c r="H165" s="115"/>
      <c r="I165" s="185"/>
      <c r="J165" s="174"/>
      <c r="K165" s="195"/>
      <c r="L165" s="194"/>
    </row>
    <row r="166" spans="1:16">
      <c r="A166" s="204"/>
      <c r="B166" s="126"/>
      <c r="C166" s="63"/>
      <c r="D166" s="196"/>
      <c r="E166" s="142"/>
      <c r="F166" s="61"/>
      <c r="G166" s="206"/>
      <c r="H166" s="74"/>
      <c r="I166" s="183"/>
      <c r="J166" s="175"/>
      <c r="K166" s="197"/>
      <c r="L166" s="194"/>
      <c r="M166" s="3444"/>
    </row>
    <row r="167" spans="1:16">
      <c r="B167" s="131"/>
      <c r="C167" s="63"/>
      <c r="D167" s="196"/>
      <c r="E167" s="142"/>
      <c r="F167" s="61"/>
      <c r="G167" s="206"/>
      <c r="H167" s="74"/>
      <c r="I167" s="183"/>
      <c r="J167" s="175"/>
      <c r="K167" s="197"/>
      <c r="L167" s="194"/>
    </row>
    <row r="168" spans="1:16">
      <c r="B168" s="135"/>
      <c r="C168" s="68"/>
      <c r="D168" s="3444"/>
      <c r="E168" s="279"/>
      <c r="F168" s="266"/>
      <c r="G168" s="269"/>
      <c r="H168" s="75"/>
      <c r="I168" s="278"/>
      <c r="J168" s="171"/>
      <c r="K168" s="166"/>
      <c r="L168" s="168"/>
    </row>
    <row r="169" spans="1:16">
      <c r="A169" s="44" t="s">
        <v>0</v>
      </c>
      <c r="B169" s="127"/>
      <c r="C169" s="104"/>
      <c r="F169" s="68"/>
      <c r="I169" s="179"/>
      <c r="K169" s="163"/>
      <c r="L169" s="168"/>
    </row>
    <row r="170" spans="1:16">
      <c r="A170" s="3480" t="s">
        <v>2494</v>
      </c>
      <c r="B170" s="3480"/>
      <c r="C170" s="44"/>
      <c r="D170" s="109"/>
      <c r="F170" s="68"/>
      <c r="I170" s="179"/>
      <c r="K170" s="163"/>
      <c r="L170" s="168"/>
    </row>
    <row r="171" spans="1:16" ht="35.25" thickBot="1">
      <c r="F171" s="68"/>
    </row>
    <row r="172" spans="1:16">
      <c r="A172" s="3493" t="s">
        <v>2</v>
      </c>
      <c r="B172" s="3482"/>
      <c r="C172" s="48" t="s">
        <v>3</v>
      </c>
      <c r="D172" s="128" t="s">
        <v>4</v>
      </c>
      <c r="E172" s="77" t="s">
        <v>5</v>
      </c>
      <c r="F172" s="78" t="s">
        <v>5</v>
      </c>
      <c r="G172" s="211" t="s">
        <v>6</v>
      </c>
      <c r="H172" s="140" t="s">
        <v>7</v>
      </c>
      <c r="I172" s="180" t="s">
        <v>1511</v>
      </c>
      <c r="J172" s="172" t="s">
        <v>9</v>
      </c>
      <c r="K172" s="186" t="s">
        <v>9</v>
      </c>
      <c r="L172" s="192" t="s">
        <v>2495</v>
      </c>
      <c r="M172" s="190"/>
    </row>
    <row r="173" spans="1:16" ht="35.25" thickBot="1">
      <c r="A173" s="155"/>
      <c r="B173" s="138"/>
      <c r="C173" s="50"/>
      <c r="D173" s="129" t="s">
        <v>10</v>
      </c>
      <c r="E173" s="79" t="s">
        <v>11</v>
      </c>
      <c r="F173" s="80" t="s">
        <v>12</v>
      </c>
      <c r="G173" s="212"/>
      <c r="H173" s="141" t="s">
        <v>13</v>
      </c>
      <c r="I173" s="181" t="s">
        <v>1512</v>
      </c>
      <c r="J173" s="173" t="s">
        <v>15</v>
      </c>
      <c r="K173" s="187" t="s">
        <v>14</v>
      </c>
      <c r="L173" s="193" t="s">
        <v>2496</v>
      </c>
      <c r="M173" s="190"/>
    </row>
    <row r="174" spans="1:16">
      <c r="A174" s="156"/>
      <c r="B174" s="276"/>
      <c r="C174" s="63"/>
      <c r="D174" s="199"/>
      <c r="E174" s="143"/>
      <c r="F174" s="69"/>
      <c r="G174" s="206"/>
      <c r="H174" s="74"/>
      <c r="I174" s="183"/>
      <c r="J174" s="175"/>
      <c r="K174" s="172"/>
      <c r="L174" s="194"/>
      <c r="M174" s="188">
        <v>3552</v>
      </c>
      <c r="N174" s="188">
        <f t="shared" ref="N174:N190" si="15">M174-(M174*0.03)</f>
        <v>3445.44</v>
      </c>
      <c r="O174" s="189">
        <v>7.0000000000000007E-2</v>
      </c>
      <c r="P174" s="170">
        <f t="shared" ref="P174:P190" si="16">(N174*O174)+N174</f>
        <v>3686.6208000000001</v>
      </c>
    </row>
    <row r="175" spans="1:16">
      <c r="A175" s="157"/>
      <c r="B175" s="95"/>
      <c r="C175" s="63"/>
      <c r="D175" s="199"/>
      <c r="E175" s="145"/>
      <c r="F175" s="61"/>
      <c r="G175" s="206"/>
      <c r="H175" s="74"/>
      <c r="I175" s="183"/>
      <c r="J175" s="175"/>
      <c r="K175" s="176"/>
      <c r="L175" s="194"/>
      <c r="N175" s="188">
        <f t="shared" si="15"/>
        <v>0</v>
      </c>
      <c r="O175" s="189">
        <v>7.0000000000000007E-2</v>
      </c>
      <c r="P175" s="170">
        <f t="shared" si="16"/>
        <v>0</v>
      </c>
    </row>
    <row r="176" spans="1:16">
      <c r="A176" s="157"/>
      <c r="B176" s="95"/>
      <c r="C176" s="63"/>
      <c r="D176" s="199"/>
      <c r="E176" s="145"/>
      <c r="F176" s="61"/>
      <c r="G176" s="206"/>
      <c r="H176" s="74"/>
      <c r="I176" s="183"/>
      <c r="J176" s="175"/>
      <c r="K176" s="245"/>
      <c r="L176" s="194"/>
      <c r="M176" s="188">
        <v>9498.06</v>
      </c>
      <c r="N176" s="188">
        <f t="shared" si="15"/>
        <v>9213.118199999999</v>
      </c>
      <c r="O176" s="189">
        <v>7.0000000000000007E-2</v>
      </c>
      <c r="P176" s="170">
        <f t="shared" si="16"/>
        <v>9858.0364739999986</v>
      </c>
    </row>
    <row r="177" spans="1:17">
      <c r="A177" s="157"/>
      <c r="B177" s="95"/>
      <c r="C177" s="63"/>
      <c r="D177" s="199"/>
      <c r="E177" s="145"/>
      <c r="F177" s="61"/>
      <c r="G177" s="206"/>
      <c r="H177" s="74"/>
      <c r="I177" s="183"/>
      <c r="J177" s="175"/>
      <c r="K177" s="197"/>
      <c r="L177" s="194"/>
      <c r="M177" s="188">
        <v>15305.4</v>
      </c>
      <c r="N177" s="188">
        <f t="shared" si="15"/>
        <v>14846.237999999999</v>
      </c>
      <c r="O177" s="189">
        <v>7.0000000000000007E-2</v>
      </c>
      <c r="P177" s="170">
        <f t="shared" si="16"/>
        <v>15885.47466</v>
      </c>
    </row>
    <row r="178" spans="1:17">
      <c r="A178" s="157"/>
      <c r="B178" s="95"/>
      <c r="C178" s="63"/>
      <c r="D178" s="199"/>
      <c r="E178" s="145"/>
      <c r="F178" s="61"/>
      <c r="G178" s="206"/>
      <c r="H178" s="74"/>
      <c r="I178" s="183"/>
      <c r="J178" s="175"/>
      <c r="K178" s="197"/>
      <c r="L178" s="194"/>
      <c r="N178" s="188">
        <f t="shared" si="15"/>
        <v>0</v>
      </c>
      <c r="O178" s="189">
        <v>7.0000000000000007E-2</v>
      </c>
      <c r="P178" s="170">
        <f t="shared" si="16"/>
        <v>0</v>
      </c>
    </row>
    <row r="179" spans="1:17">
      <c r="A179" s="157"/>
      <c r="B179" s="95"/>
      <c r="C179" s="63"/>
      <c r="D179" s="199"/>
      <c r="E179" s="145"/>
      <c r="F179" s="61"/>
      <c r="G179" s="206"/>
      <c r="H179" s="74"/>
      <c r="I179" s="183"/>
      <c r="J179" s="175"/>
      <c r="K179" s="197"/>
      <c r="L179" s="194"/>
      <c r="N179" s="188">
        <f t="shared" si="15"/>
        <v>0</v>
      </c>
      <c r="O179" s="189">
        <v>7.0000000000000007E-2</v>
      </c>
      <c r="P179" s="170">
        <f t="shared" si="16"/>
        <v>0</v>
      </c>
    </row>
    <row r="180" spans="1:17">
      <c r="A180" s="157"/>
      <c r="B180" s="95"/>
      <c r="C180" s="63"/>
      <c r="D180" s="199"/>
      <c r="E180" s="145"/>
      <c r="F180" s="61"/>
      <c r="G180" s="206"/>
      <c r="H180" s="74"/>
      <c r="I180" s="183"/>
      <c r="J180" s="175"/>
      <c r="K180" s="197"/>
      <c r="L180" s="194"/>
      <c r="N180" s="188">
        <f t="shared" si="15"/>
        <v>0</v>
      </c>
      <c r="O180" s="189">
        <v>7.0000000000000007E-2</v>
      </c>
      <c r="P180" s="170">
        <f t="shared" si="16"/>
        <v>0</v>
      </c>
    </row>
    <row r="181" spans="1:17">
      <c r="A181" s="157"/>
      <c r="B181" s="95"/>
      <c r="C181" s="222"/>
      <c r="D181" s="3464"/>
      <c r="E181" s="145"/>
      <c r="F181" s="61"/>
      <c r="G181" s="223"/>
      <c r="H181" s="224"/>
      <c r="I181" s="225"/>
      <c r="J181" s="209"/>
      <c r="K181" s="244"/>
      <c r="M181" s="188">
        <v>14244.12</v>
      </c>
      <c r="N181" s="188">
        <f t="shared" si="15"/>
        <v>13816.796400000001</v>
      </c>
      <c r="O181" s="189">
        <v>7.0000000000000007E-2</v>
      </c>
      <c r="P181" s="170">
        <f t="shared" si="16"/>
        <v>14783.972148000001</v>
      </c>
    </row>
    <row r="182" spans="1:17">
      <c r="A182" s="157"/>
      <c r="B182" s="95"/>
      <c r="C182" s="63"/>
      <c r="D182" s="199"/>
      <c r="E182" s="145"/>
      <c r="F182" s="61"/>
      <c r="G182" s="206"/>
      <c r="H182" s="74"/>
      <c r="I182" s="183"/>
      <c r="J182" s="175"/>
      <c r="K182" s="197"/>
      <c r="L182" s="194"/>
      <c r="M182" s="188">
        <v>3240</v>
      </c>
      <c r="N182" s="188">
        <f t="shared" si="15"/>
        <v>3142.8</v>
      </c>
      <c r="O182" s="189">
        <v>7.0000000000000007E-2</v>
      </c>
      <c r="P182" s="170">
        <f t="shared" si="16"/>
        <v>3362.7960000000003</v>
      </c>
    </row>
    <row r="183" spans="1:17">
      <c r="A183" s="157"/>
      <c r="B183" s="95"/>
      <c r="C183" s="63"/>
      <c r="D183" s="199"/>
      <c r="E183" s="145"/>
      <c r="F183" s="61"/>
      <c r="G183" s="206"/>
      <c r="H183" s="74"/>
      <c r="I183" s="183"/>
      <c r="J183" s="175"/>
      <c r="K183" s="197"/>
      <c r="L183" s="194"/>
      <c r="M183" s="188">
        <v>14700</v>
      </c>
      <c r="N183" s="188">
        <f t="shared" si="15"/>
        <v>14259</v>
      </c>
      <c r="O183" s="189">
        <v>7.0000000000000007E-2</v>
      </c>
      <c r="P183" s="170">
        <f t="shared" si="16"/>
        <v>15257.130000000001</v>
      </c>
    </row>
    <row r="184" spans="1:17">
      <c r="A184" s="157"/>
      <c r="B184" s="268"/>
      <c r="C184" s="222"/>
      <c r="D184" s="3464"/>
      <c r="E184" s="237"/>
      <c r="F184" s="238"/>
      <c r="G184" s="223"/>
      <c r="H184" s="224"/>
      <c r="I184" s="225"/>
      <c r="J184" s="209"/>
      <c r="K184" s="226"/>
      <c r="L184" s="229"/>
      <c r="M184" s="188">
        <v>14582.7</v>
      </c>
      <c r="N184" s="188">
        <f t="shared" si="15"/>
        <v>14145.219000000001</v>
      </c>
      <c r="O184" s="189">
        <v>7.0000000000000007E-2</v>
      </c>
      <c r="P184" s="170">
        <f t="shared" si="16"/>
        <v>15135.384330000001</v>
      </c>
    </row>
    <row r="185" spans="1:17">
      <c r="A185" s="157"/>
      <c r="B185" s="95"/>
      <c r="C185" s="63"/>
      <c r="D185" s="199"/>
      <c r="E185" s="145"/>
      <c r="F185" s="61"/>
      <c r="G185" s="206"/>
      <c r="H185" s="74"/>
      <c r="I185" s="183"/>
      <c r="J185" s="175"/>
      <c r="K185" s="197"/>
      <c r="L185" s="229"/>
      <c r="M185" s="188">
        <v>13483.8</v>
      </c>
      <c r="N185" s="188">
        <f t="shared" si="15"/>
        <v>13079.286</v>
      </c>
      <c r="O185" s="189">
        <v>7.0000000000000007E-2</v>
      </c>
      <c r="P185" s="170">
        <f t="shared" si="16"/>
        <v>13994.836020000001</v>
      </c>
    </row>
    <row r="186" spans="1:17">
      <c r="A186" s="157"/>
      <c r="B186" s="95"/>
      <c r="C186" s="222"/>
      <c r="D186" s="3464"/>
      <c r="E186" s="145"/>
      <c r="F186" s="61"/>
      <c r="G186" s="223"/>
      <c r="H186" s="224"/>
      <c r="I186" s="225"/>
      <c r="J186" s="209"/>
      <c r="K186" s="226"/>
      <c r="L186" s="229"/>
      <c r="M186" s="188">
        <v>2669.52</v>
      </c>
      <c r="N186" s="188">
        <f t="shared" si="15"/>
        <v>2589.4344000000001</v>
      </c>
      <c r="O186" s="189">
        <v>7.0000000000000007E-2</v>
      </c>
      <c r="P186" s="170">
        <f t="shared" si="16"/>
        <v>2770.6948080000002</v>
      </c>
    </row>
    <row r="187" spans="1:17">
      <c r="A187" s="157"/>
      <c r="B187" s="95"/>
      <c r="C187" s="222"/>
      <c r="D187" s="3464"/>
      <c r="E187" s="145"/>
      <c r="F187" s="61"/>
      <c r="G187" s="223"/>
      <c r="H187" s="224"/>
      <c r="I187" s="225"/>
      <c r="J187" s="209"/>
      <c r="K187" s="226"/>
      <c r="L187" s="229"/>
      <c r="N187" s="188">
        <f t="shared" si="15"/>
        <v>0</v>
      </c>
      <c r="O187" s="189">
        <v>7.0000000000000007E-2</v>
      </c>
      <c r="P187" s="170">
        <f t="shared" si="16"/>
        <v>0</v>
      </c>
    </row>
    <row r="188" spans="1:17">
      <c r="A188" s="221"/>
      <c r="B188" s="95"/>
      <c r="C188" s="222"/>
      <c r="D188" s="3464"/>
      <c r="E188" s="145"/>
      <c r="F188" s="61"/>
      <c r="G188" s="223"/>
      <c r="H188" s="224"/>
      <c r="I188" s="225"/>
      <c r="J188" s="209"/>
      <c r="K188" s="226"/>
      <c r="L188" s="229"/>
      <c r="M188" s="188">
        <v>12972.96</v>
      </c>
      <c r="N188" s="188">
        <f t="shared" si="15"/>
        <v>12583.771199999999</v>
      </c>
      <c r="O188" s="189">
        <v>7.0000000000000007E-2</v>
      </c>
      <c r="P188" s="170">
        <f t="shared" si="16"/>
        <v>13464.635183999999</v>
      </c>
      <c r="Q188" s="76">
        <f>598.5/12</f>
        <v>49.875</v>
      </c>
    </row>
    <row r="189" spans="1:17">
      <c r="A189" s="157"/>
      <c r="B189" s="95"/>
      <c r="C189" s="63"/>
      <c r="D189" s="199"/>
      <c r="E189" s="145"/>
      <c r="F189" s="61"/>
      <c r="G189" s="206"/>
      <c r="H189" s="74"/>
      <c r="I189" s="183"/>
      <c r="J189" s="209"/>
      <c r="K189" s="197"/>
      <c r="L189" s="229"/>
      <c r="M189" s="188">
        <v>12687.84</v>
      </c>
      <c r="N189" s="188">
        <f t="shared" si="15"/>
        <v>12307.2048</v>
      </c>
      <c r="O189" s="189">
        <v>7.0000000000000007E-2</v>
      </c>
      <c r="P189" s="170">
        <f t="shared" si="16"/>
        <v>13168.709135999999</v>
      </c>
      <c r="Q189" s="76">
        <f>450/12</f>
        <v>37.5</v>
      </c>
    </row>
    <row r="190" spans="1:17">
      <c r="A190" s="157"/>
      <c r="B190" s="95"/>
      <c r="C190" s="63"/>
      <c r="D190" s="199"/>
      <c r="E190" s="145"/>
      <c r="F190" s="61"/>
      <c r="G190" s="206"/>
      <c r="H190" s="74"/>
      <c r="I190" s="183"/>
      <c r="J190" s="175"/>
      <c r="K190" s="197"/>
      <c r="L190" s="194"/>
      <c r="M190" s="188">
        <v>16572.599999999999</v>
      </c>
      <c r="N190" s="188">
        <f t="shared" si="15"/>
        <v>16075.421999999999</v>
      </c>
      <c r="O190" s="189">
        <v>7.0000000000000007E-2</v>
      </c>
      <c r="P190" s="170">
        <f t="shared" si="16"/>
        <v>17200.701539999998</v>
      </c>
    </row>
    <row r="191" spans="1:17">
      <c r="A191" s="157"/>
      <c r="B191" s="95"/>
      <c r="C191" s="63"/>
      <c r="D191" s="199"/>
      <c r="E191" s="90"/>
      <c r="F191" s="61"/>
      <c r="G191" s="206"/>
      <c r="H191" s="74"/>
      <c r="I191" s="203"/>
      <c r="J191" s="175"/>
      <c r="K191" s="197"/>
      <c r="L191" s="194"/>
      <c r="M191" s="188">
        <v>6021.12</v>
      </c>
      <c r="N191" s="188">
        <f>M191-(M191*0.03)</f>
        <v>5840.4863999999998</v>
      </c>
      <c r="O191" s="189">
        <v>7.0000000000000007E-2</v>
      </c>
      <c r="P191" s="170">
        <f>(N191*O191)+N191</f>
        <v>6249.3204479999995</v>
      </c>
    </row>
    <row r="192" spans="1:17">
      <c r="A192" s="157"/>
      <c r="B192" s="95"/>
      <c r="C192" s="63"/>
      <c r="D192" s="199"/>
      <c r="E192" s="90"/>
      <c r="F192" s="61"/>
      <c r="G192" s="206"/>
      <c r="H192" s="74"/>
      <c r="I192" s="183"/>
      <c r="J192" s="175"/>
      <c r="K192" s="197"/>
      <c r="L192" s="194"/>
      <c r="M192" s="188">
        <v>8714.16</v>
      </c>
      <c r="N192" s="188">
        <f>M192-(M192*0.03)</f>
        <v>8452.7351999999992</v>
      </c>
      <c r="O192" s="189">
        <v>7.0000000000000007E-2</v>
      </c>
      <c r="P192" s="170">
        <f>(N192*O192)+N192</f>
        <v>9044.4266639999987</v>
      </c>
    </row>
    <row r="193" spans="1:16">
      <c r="A193" s="157"/>
      <c r="B193" s="95"/>
      <c r="C193" s="63"/>
      <c r="D193" s="199"/>
      <c r="E193" s="90"/>
      <c r="F193" s="61"/>
      <c r="G193" s="206"/>
      <c r="H193" s="74"/>
      <c r="I193" s="183"/>
      <c r="J193" s="175"/>
      <c r="K193" s="197"/>
      <c r="L193" s="194"/>
      <c r="M193" s="188">
        <v>0</v>
      </c>
      <c r="N193" s="188">
        <f>M193-(M193*0.03)</f>
        <v>0</v>
      </c>
      <c r="O193" s="189">
        <v>7.0000000000000007E-2</v>
      </c>
      <c r="P193" s="170">
        <f t="shared" ref="P193:P199" si="17">(N193*O193)+N193</f>
        <v>0</v>
      </c>
    </row>
    <row r="194" spans="1:16">
      <c r="A194" s="157"/>
      <c r="B194" s="95"/>
      <c r="C194" s="63"/>
      <c r="D194" s="199"/>
      <c r="E194" s="90"/>
      <c r="F194" s="61"/>
      <c r="G194" s="206"/>
      <c r="H194" s="74"/>
      <c r="I194" s="183"/>
      <c r="J194" s="175"/>
      <c r="K194" s="197"/>
      <c r="L194" s="194"/>
      <c r="M194" s="188">
        <v>18537.7</v>
      </c>
      <c r="N194" s="188">
        <f>M194-(M194*0.03)</f>
        <v>17981.569</v>
      </c>
      <c r="O194" s="189">
        <v>7.0000000000000007E-2</v>
      </c>
      <c r="P194" s="170">
        <f t="shared" si="17"/>
        <v>19240.278829999999</v>
      </c>
    </row>
    <row r="195" spans="1:16">
      <c r="A195" s="158"/>
      <c r="B195" s="95"/>
      <c r="C195" s="63"/>
      <c r="D195" s="199"/>
      <c r="E195" s="91"/>
      <c r="F195" s="61"/>
      <c r="G195" s="206"/>
      <c r="H195" s="74"/>
      <c r="I195" s="183"/>
      <c r="J195" s="175"/>
      <c r="K195" s="197"/>
      <c r="L195" s="194"/>
      <c r="M195" s="188">
        <v>9031.68</v>
      </c>
      <c r="N195" s="188">
        <f t="shared" ref="N195:N207" si="18">M195-(M195*0.03)</f>
        <v>8760.7296000000006</v>
      </c>
      <c r="O195" s="189">
        <v>7.0000000000000007E-2</v>
      </c>
      <c r="P195" s="170">
        <f t="shared" si="17"/>
        <v>9373.9806720000015</v>
      </c>
    </row>
    <row r="196" spans="1:16">
      <c r="A196" s="200"/>
      <c r="B196" s="95"/>
      <c r="C196" s="63"/>
      <c r="D196" s="199"/>
      <c r="E196" s="153"/>
      <c r="F196" s="61"/>
      <c r="G196" s="206"/>
      <c r="H196" s="88"/>
      <c r="I196" s="184"/>
      <c r="J196" s="201"/>
      <c r="K196" s="202"/>
      <c r="L196" s="194"/>
      <c r="N196" s="188">
        <f t="shared" si="18"/>
        <v>0</v>
      </c>
      <c r="O196" s="189">
        <v>7.0000000000000007E-2</v>
      </c>
      <c r="P196" s="170">
        <f t="shared" si="17"/>
        <v>0</v>
      </c>
    </row>
    <row r="197" spans="1:16">
      <c r="A197" s="157"/>
      <c r="B197" s="95"/>
      <c r="C197" s="63"/>
      <c r="D197" s="199"/>
      <c r="E197" s="198"/>
      <c r="F197" s="61"/>
      <c r="G197" s="206"/>
      <c r="H197" s="74"/>
      <c r="I197" s="183"/>
      <c r="J197" s="175"/>
      <c r="K197" s="197"/>
      <c r="L197" s="194"/>
      <c r="M197" s="188">
        <v>8478.9599999999991</v>
      </c>
      <c r="N197" s="188">
        <f t="shared" si="18"/>
        <v>8224.5911999999989</v>
      </c>
      <c r="O197" s="189">
        <v>7.0000000000000007E-2</v>
      </c>
      <c r="P197" s="170">
        <f t="shared" si="17"/>
        <v>8800.3125839999993</v>
      </c>
    </row>
    <row r="198" spans="1:16">
      <c r="A198" s="157"/>
      <c r="B198" s="95"/>
      <c r="C198" s="63"/>
      <c r="D198" s="199"/>
      <c r="E198" s="142"/>
      <c r="F198" s="61"/>
      <c r="G198" s="206"/>
      <c r="H198" s="74"/>
      <c r="I198" s="183"/>
      <c r="J198" s="175"/>
      <c r="K198" s="197"/>
      <c r="L198" s="194"/>
      <c r="M198" s="188">
        <v>11122.62</v>
      </c>
      <c r="N198" s="188">
        <f t="shared" si="18"/>
        <v>10788.941400000002</v>
      </c>
      <c r="O198" s="189">
        <v>7.0000000000000007E-2</v>
      </c>
      <c r="P198" s="170">
        <f t="shared" si="17"/>
        <v>11544.167298000002</v>
      </c>
    </row>
    <row r="199" spans="1:16">
      <c r="A199" s="157"/>
      <c r="B199" s="268"/>
      <c r="C199" s="63"/>
      <c r="D199" s="196"/>
      <c r="E199" s="120"/>
      <c r="F199" s="121"/>
      <c r="G199" s="206"/>
      <c r="H199" s="115"/>
      <c r="I199" s="185"/>
      <c r="J199" s="175"/>
      <c r="K199" s="197"/>
      <c r="L199" s="194"/>
      <c r="M199" s="188">
        <v>3813.12</v>
      </c>
      <c r="N199" s="188">
        <f t="shared" si="18"/>
        <v>3698.7264</v>
      </c>
      <c r="O199" s="189">
        <v>7.0000000000000007E-2</v>
      </c>
      <c r="P199" s="170">
        <f t="shared" si="17"/>
        <v>3957.637248</v>
      </c>
    </row>
    <row r="200" spans="1:16">
      <c r="A200" s="157"/>
      <c r="B200" s="95"/>
      <c r="C200" s="63"/>
      <c r="D200" s="196"/>
      <c r="E200" s="249"/>
      <c r="F200" s="121"/>
      <c r="G200" s="206"/>
      <c r="H200" s="115"/>
      <c r="I200" s="185"/>
      <c r="J200" s="175"/>
      <c r="K200" s="197"/>
      <c r="L200" s="194"/>
    </row>
    <row r="201" spans="1:16">
      <c r="A201" s="157"/>
      <c r="B201" s="95"/>
      <c r="C201" s="63"/>
      <c r="D201" s="196"/>
      <c r="E201" s="249"/>
      <c r="F201" s="121"/>
      <c r="G201" s="206"/>
      <c r="H201" s="115"/>
      <c r="I201" s="185"/>
      <c r="J201" s="175"/>
      <c r="K201" s="197"/>
      <c r="L201" s="194"/>
    </row>
    <row r="202" spans="1:16">
      <c r="A202" s="157"/>
      <c r="B202" s="95"/>
      <c r="C202" s="63"/>
      <c r="D202" s="196"/>
      <c r="E202" s="249"/>
      <c r="F202" s="121"/>
      <c r="G202" s="206"/>
      <c r="H202" s="115"/>
      <c r="I202" s="185"/>
      <c r="J202" s="175"/>
      <c r="K202" s="197"/>
      <c r="L202" s="194"/>
    </row>
    <row r="203" spans="1:16">
      <c r="A203" s="157"/>
      <c r="B203" s="95"/>
      <c r="C203" s="63"/>
      <c r="D203" s="196"/>
      <c r="E203" s="249"/>
      <c r="F203" s="121"/>
      <c r="G203" s="206"/>
      <c r="H203" s="115"/>
      <c r="I203" s="185"/>
      <c r="J203" s="175"/>
      <c r="K203" s="197"/>
      <c r="L203" s="194"/>
    </row>
    <row r="204" spans="1:16">
      <c r="A204" s="157"/>
      <c r="B204" s="95"/>
      <c r="C204" s="63"/>
      <c r="D204" s="196"/>
      <c r="E204" s="249"/>
      <c r="F204" s="121"/>
      <c r="G204" s="206"/>
      <c r="H204" s="115"/>
      <c r="I204" s="185"/>
      <c r="J204" s="175"/>
      <c r="K204" s="197"/>
      <c r="L204" s="194"/>
    </row>
    <row r="205" spans="1:16">
      <c r="A205" s="157"/>
      <c r="B205" s="95"/>
      <c r="C205" s="63"/>
      <c r="D205" s="196"/>
      <c r="E205" s="142"/>
      <c r="F205" s="61"/>
      <c r="G205" s="206"/>
      <c r="H205" s="74"/>
      <c r="I205" s="183"/>
      <c r="J205" s="175"/>
      <c r="K205" s="197"/>
      <c r="L205" s="194"/>
    </row>
    <row r="206" spans="1:16">
      <c r="A206" s="157"/>
      <c r="B206" s="95"/>
      <c r="C206" s="63"/>
      <c r="D206" s="196"/>
      <c r="E206" s="142"/>
      <c r="F206" s="61"/>
      <c r="G206" s="206"/>
      <c r="H206" s="74"/>
      <c r="I206" s="183"/>
      <c r="J206" s="175"/>
      <c r="K206" s="197"/>
      <c r="L206" s="194"/>
    </row>
    <row r="207" spans="1:16">
      <c r="A207" s="157"/>
      <c r="B207" s="95"/>
      <c r="C207" s="63"/>
      <c r="D207" s="196"/>
      <c r="E207" s="142"/>
      <c r="F207" s="61"/>
      <c r="G207" s="206"/>
      <c r="H207" s="74"/>
      <c r="I207" s="183"/>
      <c r="J207" s="175"/>
      <c r="K207" s="197"/>
      <c r="L207" s="194"/>
      <c r="M207" s="188">
        <v>8640</v>
      </c>
      <c r="N207" s="188">
        <f t="shared" si="18"/>
        <v>8380.7999999999993</v>
      </c>
      <c r="O207" s="189">
        <v>7.0000000000000007E-2</v>
      </c>
      <c r="P207" s="170">
        <f>(N207*O207)+N207</f>
        <v>8967.4559999999983</v>
      </c>
    </row>
    <row r="208" spans="1:16">
      <c r="A208" s="157"/>
      <c r="B208" s="95"/>
      <c r="C208" s="63"/>
      <c r="D208" s="196"/>
      <c r="E208" s="142"/>
      <c r="F208" s="61"/>
      <c r="G208" s="206"/>
      <c r="H208" s="74"/>
      <c r="I208" s="183"/>
      <c r="J208" s="175"/>
      <c r="K208" s="197"/>
      <c r="L208" s="194"/>
    </row>
    <row r="209" spans="1:16" ht="34.5" customHeight="1">
      <c r="A209" s="160"/>
      <c r="B209" s="95"/>
      <c r="C209" s="63"/>
      <c r="D209" s="196"/>
      <c r="E209" s="120"/>
      <c r="F209" s="121"/>
      <c r="G209" s="206"/>
      <c r="H209" s="115"/>
      <c r="I209" s="185"/>
      <c r="J209" s="174"/>
      <c r="K209" s="195"/>
      <c r="L209" s="194"/>
    </row>
    <row r="210" spans="1:16">
      <c r="A210" s="204"/>
      <c r="B210" s="3444"/>
      <c r="C210" s="3444"/>
      <c r="D210" s="3444"/>
      <c r="E210" s="3444"/>
      <c r="F210" s="3444"/>
      <c r="G210" s="213"/>
      <c r="H210" s="109"/>
      <c r="I210" s="3444"/>
      <c r="J210" s="234"/>
      <c r="K210" s="3444"/>
      <c r="L210" s="235"/>
      <c r="M210" s="3444"/>
    </row>
    <row r="211" spans="1:16">
      <c r="A211" s="44" t="s">
        <v>0</v>
      </c>
      <c r="B211" s="127"/>
      <c r="C211" s="104"/>
      <c r="F211" s="68"/>
      <c r="I211" s="179"/>
      <c r="K211" s="163"/>
      <c r="L211" s="168"/>
    </row>
    <row r="212" spans="1:16">
      <c r="A212" s="3480" t="s">
        <v>2512</v>
      </c>
      <c r="B212" s="3480"/>
      <c r="C212" s="44"/>
      <c r="D212" s="109"/>
      <c r="F212" s="68"/>
      <c r="I212" s="179"/>
      <c r="K212" s="163"/>
      <c r="L212" s="168"/>
    </row>
    <row r="213" spans="1:16" ht="35.25" thickBot="1">
      <c r="F213" s="68"/>
    </row>
    <row r="214" spans="1:16">
      <c r="A214" s="3493" t="s">
        <v>2</v>
      </c>
      <c r="B214" s="3482"/>
      <c r="C214" s="48" t="s">
        <v>3</v>
      </c>
      <c r="D214" s="128" t="s">
        <v>4</v>
      </c>
      <c r="E214" s="77" t="s">
        <v>5</v>
      </c>
      <c r="F214" s="78" t="s">
        <v>5</v>
      </c>
      <c r="G214" s="211" t="s">
        <v>6</v>
      </c>
      <c r="H214" s="140" t="s">
        <v>7</v>
      </c>
      <c r="I214" s="180" t="s">
        <v>1511</v>
      </c>
      <c r="J214" s="172" t="s">
        <v>9</v>
      </c>
      <c r="K214" s="186" t="s">
        <v>9</v>
      </c>
      <c r="L214" s="192" t="s">
        <v>2495</v>
      </c>
      <c r="M214" s="190"/>
    </row>
    <row r="215" spans="1:16" ht="35.25" thickBot="1">
      <c r="A215" s="155"/>
      <c r="B215" s="138"/>
      <c r="C215" s="50"/>
      <c r="D215" s="129" t="s">
        <v>10</v>
      </c>
      <c r="E215" s="79" t="s">
        <v>11</v>
      </c>
      <c r="F215" s="80" t="s">
        <v>12</v>
      </c>
      <c r="G215" s="212"/>
      <c r="H215" s="141" t="s">
        <v>13</v>
      </c>
      <c r="I215" s="181" t="s">
        <v>1512</v>
      </c>
      <c r="J215" s="173" t="s">
        <v>15</v>
      </c>
      <c r="K215" s="187" t="s">
        <v>14</v>
      </c>
      <c r="L215" s="193" t="s">
        <v>2496</v>
      </c>
      <c r="M215" s="190"/>
    </row>
    <row r="216" spans="1:16">
      <c r="A216" s="156"/>
      <c r="B216" s="276"/>
      <c r="C216" s="63"/>
      <c r="D216" s="199"/>
      <c r="E216" s="143"/>
      <c r="F216" s="69"/>
      <c r="G216" s="206"/>
      <c r="H216" s="74"/>
      <c r="I216" s="183"/>
      <c r="J216" s="175"/>
      <c r="K216" s="172"/>
      <c r="L216" s="194"/>
      <c r="M216" s="188">
        <v>3552</v>
      </c>
      <c r="N216" s="188">
        <f t="shared" ref="N216:N232" si="19">M216-(M216*0.03)</f>
        <v>3445.44</v>
      </c>
      <c r="O216" s="189">
        <v>7.0000000000000007E-2</v>
      </c>
      <c r="P216" s="170">
        <f t="shared" ref="P216:P232" si="20">(N216*O216)+N216</f>
        <v>3686.6208000000001</v>
      </c>
    </row>
    <row r="217" spans="1:16">
      <c r="A217" s="157"/>
      <c r="B217" s="95"/>
      <c r="C217" s="63"/>
      <c r="D217" s="199"/>
      <c r="E217" s="145"/>
      <c r="F217" s="61"/>
      <c r="G217" s="206"/>
      <c r="H217" s="74"/>
      <c r="I217" s="183"/>
      <c r="J217" s="175"/>
      <c r="K217" s="176"/>
      <c r="L217" s="194"/>
      <c r="N217" s="188">
        <f t="shared" si="19"/>
        <v>0</v>
      </c>
      <c r="O217" s="189">
        <v>7.0000000000000007E-2</v>
      </c>
      <c r="P217" s="170">
        <f t="shared" si="20"/>
        <v>0</v>
      </c>
    </row>
    <row r="218" spans="1:16">
      <c r="A218" s="157"/>
      <c r="B218" s="95"/>
      <c r="C218" s="63"/>
      <c r="D218" s="199"/>
      <c r="E218" s="145"/>
      <c r="F218" s="61"/>
      <c r="G218" s="206"/>
      <c r="H218" s="74"/>
      <c r="I218" s="183"/>
      <c r="J218" s="175"/>
      <c r="K218" s="245"/>
      <c r="L218" s="194"/>
      <c r="M218" s="188">
        <v>9498.06</v>
      </c>
      <c r="N218" s="188">
        <f t="shared" si="19"/>
        <v>9213.118199999999</v>
      </c>
      <c r="O218" s="189">
        <v>7.0000000000000007E-2</v>
      </c>
      <c r="P218" s="170">
        <f t="shared" si="20"/>
        <v>9858.0364739999986</v>
      </c>
    </row>
    <row r="219" spans="1:16">
      <c r="A219" s="157"/>
      <c r="B219" s="95"/>
      <c r="C219" s="63"/>
      <c r="D219" s="199"/>
      <c r="E219" s="145"/>
      <c r="F219" s="61"/>
      <c r="G219" s="206"/>
      <c r="H219" s="74"/>
      <c r="I219" s="183"/>
      <c r="J219" s="175"/>
      <c r="K219" s="197"/>
      <c r="L219" s="194"/>
      <c r="M219" s="188">
        <v>15305.4</v>
      </c>
      <c r="N219" s="188">
        <f t="shared" si="19"/>
        <v>14846.237999999999</v>
      </c>
      <c r="O219" s="189">
        <v>7.0000000000000007E-2</v>
      </c>
      <c r="P219" s="170">
        <f t="shared" si="20"/>
        <v>15885.47466</v>
      </c>
    </row>
    <row r="220" spans="1:16">
      <c r="A220" s="157"/>
      <c r="B220" s="95"/>
      <c r="C220" s="63"/>
      <c r="D220" s="199"/>
      <c r="E220" s="145"/>
      <c r="F220" s="61"/>
      <c r="G220" s="206"/>
      <c r="H220" s="74"/>
      <c r="I220" s="183"/>
      <c r="J220" s="175"/>
      <c r="K220" s="197"/>
      <c r="L220" s="194"/>
      <c r="N220" s="188">
        <f t="shared" si="19"/>
        <v>0</v>
      </c>
      <c r="O220" s="189">
        <v>7.0000000000000007E-2</v>
      </c>
      <c r="P220" s="170">
        <f t="shared" si="20"/>
        <v>0</v>
      </c>
    </row>
    <row r="221" spans="1:16">
      <c r="A221" s="157"/>
      <c r="B221" s="95"/>
      <c r="C221" s="63"/>
      <c r="D221" s="199"/>
      <c r="E221" s="145"/>
      <c r="F221" s="61"/>
      <c r="G221" s="206"/>
      <c r="H221" s="74"/>
      <c r="I221" s="183"/>
      <c r="J221" s="175"/>
      <c r="K221" s="197"/>
      <c r="L221" s="194"/>
      <c r="N221" s="188">
        <f t="shared" si="19"/>
        <v>0</v>
      </c>
      <c r="O221" s="189">
        <v>7.0000000000000007E-2</v>
      </c>
      <c r="P221" s="170">
        <f t="shared" si="20"/>
        <v>0</v>
      </c>
    </row>
    <row r="222" spans="1:16">
      <c r="A222" s="157"/>
      <c r="B222" s="95"/>
      <c r="C222" s="63"/>
      <c r="D222" s="199"/>
      <c r="E222" s="145"/>
      <c r="F222" s="61"/>
      <c r="G222" s="206"/>
      <c r="H222" s="74"/>
      <c r="I222" s="183"/>
      <c r="J222" s="175"/>
      <c r="K222" s="197"/>
      <c r="L222" s="194"/>
      <c r="N222" s="188">
        <f t="shared" si="19"/>
        <v>0</v>
      </c>
      <c r="O222" s="189">
        <v>7.0000000000000007E-2</v>
      </c>
      <c r="P222" s="170">
        <f t="shared" si="20"/>
        <v>0</v>
      </c>
    </row>
    <row r="223" spans="1:16">
      <c r="A223" s="157"/>
      <c r="B223" s="95"/>
      <c r="C223" s="222"/>
      <c r="D223" s="3464"/>
      <c r="E223" s="145"/>
      <c r="F223" s="61"/>
      <c r="G223" s="223"/>
      <c r="H223" s="224"/>
      <c r="I223" s="225"/>
      <c r="J223" s="209"/>
      <c r="K223" s="244"/>
      <c r="M223" s="188">
        <v>14244.12</v>
      </c>
      <c r="N223" s="188">
        <f t="shared" si="19"/>
        <v>13816.796400000001</v>
      </c>
      <c r="O223" s="189">
        <v>7.0000000000000007E-2</v>
      </c>
      <c r="P223" s="170">
        <f t="shared" si="20"/>
        <v>14783.972148000001</v>
      </c>
    </row>
    <row r="224" spans="1:16">
      <c r="A224" s="157"/>
      <c r="B224" s="95"/>
      <c r="C224" s="63"/>
      <c r="D224" s="199"/>
      <c r="E224" s="145"/>
      <c r="F224" s="61"/>
      <c r="G224" s="206"/>
      <c r="H224" s="74"/>
      <c r="I224" s="183"/>
      <c r="J224" s="175"/>
      <c r="K224" s="197"/>
      <c r="L224" s="194"/>
      <c r="M224" s="188">
        <v>3240</v>
      </c>
      <c r="N224" s="188">
        <f t="shared" si="19"/>
        <v>3142.8</v>
      </c>
      <c r="O224" s="189">
        <v>7.0000000000000007E-2</v>
      </c>
      <c r="P224" s="170">
        <f t="shared" si="20"/>
        <v>3362.7960000000003</v>
      </c>
    </row>
    <row r="225" spans="1:16">
      <c r="A225" s="157"/>
      <c r="B225" s="95"/>
      <c r="C225" s="63"/>
      <c r="D225" s="199"/>
      <c r="E225" s="145"/>
      <c r="F225" s="61"/>
      <c r="G225" s="206"/>
      <c r="H225" s="74"/>
      <c r="I225" s="183"/>
      <c r="J225" s="175"/>
      <c r="K225" s="197"/>
      <c r="L225" s="194"/>
      <c r="M225" s="188">
        <v>14700</v>
      </c>
      <c r="N225" s="188">
        <f t="shared" si="19"/>
        <v>14259</v>
      </c>
      <c r="O225" s="189">
        <v>7.0000000000000007E-2</v>
      </c>
      <c r="P225" s="170">
        <f t="shared" si="20"/>
        <v>15257.130000000001</v>
      </c>
    </row>
    <row r="226" spans="1:16">
      <c r="A226" s="157"/>
      <c r="B226" s="95"/>
      <c r="C226" s="222"/>
      <c r="D226" s="3464"/>
      <c r="E226" s="237"/>
      <c r="F226" s="238"/>
      <c r="G226" s="223"/>
      <c r="H226" s="224"/>
      <c r="I226" s="225"/>
      <c r="J226" s="209"/>
      <c r="K226" s="226"/>
      <c r="L226" s="229"/>
      <c r="M226" s="188">
        <v>14582.7</v>
      </c>
      <c r="N226" s="188">
        <f t="shared" si="19"/>
        <v>14145.219000000001</v>
      </c>
      <c r="O226" s="189">
        <v>7.0000000000000007E-2</v>
      </c>
      <c r="P226" s="170">
        <f t="shared" si="20"/>
        <v>15135.384330000001</v>
      </c>
    </row>
    <row r="227" spans="1:16">
      <c r="A227" s="157"/>
      <c r="B227" s="162"/>
      <c r="C227" s="63"/>
      <c r="D227" s="199"/>
      <c r="E227" s="145"/>
      <c r="F227" s="61"/>
      <c r="G227" s="206"/>
      <c r="H227" s="74"/>
      <c r="I227" s="183"/>
      <c r="J227" s="175"/>
      <c r="K227" s="197"/>
      <c r="L227" s="229"/>
      <c r="M227" s="188">
        <v>13483.8</v>
      </c>
      <c r="N227" s="188">
        <f t="shared" si="19"/>
        <v>13079.286</v>
      </c>
      <c r="O227" s="189">
        <v>7.0000000000000007E-2</v>
      </c>
      <c r="P227" s="170">
        <f t="shared" si="20"/>
        <v>13994.836020000001</v>
      </c>
    </row>
    <row r="228" spans="1:16">
      <c r="A228" s="157"/>
      <c r="B228" s="154"/>
      <c r="C228" s="222"/>
      <c r="D228" s="3464"/>
      <c r="E228" s="145"/>
      <c r="F228" s="61"/>
      <c r="G228" s="223"/>
      <c r="H228" s="224"/>
      <c r="I228" s="225"/>
      <c r="J228" s="209"/>
      <c r="K228" s="226"/>
      <c r="L228" s="229"/>
      <c r="M228" s="188">
        <v>2669.52</v>
      </c>
      <c r="N228" s="188">
        <f t="shared" si="19"/>
        <v>2589.4344000000001</v>
      </c>
      <c r="O228" s="189">
        <v>7.0000000000000007E-2</v>
      </c>
      <c r="P228" s="170">
        <f t="shared" si="20"/>
        <v>2770.6948080000002</v>
      </c>
    </row>
    <row r="229" spans="1:16" ht="35.25" customHeight="1">
      <c r="A229" s="157"/>
      <c r="B229" s="154"/>
      <c r="C229" s="222"/>
      <c r="D229" s="3464"/>
      <c r="E229" s="145"/>
      <c r="F229" s="61"/>
      <c r="G229" s="223"/>
      <c r="H229" s="224"/>
      <c r="I229" s="225"/>
      <c r="J229" s="209"/>
      <c r="K229" s="226"/>
      <c r="L229" s="229"/>
      <c r="N229" s="188">
        <f t="shared" si="19"/>
        <v>0</v>
      </c>
      <c r="O229" s="189">
        <v>7.0000000000000007E-2</v>
      </c>
      <c r="P229" s="170">
        <f t="shared" si="20"/>
        <v>0</v>
      </c>
    </row>
    <row r="230" spans="1:16">
      <c r="A230" s="221"/>
      <c r="B230" s="240"/>
      <c r="C230" s="222"/>
      <c r="D230" s="3464"/>
      <c r="E230" s="145"/>
      <c r="F230" s="61"/>
      <c r="G230" s="223"/>
      <c r="H230" s="224"/>
      <c r="I230" s="225"/>
      <c r="J230" s="209"/>
      <c r="K230" s="226"/>
      <c r="L230" s="229"/>
      <c r="M230" s="188">
        <v>12972.96</v>
      </c>
      <c r="N230" s="188">
        <f t="shared" si="19"/>
        <v>12583.771199999999</v>
      </c>
      <c r="O230" s="189">
        <v>7.0000000000000007E-2</v>
      </c>
      <c r="P230" s="170">
        <f t="shared" si="20"/>
        <v>13464.635183999999</v>
      </c>
    </row>
    <row r="231" spans="1:16">
      <c r="A231" s="157"/>
      <c r="B231" s="154"/>
      <c r="C231" s="63"/>
      <c r="D231" s="199"/>
      <c r="E231" s="145"/>
      <c r="F231" s="61"/>
      <c r="G231" s="206"/>
      <c r="H231" s="74"/>
      <c r="I231" s="183"/>
      <c r="J231" s="209"/>
      <c r="K231" s="197"/>
      <c r="L231" s="229"/>
      <c r="M231" s="188">
        <v>12687.84</v>
      </c>
      <c r="N231" s="188">
        <f t="shared" si="19"/>
        <v>12307.2048</v>
      </c>
      <c r="O231" s="189">
        <v>7.0000000000000007E-2</v>
      </c>
      <c r="P231" s="170">
        <f t="shared" si="20"/>
        <v>13168.709135999999</v>
      </c>
    </row>
    <row r="232" spans="1:16">
      <c r="A232" s="157"/>
      <c r="B232" s="154"/>
      <c r="C232" s="63"/>
      <c r="D232" s="199"/>
      <c r="E232" s="145"/>
      <c r="F232" s="61"/>
      <c r="G232" s="206"/>
      <c r="H232" s="74"/>
      <c r="I232" s="183"/>
      <c r="J232" s="175"/>
      <c r="K232" s="197"/>
      <c r="L232" s="194"/>
      <c r="M232" s="188">
        <v>16572.599999999999</v>
      </c>
      <c r="N232" s="188">
        <f t="shared" si="19"/>
        <v>16075.421999999999</v>
      </c>
      <c r="O232" s="189">
        <v>7.0000000000000007E-2</v>
      </c>
      <c r="P232" s="170">
        <f t="shared" si="20"/>
        <v>17200.701539999998</v>
      </c>
    </row>
    <row r="233" spans="1:16">
      <c r="A233" s="157"/>
      <c r="B233" s="154"/>
      <c r="C233" s="63"/>
      <c r="D233" s="199"/>
      <c r="E233" s="90"/>
      <c r="F233" s="61"/>
      <c r="G233" s="206"/>
      <c r="H233" s="74"/>
      <c r="I233" s="203"/>
      <c r="J233" s="175"/>
      <c r="K233" s="197"/>
      <c r="L233" s="194"/>
      <c r="M233" s="188">
        <v>6021.12</v>
      </c>
      <c r="N233" s="188">
        <f>M233-(M233*0.03)</f>
        <v>5840.4863999999998</v>
      </c>
      <c r="O233" s="189">
        <v>7.0000000000000007E-2</v>
      </c>
      <c r="P233" s="170">
        <f>(N233*O233)+N233</f>
        <v>6249.3204479999995</v>
      </c>
    </row>
    <row r="234" spans="1:16">
      <c r="A234" s="157"/>
      <c r="B234" s="154"/>
      <c r="C234" s="63"/>
      <c r="D234" s="199"/>
      <c r="E234" s="90"/>
      <c r="F234" s="61"/>
      <c r="G234" s="206"/>
      <c r="H234" s="74"/>
      <c r="I234" s="183"/>
      <c r="J234" s="175"/>
      <c r="K234" s="197"/>
      <c r="L234" s="194"/>
      <c r="M234" s="188">
        <v>8714.16</v>
      </c>
      <c r="N234" s="188">
        <f>M234-(M234*0.03)</f>
        <v>8452.7351999999992</v>
      </c>
      <c r="O234" s="189">
        <v>7.0000000000000007E-2</v>
      </c>
      <c r="P234" s="170">
        <f>(N234*O234)+N234</f>
        <v>9044.4266639999987</v>
      </c>
    </row>
    <row r="235" spans="1:16">
      <c r="A235" s="157"/>
      <c r="B235" s="154"/>
      <c r="C235" s="63"/>
      <c r="D235" s="199"/>
      <c r="E235" s="90"/>
      <c r="F235" s="61"/>
      <c r="G235" s="206"/>
      <c r="H235" s="74"/>
      <c r="I235" s="183"/>
      <c r="J235" s="175"/>
      <c r="K235" s="197"/>
      <c r="L235" s="194"/>
      <c r="M235" s="188">
        <v>0</v>
      </c>
      <c r="N235" s="188">
        <f>M235-(M235*0.03)</f>
        <v>0</v>
      </c>
      <c r="O235" s="189">
        <v>7.0000000000000007E-2</v>
      </c>
      <c r="P235" s="170">
        <f t="shared" ref="P235:P241" si="21">(N235*O235)+N235</f>
        <v>0</v>
      </c>
    </row>
    <row r="236" spans="1:16">
      <c r="A236" s="157"/>
      <c r="B236" s="154"/>
      <c r="C236" s="63"/>
      <c r="D236" s="199"/>
      <c r="E236" s="90"/>
      <c r="F236" s="61"/>
      <c r="G236" s="206"/>
      <c r="H236" s="74"/>
      <c r="I236" s="183"/>
      <c r="J236" s="175"/>
      <c r="K236" s="197"/>
      <c r="L236" s="194"/>
      <c r="M236" s="188">
        <v>18537.7</v>
      </c>
      <c r="N236" s="188">
        <f>M236-(M236*0.03)</f>
        <v>17981.569</v>
      </c>
      <c r="O236" s="189">
        <v>7.0000000000000007E-2</v>
      </c>
      <c r="P236" s="170">
        <f t="shared" si="21"/>
        <v>19240.278829999999</v>
      </c>
    </row>
    <row r="237" spans="1:16">
      <c r="A237" s="158"/>
      <c r="B237" s="154"/>
      <c r="C237" s="63"/>
      <c r="D237" s="199"/>
      <c r="E237" s="91"/>
      <c r="F237" s="61"/>
      <c r="G237" s="206"/>
      <c r="H237" s="74"/>
      <c r="I237" s="183"/>
      <c r="J237" s="175"/>
      <c r="K237" s="197"/>
      <c r="L237" s="194"/>
      <c r="M237" s="188">
        <v>9031.68</v>
      </c>
      <c r="N237" s="188">
        <f t="shared" ref="N237:N246" si="22">M237-(M237*0.03)</f>
        <v>8760.7296000000006</v>
      </c>
      <c r="O237" s="189">
        <v>7.0000000000000007E-2</v>
      </c>
      <c r="P237" s="170">
        <f t="shared" si="21"/>
        <v>9373.9806720000015</v>
      </c>
    </row>
    <row r="238" spans="1:16">
      <c r="A238" s="200"/>
      <c r="B238" s="154"/>
      <c r="C238" s="63"/>
      <c r="D238" s="199"/>
      <c r="E238" s="153"/>
      <c r="F238" s="61"/>
      <c r="G238" s="206"/>
      <c r="H238" s="88"/>
      <c r="I238" s="184"/>
      <c r="J238" s="201"/>
      <c r="K238" s="202"/>
      <c r="L238" s="194"/>
      <c r="N238" s="188">
        <f t="shared" si="22"/>
        <v>0</v>
      </c>
      <c r="O238" s="189">
        <v>7.0000000000000007E-2</v>
      </c>
      <c r="P238" s="170">
        <f t="shared" si="21"/>
        <v>0</v>
      </c>
    </row>
    <row r="239" spans="1:16">
      <c r="A239" s="157"/>
      <c r="B239" s="154"/>
      <c r="C239" s="63"/>
      <c r="D239" s="199"/>
      <c r="E239" s="198"/>
      <c r="F239" s="61"/>
      <c r="G239" s="206"/>
      <c r="H239" s="74"/>
      <c r="I239" s="183"/>
      <c r="J239" s="175"/>
      <c r="K239" s="197"/>
      <c r="L239" s="194"/>
      <c r="M239" s="188">
        <v>8478.9599999999991</v>
      </c>
      <c r="N239" s="188">
        <f t="shared" si="22"/>
        <v>8224.5911999999989</v>
      </c>
      <c r="O239" s="189">
        <v>7.0000000000000007E-2</v>
      </c>
      <c r="P239" s="170">
        <f t="shared" si="21"/>
        <v>8800.3125839999993</v>
      </c>
    </row>
    <row r="240" spans="1:16">
      <c r="A240" s="157"/>
      <c r="B240" s="154"/>
      <c r="C240" s="63"/>
      <c r="D240" s="199"/>
      <c r="E240" s="142"/>
      <c r="F240" s="61"/>
      <c r="G240" s="206"/>
      <c r="H240" s="74"/>
      <c r="I240" s="183"/>
      <c r="J240" s="175"/>
      <c r="K240" s="197"/>
      <c r="L240" s="194"/>
      <c r="M240" s="188">
        <v>11122.62</v>
      </c>
      <c r="N240" s="188">
        <f t="shared" si="22"/>
        <v>10788.941400000002</v>
      </c>
      <c r="O240" s="189">
        <v>7.0000000000000007E-2</v>
      </c>
      <c r="P240" s="170">
        <f t="shared" si="21"/>
        <v>11544.167298000002</v>
      </c>
    </row>
    <row r="241" spans="1:16">
      <c r="A241" s="157"/>
      <c r="B241" s="154"/>
      <c r="C241" s="63"/>
      <c r="D241" s="196"/>
      <c r="E241" s="120"/>
      <c r="F241" s="121"/>
      <c r="G241" s="206"/>
      <c r="H241" s="115"/>
      <c r="I241" s="185"/>
      <c r="J241" s="175"/>
      <c r="K241" s="197"/>
      <c r="L241" s="194"/>
      <c r="M241" s="188">
        <v>3813.12</v>
      </c>
      <c r="N241" s="188">
        <f t="shared" si="22"/>
        <v>3698.7264</v>
      </c>
      <c r="O241" s="189">
        <v>7.0000000000000007E-2</v>
      </c>
      <c r="P241" s="170">
        <f t="shared" si="21"/>
        <v>3957.637248</v>
      </c>
    </row>
    <row r="242" spans="1:16">
      <c r="A242" s="157"/>
      <c r="B242" s="154"/>
      <c r="C242" s="63"/>
      <c r="D242" s="196"/>
      <c r="E242" s="249"/>
      <c r="F242" s="121"/>
      <c r="G242" s="206"/>
      <c r="H242" s="115"/>
      <c r="I242" s="185"/>
      <c r="J242" s="175"/>
      <c r="K242" s="197"/>
      <c r="L242" s="194"/>
    </row>
    <row r="243" spans="1:16" ht="28.5" customHeight="1">
      <c r="A243" s="157"/>
      <c r="B243" s="154"/>
      <c r="C243" s="63"/>
      <c r="D243" s="196"/>
      <c r="E243" s="249"/>
      <c r="F243" s="121"/>
      <c r="G243" s="206"/>
      <c r="H243" s="115"/>
      <c r="I243" s="185"/>
      <c r="J243" s="175"/>
      <c r="K243" s="197"/>
      <c r="L243" s="194"/>
    </row>
    <row r="244" spans="1:16">
      <c r="A244" s="157"/>
      <c r="B244" s="154"/>
      <c r="C244" s="63"/>
      <c r="D244" s="196"/>
      <c r="E244" s="249"/>
      <c r="F244" s="121"/>
      <c r="G244" s="206"/>
      <c r="H244" s="115"/>
      <c r="I244" s="185"/>
      <c r="J244" s="175"/>
      <c r="K244" s="197"/>
      <c r="L244" s="194"/>
    </row>
    <row r="245" spans="1:16">
      <c r="A245" s="157"/>
      <c r="B245" s="154"/>
      <c r="C245" s="63"/>
      <c r="D245" s="196"/>
      <c r="E245" s="142"/>
      <c r="F245" s="61"/>
      <c r="G245" s="206"/>
      <c r="H245" s="74"/>
      <c r="I245" s="183"/>
      <c r="J245" s="175"/>
      <c r="K245" s="197"/>
      <c r="L245" s="194"/>
    </row>
    <row r="246" spans="1:16">
      <c r="A246" s="157"/>
      <c r="B246" s="161"/>
      <c r="C246" s="63"/>
      <c r="D246" s="196"/>
      <c r="E246" s="142"/>
      <c r="F246" s="61"/>
      <c r="G246" s="206"/>
      <c r="H246" s="74"/>
      <c r="I246" s="183"/>
      <c r="J246" s="175"/>
      <c r="K246" s="197"/>
      <c r="L246" s="194"/>
      <c r="M246" s="188">
        <v>8640</v>
      </c>
      <c r="N246" s="188">
        <f t="shared" si="22"/>
        <v>8380.7999999999993</v>
      </c>
      <c r="O246" s="189">
        <v>7.0000000000000007E-2</v>
      </c>
      <c r="P246" s="170">
        <f>(N246*O246)+N246</f>
        <v>8967.4559999999983</v>
      </c>
    </row>
    <row r="247" spans="1:16">
      <c r="A247" s="157"/>
      <c r="B247" s="161"/>
      <c r="C247" s="63"/>
      <c r="D247" s="196"/>
      <c r="E247" s="142"/>
      <c r="F247" s="61"/>
      <c r="G247" s="206"/>
      <c r="H247" s="74"/>
      <c r="I247" s="183"/>
      <c r="J247" s="175"/>
      <c r="K247" s="197"/>
      <c r="L247" s="194"/>
    </row>
    <row r="248" spans="1:16">
      <c r="A248" s="157"/>
      <c r="B248" s="161"/>
      <c r="C248" s="63"/>
      <c r="D248" s="196"/>
      <c r="E248" s="142"/>
      <c r="F248" s="61"/>
      <c r="G248" s="206"/>
      <c r="H248" s="74"/>
      <c r="I248" s="183"/>
      <c r="J248" s="175"/>
      <c r="K248" s="197"/>
      <c r="L248" s="194"/>
    </row>
    <row r="249" spans="1:16">
      <c r="A249" s="157"/>
      <c r="B249" s="161"/>
      <c r="C249" s="63"/>
      <c r="D249" s="196"/>
      <c r="E249" s="142"/>
      <c r="F249" s="61"/>
      <c r="G249" s="206"/>
      <c r="H249" s="74"/>
      <c r="I249" s="183"/>
      <c r="J249" s="175"/>
      <c r="K249" s="197"/>
      <c r="L249" s="194"/>
    </row>
    <row r="250" spans="1:16">
      <c r="A250" s="157"/>
      <c r="B250" s="161"/>
      <c r="C250" s="63"/>
      <c r="D250" s="196"/>
      <c r="E250" s="142"/>
      <c r="F250" s="61"/>
      <c r="G250" s="206"/>
      <c r="H250" s="74"/>
      <c r="I250" s="183"/>
      <c r="J250" s="175"/>
      <c r="K250" s="197"/>
      <c r="L250" s="194"/>
    </row>
    <row r="251" spans="1:16">
      <c r="A251" s="160"/>
      <c r="B251" s="154"/>
      <c r="C251" s="63"/>
      <c r="D251" s="196"/>
      <c r="E251" s="120"/>
      <c r="F251" s="121"/>
      <c r="G251" s="206"/>
      <c r="H251" s="115"/>
      <c r="I251" s="185"/>
      <c r="J251" s="174"/>
      <c r="K251" s="195"/>
      <c r="L251" s="194"/>
    </row>
    <row r="252" spans="1:16">
      <c r="F252" s="68"/>
    </row>
    <row r="253" spans="1:16">
      <c r="A253" s="44" t="s">
        <v>0</v>
      </c>
      <c r="B253" s="127"/>
      <c r="C253" s="104"/>
      <c r="F253" s="68"/>
      <c r="I253" s="179"/>
      <c r="K253" s="163"/>
      <c r="L253" s="168"/>
    </row>
    <row r="254" spans="1:16">
      <c r="A254" s="3480" t="s">
        <v>2512</v>
      </c>
      <c r="B254" s="3480"/>
      <c r="C254" s="44"/>
      <c r="D254" s="109"/>
      <c r="F254" s="68"/>
      <c r="I254" s="179"/>
      <c r="K254" s="163"/>
      <c r="L254" s="168"/>
    </row>
    <row r="255" spans="1:16" ht="35.25" thickBot="1">
      <c r="F255" s="68"/>
    </row>
    <row r="256" spans="1:16">
      <c r="A256" s="3493" t="s">
        <v>2</v>
      </c>
      <c r="B256" s="3482"/>
      <c r="C256" s="48" t="s">
        <v>3</v>
      </c>
      <c r="D256" s="128" t="s">
        <v>4</v>
      </c>
      <c r="E256" s="77" t="s">
        <v>5</v>
      </c>
      <c r="F256" s="78" t="s">
        <v>5</v>
      </c>
      <c r="G256" s="211" t="s">
        <v>6</v>
      </c>
      <c r="H256" s="140" t="s">
        <v>7</v>
      </c>
      <c r="I256" s="180" t="s">
        <v>1511</v>
      </c>
      <c r="J256" s="172" t="s">
        <v>9</v>
      </c>
      <c r="K256" s="186" t="s">
        <v>9</v>
      </c>
      <c r="L256" s="192" t="s">
        <v>2495</v>
      </c>
      <c r="M256" s="190"/>
    </row>
    <row r="257" spans="1:16" ht="35.25" thickBot="1">
      <c r="A257" s="155"/>
      <c r="B257" s="138"/>
      <c r="C257" s="50"/>
      <c r="D257" s="129" t="s">
        <v>10</v>
      </c>
      <c r="E257" s="79" t="s">
        <v>11</v>
      </c>
      <c r="F257" s="80" t="s">
        <v>12</v>
      </c>
      <c r="G257" s="212"/>
      <c r="H257" s="141" t="s">
        <v>13</v>
      </c>
      <c r="I257" s="181" t="s">
        <v>1512</v>
      </c>
      <c r="J257" s="173" t="s">
        <v>15</v>
      </c>
      <c r="K257" s="187" t="s">
        <v>14</v>
      </c>
      <c r="L257" s="193" t="s">
        <v>2496</v>
      </c>
      <c r="M257" s="190"/>
    </row>
    <row r="258" spans="1:16">
      <c r="A258" s="156"/>
      <c r="B258" s="154"/>
      <c r="C258" s="63"/>
      <c r="D258" s="199"/>
      <c r="E258" s="143"/>
      <c r="F258" s="69"/>
      <c r="G258" s="206"/>
      <c r="H258" s="74"/>
      <c r="I258" s="183"/>
      <c r="J258" s="175"/>
      <c r="K258" s="172"/>
      <c r="L258" s="194"/>
      <c r="M258" s="188">
        <v>3552</v>
      </c>
      <c r="N258" s="188">
        <f t="shared" ref="N258:N274" si="23">M258-(M258*0.03)</f>
        <v>3445.44</v>
      </c>
      <c r="O258" s="189">
        <v>7.0000000000000007E-2</v>
      </c>
      <c r="P258" s="170">
        <f t="shared" ref="P258:P274" si="24">(N258*O258)+N258</f>
        <v>3686.6208000000001</v>
      </c>
    </row>
    <row r="259" spans="1:16">
      <c r="A259" s="157"/>
      <c r="B259" s="154"/>
      <c r="C259" s="63"/>
      <c r="D259" s="199"/>
      <c r="E259" s="145"/>
      <c r="F259" s="61"/>
      <c r="G259" s="206"/>
      <c r="H259" s="74"/>
      <c r="I259" s="183"/>
      <c r="J259" s="175"/>
      <c r="K259" s="176"/>
      <c r="L259" s="194"/>
      <c r="N259" s="188">
        <f t="shared" si="23"/>
        <v>0</v>
      </c>
      <c r="O259" s="189">
        <v>7.0000000000000007E-2</v>
      </c>
      <c r="P259" s="170">
        <f t="shared" si="24"/>
        <v>0</v>
      </c>
    </row>
    <row r="260" spans="1:16">
      <c r="A260" s="157"/>
      <c r="B260" s="239"/>
      <c r="C260" s="63"/>
      <c r="D260" s="199"/>
      <c r="E260" s="145"/>
      <c r="F260" s="61"/>
      <c r="G260" s="206"/>
      <c r="H260" s="74"/>
      <c r="I260" s="183"/>
      <c r="J260" s="175"/>
      <c r="K260" s="245"/>
      <c r="L260" s="194"/>
      <c r="M260" s="188">
        <v>9498.06</v>
      </c>
      <c r="N260" s="188">
        <f t="shared" si="23"/>
        <v>9213.118199999999</v>
      </c>
      <c r="O260" s="189">
        <v>7.0000000000000007E-2</v>
      </c>
      <c r="P260" s="170">
        <f t="shared" si="24"/>
        <v>9858.0364739999986</v>
      </c>
    </row>
    <row r="261" spans="1:16">
      <c r="A261" s="157"/>
      <c r="B261" s="239"/>
      <c r="C261" s="63"/>
      <c r="D261" s="199"/>
      <c r="E261" s="145"/>
      <c r="F261" s="61"/>
      <c r="G261" s="206"/>
      <c r="H261" s="74"/>
      <c r="I261" s="183"/>
      <c r="J261" s="175"/>
      <c r="K261" s="197"/>
      <c r="L261" s="194"/>
      <c r="M261" s="188">
        <v>15305.4</v>
      </c>
      <c r="N261" s="188">
        <f t="shared" si="23"/>
        <v>14846.237999999999</v>
      </c>
      <c r="O261" s="189">
        <v>7.0000000000000007E-2</v>
      </c>
      <c r="P261" s="170">
        <f t="shared" si="24"/>
        <v>15885.47466</v>
      </c>
    </row>
    <row r="262" spans="1:16">
      <c r="A262" s="157"/>
      <c r="B262" s="154"/>
      <c r="C262" s="63"/>
      <c r="D262" s="199"/>
      <c r="E262" s="145"/>
      <c r="F262" s="61"/>
      <c r="G262" s="206"/>
      <c r="H262" s="74"/>
      <c r="I262" s="183"/>
      <c r="J262" s="175"/>
      <c r="K262" s="197"/>
      <c r="L262" s="194"/>
      <c r="N262" s="188">
        <f t="shared" si="23"/>
        <v>0</v>
      </c>
      <c r="O262" s="189">
        <v>7.0000000000000007E-2</v>
      </c>
      <c r="P262" s="170">
        <f t="shared" si="24"/>
        <v>0</v>
      </c>
    </row>
    <row r="263" spans="1:16">
      <c r="A263" s="157"/>
      <c r="B263" s="154"/>
      <c r="C263" s="63"/>
      <c r="D263" s="199"/>
      <c r="E263" s="145"/>
      <c r="F263" s="61"/>
      <c r="G263" s="206"/>
      <c r="H263" s="74"/>
      <c r="I263" s="183"/>
      <c r="J263" s="175"/>
      <c r="K263" s="197"/>
      <c r="L263" s="194"/>
      <c r="N263" s="188">
        <f t="shared" si="23"/>
        <v>0</v>
      </c>
      <c r="O263" s="189">
        <v>7.0000000000000007E-2</v>
      </c>
      <c r="P263" s="170">
        <f t="shared" si="24"/>
        <v>0</v>
      </c>
    </row>
    <row r="264" spans="1:16">
      <c r="A264" s="157"/>
      <c r="B264" s="154"/>
      <c r="C264" s="63"/>
      <c r="D264" s="199"/>
      <c r="E264" s="145"/>
      <c r="F264" s="61"/>
      <c r="G264" s="206"/>
      <c r="H264" s="74"/>
      <c r="I264" s="183"/>
      <c r="J264" s="175"/>
      <c r="K264" s="197"/>
      <c r="L264" s="194"/>
      <c r="N264" s="188">
        <f t="shared" si="23"/>
        <v>0</v>
      </c>
      <c r="O264" s="189">
        <v>7.0000000000000007E-2</v>
      </c>
      <c r="P264" s="170">
        <f t="shared" si="24"/>
        <v>0</v>
      </c>
    </row>
    <row r="265" spans="1:16">
      <c r="A265" s="157"/>
      <c r="B265" s="239"/>
      <c r="C265" s="222"/>
      <c r="D265" s="3464"/>
      <c r="E265" s="145"/>
      <c r="F265" s="61"/>
      <c r="G265" s="223"/>
      <c r="H265" s="224"/>
      <c r="I265" s="225"/>
      <c r="J265" s="209"/>
      <c r="K265" s="244"/>
      <c r="M265" s="188">
        <v>14244.12</v>
      </c>
      <c r="N265" s="188">
        <f t="shared" si="23"/>
        <v>13816.796400000001</v>
      </c>
      <c r="O265" s="189">
        <v>7.0000000000000007E-2</v>
      </c>
      <c r="P265" s="170">
        <f t="shared" si="24"/>
        <v>14783.972148000001</v>
      </c>
    </row>
    <row r="266" spans="1:16">
      <c r="A266" s="157"/>
      <c r="B266" s="162"/>
      <c r="C266" s="63"/>
      <c r="D266" s="199"/>
      <c r="E266" s="145"/>
      <c r="F266" s="61"/>
      <c r="G266" s="206"/>
      <c r="H266" s="74"/>
      <c r="I266" s="183"/>
      <c r="J266" s="175"/>
      <c r="K266" s="197"/>
      <c r="L266" s="194"/>
      <c r="M266" s="188">
        <v>3240</v>
      </c>
      <c r="N266" s="188">
        <f t="shared" si="23"/>
        <v>3142.8</v>
      </c>
      <c r="O266" s="189">
        <v>7.0000000000000007E-2</v>
      </c>
      <c r="P266" s="170">
        <f t="shared" si="24"/>
        <v>3362.7960000000003</v>
      </c>
    </row>
    <row r="267" spans="1:16">
      <c r="A267" s="157"/>
      <c r="B267" s="162"/>
      <c r="C267" s="63"/>
      <c r="D267" s="199"/>
      <c r="E267" s="145"/>
      <c r="F267" s="61"/>
      <c r="G267" s="206"/>
      <c r="H267" s="74"/>
      <c r="I267" s="183"/>
      <c r="J267" s="175"/>
      <c r="K267" s="197"/>
      <c r="L267" s="194"/>
      <c r="M267" s="188">
        <v>14700</v>
      </c>
      <c r="N267" s="188">
        <f t="shared" si="23"/>
        <v>14259</v>
      </c>
      <c r="O267" s="189">
        <v>7.0000000000000007E-2</v>
      </c>
      <c r="P267" s="170">
        <f t="shared" si="24"/>
        <v>15257.130000000001</v>
      </c>
    </row>
    <row r="268" spans="1:16">
      <c r="A268" s="157"/>
      <c r="B268" s="162"/>
      <c r="C268" s="222"/>
      <c r="D268" s="3464"/>
      <c r="E268" s="237"/>
      <c r="F268" s="238"/>
      <c r="G268" s="223"/>
      <c r="H268" s="224"/>
      <c r="I268" s="225"/>
      <c r="J268" s="209"/>
      <c r="K268" s="226"/>
      <c r="L268" s="229"/>
      <c r="M268" s="188">
        <v>14582.7</v>
      </c>
      <c r="N268" s="188">
        <f t="shared" si="23"/>
        <v>14145.219000000001</v>
      </c>
      <c r="O268" s="189">
        <v>7.0000000000000007E-2</v>
      </c>
      <c r="P268" s="170">
        <f t="shared" si="24"/>
        <v>15135.384330000001</v>
      </c>
    </row>
    <row r="269" spans="1:16">
      <c r="A269" s="157"/>
      <c r="B269" s="162"/>
      <c r="C269" s="63"/>
      <c r="D269" s="199"/>
      <c r="E269" s="145"/>
      <c r="F269" s="61"/>
      <c r="G269" s="206"/>
      <c r="H269" s="74"/>
      <c r="I269" s="183"/>
      <c r="J269" s="175"/>
      <c r="K269" s="197"/>
      <c r="L269" s="229"/>
      <c r="M269" s="188">
        <v>13483.8</v>
      </c>
      <c r="N269" s="188">
        <f t="shared" si="23"/>
        <v>13079.286</v>
      </c>
      <c r="O269" s="189">
        <v>7.0000000000000007E-2</v>
      </c>
      <c r="P269" s="170">
        <f t="shared" si="24"/>
        <v>13994.836020000001</v>
      </c>
    </row>
    <row r="270" spans="1:16">
      <c r="A270" s="157"/>
      <c r="B270" s="154"/>
      <c r="C270" s="222"/>
      <c r="D270" s="3464"/>
      <c r="E270" s="145"/>
      <c r="F270" s="61"/>
      <c r="G270" s="223"/>
      <c r="H270" s="224"/>
      <c r="I270" s="225"/>
      <c r="J270" s="209"/>
      <c r="K270" s="226"/>
      <c r="L270" s="229"/>
      <c r="M270" s="188">
        <v>2669.52</v>
      </c>
      <c r="N270" s="188">
        <f t="shared" si="23"/>
        <v>2589.4344000000001</v>
      </c>
      <c r="O270" s="189">
        <v>7.0000000000000007E-2</v>
      </c>
      <c r="P270" s="170">
        <f t="shared" si="24"/>
        <v>2770.6948080000002</v>
      </c>
    </row>
    <row r="271" spans="1:16">
      <c r="A271" s="157"/>
      <c r="B271" s="154"/>
      <c r="C271" s="222"/>
      <c r="D271" s="3464"/>
      <c r="E271" s="145"/>
      <c r="F271" s="61"/>
      <c r="G271" s="223"/>
      <c r="H271" s="224"/>
      <c r="I271" s="225"/>
      <c r="J271" s="209"/>
      <c r="K271" s="226"/>
      <c r="L271" s="229"/>
      <c r="N271" s="188">
        <f t="shared" si="23"/>
        <v>0</v>
      </c>
      <c r="O271" s="189">
        <v>7.0000000000000007E-2</v>
      </c>
      <c r="P271" s="170">
        <f t="shared" si="24"/>
        <v>0</v>
      </c>
    </row>
    <row r="272" spans="1:16">
      <c r="A272" s="221"/>
      <c r="B272" s="240"/>
      <c r="C272" s="222"/>
      <c r="D272" s="3464"/>
      <c r="E272" s="145"/>
      <c r="F272" s="61"/>
      <c r="G272" s="223"/>
      <c r="H272" s="224"/>
      <c r="I272" s="225"/>
      <c r="J272" s="209"/>
      <c r="K272" s="226"/>
      <c r="L272" s="229"/>
      <c r="M272" s="188">
        <v>12972.96</v>
      </c>
      <c r="N272" s="188">
        <f t="shared" si="23"/>
        <v>12583.771199999999</v>
      </c>
      <c r="O272" s="189">
        <v>7.0000000000000007E-2</v>
      </c>
      <c r="P272" s="170">
        <f t="shared" si="24"/>
        <v>13464.635183999999</v>
      </c>
    </row>
    <row r="273" spans="1:16">
      <c r="A273" s="157"/>
      <c r="B273" s="154"/>
      <c r="C273" s="63"/>
      <c r="D273" s="199"/>
      <c r="E273" s="145"/>
      <c r="F273" s="61"/>
      <c r="G273" s="206"/>
      <c r="H273" s="74"/>
      <c r="I273" s="183"/>
      <c r="J273" s="209"/>
      <c r="K273" s="197"/>
      <c r="L273" s="229"/>
      <c r="M273" s="188">
        <v>12687.84</v>
      </c>
      <c r="N273" s="188">
        <f t="shared" si="23"/>
        <v>12307.2048</v>
      </c>
      <c r="O273" s="189">
        <v>7.0000000000000007E-2</v>
      </c>
      <c r="P273" s="170">
        <f t="shared" si="24"/>
        <v>13168.709135999999</v>
      </c>
    </row>
    <row r="274" spans="1:16">
      <c r="A274" s="157"/>
      <c r="B274" s="154"/>
      <c r="C274" s="63"/>
      <c r="D274" s="199"/>
      <c r="E274" s="145"/>
      <c r="F274" s="61"/>
      <c r="G274" s="206"/>
      <c r="H274" s="74"/>
      <c r="I274" s="183"/>
      <c r="J274" s="175"/>
      <c r="K274" s="197"/>
      <c r="L274" s="194"/>
      <c r="M274" s="188">
        <v>16572.599999999999</v>
      </c>
      <c r="N274" s="188">
        <f t="shared" si="23"/>
        <v>16075.421999999999</v>
      </c>
      <c r="O274" s="189">
        <v>7.0000000000000007E-2</v>
      </c>
      <c r="P274" s="170">
        <f t="shared" si="24"/>
        <v>17200.701539999998</v>
      </c>
    </row>
    <row r="275" spans="1:16">
      <c r="A275" s="157"/>
      <c r="B275" s="154"/>
      <c r="C275" s="63"/>
      <c r="D275" s="199"/>
      <c r="E275" s="90"/>
      <c r="F275" s="61"/>
      <c r="G275" s="206"/>
      <c r="H275" s="74"/>
      <c r="I275" s="203"/>
      <c r="J275" s="175"/>
      <c r="K275" s="197"/>
      <c r="L275" s="194"/>
      <c r="M275" s="188">
        <v>6021.12</v>
      </c>
      <c r="N275" s="188">
        <f>M275-(M275*0.03)</f>
        <v>5840.4863999999998</v>
      </c>
      <c r="O275" s="189">
        <v>7.0000000000000007E-2</v>
      </c>
      <c r="P275" s="170">
        <f>(N275*O275)+N275</f>
        <v>6249.3204479999995</v>
      </c>
    </row>
    <row r="276" spans="1:16">
      <c r="A276" s="157"/>
      <c r="B276" s="154"/>
      <c r="C276" s="63"/>
      <c r="D276" s="199"/>
      <c r="E276" s="90"/>
      <c r="F276" s="61"/>
      <c r="G276" s="206"/>
      <c r="H276" s="74"/>
      <c r="I276" s="183"/>
      <c r="J276" s="175"/>
      <c r="K276" s="197"/>
      <c r="L276" s="194"/>
      <c r="M276" s="188">
        <v>8714.16</v>
      </c>
      <c r="N276" s="188">
        <f>M276-(M276*0.03)</f>
        <v>8452.7351999999992</v>
      </c>
      <c r="O276" s="189">
        <v>7.0000000000000007E-2</v>
      </c>
      <c r="P276" s="170">
        <f>(N276*O276)+N276</f>
        <v>9044.4266639999987</v>
      </c>
    </row>
    <row r="277" spans="1:16">
      <c r="A277" s="157"/>
      <c r="B277" s="154"/>
      <c r="C277" s="63"/>
      <c r="D277" s="199"/>
      <c r="E277" s="90"/>
      <c r="F277" s="61"/>
      <c r="G277" s="206"/>
      <c r="H277" s="74"/>
      <c r="I277" s="183"/>
      <c r="J277" s="175"/>
      <c r="K277" s="197"/>
      <c r="L277" s="194"/>
      <c r="M277" s="188">
        <v>0</v>
      </c>
      <c r="N277" s="188">
        <f>M277-(M277*0.03)</f>
        <v>0</v>
      </c>
      <c r="O277" s="189">
        <v>7.0000000000000007E-2</v>
      </c>
      <c r="P277" s="170">
        <f t="shared" ref="P277:P283" si="25">(N277*O277)+N277</f>
        <v>0</v>
      </c>
    </row>
    <row r="278" spans="1:16">
      <c r="A278" s="157"/>
      <c r="B278" s="154"/>
      <c r="C278" s="63"/>
      <c r="D278" s="199"/>
      <c r="E278" s="90"/>
      <c r="F278" s="61"/>
      <c r="G278" s="206"/>
      <c r="H278" s="74"/>
      <c r="I278" s="183"/>
      <c r="J278" s="175"/>
      <c r="K278" s="197"/>
      <c r="L278" s="194"/>
      <c r="M278" s="188">
        <v>18537.7</v>
      </c>
      <c r="N278" s="188">
        <f>M278-(M278*0.03)</f>
        <v>17981.569</v>
      </c>
      <c r="O278" s="189">
        <v>7.0000000000000007E-2</v>
      </c>
      <c r="P278" s="170">
        <f t="shared" si="25"/>
        <v>19240.278829999999</v>
      </c>
    </row>
    <row r="279" spans="1:16" ht="35.25" customHeight="1">
      <c r="A279" s="158"/>
      <c r="B279" s="154"/>
      <c r="C279" s="63"/>
      <c r="D279" s="199"/>
      <c r="E279" s="91"/>
      <c r="F279" s="61"/>
      <c r="G279" s="206"/>
      <c r="H279" s="74"/>
      <c r="I279" s="183"/>
      <c r="J279" s="175"/>
      <c r="K279" s="197"/>
      <c r="L279" s="194"/>
      <c r="M279" s="188">
        <v>9031.68</v>
      </c>
      <c r="N279" s="188">
        <f t="shared" ref="N279:N289" si="26">M279-(M279*0.03)</f>
        <v>8760.7296000000006</v>
      </c>
      <c r="O279" s="189">
        <v>7.0000000000000007E-2</v>
      </c>
      <c r="P279" s="170">
        <f t="shared" si="25"/>
        <v>9373.9806720000015</v>
      </c>
    </row>
    <row r="280" spans="1:16">
      <c r="A280" s="200"/>
      <c r="B280" s="154"/>
      <c r="C280" s="63"/>
      <c r="D280" s="199"/>
      <c r="E280" s="153"/>
      <c r="F280" s="61"/>
      <c r="G280" s="206"/>
      <c r="H280" s="88"/>
      <c r="I280" s="184"/>
      <c r="J280" s="201"/>
      <c r="K280" s="202"/>
      <c r="L280" s="194"/>
      <c r="N280" s="188">
        <f t="shared" si="26"/>
        <v>0</v>
      </c>
      <c r="O280" s="189">
        <v>7.0000000000000007E-2</v>
      </c>
      <c r="P280" s="170">
        <f t="shared" si="25"/>
        <v>0</v>
      </c>
    </row>
    <row r="281" spans="1:16">
      <c r="A281" s="157"/>
      <c r="B281" s="154"/>
      <c r="C281" s="63"/>
      <c r="D281" s="199"/>
      <c r="E281" s="198"/>
      <c r="F281" s="61"/>
      <c r="G281" s="206"/>
      <c r="H281" s="74"/>
      <c r="I281" s="183"/>
      <c r="J281" s="175"/>
      <c r="K281" s="197"/>
      <c r="L281" s="194"/>
      <c r="M281" s="188">
        <v>8478.9599999999991</v>
      </c>
      <c r="N281" s="188">
        <f t="shared" si="26"/>
        <v>8224.5911999999989</v>
      </c>
      <c r="O281" s="189">
        <v>7.0000000000000007E-2</v>
      </c>
      <c r="P281" s="170">
        <f t="shared" si="25"/>
        <v>8800.3125839999993</v>
      </c>
    </row>
    <row r="282" spans="1:16" ht="35.25" customHeight="1">
      <c r="A282" s="157"/>
      <c r="B282" s="154"/>
      <c r="C282" s="63"/>
      <c r="D282" s="199"/>
      <c r="E282" s="142"/>
      <c r="F282" s="61"/>
      <c r="G282" s="206"/>
      <c r="H282" s="74"/>
      <c r="I282" s="183"/>
      <c r="J282" s="175"/>
      <c r="K282" s="197"/>
      <c r="L282" s="194"/>
      <c r="M282" s="188">
        <v>11122.62</v>
      </c>
      <c r="N282" s="188">
        <f t="shared" si="26"/>
        <v>10788.941400000002</v>
      </c>
      <c r="O282" s="189">
        <v>7.0000000000000007E-2</v>
      </c>
      <c r="P282" s="170">
        <f t="shared" si="25"/>
        <v>11544.167298000002</v>
      </c>
    </row>
    <row r="283" spans="1:16">
      <c r="A283" s="157"/>
      <c r="B283" s="154"/>
      <c r="C283" s="63"/>
      <c r="D283" s="196"/>
      <c r="E283" s="120"/>
      <c r="F283" s="121"/>
      <c r="G283" s="206"/>
      <c r="H283" s="115"/>
      <c r="I283" s="185"/>
      <c r="J283" s="175"/>
      <c r="K283" s="197"/>
      <c r="L283" s="194"/>
      <c r="M283" s="188">
        <v>3813.12</v>
      </c>
      <c r="N283" s="188">
        <f t="shared" si="26"/>
        <v>3698.7264</v>
      </c>
      <c r="O283" s="189">
        <v>7.0000000000000007E-2</v>
      </c>
      <c r="P283" s="170">
        <f t="shared" si="25"/>
        <v>3957.637248</v>
      </c>
    </row>
    <row r="284" spans="1:16">
      <c r="A284" s="157"/>
      <c r="B284" s="154"/>
      <c r="C284" s="63"/>
      <c r="D284" s="196"/>
      <c r="E284" s="249"/>
      <c r="F284" s="121"/>
      <c r="G284" s="206"/>
      <c r="H284" s="115"/>
      <c r="I284" s="185"/>
      <c r="J284" s="175"/>
      <c r="K284" s="197"/>
      <c r="L284" s="194"/>
    </row>
    <row r="285" spans="1:16">
      <c r="A285" s="157"/>
      <c r="B285" s="154"/>
      <c r="C285" s="63"/>
      <c r="D285" s="196"/>
      <c r="E285" s="249"/>
      <c r="F285" s="121"/>
      <c r="G285" s="206"/>
      <c r="H285" s="115"/>
      <c r="I285" s="185"/>
      <c r="J285" s="175"/>
      <c r="K285" s="197"/>
      <c r="L285" s="194"/>
    </row>
    <row r="286" spans="1:16">
      <c r="A286" s="157"/>
      <c r="B286" s="154"/>
      <c r="C286" s="63"/>
      <c r="D286" s="196"/>
      <c r="E286" s="249"/>
      <c r="F286" s="121"/>
      <c r="G286" s="206"/>
      <c r="H286" s="115"/>
      <c r="I286" s="185"/>
      <c r="J286" s="175"/>
      <c r="K286" s="197"/>
      <c r="L286" s="194"/>
    </row>
    <row r="287" spans="1:16">
      <c r="A287" s="157"/>
      <c r="B287" s="154"/>
      <c r="C287" s="63"/>
      <c r="D287" s="196"/>
      <c r="E287" s="142"/>
      <c r="F287" s="61"/>
      <c r="G287" s="206"/>
      <c r="H287" s="74"/>
      <c r="I287" s="183"/>
      <c r="J287" s="175"/>
      <c r="K287" s="197"/>
      <c r="L287" s="194"/>
    </row>
    <row r="288" spans="1:16">
      <c r="A288" s="157"/>
      <c r="B288" s="154"/>
      <c r="C288" s="63"/>
      <c r="D288" s="196"/>
      <c r="E288" s="142"/>
      <c r="F288" s="61"/>
      <c r="G288" s="206"/>
      <c r="H288" s="74"/>
      <c r="I288" s="183"/>
      <c r="J288" s="175"/>
      <c r="K288" s="197"/>
      <c r="L288" s="194"/>
    </row>
    <row r="289" spans="1:16">
      <c r="A289" s="157"/>
      <c r="B289" s="161"/>
      <c r="C289" s="63"/>
      <c r="D289" s="196"/>
      <c r="E289" s="142"/>
      <c r="F289" s="61"/>
      <c r="G289" s="206"/>
      <c r="H289" s="74"/>
      <c r="I289" s="183"/>
      <c r="J289" s="175"/>
      <c r="K289" s="197"/>
      <c r="L289" s="194"/>
      <c r="M289" s="188">
        <v>8640</v>
      </c>
      <c r="N289" s="188">
        <f t="shared" si="26"/>
        <v>8380.7999999999993</v>
      </c>
      <c r="O289" s="189">
        <v>7.0000000000000007E-2</v>
      </c>
      <c r="P289" s="170">
        <f>(N289*O289)+N289</f>
        <v>8967.4559999999983</v>
      </c>
    </row>
    <row r="290" spans="1:16">
      <c r="A290" s="157"/>
      <c r="B290" s="161"/>
      <c r="C290" s="63"/>
      <c r="D290" s="196"/>
      <c r="E290" s="142"/>
      <c r="F290" s="61"/>
      <c r="G290" s="206"/>
      <c r="H290" s="74"/>
      <c r="I290" s="183"/>
      <c r="J290" s="175"/>
      <c r="K290" s="197"/>
      <c r="L290" s="194"/>
    </row>
    <row r="291" spans="1:16">
      <c r="A291" s="157"/>
      <c r="B291" s="161"/>
      <c r="C291" s="63"/>
      <c r="D291" s="196"/>
      <c r="E291" s="142"/>
      <c r="F291" s="61"/>
      <c r="G291" s="206"/>
      <c r="H291" s="74"/>
      <c r="I291" s="183"/>
      <c r="J291" s="175"/>
      <c r="K291" s="197"/>
      <c r="L291" s="194"/>
    </row>
    <row r="292" spans="1:16">
      <c r="A292" s="157"/>
      <c r="B292" s="161"/>
      <c r="C292" s="63"/>
      <c r="D292" s="196"/>
      <c r="E292" s="142"/>
      <c r="F292" s="61"/>
      <c r="G292" s="206"/>
      <c r="H292" s="74"/>
      <c r="I292" s="183"/>
      <c r="J292" s="175"/>
      <c r="K292" s="197"/>
      <c r="L292" s="194"/>
    </row>
    <row r="293" spans="1:16">
      <c r="A293" s="160"/>
      <c r="B293" s="154"/>
      <c r="C293" s="63"/>
      <c r="D293" s="196"/>
      <c r="E293" s="120"/>
      <c r="F293" s="121"/>
      <c r="G293" s="206"/>
      <c r="H293" s="115"/>
      <c r="I293" s="185"/>
      <c r="J293" s="174"/>
      <c r="K293" s="195"/>
      <c r="L293" s="194"/>
    </row>
    <row r="294" spans="1:16">
      <c r="A294" s="204"/>
      <c r="B294" s="3444"/>
      <c r="C294" s="3444"/>
      <c r="D294" s="3444"/>
      <c r="E294" s="3444"/>
      <c r="F294" s="3444"/>
      <c r="G294" s="213"/>
      <c r="H294" s="109"/>
      <c r="I294" s="3444"/>
      <c r="J294" s="234"/>
      <c r="K294" s="3444"/>
      <c r="L294" s="235"/>
      <c r="M294" s="3444"/>
    </row>
    <row r="295" spans="1:16">
      <c r="A295" s="44" t="s">
        <v>0</v>
      </c>
      <c r="B295" s="127"/>
      <c r="C295" s="104"/>
      <c r="F295" s="68"/>
      <c r="I295" s="179"/>
      <c r="K295" s="163"/>
      <c r="L295" s="168"/>
    </row>
    <row r="296" spans="1:16">
      <c r="A296" s="3480" t="s">
        <v>2512</v>
      </c>
      <c r="B296" s="3480"/>
      <c r="C296" s="44"/>
      <c r="D296" s="109"/>
      <c r="F296" s="68"/>
      <c r="I296" s="179"/>
      <c r="K296" s="163"/>
      <c r="L296" s="168"/>
    </row>
    <row r="297" spans="1:16" ht="35.25" thickBot="1">
      <c r="F297" s="68"/>
    </row>
    <row r="298" spans="1:16">
      <c r="A298" s="3493" t="s">
        <v>2</v>
      </c>
      <c r="B298" s="3482"/>
      <c r="C298" s="48" t="s">
        <v>3</v>
      </c>
      <c r="D298" s="128" t="s">
        <v>4</v>
      </c>
      <c r="E298" s="77" t="s">
        <v>5</v>
      </c>
      <c r="F298" s="78" t="s">
        <v>5</v>
      </c>
      <c r="G298" s="211" t="s">
        <v>6</v>
      </c>
      <c r="H298" s="140" t="s">
        <v>7</v>
      </c>
      <c r="I298" s="180" t="s">
        <v>1511</v>
      </c>
      <c r="J298" s="172" t="s">
        <v>9</v>
      </c>
      <c r="K298" s="186" t="s">
        <v>9</v>
      </c>
      <c r="L298" s="192" t="s">
        <v>2495</v>
      </c>
      <c r="M298" s="190"/>
    </row>
    <row r="299" spans="1:16" ht="35.25" thickBot="1">
      <c r="A299" s="155"/>
      <c r="B299" s="138"/>
      <c r="C299" s="50"/>
      <c r="D299" s="129" t="s">
        <v>10</v>
      </c>
      <c r="E299" s="79" t="s">
        <v>11</v>
      </c>
      <c r="F299" s="80" t="s">
        <v>12</v>
      </c>
      <c r="G299" s="212"/>
      <c r="H299" s="141" t="s">
        <v>13</v>
      </c>
      <c r="I299" s="181" t="s">
        <v>1512</v>
      </c>
      <c r="J299" s="173" t="s">
        <v>15</v>
      </c>
      <c r="K299" s="187" t="s">
        <v>14</v>
      </c>
      <c r="L299" s="193" t="s">
        <v>2496</v>
      </c>
      <c r="M299" s="190"/>
    </row>
    <row r="300" spans="1:16">
      <c r="A300" s="156"/>
      <c r="B300" s="154"/>
      <c r="C300" s="63"/>
      <c r="D300" s="199"/>
      <c r="E300" s="143"/>
      <c r="F300" s="69"/>
      <c r="G300" s="206"/>
      <c r="H300" s="74"/>
      <c r="I300" s="183"/>
      <c r="J300" s="175"/>
      <c r="K300" s="172"/>
      <c r="L300" s="194"/>
      <c r="M300" s="188">
        <v>3552</v>
      </c>
      <c r="N300" s="188">
        <f t="shared" ref="N300:N316" si="27">M300-(M300*0.03)</f>
        <v>3445.44</v>
      </c>
      <c r="O300" s="189">
        <v>7.0000000000000007E-2</v>
      </c>
      <c r="P300" s="170">
        <f t="shared" ref="P300:P316" si="28">(N300*O300)+N300</f>
        <v>3686.6208000000001</v>
      </c>
    </row>
    <row r="301" spans="1:16">
      <c r="A301" s="157"/>
      <c r="B301" s="154"/>
      <c r="C301" s="63"/>
      <c r="D301" s="199"/>
      <c r="E301" s="145"/>
      <c r="F301" s="61"/>
      <c r="G301" s="206"/>
      <c r="H301" s="74"/>
      <c r="I301" s="183"/>
      <c r="J301" s="175"/>
      <c r="K301" s="176"/>
      <c r="L301" s="194"/>
      <c r="N301" s="188">
        <f t="shared" si="27"/>
        <v>0</v>
      </c>
      <c r="O301" s="189">
        <v>7.0000000000000007E-2</v>
      </c>
      <c r="P301" s="170">
        <f t="shared" si="28"/>
        <v>0</v>
      </c>
    </row>
    <row r="302" spans="1:16">
      <c r="A302" s="157"/>
      <c r="B302" s="239"/>
      <c r="C302" s="63"/>
      <c r="D302" s="199"/>
      <c r="E302" s="145"/>
      <c r="F302" s="61"/>
      <c r="G302" s="206"/>
      <c r="H302" s="74"/>
      <c r="I302" s="183"/>
      <c r="J302" s="175"/>
      <c r="K302" s="245"/>
      <c r="L302" s="194"/>
      <c r="M302" s="188">
        <v>9498.06</v>
      </c>
      <c r="N302" s="188">
        <f t="shared" si="27"/>
        <v>9213.118199999999</v>
      </c>
      <c r="O302" s="189">
        <v>7.0000000000000007E-2</v>
      </c>
      <c r="P302" s="170">
        <f t="shared" si="28"/>
        <v>9858.0364739999986</v>
      </c>
    </row>
    <row r="303" spans="1:16">
      <c r="A303" s="157"/>
      <c r="B303" s="239"/>
      <c r="C303" s="63"/>
      <c r="D303" s="199"/>
      <c r="E303" s="145"/>
      <c r="F303" s="61"/>
      <c r="G303" s="206"/>
      <c r="H303" s="74"/>
      <c r="I303" s="183"/>
      <c r="J303" s="175"/>
      <c r="K303" s="197"/>
      <c r="L303" s="194"/>
      <c r="M303" s="188">
        <v>15305.4</v>
      </c>
      <c r="N303" s="188">
        <f t="shared" si="27"/>
        <v>14846.237999999999</v>
      </c>
      <c r="O303" s="189">
        <v>7.0000000000000007E-2</v>
      </c>
      <c r="P303" s="170">
        <f t="shared" si="28"/>
        <v>15885.47466</v>
      </c>
    </row>
    <row r="304" spans="1:16">
      <c r="A304" s="157"/>
      <c r="B304" s="154"/>
      <c r="C304" s="63"/>
      <c r="D304" s="199"/>
      <c r="E304" s="145"/>
      <c r="F304" s="61"/>
      <c r="G304" s="206"/>
      <c r="H304" s="74"/>
      <c r="I304" s="183"/>
      <c r="J304" s="175"/>
      <c r="K304" s="197"/>
      <c r="L304" s="194"/>
      <c r="N304" s="188">
        <f t="shared" si="27"/>
        <v>0</v>
      </c>
      <c r="O304" s="189">
        <v>7.0000000000000007E-2</v>
      </c>
      <c r="P304" s="170">
        <f t="shared" si="28"/>
        <v>0</v>
      </c>
    </row>
    <row r="305" spans="1:16">
      <c r="A305" s="157"/>
      <c r="B305" s="154"/>
      <c r="C305" s="63"/>
      <c r="D305" s="199"/>
      <c r="E305" s="145"/>
      <c r="F305" s="61"/>
      <c r="G305" s="206"/>
      <c r="H305" s="74"/>
      <c r="I305" s="183"/>
      <c r="J305" s="175"/>
      <c r="K305" s="197"/>
      <c r="L305" s="194"/>
      <c r="N305" s="188">
        <f t="shared" si="27"/>
        <v>0</v>
      </c>
      <c r="O305" s="189">
        <v>7.0000000000000007E-2</v>
      </c>
      <c r="P305" s="170">
        <f t="shared" si="28"/>
        <v>0</v>
      </c>
    </row>
    <row r="306" spans="1:16">
      <c r="A306" s="157"/>
      <c r="B306" s="154"/>
      <c r="C306" s="63"/>
      <c r="D306" s="199"/>
      <c r="E306" s="145"/>
      <c r="F306" s="61"/>
      <c r="G306" s="206"/>
      <c r="H306" s="74"/>
      <c r="I306" s="183"/>
      <c r="J306" s="175"/>
      <c r="K306" s="197"/>
      <c r="L306" s="194"/>
      <c r="N306" s="188">
        <f t="shared" si="27"/>
        <v>0</v>
      </c>
      <c r="O306" s="189">
        <v>7.0000000000000007E-2</v>
      </c>
      <c r="P306" s="170">
        <f t="shared" si="28"/>
        <v>0</v>
      </c>
    </row>
    <row r="307" spans="1:16">
      <c r="A307" s="157"/>
      <c r="B307" s="239"/>
      <c r="C307" s="222"/>
      <c r="D307" s="3464"/>
      <c r="E307" s="145"/>
      <c r="F307" s="61"/>
      <c r="G307" s="223"/>
      <c r="H307" s="224"/>
      <c r="I307" s="225"/>
      <c r="J307" s="209"/>
      <c r="K307" s="244"/>
      <c r="M307" s="188">
        <v>14244.12</v>
      </c>
      <c r="N307" s="188">
        <f t="shared" si="27"/>
        <v>13816.796400000001</v>
      </c>
      <c r="O307" s="189">
        <v>7.0000000000000007E-2</v>
      </c>
      <c r="P307" s="170">
        <f t="shared" si="28"/>
        <v>14783.972148000001</v>
      </c>
    </row>
    <row r="308" spans="1:16">
      <c r="A308" s="157"/>
      <c r="B308" s="162"/>
      <c r="C308" s="63"/>
      <c r="D308" s="199"/>
      <c r="E308" s="145"/>
      <c r="F308" s="61"/>
      <c r="G308" s="206"/>
      <c r="H308" s="74"/>
      <c r="I308" s="183"/>
      <c r="J308" s="175"/>
      <c r="K308" s="197"/>
      <c r="L308" s="194"/>
      <c r="M308" s="188">
        <v>3240</v>
      </c>
      <c r="N308" s="188">
        <f t="shared" si="27"/>
        <v>3142.8</v>
      </c>
      <c r="O308" s="189">
        <v>7.0000000000000007E-2</v>
      </c>
      <c r="P308" s="170">
        <f t="shared" si="28"/>
        <v>3362.7960000000003</v>
      </c>
    </row>
    <row r="309" spans="1:16">
      <c r="A309" s="157"/>
      <c r="B309" s="162"/>
      <c r="C309" s="63"/>
      <c r="D309" s="199"/>
      <c r="E309" s="145"/>
      <c r="F309" s="61"/>
      <c r="G309" s="206"/>
      <c r="H309" s="74"/>
      <c r="I309" s="183"/>
      <c r="J309" s="175"/>
      <c r="K309" s="197"/>
      <c r="L309" s="194"/>
      <c r="M309" s="188">
        <v>14700</v>
      </c>
      <c r="N309" s="188">
        <f t="shared" si="27"/>
        <v>14259</v>
      </c>
      <c r="O309" s="189">
        <v>7.0000000000000007E-2</v>
      </c>
      <c r="P309" s="170">
        <f t="shared" si="28"/>
        <v>15257.130000000001</v>
      </c>
    </row>
    <row r="310" spans="1:16">
      <c r="A310" s="157"/>
      <c r="B310" s="162"/>
      <c r="C310" s="222"/>
      <c r="D310" s="3464"/>
      <c r="E310" s="237"/>
      <c r="F310" s="238"/>
      <c r="G310" s="223"/>
      <c r="H310" s="224"/>
      <c r="I310" s="225"/>
      <c r="J310" s="209"/>
      <c r="K310" s="226"/>
      <c r="L310" s="229"/>
      <c r="M310" s="188">
        <v>14582.7</v>
      </c>
      <c r="N310" s="188">
        <f t="shared" si="27"/>
        <v>14145.219000000001</v>
      </c>
      <c r="O310" s="189">
        <v>7.0000000000000007E-2</v>
      </c>
      <c r="P310" s="170">
        <f t="shared" si="28"/>
        <v>15135.384330000001</v>
      </c>
    </row>
    <row r="311" spans="1:16">
      <c r="A311" s="157"/>
      <c r="B311" s="162"/>
      <c r="C311" s="63"/>
      <c r="D311" s="199"/>
      <c r="E311" s="145"/>
      <c r="F311" s="61"/>
      <c r="G311" s="206"/>
      <c r="H311" s="74"/>
      <c r="I311" s="183"/>
      <c r="J311" s="175"/>
      <c r="K311" s="197"/>
      <c r="L311" s="229"/>
      <c r="M311" s="188">
        <v>13483.8</v>
      </c>
      <c r="N311" s="188">
        <f t="shared" si="27"/>
        <v>13079.286</v>
      </c>
      <c r="O311" s="189">
        <v>7.0000000000000007E-2</v>
      </c>
      <c r="P311" s="170">
        <f t="shared" si="28"/>
        <v>13994.836020000001</v>
      </c>
    </row>
    <row r="312" spans="1:16">
      <c r="A312" s="157"/>
      <c r="B312" s="154"/>
      <c r="C312" s="222"/>
      <c r="D312" s="3464"/>
      <c r="E312" s="145"/>
      <c r="F312" s="61"/>
      <c r="G312" s="223"/>
      <c r="H312" s="224"/>
      <c r="I312" s="225"/>
      <c r="J312" s="209"/>
      <c r="K312" s="226"/>
      <c r="L312" s="229"/>
      <c r="M312" s="188">
        <v>2669.52</v>
      </c>
      <c r="N312" s="188">
        <f t="shared" si="27"/>
        <v>2589.4344000000001</v>
      </c>
      <c r="O312" s="189">
        <v>7.0000000000000007E-2</v>
      </c>
      <c r="P312" s="170">
        <f t="shared" si="28"/>
        <v>2770.6948080000002</v>
      </c>
    </row>
    <row r="313" spans="1:16">
      <c r="A313" s="157"/>
      <c r="B313" s="154"/>
      <c r="C313" s="222"/>
      <c r="D313" s="3464"/>
      <c r="E313" s="145"/>
      <c r="F313" s="61"/>
      <c r="G313" s="223"/>
      <c r="H313" s="224"/>
      <c r="I313" s="225"/>
      <c r="J313" s="209"/>
      <c r="K313" s="226"/>
      <c r="L313" s="229"/>
      <c r="N313" s="188">
        <f t="shared" si="27"/>
        <v>0</v>
      </c>
      <c r="O313" s="189">
        <v>7.0000000000000007E-2</v>
      </c>
      <c r="P313" s="170">
        <f t="shared" si="28"/>
        <v>0</v>
      </c>
    </row>
    <row r="314" spans="1:16">
      <c r="A314" s="221"/>
      <c r="B314" s="240"/>
      <c r="C314" s="222"/>
      <c r="D314" s="3464"/>
      <c r="E314" s="145"/>
      <c r="F314" s="61"/>
      <c r="G314" s="223"/>
      <c r="H314" s="224"/>
      <c r="I314" s="225"/>
      <c r="J314" s="209"/>
      <c r="K314" s="226"/>
      <c r="L314" s="229"/>
      <c r="M314" s="188">
        <v>12972.96</v>
      </c>
      <c r="N314" s="188">
        <f t="shared" si="27"/>
        <v>12583.771199999999</v>
      </c>
      <c r="O314" s="189">
        <v>7.0000000000000007E-2</v>
      </c>
      <c r="P314" s="170">
        <f t="shared" si="28"/>
        <v>13464.635183999999</v>
      </c>
    </row>
    <row r="315" spans="1:16">
      <c r="A315" s="157"/>
      <c r="B315" s="154"/>
      <c r="C315" s="63"/>
      <c r="D315" s="199"/>
      <c r="E315" s="145"/>
      <c r="F315" s="61"/>
      <c r="G315" s="206"/>
      <c r="H315" s="74"/>
      <c r="I315" s="183"/>
      <c r="J315" s="209"/>
      <c r="K315" s="197"/>
      <c r="L315" s="229"/>
      <c r="M315" s="188">
        <v>12687.84</v>
      </c>
      <c r="N315" s="188">
        <f t="shared" si="27"/>
        <v>12307.2048</v>
      </c>
      <c r="O315" s="189">
        <v>7.0000000000000007E-2</v>
      </c>
      <c r="P315" s="170">
        <f t="shared" si="28"/>
        <v>13168.709135999999</v>
      </c>
    </row>
    <row r="316" spans="1:16">
      <c r="A316" s="157"/>
      <c r="B316" s="154"/>
      <c r="C316" s="63"/>
      <c r="D316" s="199"/>
      <c r="E316" s="145"/>
      <c r="F316" s="61"/>
      <c r="G316" s="206"/>
      <c r="H316" s="74"/>
      <c r="I316" s="183"/>
      <c r="J316" s="175"/>
      <c r="K316" s="197"/>
      <c r="L316" s="194"/>
      <c r="M316" s="188">
        <v>16572.599999999999</v>
      </c>
      <c r="N316" s="188">
        <f t="shared" si="27"/>
        <v>16075.421999999999</v>
      </c>
      <c r="O316" s="189">
        <v>7.0000000000000007E-2</v>
      </c>
      <c r="P316" s="170">
        <f t="shared" si="28"/>
        <v>17200.701539999998</v>
      </c>
    </row>
    <row r="317" spans="1:16">
      <c r="A317" s="157"/>
      <c r="B317" s="154"/>
      <c r="C317" s="63"/>
      <c r="D317" s="199"/>
      <c r="E317" s="90"/>
      <c r="F317" s="61"/>
      <c r="G317" s="206"/>
      <c r="H317" s="74"/>
      <c r="I317" s="203"/>
      <c r="J317" s="175"/>
      <c r="K317" s="197"/>
      <c r="L317" s="194"/>
      <c r="M317" s="188">
        <v>6021.12</v>
      </c>
      <c r="N317" s="188">
        <f t="shared" ref="N317:N325" si="29">M317-(M317*0.03)</f>
        <v>5840.4863999999998</v>
      </c>
      <c r="O317" s="189">
        <v>7.0000000000000007E-2</v>
      </c>
      <c r="P317" s="170">
        <f>(N317*O317)+N317</f>
        <v>6249.3204479999995</v>
      </c>
    </row>
    <row r="318" spans="1:16">
      <c r="A318" s="157"/>
      <c r="B318" s="154"/>
      <c r="C318" s="63"/>
      <c r="D318" s="199"/>
      <c r="E318" s="90"/>
      <c r="F318" s="61"/>
      <c r="G318" s="206"/>
      <c r="H318" s="74"/>
      <c r="I318" s="183"/>
      <c r="J318" s="175"/>
      <c r="K318" s="197"/>
      <c r="L318" s="194"/>
      <c r="M318" s="188">
        <v>8714.16</v>
      </c>
      <c r="N318" s="188">
        <f t="shared" si="29"/>
        <v>8452.7351999999992</v>
      </c>
      <c r="O318" s="189">
        <v>7.0000000000000007E-2</v>
      </c>
      <c r="P318" s="170">
        <f>(N318*O318)+N318</f>
        <v>9044.4266639999987</v>
      </c>
    </row>
    <row r="319" spans="1:16">
      <c r="A319" s="157"/>
      <c r="B319" s="154"/>
      <c r="C319" s="63"/>
      <c r="D319" s="199"/>
      <c r="E319" s="90"/>
      <c r="F319" s="61"/>
      <c r="G319" s="206"/>
      <c r="H319" s="74"/>
      <c r="I319" s="183"/>
      <c r="J319" s="175"/>
      <c r="K319" s="197"/>
      <c r="L319" s="194"/>
      <c r="M319" s="188">
        <v>0</v>
      </c>
      <c r="N319" s="188">
        <f t="shared" si="29"/>
        <v>0</v>
      </c>
      <c r="O319" s="189">
        <v>7.0000000000000007E-2</v>
      </c>
      <c r="P319" s="170">
        <f t="shared" ref="P319:P325" si="30">(N319*O319)+N319</f>
        <v>0</v>
      </c>
    </row>
    <row r="320" spans="1:16" ht="35.25" customHeight="1">
      <c r="A320" s="157"/>
      <c r="B320" s="154"/>
      <c r="C320" s="63"/>
      <c r="D320" s="199"/>
      <c r="E320" s="90"/>
      <c r="F320" s="61"/>
      <c r="G320" s="206"/>
      <c r="H320" s="74"/>
      <c r="I320" s="183"/>
      <c r="J320" s="175"/>
      <c r="K320" s="197"/>
      <c r="L320" s="194"/>
      <c r="M320" s="188">
        <v>18537.7</v>
      </c>
      <c r="N320" s="188">
        <f t="shared" si="29"/>
        <v>17981.569</v>
      </c>
      <c r="O320" s="189">
        <v>7.0000000000000007E-2</v>
      </c>
      <c r="P320" s="170">
        <f t="shared" si="30"/>
        <v>19240.278829999999</v>
      </c>
    </row>
    <row r="321" spans="1:16">
      <c r="A321" s="158"/>
      <c r="B321" s="154"/>
      <c r="C321" s="63"/>
      <c r="D321" s="199"/>
      <c r="E321" s="91"/>
      <c r="F321" s="61"/>
      <c r="G321" s="206"/>
      <c r="H321" s="74"/>
      <c r="I321" s="183"/>
      <c r="J321" s="175"/>
      <c r="K321" s="197"/>
      <c r="L321" s="194"/>
      <c r="M321" s="188">
        <v>9031.68</v>
      </c>
      <c r="N321" s="188">
        <f t="shared" si="29"/>
        <v>8760.7296000000006</v>
      </c>
      <c r="O321" s="189">
        <v>7.0000000000000007E-2</v>
      </c>
      <c r="P321" s="170">
        <f t="shared" si="30"/>
        <v>9373.9806720000015</v>
      </c>
    </row>
    <row r="322" spans="1:16">
      <c r="A322" s="200"/>
      <c r="B322" s="154"/>
      <c r="C322" s="63"/>
      <c r="D322" s="199"/>
      <c r="E322" s="153"/>
      <c r="F322" s="61"/>
      <c r="G322" s="206"/>
      <c r="H322" s="88"/>
      <c r="I322" s="184"/>
      <c r="J322" s="201"/>
      <c r="K322" s="202"/>
      <c r="L322" s="194"/>
      <c r="N322" s="188">
        <f t="shared" si="29"/>
        <v>0</v>
      </c>
      <c r="O322" s="189">
        <v>7.0000000000000007E-2</v>
      </c>
      <c r="P322" s="170">
        <f t="shared" si="30"/>
        <v>0</v>
      </c>
    </row>
    <row r="323" spans="1:16">
      <c r="A323" s="157"/>
      <c r="B323" s="154"/>
      <c r="C323" s="63"/>
      <c r="D323" s="199"/>
      <c r="E323" s="198"/>
      <c r="F323" s="61"/>
      <c r="G323" s="206"/>
      <c r="H323" s="74"/>
      <c r="I323" s="183"/>
      <c r="J323" s="175"/>
      <c r="K323" s="197"/>
      <c r="L323" s="194"/>
      <c r="M323" s="188">
        <v>8478.9599999999991</v>
      </c>
      <c r="N323" s="188">
        <f t="shared" si="29"/>
        <v>8224.5911999999989</v>
      </c>
      <c r="O323" s="189">
        <v>7.0000000000000007E-2</v>
      </c>
      <c r="P323" s="170">
        <f t="shared" si="30"/>
        <v>8800.3125839999993</v>
      </c>
    </row>
    <row r="324" spans="1:16">
      <c r="A324" s="157"/>
      <c r="B324" s="154"/>
      <c r="C324" s="63"/>
      <c r="D324" s="199"/>
      <c r="E324" s="142"/>
      <c r="F324" s="61"/>
      <c r="G324" s="206"/>
      <c r="H324" s="74"/>
      <c r="I324" s="183"/>
      <c r="J324" s="175"/>
      <c r="K324" s="197"/>
      <c r="L324" s="194"/>
      <c r="M324" s="188">
        <v>11122.62</v>
      </c>
      <c r="N324" s="188">
        <f t="shared" si="29"/>
        <v>10788.941400000002</v>
      </c>
      <c r="O324" s="189">
        <v>7.0000000000000007E-2</v>
      </c>
      <c r="P324" s="170">
        <f t="shared" si="30"/>
        <v>11544.167298000002</v>
      </c>
    </row>
    <row r="325" spans="1:16">
      <c r="A325" s="157"/>
      <c r="B325" s="154"/>
      <c r="C325" s="63"/>
      <c r="D325" s="196"/>
      <c r="E325" s="120"/>
      <c r="F325" s="121"/>
      <c r="G325" s="206"/>
      <c r="H325" s="115"/>
      <c r="I325" s="185"/>
      <c r="J325" s="175"/>
      <c r="K325" s="197"/>
      <c r="L325" s="194"/>
      <c r="M325" s="188">
        <v>3813.12</v>
      </c>
      <c r="N325" s="188">
        <f t="shared" si="29"/>
        <v>3698.7264</v>
      </c>
      <c r="O325" s="189">
        <v>7.0000000000000007E-2</v>
      </c>
      <c r="P325" s="170">
        <f t="shared" si="30"/>
        <v>3957.637248</v>
      </c>
    </row>
    <row r="326" spans="1:16">
      <c r="A326" s="157"/>
      <c r="B326" s="154"/>
      <c r="C326" s="63"/>
      <c r="D326" s="196"/>
      <c r="E326" s="249"/>
      <c r="F326" s="121"/>
      <c r="G326" s="206"/>
      <c r="H326" s="115"/>
      <c r="I326" s="185"/>
      <c r="J326" s="175"/>
      <c r="K326" s="197"/>
      <c r="L326" s="194"/>
    </row>
    <row r="327" spans="1:16">
      <c r="A327" s="157"/>
      <c r="B327" s="154"/>
      <c r="C327" s="63"/>
      <c r="D327" s="196"/>
      <c r="E327" s="249"/>
      <c r="F327" s="121"/>
      <c r="G327" s="206"/>
      <c r="H327" s="115"/>
      <c r="I327" s="185"/>
      <c r="J327" s="175"/>
      <c r="K327" s="197"/>
      <c r="L327" s="194"/>
    </row>
    <row r="328" spans="1:16">
      <c r="A328" s="157"/>
      <c r="B328" s="154"/>
      <c r="C328" s="63"/>
      <c r="D328" s="196"/>
      <c r="E328" s="249"/>
      <c r="F328" s="121"/>
      <c r="G328" s="206"/>
      <c r="H328" s="115"/>
      <c r="I328" s="185"/>
      <c r="J328" s="175"/>
      <c r="K328" s="197"/>
      <c r="L328" s="194"/>
    </row>
    <row r="329" spans="1:16">
      <c r="A329" s="157"/>
      <c r="B329" s="154"/>
      <c r="C329" s="63"/>
      <c r="D329" s="196"/>
      <c r="E329" s="249"/>
      <c r="F329" s="121"/>
      <c r="G329" s="206"/>
      <c r="H329" s="115"/>
      <c r="I329" s="185"/>
      <c r="J329" s="175"/>
      <c r="K329" s="197"/>
      <c r="L329" s="194"/>
    </row>
    <row r="330" spans="1:16">
      <c r="A330" s="157"/>
      <c r="B330" s="154"/>
      <c r="C330" s="63"/>
      <c r="D330" s="196"/>
      <c r="E330" s="249"/>
      <c r="F330" s="121"/>
      <c r="G330" s="206"/>
      <c r="H330" s="115"/>
      <c r="I330" s="185"/>
      <c r="J330" s="175"/>
      <c r="K330" s="197"/>
      <c r="L330" s="194"/>
    </row>
    <row r="331" spans="1:16">
      <c r="A331" s="157"/>
      <c r="B331" s="154"/>
      <c r="C331" s="63"/>
      <c r="D331" s="196"/>
      <c r="E331" s="142"/>
      <c r="F331" s="61"/>
      <c r="G331" s="206"/>
      <c r="H331" s="74"/>
      <c r="I331" s="183"/>
      <c r="J331" s="175"/>
      <c r="K331" s="197"/>
      <c r="L331" s="194"/>
    </row>
    <row r="332" spans="1:16">
      <c r="A332" s="157"/>
      <c r="B332" s="154"/>
      <c r="C332" s="63"/>
      <c r="D332" s="196"/>
      <c r="E332" s="142"/>
      <c r="F332" s="61"/>
      <c r="G332" s="206"/>
      <c r="H332" s="74"/>
      <c r="I332" s="183"/>
      <c r="J332" s="175"/>
      <c r="K332" s="197"/>
      <c r="L332" s="194"/>
    </row>
    <row r="333" spans="1:16">
      <c r="A333" s="157"/>
      <c r="B333" s="154"/>
      <c r="C333" s="63"/>
      <c r="D333" s="196"/>
      <c r="E333" s="142"/>
      <c r="F333" s="61"/>
      <c r="G333" s="206"/>
      <c r="H333" s="74"/>
      <c r="I333" s="183"/>
      <c r="J333" s="175"/>
      <c r="K333" s="197"/>
      <c r="L333" s="194"/>
    </row>
    <row r="334" spans="1:16">
      <c r="A334" s="157"/>
      <c r="B334" s="161"/>
      <c r="C334" s="63"/>
      <c r="D334" s="196"/>
      <c r="E334" s="142"/>
      <c r="F334" s="61"/>
      <c r="G334" s="206"/>
      <c r="H334" s="74"/>
      <c r="I334" s="183"/>
      <c r="J334" s="175"/>
      <c r="K334" s="197"/>
      <c r="L334" s="194"/>
      <c r="M334" s="188">
        <v>8640</v>
      </c>
      <c r="N334" s="188">
        <f>M334-(M334*0.03)</f>
        <v>8380.7999999999993</v>
      </c>
      <c r="O334" s="189">
        <v>7.0000000000000007E-2</v>
      </c>
      <c r="P334" s="170">
        <f>(N334*O334)+N334</f>
        <v>8967.4559999999983</v>
      </c>
    </row>
    <row r="335" spans="1:16">
      <c r="A335" s="160"/>
      <c r="B335" s="154"/>
      <c r="C335" s="63"/>
      <c r="D335" s="196"/>
      <c r="E335" s="120"/>
      <c r="F335" s="121"/>
      <c r="G335" s="206"/>
      <c r="H335" s="115"/>
      <c r="I335" s="185"/>
      <c r="J335" s="174"/>
      <c r="K335" s="195"/>
      <c r="L335" s="194"/>
    </row>
    <row r="336" spans="1:16">
      <c r="F336" s="68"/>
    </row>
    <row r="337" spans="1:16">
      <c r="A337" s="44" t="s">
        <v>0</v>
      </c>
      <c r="B337" s="127"/>
      <c r="C337" s="104"/>
      <c r="F337" s="68"/>
      <c r="I337" s="179"/>
      <c r="K337" s="163"/>
      <c r="L337" s="168"/>
    </row>
    <row r="338" spans="1:16">
      <c r="A338" s="3480" t="s">
        <v>2512</v>
      </c>
      <c r="B338" s="3480"/>
      <c r="C338" s="44"/>
      <c r="D338" s="109"/>
      <c r="F338" s="68"/>
      <c r="I338" s="179"/>
      <c r="K338" s="163"/>
      <c r="L338" s="168"/>
    </row>
    <row r="339" spans="1:16" ht="35.25" thickBot="1">
      <c r="F339" s="68"/>
    </row>
    <row r="340" spans="1:16">
      <c r="A340" s="3493" t="s">
        <v>2</v>
      </c>
      <c r="B340" s="3482"/>
      <c r="C340" s="48" t="s">
        <v>3</v>
      </c>
      <c r="D340" s="128" t="s">
        <v>4</v>
      </c>
      <c r="E340" s="77" t="s">
        <v>5</v>
      </c>
      <c r="F340" s="78" t="s">
        <v>5</v>
      </c>
      <c r="G340" s="211" t="s">
        <v>6</v>
      </c>
      <c r="H340" s="140" t="s">
        <v>7</v>
      </c>
      <c r="I340" s="180" t="s">
        <v>1511</v>
      </c>
      <c r="J340" s="172" t="s">
        <v>9</v>
      </c>
      <c r="K340" s="186" t="s">
        <v>9</v>
      </c>
      <c r="L340" s="192" t="s">
        <v>2495</v>
      </c>
      <c r="M340" s="190"/>
    </row>
    <row r="341" spans="1:16" ht="35.25" thickBot="1">
      <c r="A341" s="155"/>
      <c r="B341" s="138"/>
      <c r="C341" s="50"/>
      <c r="D341" s="129" t="s">
        <v>10</v>
      </c>
      <c r="E341" s="79" t="s">
        <v>11</v>
      </c>
      <c r="F341" s="80" t="s">
        <v>12</v>
      </c>
      <c r="G341" s="212"/>
      <c r="H341" s="141" t="s">
        <v>13</v>
      </c>
      <c r="I341" s="181" t="s">
        <v>1512</v>
      </c>
      <c r="J341" s="173" t="s">
        <v>15</v>
      </c>
      <c r="K341" s="187" t="s">
        <v>14</v>
      </c>
      <c r="L341" s="193" t="s">
        <v>2496</v>
      </c>
      <c r="M341" s="190"/>
    </row>
    <row r="342" spans="1:16">
      <c r="A342" s="156"/>
      <c r="B342" s="154"/>
      <c r="C342" s="63"/>
      <c r="D342" s="199"/>
      <c r="E342" s="143"/>
      <c r="F342" s="69"/>
      <c r="G342" s="206"/>
      <c r="H342" s="74"/>
      <c r="I342" s="183"/>
      <c r="J342" s="175"/>
      <c r="K342" s="172"/>
      <c r="L342" s="194"/>
      <c r="M342" s="188">
        <v>3552</v>
      </c>
      <c r="N342" s="188">
        <f t="shared" ref="N342:N358" si="31">M342-(M342*0.03)</f>
        <v>3445.44</v>
      </c>
      <c r="O342" s="189">
        <v>7.0000000000000007E-2</v>
      </c>
      <c r="P342" s="170">
        <f t="shared" ref="P342:P358" si="32">(N342*O342)+N342</f>
        <v>3686.6208000000001</v>
      </c>
    </row>
    <row r="343" spans="1:16">
      <c r="A343" s="157"/>
      <c r="B343" s="154"/>
      <c r="C343" s="63"/>
      <c r="D343" s="199"/>
      <c r="E343" s="145"/>
      <c r="F343" s="61"/>
      <c r="G343" s="206"/>
      <c r="H343" s="74"/>
      <c r="I343" s="183"/>
      <c r="J343" s="175"/>
      <c r="K343" s="176"/>
      <c r="L343" s="194"/>
      <c r="N343" s="188">
        <f t="shared" si="31"/>
        <v>0</v>
      </c>
      <c r="O343" s="189">
        <v>7.0000000000000007E-2</v>
      </c>
      <c r="P343" s="170">
        <f t="shared" si="32"/>
        <v>0</v>
      </c>
    </row>
    <row r="344" spans="1:16">
      <c r="A344" s="157"/>
      <c r="B344" s="239"/>
      <c r="C344" s="63"/>
      <c r="D344" s="199"/>
      <c r="E344" s="145"/>
      <c r="F344" s="61"/>
      <c r="G344" s="206"/>
      <c r="H344" s="74"/>
      <c r="I344" s="183"/>
      <c r="J344" s="175"/>
      <c r="K344" s="245"/>
      <c r="L344" s="194"/>
      <c r="M344" s="188">
        <v>9498.06</v>
      </c>
      <c r="N344" s="188">
        <f t="shared" si="31"/>
        <v>9213.118199999999</v>
      </c>
      <c r="O344" s="189">
        <v>7.0000000000000007E-2</v>
      </c>
      <c r="P344" s="170">
        <f t="shared" si="32"/>
        <v>9858.0364739999986</v>
      </c>
    </row>
    <row r="345" spans="1:16">
      <c r="A345" s="157"/>
      <c r="B345" s="239"/>
      <c r="C345" s="63"/>
      <c r="D345" s="199"/>
      <c r="E345" s="145"/>
      <c r="F345" s="61"/>
      <c r="G345" s="206"/>
      <c r="H345" s="74"/>
      <c r="I345" s="183"/>
      <c r="J345" s="175"/>
      <c r="K345" s="197"/>
      <c r="L345" s="194"/>
      <c r="M345" s="188">
        <v>15305.4</v>
      </c>
      <c r="N345" s="188">
        <f t="shared" si="31"/>
        <v>14846.237999999999</v>
      </c>
      <c r="O345" s="189">
        <v>7.0000000000000007E-2</v>
      </c>
      <c r="P345" s="170">
        <f t="shared" si="32"/>
        <v>15885.47466</v>
      </c>
    </row>
    <row r="346" spans="1:16">
      <c r="A346" s="157"/>
      <c r="B346" s="154"/>
      <c r="C346" s="63"/>
      <c r="D346" s="199"/>
      <c r="E346" s="145"/>
      <c r="F346" s="61"/>
      <c r="G346" s="206"/>
      <c r="H346" s="74"/>
      <c r="I346" s="183"/>
      <c r="J346" s="175"/>
      <c r="K346" s="197"/>
      <c r="L346" s="194"/>
      <c r="N346" s="188">
        <f t="shared" si="31"/>
        <v>0</v>
      </c>
      <c r="O346" s="189">
        <v>7.0000000000000007E-2</v>
      </c>
      <c r="P346" s="170">
        <f t="shared" si="32"/>
        <v>0</v>
      </c>
    </row>
    <row r="347" spans="1:16">
      <c r="A347" s="157"/>
      <c r="B347" s="154"/>
      <c r="C347" s="63"/>
      <c r="D347" s="199"/>
      <c r="E347" s="145"/>
      <c r="F347" s="61"/>
      <c r="G347" s="206"/>
      <c r="H347" s="74"/>
      <c r="I347" s="183"/>
      <c r="J347" s="175"/>
      <c r="K347" s="197"/>
      <c r="L347" s="194"/>
      <c r="N347" s="188">
        <f t="shared" si="31"/>
        <v>0</v>
      </c>
      <c r="O347" s="189">
        <v>7.0000000000000007E-2</v>
      </c>
      <c r="P347" s="170">
        <f t="shared" si="32"/>
        <v>0</v>
      </c>
    </row>
    <row r="348" spans="1:16">
      <c r="A348" s="157"/>
      <c r="B348" s="154"/>
      <c r="C348" s="63"/>
      <c r="D348" s="199"/>
      <c r="E348" s="145"/>
      <c r="F348" s="61"/>
      <c r="G348" s="206"/>
      <c r="H348" s="74"/>
      <c r="I348" s="183"/>
      <c r="J348" s="175"/>
      <c r="K348" s="197"/>
      <c r="L348" s="194"/>
      <c r="N348" s="188">
        <f t="shared" si="31"/>
        <v>0</v>
      </c>
      <c r="O348" s="189">
        <v>7.0000000000000007E-2</v>
      </c>
      <c r="P348" s="170">
        <f t="shared" si="32"/>
        <v>0</v>
      </c>
    </row>
    <row r="349" spans="1:16">
      <c r="A349" s="157"/>
      <c r="B349" s="239"/>
      <c r="C349" s="222"/>
      <c r="D349" s="3464"/>
      <c r="E349" s="145"/>
      <c r="F349" s="61"/>
      <c r="G349" s="223"/>
      <c r="H349" s="224"/>
      <c r="I349" s="225"/>
      <c r="J349" s="209"/>
      <c r="K349" s="244"/>
      <c r="M349" s="188">
        <v>14244.12</v>
      </c>
      <c r="N349" s="188">
        <f t="shared" si="31"/>
        <v>13816.796400000001</v>
      </c>
      <c r="O349" s="189">
        <v>7.0000000000000007E-2</v>
      </c>
      <c r="P349" s="170">
        <f t="shared" si="32"/>
        <v>14783.972148000001</v>
      </c>
    </row>
    <row r="350" spans="1:16">
      <c r="A350" s="157"/>
      <c r="B350" s="162"/>
      <c r="C350" s="63"/>
      <c r="D350" s="199"/>
      <c r="E350" s="145"/>
      <c r="F350" s="61"/>
      <c r="G350" s="206"/>
      <c r="H350" s="74"/>
      <c r="I350" s="183"/>
      <c r="J350" s="175"/>
      <c r="K350" s="197"/>
      <c r="L350" s="194"/>
      <c r="M350" s="188">
        <v>3240</v>
      </c>
      <c r="N350" s="188">
        <f t="shared" si="31"/>
        <v>3142.8</v>
      </c>
      <c r="O350" s="189">
        <v>7.0000000000000007E-2</v>
      </c>
      <c r="P350" s="170">
        <f t="shared" si="32"/>
        <v>3362.7960000000003</v>
      </c>
    </row>
    <row r="351" spans="1:16">
      <c r="A351" s="157"/>
      <c r="B351" s="162"/>
      <c r="C351" s="63"/>
      <c r="D351" s="199"/>
      <c r="E351" s="145"/>
      <c r="F351" s="61"/>
      <c r="G351" s="206"/>
      <c r="H351" s="74"/>
      <c r="I351" s="183"/>
      <c r="J351" s="175"/>
      <c r="K351" s="197"/>
      <c r="L351" s="194"/>
      <c r="M351" s="188">
        <v>14700</v>
      </c>
      <c r="N351" s="188">
        <f t="shared" si="31"/>
        <v>14259</v>
      </c>
      <c r="O351" s="189">
        <v>7.0000000000000007E-2</v>
      </c>
      <c r="P351" s="170">
        <f t="shared" si="32"/>
        <v>15257.130000000001</v>
      </c>
    </row>
    <row r="352" spans="1:16">
      <c r="A352" s="157"/>
      <c r="B352" s="162"/>
      <c r="C352" s="222"/>
      <c r="D352" s="3464"/>
      <c r="E352" s="237"/>
      <c r="F352" s="238"/>
      <c r="G352" s="223"/>
      <c r="H352" s="224"/>
      <c r="I352" s="225"/>
      <c r="J352" s="209"/>
      <c r="K352" s="226"/>
      <c r="L352" s="229"/>
      <c r="M352" s="188">
        <v>14582.7</v>
      </c>
      <c r="N352" s="188">
        <f t="shared" si="31"/>
        <v>14145.219000000001</v>
      </c>
      <c r="O352" s="189">
        <v>7.0000000000000007E-2</v>
      </c>
      <c r="P352" s="170">
        <f t="shared" si="32"/>
        <v>15135.384330000001</v>
      </c>
    </row>
    <row r="353" spans="1:16">
      <c r="A353" s="157"/>
      <c r="B353" s="162"/>
      <c r="C353" s="63"/>
      <c r="D353" s="199"/>
      <c r="E353" s="145"/>
      <c r="F353" s="61"/>
      <c r="G353" s="206"/>
      <c r="H353" s="74"/>
      <c r="I353" s="183"/>
      <c r="J353" s="175"/>
      <c r="K353" s="197"/>
      <c r="L353" s="229"/>
      <c r="M353" s="188">
        <v>13483.8</v>
      </c>
      <c r="N353" s="188">
        <f t="shared" si="31"/>
        <v>13079.286</v>
      </c>
      <c r="O353" s="189">
        <v>7.0000000000000007E-2</v>
      </c>
      <c r="P353" s="170">
        <f t="shared" si="32"/>
        <v>13994.836020000001</v>
      </c>
    </row>
    <row r="354" spans="1:16">
      <c r="A354" s="157"/>
      <c r="B354" s="154"/>
      <c r="C354" s="222"/>
      <c r="D354" s="3464"/>
      <c r="E354" s="145"/>
      <c r="F354" s="61"/>
      <c r="G354" s="223"/>
      <c r="H354" s="224"/>
      <c r="I354" s="225"/>
      <c r="J354" s="209"/>
      <c r="K354" s="226"/>
      <c r="L354" s="229"/>
      <c r="M354" s="188">
        <v>2669.52</v>
      </c>
      <c r="N354" s="188">
        <f t="shared" si="31"/>
        <v>2589.4344000000001</v>
      </c>
      <c r="O354" s="189">
        <v>7.0000000000000007E-2</v>
      </c>
      <c r="P354" s="170">
        <f t="shared" si="32"/>
        <v>2770.6948080000002</v>
      </c>
    </row>
    <row r="355" spans="1:16">
      <c r="A355" s="157"/>
      <c r="B355" s="154"/>
      <c r="C355" s="222"/>
      <c r="D355" s="3464"/>
      <c r="E355" s="145"/>
      <c r="F355" s="61"/>
      <c r="G355" s="223"/>
      <c r="H355" s="224"/>
      <c r="I355" s="225"/>
      <c r="J355" s="209"/>
      <c r="K355" s="226"/>
      <c r="L355" s="229"/>
      <c r="N355" s="188">
        <f t="shared" si="31"/>
        <v>0</v>
      </c>
      <c r="O355" s="189">
        <v>7.0000000000000007E-2</v>
      </c>
      <c r="P355" s="170">
        <f t="shared" si="32"/>
        <v>0</v>
      </c>
    </row>
    <row r="356" spans="1:16">
      <c r="A356" s="221"/>
      <c r="B356" s="240"/>
      <c r="C356" s="222"/>
      <c r="D356" s="3464"/>
      <c r="E356" s="145"/>
      <c r="F356" s="61"/>
      <c r="G356" s="223"/>
      <c r="H356" s="224"/>
      <c r="I356" s="225"/>
      <c r="J356" s="209"/>
      <c r="K356" s="226"/>
      <c r="L356" s="229"/>
      <c r="M356" s="188">
        <v>12972.96</v>
      </c>
      <c r="N356" s="188">
        <f t="shared" si="31"/>
        <v>12583.771199999999</v>
      </c>
      <c r="O356" s="189">
        <v>7.0000000000000007E-2</v>
      </c>
      <c r="P356" s="170">
        <f t="shared" si="32"/>
        <v>13464.635183999999</v>
      </c>
    </row>
    <row r="357" spans="1:16">
      <c r="A357" s="157"/>
      <c r="B357" s="154"/>
      <c r="C357" s="63"/>
      <c r="D357" s="199"/>
      <c r="E357" s="145"/>
      <c r="F357" s="61"/>
      <c r="G357" s="206"/>
      <c r="H357" s="74"/>
      <c r="I357" s="183"/>
      <c r="J357" s="209"/>
      <c r="K357" s="197"/>
      <c r="L357" s="229"/>
      <c r="M357" s="188">
        <v>12687.84</v>
      </c>
      <c r="N357" s="188">
        <f t="shared" si="31"/>
        <v>12307.2048</v>
      </c>
      <c r="O357" s="189">
        <v>7.0000000000000007E-2</v>
      </c>
      <c r="P357" s="170">
        <f t="shared" si="32"/>
        <v>13168.709135999999</v>
      </c>
    </row>
    <row r="358" spans="1:16" ht="35.25" customHeight="1">
      <c r="A358" s="157"/>
      <c r="B358" s="154"/>
      <c r="C358" s="63"/>
      <c r="D358" s="199"/>
      <c r="E358" s="145"/>
      <c r="F358" s="61"/>
      <c r="G358" s="206"/>
      <c r="H358" s="74"/>
      <c r="I358" s="183"/>
      <c r="J358" s="175"/>
      <c r="K358" s="197"/>
      <c r="L358" s="194"/>
      <c r="M358" s="188">
        <v>16572.599999999999</v>
      </c>
      <c r="N358" s="188">
        <f t="shared" si="31"/>
        <v>16075.421999999999</v>
      </c>
      <c r="O358" s="189">
        <v>7.0000000000000007E-2</v>
      </c>
      <c r="P358" s="170">
        <f t="shared" si="32"/>
        <v>17200.701539999998</v>
      </c>
    </row>
    <row r="359" spans="1:16">
      <c r="A359" s="157"/>
      <c r="B359" s="154"/>
      <c r="C359" s="63"/>
      <c r="D359" s="199"/>
      <c r="E359" s="90"/>
      <c r="F359" s="61"/>
      <c r="G359" s="206"/>
      <c r="H359" s="74"/>
      <c r="I359" s="203"/>
      <c r="J359" s="175"/>
      <c r="K359" s="197"/>
      <c r="L359" s="194"/>
      <c r="M359" s="188">
        <v>6021.12</v>
      </c>
      <c r="N359" s="188">
        <f>M359-(M359*0.03)</f>
        <v>5840.4863999999998</v>
      </c>
      <c r="O359" s="189">
        <v>7.0000000000000007E-2</v>
      </c>
      <c r="P359" s="170">
        <f>(N359*O359)+N359</f>
        <v>6249.3204479999995</v>
      </c>
    </row>
    <row r="360" spans="1:16">
      <c r="A360" s="157"/>
      <c r="B360" s="154"/>
      <c r="C360" s="63"/>
      <c r="D360" s="199"/>
      <c r="E360" s="90"/>
      <c r="F360" s="61"/>
      <c r="G360" s="206"/>
      <c r="H360" s="74"/>
      <c r="I360" s="183"/>
      <c r="J360" s="175"/>
      <c r="K360" s="197"/>
      <c r="L360" s="194"/>
      <c r="M360" s="188">
        <v>8714.16</v>
      </c>
      <c r="N360" s="188">
        <f>M360-(M360*0.03)</f>
        <v>8452.7351999999992</v>
      </c>
      <c r="O360" s="189">
        <v>7.0000000000000007E-2</v>
      </c>
      <c r="P360" s="170">
        <f>(N360*O360)+N360</f>
        <v>9044.4266639999987</v>
      </c>
    </row>
    <row r="361" spans="1:16">
      <c r="A361" s="157"/>
      <c r="B361" s="154"/>
      <c r="C361" s="63"/>
      <c r="D361" s="199"/>
      <c r="E361" s="90"/>
      <c r="F361" s="61"/>
      <c r="G361" s="206"/>
      <c r="H361" s="74"/>
      <c r="I361" s="183"/>
      <c r="J361" s="175"/>
      <c r="K361" s="197"/>
      <c r="L361" s="194"/>
      <c r="M361" s="188">
        <v>0</v>
      </c>
      <c r="N361" s="188">
        <f>M361-(M361*0.03)</f>
        <v>0</v>
      </c>
      <c r="O361" s="189">
        <v>7.0000000000000007E-2</v>
      </c>
      <c r="P361" s="170">
        <f t="shared" ref="P361:P367" si="33">(N361*O361)+N361</f>
        <v>0</v>
      </c>
    </row>
    <row r="362" spans="1:16">
      <c r="A362" s="157"/>
      <c r="B362" s="154"/>
      <c r="C362" s="63"/>
      <c r="D362" s="199"/>
      <c r="E362" s="90"/>
      <c r="F362" s="61"/>
      <c r="G362" s="206"/>
      <c r="H362" s="74"/>
      <c r="I362" s="183"/>
      <c r="J362" s="175"/>
      <c r="K362" s="197"/>
      <c r="L362" s="194"/>
      <c r="M362" s="188">
        <v>18537.7</v>
      </c>
      <c r="N362" s="188">
        <f>M362-(M362*0.03)</f>
        <v>17981.569</v>
      </c>
      <c r="O362" s="189">
        <v>7.0000000000000007E-2</v>
      </c>
      <c r="P362" s="170">
        <f t="shared" si="33"/>
        <v>19240.278829999999</v>
      </c>
    </row>
    <row r="363" spans="1:16">
      <c r="A363" s="158"/>
      <c r="B363" s="154"/>
      <c r="C363" s="63"/>
      <c r="D363" s="199"/>
      <c r="E363" s="91"/>
      <c r="F363" s="61"/>
      <c r="G363" s="206"/>
      <c r="H363" s="74"/>
      <c r="I363" s="183"/>
      <c r="J363" s="175"/>
      <c r="K363" s="197"/>
      <c r="L363" s="194"/>
      <c r="M363" s="188">
        <v>9031.68</v>
      </c>
      <c r="N363" s="188">
        <f t="shared" ref="N363:N373" si="34">M363-(M363*0.03)</f>
        <v>8760.7296000000006</v>
      </c>
      <c r="O363" s="189">
        <v>7.0000000000000007E-2</v>
      </c>
      <c r="P363" s="170">
        <f t="shared" si="33"/>
        <v>9373.9806720000015</v>
      </c>
    </row>
    <row r="364" spans="1:16">
      <c r="A364" s="200"/>
      <c r="B364" s="154"/>
      <c r="C364" s="63"/>
      <c r="D364" s="199"/>
      <c r="E364" s="153"/>
      <c r="F364" s="61"/>
      <c r="G364" s="206"/>
      <c r="H364" s="88"/>
      <c r="I364" s="184"/>
      <c r="J364" s="201"/>
      <c r="K364" s="202"/>
      <c r="L364" s="194"/>
      <c r="N364" s="188">
        <f t="shared" si="34"/>
        <v>0</v>
      </c>
      <c r="O364" s="189">
        <v>7.0000000000000007E-2</v>
      </c>
      <c r="P364" s="170">
        <f t="shared" si="33"/>
        <v>0</v>
      </c>
    </row>
    <row r="365" spans="1:16">
      <c r="A365" s="157"/>
      <c r="B365" s="154"/>
      <c r="C365" s="63"/>
      <c r="D365" s="199"/>
      <c r="E365" s="198"/>
      <c r="F365" s="61"/>
      <c r="G365" s="206"/>
      <c r="H365" s="74"/>
      <c r="I365" s="183"/>
      <c r="J365" s="175"/>
      <c r="K365" s="197"/>
      <c r="L365" s="194"/>
      <c r="M365" s="188">
        <v>8478.9599999999991</v>
      </c>
      <c r="N365" s="188">
        <f t="shared" si="34"/>
        <v>8224.5911999999989</v>
      </c>
      <c r="O365" s="189">
        <v>7.0000000000000007E-2</v>
      </c>
      <c r="P365" s="170">
        <f t="shared" si="33"/>
        <v>8800.3125839999993</v>
      </c>
    </row>
    <row r="366" spans="1:16">
      <c r="A366" s="157"/>
      <c r="B366" s="154"/>
      <c r="C366" s="63"/>
      <c r="D366" s="199"/>
      <c r="E366" s="142"/>
      <c r="F366" s="61"/>
      <c r="G366" s="206"/>
      <c r="H366" s="74"/>
      <c r="I366" s="183"/>
      <c r="J366" s="175"/>
      <c r="K366" s="197"/>
      <c r="L366" s="194"/>
      <c r="M366" s="188">
        <v>11122.62</v>
      </c>
      <c r="N366" s="188">
        <f t="shared" si="34"/>
        <v>10788.941400000002</v>
      </c>
      <c r="O366" s="189">
        <v>7.0000000000000007E-2</v>
      </c>
      <c r="P366" s="170">
        <f t="shared" si="33"/>
        <v>11544.167298000002</v>
      </c>
    </row>
    <row r="367" spans="1:16">
      <c r="A367" s="157"/>
      <c r="B367" s="154"/>
      <c r="C367" s="63"/>
      <c r="D367" s="196"/>
      <c r="E367" s="120"/>
      <c r="F367" s="121"/>
      <c r="G367" s="206"/>
      <c r="H367" s="115"/>
      <c r="I367" s="185"/>
      <c r="J367" s="175"/>
      <c r="K367" s="197"/>
      <c r="L367" s="194"/>
      <c r="M367" s="188">
        <v>3813.12</v>
      </c>
      <c r="N367" s="188">
        <f t="shared" si="34"/>
        <v>3698.7264</v>
      </c>
      <c r="O367" s="189">
        <v>7.0000000000000007E-2</v>
      </c>
      <c r="P367" s="170">
        <f t="shared" si="33"/>
        <v>3957.637248</v>
      </c>
    </row>
    <row r="368" spans="1:16">
      <c r="A368" s="157"/>
      <c r="B368" s="154"/>
      <c r="C368" s="63"/>
      <c r="D368" s="196"/>
      <c r="E368" s="249"/>
      <c r="F368" s="121"/>
      <c r="G368" s="206"/>
      <c r="H368" s="115"/>
      <c r="I368" s="185"/>
      <c r="J368" s="175"/>
      <c r="K368" s="197"/>
      <c r="L368" s="194"/>
    </row>
    <row r="369" spans="1:16">
      <c r="A369" s="157"/>
      <c r="B369" s="154"/>
      <c r="C369" s="63"/>
      <c r="D369" s="196"/>
      <c r="E369" s="249"/>
      <c r="F369" s="121"/>
      <c r="G369" s="206"/>
      <c r="H369" s="115"/>
      <c r="I369" s="185"/>
      <c r="J369" s="175"/>
      <c r="K369" s="197"/>
      <c r="L369" s="194"/>
    </row>
    <row r="370" spans="1:16">
      <c r="A370" s="157"/>
      <c r="B370" s="154"/>
      <c r="C370" s="63"/>
      <c r="D370" s="196"/>
      <c r="E370" s="249"/>
      <c r="F370" s="121"/>
      <c r="G370" s="206"/>
      <c r="H370" s="115"/>
      <c r="I370" s="185"/>
      <c r="J370" s="175"/>
      <c r="K370" s="197"/>
      <c r="L370" s="194"/>
    </row>
    <row r="371" spans="1:16">
      <c r="A371" s="157"/>
      <c r="B371" s="154"/>
      <c r="C371" s="63"/>
      <c r="D371" s="196"/>
      <c r="E371" s="142"/>
      <c r="F371" s="61"/>
      <c r="G371" s="206"/>
      <c r="H371" s="74"/>
      <c r="I371" s="183"/>
      <c r="J371" s="175"/>
      <c r="K371" s="197"/>
      <c r="L371" s="194"/>
    </row>
    <row r="372" spans="1:16">
      <c r="A372" s="157"/>
      <c r="B372" s="154"/>
      <c r="C372" s="63"/>
      <c r="D372" s="196"/>
      <c r="E372" s="142"/>
      <c r="F372" s="61"/>
      <c r="G372" s="206"/>
      <c r="H372" s="74"/>
      <c r="I372" s="183"/>
      <c r="J372" s="175"/>
      <c r="K372" s="197"/>
      <c r="L372" s="194"/>
    </row>
    <row r="373" spans="1:16">
      <c r="A373" s="157"/>
      <c r="B373" s="161"/>
      <c r="C373" s="63"/>
      <c r="D373" s="196"/>
      <c r="E373" s="142"/>
      <c r="F373" s="61"/>
      <c r="G373" s="206"/>
      <c r="H373" s="74"/>
      <c r="I373" s="183"/>
      <c r="J373" s="175"/>
      <c r="K373" s="197"/>
      <c r="L373" s="194"/>
      <c r="M373" s="188">
        <v>8640</v>
      </c>
      <c r="N373" s="188">
        <f t="shared" si="34"/>
        <v>8380.7999999999993</v>
      </c>
      <c r="O373" s="189">
        <v>7.0000000000000007E-2</v>
      </c>
      <c r="P373" s="170">
        <f>(N373*O373)+N373</f>
        <v>8967.4559999999983</v>
      </c>
    </row>
    <row r="374" spans="1:16">
      <c r="A374" s="157"/>
      <c r="B374" s="161"/>
      <c r="C374" s="63"/>
      <c r="D374" s="196"/>
      <c r="E374" s="142"/>
      <c r="F374" s="61"/>
      <c r="G374" s="206"/>
      <c r="H374" s="74"/>
      <c r="I374" s="183"/>
      <c r="J374" s="175"/>
      <c r="K374" s="197"/>
      <c r="L374" s="194"/>
    </row>
    <row r="375" spans="1:16">
      <c r="A375" s="157"/>
      <c r="B375" s="161"/>
      <c r="C375" s="63"/>
      <c r="D375" s="196"/>
      <c r="E375" s="142"/>
      <c r="F375" s="61"/>
      <c r="G375" s="206"/>
      <c r="H375" s="74"/>
      <c r="I375" s="183"/>
      <c r="J375" s="175"/>
      <c r="K375" s="197"/>
      <c r="L375" s="194"/>
    </row>
    <row r="376" spans="1:16">
      <c r="A376" s="157"/>
      <c r="B376" s="161"/>
      <c r="C376" s="63"/>
      <c r="D376" s="196"/>
      <c r="E376" s="142"/>
      <c r="F376" s="61"/>
      <c r="G376" s="206"/>
      <c r="H376" s="74"/>
      <c r="I376" s="183"/>
      <c r="J376" s="175"/>
      <c r="K376" s="197"/>
      <c r="L376" s="194"/>
    </row>
    <row r="377" spans="1:16">
      <c r="A377" s="160"/>
      <c r="B377" s="154"/>
      <c r="C377" s="63"/>
      <c r="D377" s="196"/>
      <c r="E377" s="120"/>
      <c r="F377" s="121"/>
      <c r="G377" s="206"/>
      <c r="H377" s="115"/>
      <c r="I377" s="185"/>
      <c r="J377" s="174"/>
      <c r="K377" s="195"/>
      <c r="L377" s="194"/>
    </row>
    <row r="378" spans="1:16">
      <c r="A378" s="204"/>
      <c r="B378" s="3444"/>
      <c r="C378" s="3444"/>
      <c r="D378" s="3444"/>
      <c r="E378" s="3444"/>
      <c r="F378" s="3444"/>
      <c r="G378" s="213"/>
      <c r="H378" s="109"/>
      <c r="I378" s="3444"/>
      <c r="J378" s="234"/>
      <c r="K378" s="3444"/>
      <c r="L378" s="235"/>
      <c r="M378" s="3444"/>
    </row>
    <row r="379" spans="1:16">
      <c r="A379" s="44" t="s">
        <v>0</v>
      </c>
      <c r="B379" s="127"/>
      <c r="C379" s="104"/>
      <c r="F379" s="68"/>
      <c r="I379" s="179"/>
      <c r="K379" s="163"/>
      <c r="L379" s="168"/>
    </row>
    <row r="380" spans="1:16">
      <c r="A380" s="3480" t="s">
        <v>2512</v>
      </c>
      <c r="B380" s="3480"/>
      <c r="C380" s="44"/>
      <c r="D380" s="109"/>
      <c r="F380" s="68"/>
      <c r="I380" s="179"/>
      <c r="K380" s="163"/>
      <c r="L380" s="168"/>
    </row>
    <row r="381" spans="1:16" ht="35.25" thickBot="1">
      <c r="F381" s="68"/>
    </row>
    <row r="382" spans="1:16">
      <c r="A382" s="3493" t="s">
        <v>2</v>
      </c>
      <c r="B382" s="3482"/>
      <c r="C382" s="48" t="s">
        <v>3</v>
      </c>
      <c r="D382" s="128" t="s">
        <v>4</v>
      </c>
      <c r="E382" s="77" t="s">
        <v>5</v>
      </c>
      <c r="F382" s="78" t="s">
        <v>5</v>
      </c>
      <c r="G382" s="211" t="s">
        <v>6</v>
      </c>
      <c r="H382" s="140" t="s">
        <v>7</v>
      </c>
      <c r="I382" s="180" t="s">
        <v>1511</v>
      </c>
      <c r="J382" s="172" t="s">
        <v>9</v>
      </c>
      <c r="K382" s="186" t="s">
        <v>9</v>
      </c>
      <c r="L382" s="192" t="s">
        <v>2495</v>
      </c>
      <c r="M382" s="190"/>
    </row>
    <row r="383" spans="1:16" ht="35.25" thickBot="1">
      <c r="A383" s="155"/>
      <c r="B383" s="138"/>
      <c r="C383" s="50"/>
      <c r="D383" s="129" t="s">
        <v>10</v>
      </c>
      <c r="E383" s="79" t="s">
        <v>11</v>
      </c>
      <c r="F383" s="80" t="s">
        <v>12</v>
      </c>
      <c r="G383" s="212"/>
      <c r="H383" s="141" t="s">
        <v>13</v>
      </c>
      <c r="I383" s="181" t="s">
        <v>1512</v>
      </c>
      <c r="J383" s="173" t="s">
        <v>15</v>
      </c>
      <c r="K383" s="187" t="s">
        <v>14</v>
      </c>
      <c r="L383" s="193" t="s">
        <v>2496</v>
      </c>
      <c r="M383" s="190"/>
    </row>
    <row r="384" spans="1:16">
      <c r="A384" s="156"/>
      <c r="B384" s="154"/>
      <c r="C384" s="63"/>
      <c r="D384" s="199"/>
      <c r="E384" s="143"/>
      <c r="F384" s="69"/>
      <c r="G384" s="206"/>
      <c r="H384" s="74"/>
      <c r="I384" s="183"/>
      <c r="J384" s="175"/>
      <c r="K384" s="172"/>
      <c r="L384" s="194"/>
      <c r="M384" s="188">
        <v>3552</v>
      </c>
      <c r="N384" s="188">
        <f t="shared" ref="N384:N400" si="35">M384-(M384*0.03)</f>
        <v>3445.44</v>
      </c>
      <c r="O384" s="189">
        <v>7.0000000000000007E-2</v>
      </c>
      <c r="P384" s="170">
        <f t="shared" ref="P384:P400" si="36">(N384*O384)+N384</f>
        <v>3686.6208000000001</v>
      </c>
    </row>
    <row r="385" spans="1:16">
      <c r="A385" s="157"/>
      <c r="B385" s="154"/>
      <c r="C385" s="63"/>
      <c r="D385" s="199"/>
      <c r="E385" s="145"/>
      <c r="F385" s="61"/>
      <c r="G385" s="206"/>
      <c r="H385" s="74"/>
      <c r="I385" s="183"/>
      <c r="J385" s="175"/>
      <c r="K385" s="176"/>
      <c r="L385" s="194"/>
      <c r="N385" s="188">
        <f t="shared" si="35"/>
        <v>0</v>
      </c>
      <c r="O385" s="189">
        <v>7.0000000000000007E-2</v>
      </c>
      <c r="P385" s="170">
        <f t="shared" si="36"/>
        <v>0</v>
      </c>
    </row>
    <row r="386" spans="1:16">
      <c r="A386" s="157"/>
      <c r="B386" s="239"/>
      <c r="C386" s="63"/>
      <c r="D386" s="199"/>
      <c r="E386" s="145"/>
      <c r="F386" s="61"/>
      <c r="G386" s="206"/>
      <c r="H386" s="74"/>
      <c r="I386" s="183"/>
      <c r="J386" s="175"/>
      <c r="K386" s="245"/>
      <c r="L386" s="194"/>
      <c r="M386" s="188">
        <v>9498.06</v>
      </c>
      <c r="N386" s="188">
        <f t="shared" si="35"/>
        <v>9213.118199999999</v>
      </c>
      <c r="O386" s="189">
        <v>7.0000000000000007E-2</v>
      </c>
      <c r="P386" s="170">
        <f t="shared" si="36"/>
        <v>9858.0364739999986</v>
      </c>
    </row>
    <row r="387" spans="1:16">
      <c r="A387" s="157"/>
      <c r="B387" s="239"/>
      <c r="C387" s="63"/>
      <c r="D387" s="199"/>
      <c r="E387" s="145"/>
      <c r="F387" s="61"/>
      <c r="G387" s="206"/>
      <c r="H387" s="74"/>
      <c r="I387" s="183"/>
      <c r="J387" s="175"/>
      <c r="K387" s="197"/>
      <c r="L387" s="194"/>
      <c r="M387" s="188">
        <v>15305.4</v>
      </c>
      <c r="N387" s="188">
        <f t="shared" si="35"/>
        <v>14846.237999999999</v>
      </c>
      <c r="O387" s="189">
        <v>7.0000000000000007E-2</v>
      </c>
      <c r="P387" s="170">
        <f t="shared" si="36"/>
        <v>15885.47466</v>
      </c>
    </row>
    <row r="388" spans="1:16">
      <c r="A388" s="157"/>
      <c r="B388" s="154"/>
      <c r="C388" s="63"/>
      <c r="D388" s="199"/>
      <c r="E388" s="145"/>
      <c r="F388" s="61"/>
      <c r="G388" s="206"/>
      <c r="H388" s="74"/>
      <c r="I388" s="183"/>
      <c r="J388" s="175"/>
      <c r="K388" s="197"/>
      <c r="L388" s="194"/>
      <c r="N388" s="188">
        <f t="shared" si="35"/>
        <v>0</v>
      </c>
      <c r="O388" s="189">
        <v>7.0000000000000007E-2</v>
      </c>
      <c r="P388" s="170">
        <f t="shared" si="36"/>
        <v>0</v>
      </c>
    </row>
    <row r="389" spans="1:16">
      <c r="A389" s="157"/>
      <c r="B389" s="154"/>
      <c r="C389" s="63"/>
      <c r="D389" s="199"/>
      <c r="E389" s="145"/>
      <c r="F389" s="61"/>
      <c r="G389" s="206"/>
      <c r="H389" s="74"/>
      <c r="I389" s="183"/>
      <c r="J389" s="175"/>
      <c r="K389" s="197"/>
      <c r="L389" s="194"/>
      <c r="N389" s="188">
        <f t="shared" si="35"/>
        <v>0</v>
      </c>
      <c r="O389" s="189">
        <v>7.0000000000000007E-2</v>
      </c>
      <c r="P389" s="170">
        <f t="shared" si="36"/>
        <v>0</v>
      </c>
    </row>
    <row r="390" spans="1:16">
      <c r="A390" s="157"/>
      <c r="B390" s="154"/>
      <c r="C390" s="63"/>
      <c r="D390" s="199"/>
      <c r="E390" s="145"/>
      <c r="F390" s="61"/>
      <c r="G390" s="206"/>
      <c r="H390" s="74"/>
      <c r="I390" s="183"/>
      <c r="J390" s="175"/>
      <c r="K390" s="197"/>
      <c r="L390" s="194"/>
      <c r="N390" s="188">
        <f t="shared" si="35"/>
        <v>0</v>
      </c>
      <c r="O390" s="189">
        <v>7.0000000000000007E-2</v>
      </c>
      <c r="P390" s="170">
        <f t="shared" si="36"/>
        <v>0</v>
      </c>
    </row>
    <row r="391" spans="1:16">
      <c r="A391" s="157"/>
      <c r="B391" s="239"/>
      <c r="C391" s="222"/>
      <c r="D391" s="3464"/>
      <c r="E391" s="145"/>
      <c r="F391" s="61"/>
      <c r="G391" s="223"/>
      <c r="H391" s="224"/>
      <c r="I391" s="225"/>
      <c r="J391" s="209"/>
      <c r="K391" s="244"/>
      <c r="M391" s="188">
        <v>14244.12</v>
      </c>
      <c r="N391" s="188">
        <f t="shared" si="35"/>
        <v>13816.796400000001</v>
      </c>
      <c r="O391" s="189">
        <v>7.0000000000000007E-2</v>
      </c>
      <c r="P391" s="170">
        <f t="shared" si="36"/>
        <v>14783.972148000001</v>
      </c>
    </row>
    <row r="392" spans="1:16">
      <c r="A392" s="157"/>
      <c r="B392" s="162"/>
      <c r="C392" s="63"/>
      <c r="D392" s="199"/>
      <c r="E392" s="145"/>
      <c r="F392" s="61"/>
      <c r="G392" s="206"/>
      <c r="H392" s="74"/>
      <c r="I392" s="183"/>
      <c r="J392" s="175"/>
      <c r="K392" s="197"/>
      <c r="L392" s="194"/>
      <c r="M392" s="188">
        <v>3240</v>
      </c>
      <c r="N392" s="188">
        <f t="shared" si="35"/>
        <v>3142.8</v>
      </c>
      <c r="O392" s="189">
        <v>7.0000000000000007E-2</v>
      </c>
      <c r="P392" s="170">
        <f t="shared" si="36"/>
        <v>3362.7960000000003</v>
      </c>
    </row>
    <row r="393" spans="1:16">
      <c r="A393" s="157"/>
      <c r="B393" s="162"/>
      <c r="C393" s="63"/>
      <c r="D393" s="199"/>
      <c r="E393" s="145"/>
      <c r="F393" s="61"/>
      <c r="G393" s="206"/>
      <c r="H393" s="74"/>
      <c r="I393" s="183"/>
      <c r="J393" s="175"/>
      <c r="K393" s="197"/>
      <c r="L393" s="194"/>
      <c r="M393" s="188">
        <v>14700</v>
      </c>
      <c r="N393" s="188">
        <f t="shared" si="35"/>
        <v>14259</v>
      </c>
      <c r="O393" s="189">
        <v>7.0000000000000007E-2</v>
      </c>
      <c r="P393" s="170">
        <f t="shared" si="36"/>
        <v>15257.130000000001</v>
      </c>
    </row>
    <row r="394" spans="1:16">
      <c r="A394" s="157"/>
      <c r="B394" s="162"/>
      <c r="C394" s="222"/>
      <c r="D394" s="3464"/>
      <c r="E394" s="237"/>
      <c r="F394" s="238"/>
      <c r="G394" s="223"/>
      <c r="H394" s="224"/>
      <c r="I394" s="225"/>
      <c r="J394" s="209"/>
      <c r="K394" s="226"/>
      <c r="L394" s="229"/>
      <c r="M394" s="188">
        <v>14582.7</v>
      </c>
      <c r="N394" s="188">
        <f t="shared" si="35"/>
        <v>14145.219000000001</v>
      </c>
      <c r="O394" s="189">
        <v>7.0000000000000007E-2</v>
      </c>
      <c r="P394" s="170">
        <f t="shared" si="36"/>
        <v>15135.384330000001</v>
      </c>
    </row>
    <row r="395" spans="1:16">
      <c r="A395" s="157"/>
      <c r="B395" s="162"/>
      <c r="C395" s="63"/>
      <c r="D395" s="199"/>
      <c r="E395" s="145"/>
      <c r="F395" s="61"/>
      <c r="G395" s="206"/>
      <c r="H395" s="74"/>
      <c r="I395" s="183"/>
      <c r="J395" s="175"/>
      <c r="K395" s="197"/>
      <c r="L395" s="229"/>
      <c r="M395" s="188">
        <v>13483.8</v>
      </c>
      <c r="N395" s="188">
        <f t="shared" si="35"/>
        <v>13079.286</v>
      </c>
      <c r="O395" s="189">
        <v>7.0000000000000007E-2</v>
      </c>
      <c r="P395" s="170">
        <f t="shared" si="36"/>
        <v>13994.836020000001</v>
      </c>
    </row>
    <row r="396" spans="1:16">
      <c r="A396" s="157"/>
      <c r="B396" s="154"/>
      <c r="C396" s="222"/>
      <c r="D396" s="3464"/>
      <c r="E396" s="145"/>
      <c r="F396" s="61"/>
      <c r="G396" s="223"/>
      <c r="H396" s="224"/>
      <c r="I396" s="225"/>
      <c r="J396" s="209"/>
      <c r="K396" s="226"/>
      <c r="L396" s="229"/>
      <c r="M396" s="188">
        <v>2669.52</v>
      </c>
      <c r="N396" s="188">
        <f t="shared" si="35"/>
        <v>2589.4344000000001</v>
      </c>
      <c r="O396" s="189">
        <v>7.0000000000000007E-2</v>
      </c>
      <c r="P396" s="170">
        <f t="shared" si="36"/>
        <v>2770.6948080000002</v>
      </c>
    </row>
    <row r="397" spans="1:16">
      <c r="A397" s="157"/>
      <c r="B397" s="154"/>
      <c r="C397" s="222"/>
      <c r="D397" s="3464"/>
      <c r="E397" s="145"/>
      <c r="F397" s="61"/>
      <c r="G397" s="223"/>
      <c r="H397" s="224"/>
      <c r="I397" s="225"/>
      <c r="J397" s="209"/>
      <c r="K397" s="226"/>
      <c r="L397" s="229"/>
      <c r="N397" s="188">
        <f t="shared" si="35"/>
        <v>0</v>
      </c>
      <c r="O397" s="189">
        <v>7.0000000000000007E-2</v>
      </c>
      <c r="P397" s="170">
        <f t="shared" si="36"/>
        <v>0</v>
      </c>
    </row>
    <row r="398" spans="1:16">
      <c r="A398" s="221"/>
      <c r="B398" s="240"/>
      <c r="C398" s="222"/>
      <c r="D398" s="3464"/>
      <c r="E398" s="145"/>
      <c r="F398" s="61"/>
      <c r="G398" s="223"/>
      <c r="H398" s="224"/>
      <c r="I398" s="225"/>
      <c r="J398" s="209"/>
      <c r="K398" s="226"/>
      <c r="L398" s="229"/>
      <c r="M398" s="188">
        <v>12972.96</v>
      </c>
      <c r="N398" s="188">
        <f t="shared" si="35"/>
        <v>12583.771199999999</v>
      </c>
      <c r="O398" s="189">
        <v>7.0000000000000007E-2</v>
      </c>
      <c r="P398" s="170">
        <f t="shared" si="36"/>
        <v>13464.635183999999</v>
      </c>
    </row>
    <row r="399" spans="1:16">
      <c r="A399" s="157"/>
      <c r="B399" s="154"/>
      <c r="C399" s="63"/>
      <c r="D399" s="199"/>
      <c r="E399" s="145"/>
      <c r="F399" s="61"/>
      <c r="G399" s="206"/>
      <c r="H399" s="74"/>
      <c r="I399" s="183"/>
      <c r="J399" s="209"/>
      <c r="K399" s="197"/>
      <c r="L399" s="229"/>
      <c r="M399" s="188">
        <v>12687.84</v>
      </c>
      <c r="N399" s="188">
        <f t="shared" si="35"/>
        <v>12307.2048</v>
      </c>
      <c r="O399" s="189">
        <v>7.0000000000000007E-2</v>
      </c>
      <c r="P399" s="170">
        <f t="shared" si="36"/>
        <v>13168.709135999999</v>
      </c>
    </row>
    <row r="400" spans="1:16">
      <c r="A400" s="157"/>
      <c r="B400" s="154"/>
      <c r="C400" s="63"/>
      <c r="D400" s="199"/>
      <c r="E400" s="145"/>
      <c r="F400" s="61"/>
      <c r="G400" s="206"/>
      <c r="H400" s="74"/>
      <c r="I400" s="183"/>
      <c r="J400" s="175"/>
      <c r="K400" s="197"/>
      <c r="L400" s="194"/>
      <c r="M400" s="188">
        <v>16572.599999999999</v>
      </c>
      <c r="N400" s="188">
        <f t="shared" si="35"/>
        <v>16075.421999999999</v>
      </c>
      <c r="O400" s="189">
        <v>7.0000000000000007E-2</v>
      </c>
      <c r="P400" s="170">
        <f t="shared" si="36"/>
        <v>17200.701539999998</v>
      </c>
    </row>
    <row r="401" spans="1:16">
      <c r="A401" s="157"/>
      <c r="B401" s="154"/>
      <c r="C401" s="63"/>
      <c r="D401" s="199"/>
      <c r="E401" s="90"/>
      <c r="F401" s="61"/>
      <c r="G401" s="206"/>
      <c r="H401" s="74"/>
      <c r="I401" s="203"/>
      <c r="J401" s="175"/>
      <c r="K401" s="197"/>
      <c r="L401" s="194"/>
      <c r="M401" s="188">
        <v>6021.12</v>
      </c>
      <c r="N401" s="188">
        <f>M401-(M401*0.03)</f>
        <v>5840.4863999999998</v>
      </c>
      <c r="O401" s="189">
        <v>7.0000000000000007E-2</v>
      </c>
      <c r="P401" s="170">
        <f>(N401*O401)+N401</f>
        <v>6249.3204479999995</v>
      </c>
    </row>
    <row r="402" spans="1:16">
      <c r="A402" s="157"/>
      <c r="B402" s="154"/>
      <c r="C402" s="63"/>
      <c r="D402" s="199"/>
      <c r="E402" s="90"/>
      <c r="F402" s="61"/>
      <c r="G402" s="206"/>
      <c r="H402" s="74"/>
      <c r="I402" s="183"/>
      <c r="J402" s="175"/>
      <c r="K402" s="197"/>
      <c r="L402" s="194"/>
      <c r="M402" s="188">
        <v>8714.16</v>
      </c>
      <c r="N402" s="188">
        <f>M402-(M402*0.03)</f>
        <v>8452.7351999999992</v>
      </c>
      <c r="O402" s="189">
        <v>7.0000000000000007E-2</v>
      </c>
      <c r="P402" s="170">
        <f>(N402*O402)+N402</f>
        <v>9044.4266639999987</v>
      </c>
    </row>
    <row r="403" spans="1:16">
      <c r="A403" s="157"/>
      <c r="B403" s="154"/>
      <c r="C403" s="63"/>
      <c r="D403" s="199"/>
      <c r="E403" s="90"/>
      <c r="F403" s="61"/>
      <c r="G403" s="206"/>
      <c r="H403" s="74"/>
      <c r="I403" s="183"/>
      <c r="J403" s="175"/>
      <c r="K403" s="197"/>
      <c r="L403" s="194"/>
      <c r="M403" s="188">
        <v>0</v>
      </c>
      <c r="N403" s="188">
        <f>M403-(M403*0.03)</f>
        <v>0</v>
      </c>
      <c r="O403" s="189">
        <v>7.0000000000000007E-2</v>
      </c>
      <c r="P403" s="170">
        <f t="shared" ref="P403:P409" si="37">(N403*O403)+N403</f>
        <v>0</v>
      </c>
    </row>
    <row r="404" spans="1:16">
      <c r="A404" s="157"/>
      <c r="B404" s="154"/>
      <c r="C404" s="63"/>
      <c r="D404" s="199"/>
      <c r="E404" s="90"/>
      <c r="F404" s="61"/>
      <c r="G404" s="206"/>
      <c r="H404" s="74"/>
      <c r="I404" s="183"/>
      <c r="J404" s="175"/>
      <c r="K404" s="197"/>
      <c r="L404" s="194"/>
      <c r="M404" s="188">
        <v>18537.7</v>
      </c>
      <c r="N404" s="188">
        <f>M404-(M404*0.03)</f>
        <v>17981.569</v>
      </c>
      <c r="O404" s="189">
        <v>7.0000000000000007E-2</v>
      </c>
      <c r="P404" s="170">
        <f t="shared" si="37"/>
        <v>19240.278829999999</v>
      </c>
    </row>
    <row r="405" spans="1:16">
      <c r="A405" s="158"/>
      <c r="B405" s="154"/>
      <c r="C405" s="63"/>
      <c r="D405" s="199"/>
      <c r="E405" s="91"/>
      <c r="F405" s="61"/>
      <c r="G405" s="206"/>
      <c r="H405" s="74"/>
      <c r="I405" s="183"/>
      <c r="J405" s="175"/>
      <c r="K405" s="197"/>
      <c r="L405" s="194"/>
      <c r="M405" s="188">
        <v>9031.68</v>
      </c>
      <c r="N405" s="188">
        <f t="shared" ref="N405:N416" si="38">M405-(M405*0.03)</f>
        <v>8760.7296000000006</v>
      </c>
      <c r="O405" s="189">
        <v>7.0000000000000007E-2</v>
      </c>
      <c r="P405" s="170">
        <f t="shared" si="37"/>
        <v>9373.9806720000015</v>
      </c>
    </row>
    <row r="406" spans="1:16">
      <c r="A406" s="200"/>
      <c r="B406" s="154"/>
      <c r="C406" s="63"/>
      <c r="D406" s="199"/>
      <c r="E406" s="153"/>
      <c r="F406" s="61"/>
      <c r="G406" s="206"/>
      <c r="H406" s="88"/>
      <c r="I406" s="184"/>
      <c r="J406" s="201"/>
      <c r="K406" s="202"/>
      <c r="L406" s="194"/>
      <c r="N406" s="188">
        <f t="shared" si="38"/>
        <v>0</v>
      </c>
      <c r="O406" s="189">
        <v>7.0000000000000007E-2</v>
      </c>
      <c r="P406" s="170">
        <f t="shared" si="37"/>
        <v>0</v>
      </c>
    </row>
    <row r="407" spans="1:16">
      <c r="A407" s="157"/>
      <c r="B407" s="154"/>
      <c r="C407" s="63"/>
      <c r="D407" s="199"/>
      <c r="E407" s="198"/>
      <c r="F407" s="61"/>
      <c r="G407" s="206"/>
      <c r="H407" s="74"/>
      <c r="I407" s="183"/>
      <c r="J407" s="175"/>
      <c r="K407" s="197"/>
      <c r="L407" s="194"/>
      <c r="M407" s="188">
        <v>8478.9599999999991</v>
      </c>
      <c r="N407" s="188">
        <f t="shared" si="38"/>
        <v>8224.5911999999989</v>
      </c>
      <c r="O407" s="189">
        <v>7.0000000000000007E-2</v>
      </c>
      <c r="P407" s="170">
        <f t="shared" si="37"/>
        <v>8800.3125839999993</v>
      </c>
    </row>
    <row r="408" spans="1:16">
      <c r="A408" s="157"/>
      <c r="B408" s="154"/>
      <c r="C408" s="63"/>
      <c r="D408" s="199"/>
      <c r="E408" s="142"/>
      <c r="F408" s="61"/>
      <c r="G408" s="206"/>
      <c r="H408" s="74"/>
      <c r="I408" s="183"/>
      <c r="J408" s="175"/>
      <c r="K408" s="197"/>
      <c r="L408" s="194"/>
      <c r="M408" s="188">
        <v>11122.62</v>
      </c>
      <c r="N408" s="188">
        <f t="shared" si="38"/>
        <v>10788.941400000002</v>
      </c>
      <c r="O408" s="189">
        <v>7.0000000000000007E-2</v>
      </c>
      <c r="P408" s="170">
        <f t="shared" si="37"/>
        <v>11544.167298000002</v>
      </c>
    </row>
    <row r="409" spans="1:16">
      <c r="A409" s="157"/>
      <c r="B409" s="154"/>
      <c r="C409" s="63"/>
      <c r="D409" s="196"/>
      <c r="E409" s="120"/>
      <c r="F409" s="121"/>
      <c r="G409" s="206"/>
      <c r="H409" s="115"/>
      <c r="I409" s="185"/>
      <c r="J409" s="175"/>
      <c r="K409" s="197"/>
      <c r="L409" s="194"/>
      <c r="M409" s="188">
        <v>3813.12</v>
      </c>
      <c r="N409" s="188">
        <f t="shared" si="38"/>
        <v>3698.7264</v>
      </c>
      <c r="O409" s="189">
        <v>7.0000000000000007E-2</v>
      </c>
      <c r="P409" s="170">
        <f t="shared" si="37"/>
        <v>3957.637248</v>
      </c>
    </row>
    <row r="410" spans="1:16">
      <c r="A410" s="157"/>
      <c r="B410" s="154"/>
      <c r="C410" s="63"/>
      <c r="D410" s="196"/>
      <c r="E410" s="249"/>
      <c r="F410" s="121"/>
      <c r="G410" s="206"/>
      <c r="H410" s="115"/>
      <c r="I410" s="185"/>
      <c r="J410" s="175"/>
      <c r="K410" s="197"/>
      <c r="L410" s="194"/>
    </row>
    <row r="411" spans="1:16">
      <c r="A411" s="157"/>
      <c r="B411" s="154"/>
      <c r="C411" s="63"/>
      <c r="D411" s="196"/>
      <c r="E411" s="249"/>
      <c r="F411" s="121"/>
      <c r="G411" s="206"/>
      <c r="H411" s="115"/>
      <c r="I411" s="185"/>
      <c r="J411" s="175"/>
      <c r="K411" s="197"/>
      <c r="L411" s="194"/>
    </row>
    <row r="412" spans="1:16">
      <c r="A412" s="157"/>
      <c r="B412" s="154"/>
      <c r="C412" s="63"/>
      <c r="D412" s="196"/>
      <c r="E412" s="249"/>
      <c r="F412" s="121"/>
      <c r="G412" s="206"/>
      <c r="H412" s="115"/>
      <c r="I412" s="185"/>
      <c r="J412" s="175"/>
      <c r="K412" s="197"/>
      <c r="L412" s="194"/>
    </row>
    <row r="413" spans="1:16">
      <c r="A413" s="157"/>
      <c r="B413" s="154"/>
      <c r="C413" s="63"/>
      <c r="D413" s="196"/>
      <c r="E413" s="249"/>
      <c r="F413" s="121"/>
      <c r="G413" s="206"/>
      <c r="H413" s="115"/>
      <c r="I413" s="185"/>
      <c r="J413" s="175"/>
      <c r="K413" s="197"/>
      <c r="L413" s="194"/>
    </row>
    <row r="414" spans="1:16">
      <c r="A414" s="157"/>
      <c r="B414" s="154"/>
      <c r="C414" s="63"/>
      <c r="D414" s="196"/>
      <c r="E414" s="142"/>
      <c r="F414" s="61"/>
      <c r="G414" s="206"/>
      <c r="H414" s="74"/>
      <c r="I414" s="183"/>
      <c r="J414" s="175"/>
      <c r="K414" s="197"/>
      <c r="L414" s="194"/>
    </row>
    <row r="415" spans="1:16">
      <c r="A415" s="157"/>
      <c r="B415" s="154"/>
      <c r="C415" s="63"/>
      <c r="D415" s="196"/>
      <c r="E415" s="142"/>
      <c r="F415" s="61"/>
      <c r="G415" s="206"/>
      <c r="H415" s="74"/>
      <c r="I415" s="183"/>
      <c r="J415" s="175"/>
      <c r="K415" s="197"/>
      <c r="L415" s="194"/>
    </row>
    <row r="416" spans="1:16">
      <c r="A416" s="157"/>
      <c r="B416" s="161"/>
      <c r="C416" s="63"/>
      <c r="D416" s="196"/>
      <c r="E416" s="142"/>
      <c r="F416" s="61"/>
      <c r="G416" s="206"/>
      <c r="H416" s="74"/>
      <c r="I416" s="183"/>
      <c r="J416" s="175"/>
      <c r="K416" s="197"/>
      <c r="L416" s="194"/>
      <c r="M416" s="188">
        <v>8640</v>
      </c>
      <c r="N416" s="188">
        <f t="shared" si="38"/>
        <v>8380.7999999999993</v>
      </c>
      <c r="O416" s="189">
        <v>7.0000000000000007E-2</v>
      </c>
      <c r="P416" s="170">
        <f>(N416*O416)+N416</f>
        <v>8967.4559999999983</v>
      </c>
    </row>
    <row r="417" spans="1:16">
      <c r="A417" s="157"/>
      <c r="B417" s="161"/>
      <c r="C417" s="63"/>
      <c r="D417" s="196"/>
      <c r="E417" s="142"/>
      <c r="F417" s="61"/>
      <c r="G417" s="206"/>
      <c r="H417" s="74"/>
      <c r="I417" s="183"/>
      <c r="J417" s="175"/>
      <c r="K417" s="197"/>
      <c r="L417" s="194"/>
    </row>
    <row r="418" spans="1:16">
      <c r="A418" s="160"/>
      <c r="B418" s="154"/>
      <c r="C418" s="63"/>
      <c r="D418" s="196"/>
      <c r="E418" s="120"/>
      <c r="F418" s="121"/>
      <c r="G418" s="206"/>
      <c r="H418" s="115"/>
      <c r="I418" s="185"/>
      <c r="J418" s="174"/>
      <c r="K418" s="195"/>
      <c r="L418" s="194"/>
    </row>
    <row r="419" spans="1:16">
      <c r="F419" s="68"/>
    </row>
    <row r="420" spans="1:16">
      <c r="F420" s="68"/>
    </row>
    <row r="421" spans="1:16">
      <c r="A421" s="44" t="s">
        <v>0</v>
      </c>
      <c r="B421" s="127"/>
      <c r="C421" s="104"/>
      <c r="F421" s="68"/>
      <c r="I421" s="179"/>
      <c r="K421" s="163"/>
      <c r="L421" s="168"/>
    </row>
    <row r="422" spans="1:16">
      <c r="A422" s="3480" t="s">
        <v>2512</v>
      </c>
      <c r="B422" s="3480"/>
      <c r="C422" s="44"/>
      <c r="D422" s="109"/>
      <c r="F422" s="68"/>
      <c r="I422" s="179"/>
      <c r="K422" s="163"/>
      <c r="L422" s="168"/>
    </row>
    <row r="423" spans="1:16" ht="35.25" thickBot="1">
      <c r="F423" s="68"/>
    </row>
    <row r="424" spans="1:16">
      <c r="A424" s="3493" t="s">
        <v>2</v>
      </c>
      <c r="B424" s="3482"/>
      <c r="C424" s="48" t="s">
        <v>3</v>
      </c>
      <c r="D424" s="128" t="s">
        <v>4</v>
      </c>
      <c r="E424" s="77" t="s">
        <v>5</v>
      </c>
      <c r="F424" s="78" t="s">
        <v>5</v>
      </c>
      <c r="G424" s="211" t="s">
        <v>6</v>
      </c>
      <c r="H424" s="140" t="s">
        <v>7</v>
      </c>
      <c r="I424" s="180" t="s">
        <v>1511</v>
      </c>
      <c r="J424" s="172" t="s">
        <v>9</v>
      </c>
      <c r="K424" s="186" t="s">
        <v>9</v>
      </c>
      <c r="L424" s="192" t="s">
        <v>2495</v>
      </c>
      <c r="M424" s="190"/>
    </row>
    <row r="425" spans="1:16" ht="35.25" thickBot="1">
      <c r="A425" s="155"/>
      <c r="B425" s="138"/>
      <c r="C425" s="50"/>
      <c r="D425" s="129" t="s">
        <v>10</v>
      </c>
      <c r="E425" s="79" t="s">
        <v>11</v>
      </c>
      <c r="F425" s="80" t="s">
        <v>12</v>
      </c>
      <c r="G425" s="212"/>
      <c r="H425" s="141" t="s">
        <v>13</v>
      </c>
      <c r="I425" s="181" t="s">
        <v>1512</v>
      </c>
      <c r="J425" s="173" t="s">
        <v>15</v>
      </c>
      <c r="K425" s="187" t="s">
        <v>14</v>
      </c>
      <c r="L425" s="193" t="s">
        <v>2496</v>
      </c>
      <c r="M425" s="190"/>
    </row>
    <row r="426" spans="1:16">
      <c r="A426" s="156"/>
      <c r="B426" s="154"/>
      <c r="C426" s="63"/>
      <c r="D426" s="199"/>
      <c r="E426" s="143"/>
      <c r="F426" s="69"/>
      <c r="G426" s="206"/>
      <c r="H426" s="74"/>
      <c r="I426" s="183"/>
      <c r="J426" s="175"/>
      <c r="K426" s="172"/>
      <c r="L426" s="194"/>
      <c r="M426" s="188">
        <v>3552</v>
      </c>
      <c r="N426" s="188">
        <f t="shared" ref="N426:N442" si="39">M426-(M426*0.03)</f>
        <v>3445.44</v>
      </c>
      <c r="O426" s="189">
        <v>7.0000000000000007E-2</v>
      </c>
      <c r="P426" s="170">
        <f t="shared" ref="P426:P442" si="40">(N426*O426)+N426</f>
        <v>3686.6208000000001</v>
      </c>
    </row>
    <row r="427" spans="1:16">
      <c r="A427" s="157"/>
      <c r="B427" s="154"/>
      <c r="C427" s="63"/>
      <c r="D427" s="199"/>
      <c r="E427" s="145"/>
      <c r="F427" s="61"/>
      <c r="G427" s="206"/>
      <c r="H427" s="74"/>
      <c r="I427" s="183"/>
      <c r="J427" s="175"/>
      <c r="K427" s="176"/>
      <c r="L427" s="194"/>
      <c r="N427" s="188">
        <f t="shared" si="39"/>
        <v>0</v>
      </c>
      <c r="O427" s="189">
        <v>7.0000000000000007E-2</v>
      </c>
      <c r="P427" s="170">
        <f t="shared" si="40"/>
        <v>0</v>
      </c>
    </row>
    <row r="428" spans="1:16">
      <c r="A428" s="157"/>
      <c r="B428" s="239"/>
      <c r="C428" s="63"/>
      <c r="D428" s="199"/>
      <c r="E428" s="145"/>
      <c r="F428" s="61"/>
      <c r="G428" s="206"/>
      <c r="H428" s="74"/>
      <c r="I428" s="183"/>
      <c r="J428" s="175"/>
      <c r="K428" s="245"/>
      <c r="L428" s="194"/>
      <c r="M428" s="188">
        <v>9498.06</v>
      </c>
      <c r="N428" s="188">
        <f t="shared" si="39"/>
        <v>9213.118199999999</v>
      </c>
      <c r="O428" s="189">
        <v>7.0000000000000007E-2</v>
      </c>
      <c r="P428" s="170">
        <f t="shared" si="40"/>
        <v>9858.0364739999986</v>
      </c>
    </row>
    <row r="429" spans="1:16">
      <c r="A429" s="157"/>
      <c r="B429" s="239"/>
      <c r="C429" s="63"/>
      <c r="D429" s="199"/>
      <c r="E429" s="145"/>
      <c r="F429" s="61"/>
      <c r="G429" s="206"/>
      <c r="H429" s="74"/>
      <c r="I429" s="183"/>
      <c r="J429" s="175"/>
      <c r="K429" s="197"/>
      <c r="L429" s="194"/>
      <c r="M429" s="188">
        <v>15305.4</v>
      </c>
      <c r="N429" s="188">
        <f t="shared" si="39"/>
        <v>14846.237999999999</v>
      </c>
      <c r="O429" s="189">
        <v>7.0000000000000007E-2</v>
      </c>
      <c r="P429" s="170">
        <f t="shared" si="40"/>
        <v>15885.47466</v>
      </c>
    </row>
    <row r="430" spans="1:16">
      <c r="A430" s="157"/>
      <c r="B430" s="154"/>
      <c r="C430" s="63"/>
      <c r="D430" s="199"/>
      <c r="E430" s="145"/>
      <c r="F430" s="61"/>
      <c r="G430" s="206"/>
      <c r="H430" s="74"/>
      <c r="I430" s="183"/>
      <c r="J430" s="175"/>
      <c r="K430" s="197"/>
      <c r="L430" s="194"/>
      <c r="N430" s="188">
        <f t="shared" si="39"/>
        <v>0</v>
      </c>
      <c r="O430" s="189">
        <v>7.0000000000000007E-2</v>
      </c>
      <c r="P430" s="170">
        <f t="shared" si="40"/>
        <v>0</v>
      </c>
    </row>
    <row r="431" spans="1:16">
      <c r="A431" s="157"/>
      <c r="B431" s="154"/>
      <c r="C431" s="63"/>
      <c r="D431" s="199"/>
      <c r="E431" s="145"/>
      <c r="F431" s="61"/>
      <c r="G431" s="206"/>
      <c r="H431" s="74"/>
      <c r="I431" s="183"/>
      <c r="J431" s="175"/>
      <c r="K431" s="197"/>
      <c r="L431" s="194"/>
      <c r="N431" s="188">
        <f t="shared" si="39"/>
        <v>0</v>
      </c>
      <c r="O431" s="189">
        <v>7.0000000000000007E-2</v>
      </c>
      <c r="P431" s="170">
        <f t="shared" si="40"/>
        <v>0</v>
      </c>
    </row>
    <row r="432" spans="1:16">
      <c r="A432" s="157"/>
      <c r="B432" s="154"/>
      <c r="C432" s="63"/>
      <c r="D432" s="199"/>
      <c r="E432" s="145"/>
      <c r="F432" s="61"/>
      <c r="G432" s="206"/>
      <c r="H432" s="74"/>
      <c r="I432" s="183"/>
      <c r="J432" s="175"/>
      <c r="K432" s="197"/>
      <c r="L432" s="194"/>
      <c r="N432" s="188">
        <f t="shared" si="39"/>
        <v>0</v>
      </c>
      <c r="O432" s="189">
        <v>7.0000000000000007E-2</v>
      </c>
      <c r="P432" s="170">
        <f t="shared" si="40"/>
        <v>0</v>
      </c>
    </row>
    <row r="433" spans="1:16">
      <c r="A433" s="157"/>
      <c r="B433" s="239"/>
      <c r="C433" s="222"/>
      <c r="D433" s="3464"/>
      <c r="E433" s="145"/>
      <c r="F433" s="61"/>
      <c r="G433" s="223"/>
      <c r="H433" s="224"/>
      <c r="I433" s="225"/>
      <c r="J433" s="209"/>
      <c r="K433" s="244"/>
      <c r="M433" s="188">
        <v>14244.12</v>
      </c>
      <c r="N433" s="188">
        <f t="shared" si="39"/>
        <v>13816.796400000001</v>
      </c>
      <c r="O433" s="189">
        <v>7.0000000000000007E-2</v>
      </c>
      <c r="P433" s="170">
        <f t="shared" si="40"/>
        <v>14783.972148000001</v>
      </c>
    </row>
    <row r="434" spans="1:16">
      <c r="A434" s="157"/>
      <c r="B434" s="162"/>
      <c r="C434" s="63"/>
      <c r="D434" s="199"/>
      <c r="E434" s="145"/>
      <c r="F434" s="61"/>
      <c r="G434" s="206"/>
      <c r="H434" s="74"/>
      <c r="I434" s="183"/>
      <c r="J434" s="175"/>
      <c r="K434" s="197"/>
      <c r="L434" s="194"/>
      <c r="M434" s="188">
        <v>3240</v>
      </c>
      <c r="N434" s="188">
        <f t="shared" si="39"/>
        <v>3142.8</v>
      </c>
      <c r="O434" s="189">
        <v>7.0000000000000007E-2</v>
      </c>
      <c r="P434" s="170">
        <f t="shared" si="40"/>
        <v>3362.7960000000003</v>
      </c>
    </row>
    <row r="435" spans="1:16">
      <c r="A435" s="157"/>
      <c r="B435" s="162"/>
      <c r="C435" s="63"/>
      <c r="D435" s="199"/>
      <c r="E435" s="145"/>
      <c r="F435" s="61"/>
      <c r="G435" s="206"/>
      <c r="H435" s="74"/>
      <c r="I435" s="183"/>
      <c r="J435" s="175"/>
      <c r="K435" s="197"/>
      <c r="L435" s="194"/>
      <c r="M435" s="188">
        <v>14700</v>
      </c>
      <c r="N435" s="188">
        <f t="shared" si="39"/>
        <v>14259</v>
      </c>
      <c r="O435" s="189">
        <v>7.0000000000000007E-2</v>
      </c>
      <c r="P435" s="170">
        <f t="shared" si="40"/>
        <v>15257.130000000001</v>
      </c>
    </row>
    <row r="436" spans="1:16">
      <c r="A436" s="157"/>
      <c r="B436" s="162"/>
      <c r="C436" s="222"/>
      <c r="D436" s="3464"/>
      <c r="E436" s="237"/>
      <c r="F436" s="238"/>
      <c r="G436" s="223"/>
      <c r="H436" s="224"/>
      <c r="I436" s="225"/>
      <c r="J436" s="209"/>
      <c r="K436" s="226"/>
      <c r="L436" s="229"/>
      <c r="M436" s="188">
        <v>14582.7</v>
      </c>
      <c r="N436" s="188">
        <f t="shared" si="39"/>
        <v>14145.219000000001</v>
      </c>
      <c r="O436" s="189">
        <v>7.0000000000000007E-2</v>
      </c>
      <c r="P436" s="170">
        <f t="shared" si="40"/>
        <v>15135.384330000001</v>
      </c>
    </row>
    <row r="437" spans="1:16">
      <c r="A437" s="157"/>
      <c r="B437" s="162"/>
      <c r="C437" s="63"/>
      <c r="D437" s="199"/>
      <c r="E437" s="145"/>
      <c r="F437" s="61"/>
      <c r="G437" s="206"/>
      <c r="H437" s="74"/>
      <c r="I437" s="183"/>
      <c r="J437" s="175"/>
      <c r="K437" s="197"/>
      <c r="L437" s="229"/>
      <c r="M437" s="188">
        <v>13483.8</v>
      </c>
      <c r="N437" s="188">
        <f t="shared" si="39"/>
        <v>13079.286</v>
      </c>
      <c r="O437" s="189">
        <v>7.0000000000000007E-2</v>
      </c>
      <c r="P437" s="170">
        <f t="shared" si="40"/>
        <v>13994.836020000001</v>
      </c>
    </row>
    <row r="438" spans="1:16">
      <c r="A438" s="157"/>
      <c r="B438" s="154"/>
      <c r="C438" s="222"/>
      <c r="D438" s="3464"/>
      <c r="E438" s="145"/>
      <c r="F438" s="61"/>
      <c r="G438" s="223"/>
      <c r="H438" s="224"/>
      <c r="I438" s="225"/>
      <c r="J438" s="209"/>
      <c r="K438" s="226"/>
      <c r="L438" s="229"/>
      <c r="M438" s="188">
        <v>2669.52</v>
      </c>
      <c r="N438" s="188">
        <f t="shared" si="39"/>
        <v>2589.4344000000001</v>
      </c>
      <c r="O438" s="189">
        <v>7.0000000000000007E-2</v>
      </c>
      <c r="P438" s="170">
        <f t="shared" si="40"/>
        <v>2770.6948080000002</v>
      </c>
    </row>
    <row r="439" spans="1:16">
      <c r="A439" s="157"/>
      <c r="B439" s="154"/>
      <c r="C439" s="222"/>
      <c r="D439" s="3464"/>
      <c r="E439" s="145"/>
      <c r="F439" s="61"/>
      <c r="G439" s="223"/>
      <c r="H439" s="224"/>
      <c r="I439" s="225"/>
      <c r="J439" s="209"/>
      <c r="K439" s="226"/>
      <c r="L439" s="229"/>
      <c r="N439" s="188">
        <f t="shared" si="39"/>
        <v>0</v>
      </c>
      <c r="O439" s="189">
        <v>7.0000000000000007E-2</v>
      </c>
      <c r="P439" s="170">
        <f t="shared" si="40"/>
        <v>0</v>
      </c>
    </row>
    <row r="440" spans="1:16">
      <c r="A440" s="221"/>
      <c r="B440" s="240"/>
      <c r="C440" s="222"/>
      <c r="D440" s="3464"/>
      <c r="E440" s="145"/>
      <c r="F440" s="61"/>
      <c r="G440" s="223"/>
      <c r="H440" s="224"/>
      <c r="I440" s="225"/>
      <c r="J440" s="209"/>
      <c r="K440" s="226"/>
      <c r="L440" s="229"/>
      <c r="M440" s="188">
        <v>12972.96</v>
      </c>
      <c r="N440" s="188">
        <f t="shared" si="39"/>
        <v>12583.771199999999</v>
      </c>
      <c r="O440" s="189">
        <v>7.0000000000000007E-2</v>
      </c>
      <c r="P440" s="170">
        <f t="shared" si="40"/>
        <v>13464.635183999999</v>
      </c>
    </row>
    <row r="441" spans="1:16">
      <c r="A441" s="157"/>
      <c r="B441" s="154"/>
      <c r="C441" s="63"/>
      <c r="D441" s="199"/>
      <c r="E441" s="145"/>
      <c r="F441" s="61"/>
      <c r="G441" s="206"/>
      <c r="H441" s="74"/>
      <c r="I441" s="183"/>
      <c r="J441" s="209"/>
      <c r="K441" s="197"/>
      <c r="L441" s="229"/>
      <c r="M441" s="188">
        <v>12687.84</v>
      </c>
      <c r="N441" s="188">
        <f t="shared" si="39"/>
        <v>12307.2048</v>
      </c>
      <c r="O441" s="189">
        <v>7.0000000000000007E-2</v>
      </c>
      <c r="P441" s="170">
        <f t="shared" si="40"/>
        <v>13168.709135999999</v>
      </c>
    </row>
    <row r="442" spans="1:16">
      <c r="A442" s="157"/>
      <c r="B442" s="154"/>
      <c r="C442" s="63"/>
      <c r="D442" s="199"/>
      <c r="E442" s="145"/>
      <c r="F442" s="61"/>
      <c r="G442" s="206"/>
      <c r="H442" s="74"/>
      <c r="I442" s="183"/>
      <c r="J442" s="175"/>
      <c r="K442" s="197"/>
      <c r="L442" s="194"/>
      <c r="M442" s="188">
        <v>16572.599999999999</v>
      </c>
      <c r="N442" s="188">
        <f t="shared" si="39"/>
        <v>16075.421999999999</v>
      </c>
      <c r="O442" s="189">
        <v>7.0000000000000007E-2</v>
      </c>
      <c r="P442" s="170">
        <f t="shared" si="40"/>
        <v>17200.701539999998</v>
      </c>
    </row>
    <row r="443" spans="1:16">
      <c r="A443" s="157"/>
      <c r="B443" s="154"/>
      <c r="C443" s="63"/>
      <c r="D443" s="199"/>
      <c r="E443" s="90"/>
      <c r="F443" s="61"/>
      <c r="G443" s="206"/>
      <c r="H443" s="74"/>
      <c r="I443" s="203"/>
      <c r="J443" s="175"/>
      <c r="K443" s="197"/>
      <c r="L443" s="194"/>
      <c r="M443" s="188">
        <v>6021.12</v>
      </c>
      <c r="N443" s="188">
        <f>M443-(M443*0.03)</f>
        <v>5840.4863999999998</v>
      </c>
      <c r="O443" s="189">
        <v>7.0000000000000007E-2</v>
      </c>
      <c r="P443" s="170">
        <f>(N443*O443)+N443</f>
        <v>6249.3204479999995</v>
      </c>
    </row>
    <row r="444" spans="1:16">
      <c r="A444" s="157"/>
      <c r="B444" s="154"/>
      <c r="C444" s="63"/>
      <c r="D444" s="199"/>
      <c r="E444" s="90"/>
      <c r="F444" s="61"/>
      <c r="G444" s="206"/>
      <c r="H444" s="74"/>
      <c r="I444" s="183"/>
      <c r="J444" s="175"/>
      <c r="K444" s="197"/>
      <c r="L444" s="194"/>
      <c r="M444" s="188">
        <v>8714.16</v>
      </c>
      <c r="N444" s="188">
        <f>M444-(M444*0.03)</f>
        <v>8452.7351999999992</v>
      </c>
      <c r="O444" s="189">
        <v>7.0000000000000007E-2</v>
      </c>
      <c r="P444" s="170">
        <f>(N444*O444)+N444</f>
        <v>9044.4266639999987</v>
      </c>
    </row>
    <row r="445" spans="1:16">
      <c r="A445" s="157"/>
      <c r="B445" s="154"/>
      <c r="C445" s="63"/>
      <c r="D445" s="199"/>
      <c r="E445" s="90"/>
      <c r="F445" s="61"/>
      <c r="G445" s="206"/>
      <c r="H445" s="74"/>
      <c r="I445" s="183"/>
      <c r="J445" s="175"/>
      <c r="K445" s="197"/>
      <c r="L445" s="194"/>
      <c r="M445" s="188">
        <v>0</v>
      </c>
      <c r="N445" s="188">
        <f>M445-(M445*0.03)</f>
        <v>0</v>
      </c>
      <c r="O445" s="189">
        <v>7.0000000000000007E-2</v>
      </c>
      <c r="P445" s="170">
        <f t="shared" ref="P445:P451" si="41">(N445*O445)+N445</f>
        <v>0</v>
      </c>
    </row>
    <row r="446" spans="1:16">
      <c r="A446" s="157"/>
      <c r="B446" s="154"/>
      <c r="C446" s="63"/>
      <c r="D446" s="199"/>
      <c r="E446" s="90"/>
      <c r="F446" s="61"/>
      <c r="G446" s="206"/>
      <c r="H446" s="74"/>
      <c r="I446" s="183"/>
      <c r="J446" s="175"/>
      <c r="K446" s="197"/>
      <c r="L446" s="194"/>
      <c r="M446" s="188">
        <v>18537.7</v>
      </c>
      <c r="N446" s="188">
        <f>M446-(M446*0.03)</f>
        <v>17981.569</v>
      </c>
      <c r="O446" s="189">
        <v>7.0000000000000007E-2</v>
      </c>
      <c r="P446" s="170">
        <f t="shared" si="41"/>
        <v>19240.278829999999</v>
      </c>
    </row>
    <row r="447" spans="1:16">
      <c r="A447" s="158"/>
      <c r="B447" s="154"/>
      <c r="C447" s="63"/>
      <c r="D447" s="199"/>
      <c r="E447" s="91"/>
      <c r="F447" s="61"/>
      <c r="G447" s="206"/>
      <c r="H447" s="74"/>
      <c r="I447" s="183"/>
      <c r="J447" s="175"/>
      <c r="K447" s="197"/>
      <c r="L447" s="194"/>
      <c r="M447" s="188">
        <v>9031.68</v>
      </c>
      <c r="N447" s="188">
        <f t="shared" ref="N447:N459" si="42">M447-(M447*0.03)</f>
        <v>8760.7296000000006</v>
      </c>
      <c r="O447" s="189">
        <v>7.0000000000000007E-2</v>
      </c>
      <c r="P447" s="170">
        <f t="shared" si="41"/>
        <v>9373.9806720000015</v>
      </c>
    </row>
    <row r="448" spans="1:16">
      <c r="A448" s="200"/>
      <c r="B448" s="154"/>
      <c r="C448" s="63"/>
      <c r="D448" s="199"/>
      <c r="E448" s="153"/>
      <c r="F448" s="61"/>
      <c r="G448" s="206"/>
      <c r="H448" s="88"/>
      <c r="I448" s="184"/>
      <c r="J448" s="201"/>
      <c r="K448" s="202"/>
      <c r="L448" s="194"/>
      <c r="N448" s="188">
        <f t="shared" si="42"/>
        <v>0</v>
      </c>
      <c r="O448" s="189">
        <v>7.0000000000000007E-2</v>
      </c>
      <c r="P448" s="170">
        <f t="shared" si="41"/>
        <v>0</v>
      </c>
    </row>
    <row r="449" spans="1:16">
      <c r="A449" s="157"/>
      <c r="B449" s="154"/>
      <c r="C449" s="63"/>
      <c r="D449" s="199"/>
      <c r="E449" s="198"/>
      <c r="F449" s="61"/>
      <c r="G449" s="206"/>
      <c r="H449" s="74"/>
      <c r="I449" s="183"/>
      <c r="J449" s="175"/>
      <c r="K449" s="197"/>
      <c r="L449" s="194"/>
      <c r="M449" s="188">
        <v>8478.9599999999991</v>
      </c>
      <c r="N449" s="188">
        <f t="shared" si="42"/>
        <v>8224.5911999999989</v>
      </c>
      <c r="O449" s="189">
        <v>7.0000000000000007E-2</v>
      </c>
      <c r="P449" s="170">
        <f t="shared" si="41"/>
        <v>8800.3125839999993</v>
      </c>
    </row>
    <row r="450" spans="1:16">
      <c r="A450" s="157"/>
      <c r="B450" s="154"/>
      <c r="C450" s="63"/>
      <c r="D450" s="199"/>
      <c r="E450" s="142"/>
      <c r="F450" s="61"/>
      <c r="G450" s="206"/>
      <c r="H450" s="74"/>
      <c r="I450" s="183"/>
      <c r="J450" s="175"/>
      <c r="K450" s="197"/>
      <c r="L450" s="194"/>
      <c r="M450" s="188">
        <v>11122.62</v>
      </c>
      <c r="N450" s="188">
        <f t="shared" si="42"/>
        <v>10788.941400000002</v>
      </c>
      <c r="O450" s="189">
        <v>7.0000000000000007E-2</v>
      </c>
      <c r="P450" s="170">
        <f t="shared" si="41"/>
        <v>11544.167298000002</v>
      </c>
    </row>
    <row r="451" spans="1:16">
      <c r="A451" s="157"/>
      <c r="B451" s="154"/>
      <c r="C451" s="63"/>
      <c r="D451" s="196"/>
      <c r="E451" s="120"/>
      <c r="F451" s="121"/>
      <c r="G451" s="206"/>
      <c r="H451" s="115"/>
      <c r="I451" s="185"/>
      <c r="J451" s="175"/>
      <c r="K451" s="197"/>
      <c r="L451" s="194"/>
      <c r="M451" s="188">
        <v>3813.12</v>
      </c>
      <c r="N451" s="188">
        <f t="shared" si="42"/>
        <v>3698.7264</v>
      </c>
      <c r="O451" s="189">
        <v>7.0000000000000007E-2</v>
      </c>
      <c r="P451" s="170">
        <f t="shared" si="41"/>
        <v>3957.637248</v>
      </c>
    </row>
    <row r="452" spans="1:16">
      <c r="A452" s="157"/>
      <c r="B452" s="154"/>
      <c r="C452" s="63"/>
      <c r="D452" s="196"/>
      <c r="E452" s="249"/>
      <c r="F452" s="121"/>
      <c r="G452" s="206"/>
      <c r="H452" s="115"/>
      <c r="I452" s="185"/>
      <c r="J452" s="175"/>
      <c r="K452" s="197"/>
      <c r="L452" s="194"/>
    </row>
    <row r="453" spans="1:16">
      <c r="A453" s="157"/>
      <c r="B453" s="154"/>
      <c r="C453" s="63"/>
      <c r="D453" s="196"/>
      <c r="E453" s="249"/>
      <c r="F453" s="121"/>
      <c r="G453" s="206"/>
      <c r="H453" s="115"/>
      <c r="I453" s="185"/>
      <c r="J453" s="175"/>
      <c r="K453" s="197"/>
      <c r="L453" s="194"/>
    </row>
    <row r="454" spans="1:16">
      <c r="A454" s="157"/>
      <c r="B454" s="154"/>
      <c r="C454" s="63"/>
      <c r="D454" s="196"/>
      <c r="E454" s="249"/>
      <c r="F454" s="121"/>
      <c r="G454" s="206"/>
      <c r="H454" s="115"/>
      <c r="I454" s="185"/>
      <c r="J454" s="175"/>
      <c r="K454" s="197"/>
      <c r="L454" s="194"/>
    </row>
    <row r="455" spans="1:16">
      <c r="A455" s="157"/>
      <c r="B455" s="154"/>
      <c r="C455" s="63"/>
      <c r="D455" s="196"/>
      <c r="E455" s="249"/>
      <c r="F455" s="121"/>
      <c r="G455" s="206"/>
      <c r="H455" s="115"/>
      <c r="I455" s="185"/>
      <c r="J455" s="175"/>
      <c r="K455" s="197"/>
      <c r="L455" s="194"/>
    </row>
    <row r="456" spans="1:16">
      <c r="A456" s="157"/>
      <c r="B456" s="154"/>
      <c r="C456" s="63"/>
      <c r="D456" s="196"/>
      <c r="E456" s="249"/>
      <c r="F456" s="121"/>
      <c r="G456" s="206"/>
      <c r="H456" s="115"/>
      <c r="I456" s="185"/>
      <c r="J456" s="175"/>
      <c r="K456" s="197"/>
      <c r="L456" s="194"/>
    </row>
    <row r="457" spans="1:16">
      <c r="A457" s="157"/>
      <c r="B457" s="154"/>
      <c r="C457" s="63"/>
      <c r="D457" s="196"/>
      <c r="E457" s="142"/>
      <c r="F457" s="61"/>
      <c r="G457" s="206"/>
      <c r="H457" s="74"/>
      <c r="I457" s="183"/>
      <c r="J457" s="175"/>
      <c r="K457" s="197"/>
      <c r="L457" s="194"/>
    </row>
    <row r="458" spans="1:16">
      <c r="A458" s="157"/>
      <c r="B458" s="154"/>
      <c r="C458" s="63"/>
      <c r="D458" s="196"/>
      <c r="E458" s="142"/>
      <c r="F458" s="61"/>
      <c r="G458" s="206"/>
      <c r="H458" s="74"/>
      <c r="I458" s="183"/>
      <c r="J458" s="175"/>
      <c r="K458" s="197"/>
      <c r="L458" s="194"/>
    </row>
    <row r="459" spans="1:16">
      <c r="A459" s="157"/>
      <c r="B459" s="161"/>
      <c r="C459" s="63"/>
      <c r="D459" s="196"/>
      <c r="E459" s="142"/>
      <c r="F459" s="61"/>
      <c r="G459" s="206"/>
      <c r="H459" s="74"/>
      <c r="I459" s="183"/>
      <c r="J459" s="175"/>
      <c r="K459" s="197"/>
      <c r="L459" s="194"/>
      <c r="M459" s="188">
        <v>8640</v>
      </c>
      <c r="N459" s="188">
        <f t="shared" si="42"/>
        <v>8380.7999999999993</v>
      </c>
      <c r="O459" s="189">
        <v>7.0000000000000007E-2</v>
      </c>
      <c r="P459" s="170">
        <f>(N459*O459)+N459</f>
        <v>8967.4559999999983</v>
      </c>
    </row>
    <row r="460" spans="1:16">
      <c r="A460" s="160"/>
      <c r="B460" s="154"/>
      <c r="C460" s="63"/>
      <c r="D460" s="196"/>
      <c r="E460" s="120"/>
      <c r="F460" s="121"/>
      <c r="G460" s="206"/>
      <c r="H460" s="115"/>
      <c r="I460" s="185"/>
      <c r="J460" s="174"/>
      <c r="K460" s="195"/>
      <c r="L460" s="194"/>
    </row>
    <row r="461" spans="1:16">
      <c r="F461" s="68"/>
    </row>
    <row r="462" spans="1:16">
      <c r="F462" s="68"/>
    </row>
    <row r="463" spans="1:16">
      <c r="A463" s="44" t="s">
        <v>0</v>
      </c>
      <c r="B463" s="127"/>
      <c r="C463" s="104"/>
      <c r="F463" s="68"/>
      <c r="I463" s="179"/>
      <c r="K463" s="163"/>
      <c r="L463" s="168"/>
    </row>
    <row r="464" spans="1:16">
      <c r="A464" s="3480" t="s">
        <v>2512</v>
      </c>
      <c r="B464" s="3480"/>
      <c r="C464" s="44"/>
      <c r="D464" s="109"/>
      <c r="F464" s="68"/>
      <c r="I464" s="179"/>
      <c r="K464" s="163"/>
      <c r="L464" s="168"/>
    </row>
    <row r="465" spans="1:16" ht="35.25" thickBot="1">
      <c r="F465" s="68"/>
    </row>
    <row r="466" spans="1:16">
      <c r="A466" s="3493" t="s">
        <v>2</v>
      </c>
      <c r="B466" s="3482"/>
      <c r="C466" s="48" t="s">
        <v>3</v>
      </c>
      <c r="D466" s="128" t="s">
        <v>4</v>
      </c>
      <c r="E466" s="77" t="s">
        <v>5</v>
      </c>
      <c r="F466" s="78" t="s">
        <v>5</v>
      </c>
      <c r="G466" s="211" t="s">
        <v>6</v>
      </c>
      <c r="H466" s="140" t="s">
        <v>7</v>
      </c>
      <c r="I466" s="180" t="s">
        <v>1511</v>
      </c>
      <c r="J466" s="172" t="s">
        <v>9</v>
      </c>
      <c r="K466" s="186" t="s">
        <v>9</v>
      </c>
      <c r="L466" s="192" t="s">
        <v>2495</v>
      </c>
      <c r="M466" s="190"/>
    </row>
    <row r="467" spans="1:16" ht="35.25" thickBot="1">
      <c r="A467" s="155"/>
      <c r="B467" s="138"/>
      <c r="C467" s="50"/>
      <c r="D467" s="129" t="s">
        <v>10</v>
      </c>
      <c r="E467" s="79" t="s">
        <v>11</v>
      </c>
      <c r="F467" s="80" t="s">
        <v>12</v>
      </c>
      <c r="G467" s="212"/>
      <c r="H467" s="141" t="s">
        <v>13</v>
      </c>
      <c r="I467" s="181" t="s">
        <v>1512</v>
      </c>
      <c r="J467" s="173" t="s">
        <v>15</v>
      </c>
      <c r="K467" s="187" t="s">
        <v>14</v>
      </c>
      <c r="L467" s="193" t="s">
        <v>2496</v>
      </c>
      <c r="M467" s="190"/>
    </row>
    <row r="468" spans="1:16">
      <c r="A468" s="156"/>
      <c r="B468" s="154"/>
      <c r="C468" s="63"/>
      <c r="D468" s="199"/>
      <c r="E468" s="143"/>
      <c r="F468" s="69"/>
      <c r="G468" s="206"/>
      <c r="H468" s="74"/>
      <c r="I468" s="183"/>
      <c r="J468" s="175"/>
      <c r="K468" s="172"/>
      <c r="L468" s="194"/>
      <c r="M468" s="188">
        <v>3552</v>
      </c>
      <c r="N468" s="188">
        <f t="shared" ref="N468:N484" si="43">M468-(M468*0.03)</f>
        <v>3445.44</v>
      </c>
      <c r="O468" s="189">
        <v>7.0000000000000007E-2</v>
      </c>
      <c r="P468" s="170">
        <f t="shared" ref="P468:P484" si="44">(N468*O468)+N468</f>
        <v>3686.6208000000001</v>
      </c>
    </row>
    <row r="469" spans="1:16">
      <c r="A469" s="157"/>
      <c r="B469" s="154"/>
      <c r="C469" s="63"/>
      <c r="D469" s="199"/>
      <c r="E469" s="145"/>
      <c r="F469" s="61"/>
      <c r="G469" s="206"/>
      <c r="H469" s="74"/>
      <c r="I469" s="183"/>
      <c r="J469" s="175"/>
      <c r="K469" s="176"/>
      <c r="L469" s="194"/>
      <c r="N469" s="188">
        <f t="shared" si="43"/>
        <v>0</v>
      </c>
      <c r="O469" s="189">
        <v>7.0000000000000007E-2</v>
      </c>
      <c r="P469" s="170">
        <f t="shared" si="44"/>
        <v>0</v>
      </c>
    </row>
    <row r="470" spans="1:16">
      <c r="A470" s="157"/>
      <c r="B470" s="239"/>
      <c r="C470" s="63"/>
      <c r="D470" s="199"/>
      <c r="E470" s="145"/>
      <c r="F470" s="61"/>
      <c r="G470" s="206"/>
      <c r="H470" s="74"/>
      <c r="I470" s="183"/>
      <c r="J470" s="175"/>
      <c r="K470" s="245"/>
      <c r="L470" s="194"/>
      <c r="M470" s="188">
        <v>9498.06</v>
      </c>
      <c r="N470" s="188">
        <f t="shared" si="43"/>
        <v>9213.118199999999</v>
      </c>
      <c r="O470" s="189">
        <v>7.0000000000000007E-2</v>
      </c>
      <c r="P470" s="170">
        <f t="shared" si="44"/>
        <v>9858.0364739999986</v>
      </c>
    </row>
    <row r="471" spans="1:16">
      <c r="A471" s="157"/>
      <c r="B471" s="239"/>
      <c r="C471" s="63"/>
      <c r="D471" s="199"/>
      <c r="E471" s="145"/>
      <c r="F471" s="61"/>
      <c r="G471" s="206"/>
      <c r="H471" s="74"/>
      <c r="I471" s="183"/>
      <c r="J471" s="175"/>
      <c r="K471" s="197"/>
      <c r="L471" s="194"/>
      <c r="M471" s="188">
        <v>15305.4</v>
      </c>
      <c r="N471" s="188">
        <f t="shared" si="43"/>
        <v>14846.237999999999</v>
      </c>
      <c r="O471" s="189">
        <v>7.0000000000000007E-2</v>
      </c>
      <c r="P471" s="170">
        <f t="shared" si="44"/>
        <v>15885.47466</v>
      </c>
    </row>
    <row r="472" spans="1:16">
      <c r="A472" s="157"/>
      <c r="B472" s="154"/>
      <c r="C472" s="63"/>
      <c r="D472" s="199"/>
      <c r="E472" s="145"/>
      <c r="F472" s="61"/>
      <c r="G472" s="206"/>
      <c r="H472" s="74"/>
      <c r="I472" s="183"/>
      <c r="J472" s="175"/>
      <c r="K472" s="197"/>
      <c r="L472" s="194"/>
      <c r="N472" s="188">
        <f t="shared" si="43"/>
        <v>0</v>
      </c>
      <c r="O472" s="189">
        <v>7.0000000000000007E-2</v>
      </c>
      <c r="P472" s="170">
        <f t="shared" si="44"/>
        <v>0</v>
      </c>
    </row>
    <row r="473" spans="1:16">
      <c r="A473" s="157"/>
      <c r="B473" s="154"/>
      <c r="C473" s="63"/>
      <c r="D473" s="199"/>
      <c r="E473" s="145"/>
      <c r="F473" s="61"/>
      <c r="G473" s="206"/>
      <c r="H473" s="74"/>
      <c r="I473" s="183"/>
      <c r="J473" s="175"/>
      <c r="K473" s="197"/>
      <c r="L473" s="194"/>
      <c r="N473" s="188">
        <f t="shared" si="43"/>
        <v>0</v>
      </c>
      <c r="O473" s="189">
        <v>7.0000000000000007E-2</v>
      </c>
      <c r="P473" s="170">
        <f t="shared" si="44"/>
        <v>0</v>
      </c>
    </row>
    <row r="474" spans="1:16">
      <c r="A474" s="157"/>
      <c r="B474" s="154"/>
      <c r="C474" s="63"/>
      <c r="D474" s="199"/>
      <c r="E474" s="145"/>
      <c r="F474" s="61"/>
      <c r="G474" s="206"/>
      <c r="H474" s="74"/>
      <c r="I474" s="183"/>
      <c r="J474" s="175"/>
      <c r="K474" s="197"/>
      <c r="L474" s="194"/>
      <c r="N474" s="188">
        <f t="shared" si="43"/>
        <v>0</v>
      </c>
      <c r="O474" s="189">
        <v>7.0000000000000007E-2</v>
      </c>
      <c r="P474" s="170">
        <f t="shared" si="44"/>
        <v>0</v>
      </c>
    </row>
    <row r="475" spans="1:16">
      <c r="A475" s="157"/>
      <c r="B475" s="239"/>
      <c r="C475" s="222"/>
      <c r="D475" s="3464"/>
      <c r="E475" s="145"/>
      <c r="F475" s="61"/>
      <c r="G475" s="223"/>
      <c r="H475" s="224"/>
      <c r="I475" s="225"/>
      <c r="J475" s="209"/>
      <c r="K475" s="244"/>
      <c r="M475" s="188">
        <v>14244.12</v>
      </c>
      <c r="N475" s="188">
        <f t="shared" si="43"/>
        <v>13816.796400000001</v>
      </c>
      <c r="O475" s="189">
        <v>7.0000000000000007E-2</v>
      </c>
      <c r="P475" s="170">
        <f t="shared" si="44"/>
        <v>14783.972148000001</v>
      </c>
    </row>
    <row r="476" spans="1:16">
      <c r="A476" s="157"/>
      <c r="B476" s="162"/>
      <c r="C476" s="63"/>
      <c r="D476" s="199"/>
      <c r="E476" s="145"/>
      <c r="F476" s="61"/>
      <c r="G476" s="206"/>
      <c r="H476" s="74"/>
      <c r="I476" s="183"/>
      <c r="J476" s="175"/>
      <c r="K476" s="197"/>
      <c r="L476" s="194"/>
      <c r="M476" s="188">
        <v>3240</v>
      </c>
      <c r="N476" s="188">
        <f t="shared" si="43"/>
        <v>3142.8</v>
      </c>
      <c r="O476" s="189">
        <v>7.0000000000000007E-2</v>
      </c>
      <c r="P476" s="170">
        <f t="shared" si="44"/>
        <v>3362.7960000000003</v>
      </c>
    </row>
    <row r="477" spans="1:16">
      <c r="A477" s="157"/>
      <c r="B477" s="162"/>
      <c r="C477" s="63"/>
      <c r="D477" s="199"/>
      <c r="E477" s="145"/>
      <c r="F477" s="61"/>
      <c r="G477" s="206"/>
      <c r="H477" s="74"/>
      <c r="I477" s="183"/>
      <c r="J477" s="175"/>
      <c r="K477" s="197"/>
      <c r="L477" s="194"/>
      <c r="M477" s="188">
        <v>14700</v>
      </c>
      <c r="N477" s="188">
        <f t="shared" si="43"/>
        <v>14259</v>
      </c>
      <c r="O477" s="189">
        <v>7.0000000000000007E-2</v>
      </c>
      <c r="P477" s="170">
        <f t="shared" si="44"/>
        <v>15257.130000000001</v>
      </c>
    </row>
    <row r="478" spans="1:16">
      <c r="A478" s="157"/>
      <c r="B478" s="162"/>
      <c r="C478" s="222"/>
      <c r="D478" s="3464"/>
      <c r="E478" s="237"/>
      <c r="F478" s="238"/>
      <c r="G478" s="223"/>
      <c r="H478" s="224"/>
      <c r="I478" s="225"/>
      <c r="J478" s="209"/>
      <c r="K478" s="226"/>
      <c r="L478" s="229"/>
      <c r="M478" s="188">
        <v>14582.7</v>
      </c>
      <c r="N478" s="188">
        <f t="shared" si="43"/>
        <v>14145.219000000001</v>
      </c>
      <c r="O478" s="189">
        <v>7.0000000000000007E-2</v>
      </c>
      <c r="P478" s="170">
        <f t="shared" si="44"/>
        <v>15135.384330000001</v>
      </c>
    </row>
    <row r="479" spans="1:16">
      <c r="A479" s="157"/>
      <c r="B479" s="162"/>
      <c r="C479" s="63"/>
      <c r="D479" s="199"/>
      <c r="E479" s="145"/>
      <c r="F479" s="61"/>
      <c r="G479" s="206"/>
      <c r="H479" s="74"/>
      <c r="I479" s="183"/>
      <c r="J479" s="175"/>
      <c r="K479" s="197"/>
      <c r="L479" s="229"/>
      <c r="M479" s="188">
        <v>13483.8</v>
      </c>
      <c r="N479" s="188">
        <f t="shared" si="43"/>
        <v>13079.286</v>
      </c>
      <c r="O479" s="189">
        <v>7.0000000000000007E-2</v>
      </c>
      <c r="P479" s="170">
        <f t="shared" si="44"/>
        <v>13994.836020000001</v>
      </c>
    </row>
    <row r="480" spans="1:16">
      <c r="A480" s="157"/>
      <c r="B480" s="154"/>
      <c r="C480" s="222"/>
      <c r="D480" s="3464"/>
      <c r="E480" s="145"/>
      <c r="F480" s="61"/>
      <c r="G480" s="223"/>
      <c r="H480" s="224"/>
      <c r="I480" s="225"/>
      <c r="J480" s="209"/>
      <c r="K480" s="226"/>
      <c r="L480" s="229"/>
      <c r="M480" s="188">
        <v>2669.52</v>
      </c>
      <c r="N480" s="188">
        <f t="shared" si="43"/>
        <v>2589.4344000000001</v>
      </c>
      <c r="O480" s="189">
        <v>7.0000000000000007E-2</v>
      </c>
      <c r="P480" s="170">
        <f t="shared" si="44"/>
        <v>2770.6948080000002</v>
      </c>
    </row>
    <row r="481" spans="1:16">
      <c r="A481" s="157"/>
      <c r="B481" s="154"/>
      <c r="C481" s="222"/>
      <c r="D481" s="3464"/>
      <c r="E481" s="145"/>
      <c r="F481" s="61"/>
      <c r="G481" s="223"/>
      <c r="H481" s="224"/>
      <c r="I481" s="225"/>
      <c r="J481" s="209"/>
      <c r="K481" s="226"/>
      <c r="L481" s="229"/>
      <c r="N481" s="188">
        <f t="shared" si="43"/>
        <v>0</v>
      </c>
      <c r="O481" s="189">
        <v>7.0000000000000007E-2</v>
      </c>
      <c r="P481" s="170">
        <f t="shared" si="44"/>
        <v>0</v>
      </c>
    </row>
    <row r="482" spans="1:16">
      <c r="A482" s="221"/>
      <c r="B482" s="240"/>
      <c r="C482" s="222"/>
      <c r="D482" s="3464"/>
      <c r="E482" s="145"/>
      <c r="F482" s="61"/>
      <c r="G482" s="223"/>
      <c r="H482" s="224"/>
      <c r="I482" s="225"/>
      <c r="J482" s="209"/>
      <c r="K482" s="226"/>
      <c r="L482" s="229"/>
      <c r="M482" s="188">
        <v>12972.96</v>
      </c>
      <c r="N482" s="188">
        <f t="shared" si="43"/>
        <v>12583.771199999999</v>
      </c>
      <c r="O482" s="189">
        <v>7.0000000000000007E-2</v>
      </c>
      <c r="P482" s="170">
        <f t="shared" si="44"/>
        <v>13464.635183999999</v>
      </c>
    </row>
    <row r="483" spans="1:16">
      <c r="A483" s="157"/>
      <c r="B483" s="154"/>
      <c r="C483" s="63"/>
      <c r="D483" s="199"/>
      <c r="E483" s="145"/>
      <c r="F483" s="61"/>
      <c r="G483" s="206"/>
      <c r="H483" s="74"/>
      <c r="I483" s="183"/>
      <c r="J483" s="209"/>
      <c r="K483" s="197"/>
      <c r="L483" s="229"/>
      <c r="M483" s="188">
        <v>12687.84</v>
      </c>
      <c r="N483" s="188">
        <f t="shared" si="43"/>
        <v>12307.2048</v>
      </c>
      <c r="O483" s="189">
        <v>7.0000000000000007E-2</v>
      </c>
      <c r="P483" s="170">
        <f t="shared" si="44"/>
        <v>13168.709135999999</v>
      </c>
    </row>
    <row r="484" spans="1:16">
      <c r="A484" s="157"/>
      <c r="B484" s="154"/>
      <c r="C484" s="63"/>
      <c r="D484" s="199"/>
      <c r="E484" s="145"/>
      <c r="F484" s="61"/>
      <c r="G484" s="206"/>
      <c r="H484" s="74"/>
      <c r="I484" s="183"/>
      <c r="J484" s="175"/>
      <c r="K484" s="197"/>
      <c r="L484" s="194"/>
      <c r="M484" s="188">
        <v>16572.599999999999</v>
      </c>
      <c r="N484" s="188">
        <f t="shared" si="43"/>
        <v>16075.421999999999</v>
      </c>
      <c r="O484" s="189">
        <v>7.0000000000000007E-2</v>
      </c>
      <c r="P484" s="170">
        <f t="shared" si="44"/>
        <v>17200.701539999998</v>
      </c>
    </row>
    <row r="485" spans="1:16">
      <c r="A485" s="157"/>
      <c r="B485" s="154"/>
      <c r="C485" s="63"/>
      <c r="D485" s="199"/>
      <c r="E485" s="90"/>
      <c r="F485" s="61"/>
      <c r="G485" s="206"/>
      <c r="H485" s="74"/>
      <c r="I485" s="203"/>
      <c r="J485" s="175"/>
      <c r="K485" s="197"/>
      <c r="L485" s="194"/>
      <c r="M485" s="188">
        <v>6021.12</v>
      </c>
      <c r="N485" s="188">
        <f>M485-(M485*0.03)</f>
        <v>5840.4863999999998</v>
      </c>
      <c r="O485" s="189">
        <v>7.0000000000000007E-2</v>
      </c>
      <c r="P485" s="170">
        <f>(N485*O485)+N485</f>
        <v>6249.3204479999995</v>
      </c>
    </row>
    <row r="486" spans="1:16">
      <c r="A486" s="157"/>
      <c r="B486" s="154"/>
      <c r="C486" s="63"/>
      <c r="D486" s="199"/>
      <c r="E486" s="90"/>
      <c r="F486" s="61"/>
      <c r="G486" s="206"/>
      <c r="H486" s="74"/>
      <c r="I486" s="183"/>
      <c r="J486" s="175"/>
      <c r="K486" s="197"/>
      <c r="L486" s="194"/>
      <c r="M486" s="188">
        <v>8714.16</v>
      </c>
      <c r="N486" s="188">
        <f>M486-(M486*0.03)</f>
        <v>8452.7351999999992</v>
      </c>
      <c r="O486" s="189">
        <v>7.0000000000000007E-2</v>
      </c>
      <c r="P486" s="170">
        <f>(N486*O486)+N486</f>
        <v>9044.4266639999987</v>
      </c>
    </row>
    <row r="487" spans="1:16">
      <c r="A487" s="157"/>
      <c r="B487" s="154"/>
      <c r="C487" s="63"/>
      <c r="D487" s="199"/>
      <c r="E487" s="90"/>
      <c r="F487" s="61"/>
      <c r="G487" s="206"/>
      <c r="H487" s="74"/>
      <c r="I487" s="183"/>
      <c r="J487" s="175"/>
      <c r="K487" s="197"/>
      <c r="L487" s="194"/>
      <c r="M487" s="188">
        <v>0</v>
      </c>
      <c r="N487" s="188">
        <f>M487-(M487*0.03)</f>
        <v>0</v>
      </c>
      <c r="O487" s="189">
        <v>7.0000000000000007E-2</v>
      </c>
      <c r="P487" s="170">
        <f t="shared" ref="P487:P493" si="45">(N487*O487)+N487</f>
        <v>0</v>
      </c>
    </row>
    <row r="488" spans="1:16">
      <c r="A488" s="157"/>
      <c r="B488" s="154"/>
      <c r="C488" s="63"/>
      <c r="D488" s="199"/>
      <c r="E488" s="90"/>
      <c r="F488" s="61"/>
      <c r="G488" s="206"/>
      <c r="H488" s="74"/>
      <c r="I488" s="183"/>
      <c r="J488" s="175"/>
      <c r="K488" s="197"/>
      <c r="L488" s="194"/>
      <c r="M488" s="188">
        <v>18537.7</v>
      </c>
      <c r="N488" s="188">
        <f>M488-(M488*0.03)</f>
        <v>17981.569</v>
      </c>
      <c r="O488" s="189">
        <v>7.0000000000000007E-2</v>
      </c>
      <c r="P488" s="170">
        <f t="shared" si="45"/>
        <v>19240.278829999999</v>
      </c>
    </row>
    <row r="489" spans="1:16">
      <c r="A489" s="158"/>
      <c r="B489" s="154"/>
      <c r="C489" s="63"/>
      <c r="D489" s="199"/>
      <c r="E489" s="91"/>
      <c r="F489" s="61"/>
      <c r="G489" s="206"/>
      <c r="H489" s="74"/>
      <c r="I489" s="183"/>
      <c r="J489" s="175"/>
      <c r="K489" s="197"/>
      <c r="L489" s="194"/>
      <c r="M489" s="188">
        <v>9031.68</v>
      </c>
      <c r="N489" s="188">
        <f t="shared" ref="N489:N501" si="46">M489-(M489*0.03)</f>
        <v>8760.7296000000006</v>
      </c>
      <c r="O489" s="189">
        <v>7.0000000000000007E-2</v>
      </c>
      <c r="P489" s="170">
        <f t="shared" si="45"/>
        <v>9373.9806720000015</v>
      </c>
    </row>
    <row r="490" spans="1:16">
      <c r="A490" s="200"/>
      <c r="B490" s="154"/>
      <c r="C490" s="63"/>
      <c r="D490" s="199"/>
      <c r="E490" s="153"/>
      <c r="F490" s="61"/>
      <c r="G490" s="206"/>
      <c r="H490" s="88"/>
      <c r="I490" s="184"/>
      <c r="J490" s="201"/>
      <c r="K490" s="202"/>
      <c r="L490" s="194"/>
      <c r="N490" s="188">
        <f t="shared" si="46"/>
        <v>0</v>
      </c>
      <c r="O490" s="189">
        <v>7.0000000000000007E-2</v>
      </c>
      <c r="P490" s="170">
        <f t="shared" si="45"/>
        <v>0</v>
      </c>
    </row>
    <row r="491" spans="1:16">
      <c r="A491" s="157"/>
      <c r="B491" s="154"/>
      <c r="C491" s="63"/>
      <c r="D491" s="199"/>
      <c r="E491" s="198"/>
      <c r="F491" s="61"/>
      <c r="G491" s="206"/>
      <c r="H491" s="74"/>
      <c r="I491" s="183"/>
      <c r="J491" s="175"/>
      <c r="K491" s="197"/>
      <c r="L491" s="194"/>
      <c r="M491" s="188">
        <v>8478.9599999999991</v>
      </c>
      <c r="N491" s="188">
        <f t="shared" si="46"/>
        <v>8224.5911999999989</v>
      </c>
      <c r="O491" s="189">
        <v>7.0000000000000007E-2</v>
      </c>
      <c r="P491" s="170">
        <f t="shared" si="45"/>
        <v>8800.3125839999993</v>
      </c>
    </row>
    <row r="492" spans="1:16">
      <c r="A492" s="157"/>
      <c r="B492" s="154"/>
      <c r="C492" s="63"/>
      <c r="D492" s="199"/>
      <c r="E492" s="142"/>
      <c r="F492" s="61"/>
      <c r="G492" s="206"/>
      <c r="H492" s="74"/>
      <c r="I492" s="183"/>
      <c r="J492" s="175"/>
      <c r="K492" s="197"/>
      <c r="L492" s="194"/>
      <c r="M492" s="188">
        <v>11122.62</v>
      </c>
      <c r="N492" s="188">
        <f t="shared" si="46"/>
        <v>10788.941400000002</v>
      </c>
      <c r="O492" s="189">
        <v>7.0000000000000007E-2</v>
      </c>
      <c r="P492" s="170">
        <f t="shared" si="45"/>
        <v>11544.167298000002</v>
      </c>
    </row>
    <row r="493" spans="1:16">
      <c r="A493" s="157"/>
      <c r="B493" s="154"/>
      <c r="C493" s="63"/>
      <c r="D493" s="196"/>
      <c r="E493" s="120"/>
      <c r="F493" s="121"/>
      <c r="G493" s="206"/>
      <c r="H493" s="115"/>
      <c r="I493" s="185"/>
      <c r="J493" s="175"/>
      <c r="K493" s="197"/>
      <c r="L493" s="194"/>
      <c r="M493" s="188">
        <v>3813.12</v>
      </c>
      <c r="N493" s="188">
        <f t="shared" si="46"/>
        <v>3698.7264</v>
      </c>
      <c r="O493" s="189">
        <v>7.0000000000000007E-2</v>
      </c>
      <c r="P493" s="170">
        <f t="shared" si="45"/>
        <v>3957.637248</v>
      </c>
    </row>
    <row r="494" spans="1:16">
      <c r="A494" s="157"/>
      <c r="B494" s="154"/>
      <c r="C494" s="63"/>
      <c r="D494" s="196"/>
      <c r="E494" s="249"/>
      <c r="F494" s="121"/>
      <c r="G494" s="206"/>
      <c r="H494" s="115"/>
      <c r="I494" s="185"/>
      <c r="J494" s="175"/>
      <c r="K494" s="197"/>
      <c r="L494" s="194"/>
    </row>
    <row r="495" spans="1:16">
      <c r="A495" s="157"/>
      <c r="B495" s="154"/>
      <c r="C495" s="63"/>
      <c r="D495" s="196"/>
      <c r="E495" s="249"/>
      <c r="F495" s="121"/>
      <c r="G495" s="206"/>
      <c r="H495" s="115"/>
      <c r="I495" s="185"/>
      <c r="J495" s="175"/>
      <c r="K495" s="197"/>
      <c r="L495" s="194"/>
    </row>
    <row r="496" spans="1:16">
      <c r="A496" s="157"/>
      <c r="B496" s="154"/>
      <c r="C496" s="63"/>
      <c r="D496" s="196"/>
      <c r="E496" s="249"/>
      <c r="F496" s="121"/>
      <c r="G496" s="206"/>
      <c r="H496" s="115"/>
      <c r="I496" s="185"/>
      <c r="J496" s="175"/>
      <c r="K496" s="197"/>
      <c r="L496" s="194"/>
    </row>
    <row r="497" spans="1:16">
      <c r="A497" s="157"/>
      <c r="B497" s="154"/>
      <c r="C497" s="63"/>
      <c r="D497" s="196"/>
      <c r="E497" s="249"/>
      <c r="F497" s="121"/>
      <c r="G497" s="206"/>
      <c r="H497" s="115"/>
      <c r="I497" s="185"/>
      <c r="J497" s="175"/>
      <c r="K497" s="197"/>
      <c r="L497" s="194"/>
    </row>
    <row r="498" spans="1:16">
      <c r="A498" s="157"/>
      <c r="B498" s="154"/>
      <c r="C498" s="63"/>
      <c r="D498" s="196"/>
      <c r="E498" s="249"/>
      <c r="F498" s="121"/>
      <c r="G498" s="206"/>
      <c r="H498" s="115"/>
      <c r="I498" s="185"/>
      <c r="J498" s="175"/>
      <c r="K498" s="197"/>
      <c r="L498" s="194"/>
    </row>
    <row r="499" spans="1:16">
      <c r="A499" s="157"/>
      <c r="B499" s="154"/>
      <c r="C499" s="63"/>
      <c r="D499" s="196"/>
      <c r="E499" s="249"/>
      <c r="F499" s="121"/>
      <c r="G499" s="206"/>
      <c r="H499" s="115"/>
      <c r="I499" s="185"/>
      <c r="J499" s="175"/>
      <c r="K499" s="197"/>
      <c r="L499" s="194"/>
    </row>
    <row r="500" spans="1:16">
      <c r="A500" s="157"/>
      <c r="B500" s="154"/>
      <c r="C500" s="63"/>
      <c r="D500" s="196"/>
      <c r="E500" s="142"/>
      <c r="F500" s="61"/>
      <c r="G500" s="206"/>
      <c r="H500" s="74"/>
      <c r="I500" s="183"/>
      <c r="J500" s="175"/>
      <c r="K500" s="197"/>
      <c r="L500" s="194"/>
    </row>
    <row r="501" spans="1:16">
      <c r="A501" s="157"/>
      <c r="B501" s="161"/>
      <c r="C501" s="63"/>
      <c r="D501" s="196"/>
      <c r="E501" s="142"/>
      <c r="F501" s="61"/>
      <c r="G501" s="206"/>
      <c r="H501" s="74"/>
      <c r="I501" s="183"/>
      <c r="J501" s="175"/>
      <c r="K501" s="197"/>
      <c r="L501" s="194"/>
      <c r="M501" s="188">
        <v>8640</v>
      </c>
      <c r="N501" s="188">
        <f t="shared" si="46"/>
        <v>8380.7999999999993</v>
      </c>
      <c r="O501" s="189">
        <v>7.0000000000000007E-2</v>
      </c>
      <c r="P501" s="170">
        <f>(N501*O501)+N501</f>
        <v>8967.4559999999983</v>
      </c>
    </row>
    <row r="502" spans="1:16">
      <c r="A502" s="160"/>
      <c r="B502" s="154"/>
      <c r="C502" s="63"/>
      <c r="D502" s="196"/>
      <c r="E502" s="120"/>
      <c r="F502" s="121"/>
      <c r="G502" s="206"/>
      <c r="H502" s="115"/>
      <c r="I502" s="185"/>
      <c r="J502" s="174"/>
      <c r="K502" s="195"/>
      <c r="L502" s="194"/>
    </row>
    <row r="503" spans="1:16">
      <c r="F503" s="68"/>
    </row>
    <row r="504" spans="1:16">
      <c r="F504" s="68"/>
    </row>
    <row r="505" spans="1:16">
      <c r="A505" s="44" t="s">
        <v>0</v>
      </c>
      <c r="B505" s="127"/>
      <c r="C505" s="104"/>
      <c r="F505" s="68"/>
      <c r="I505" s="179"/>
      <c r="K505" s="163"/>
      <c r="L505" s="168"/>
    </row>
    <row r="506" spans="1:16">
      <c r="A506" s="3480" t="s">
        <v>2512</v>
      </c>
      <c r="B506" s="3480"/>
      <c r="C506" s="44"/>
      <c r="D506" s="109"/>
      <c r="F506" s="68"/>
      <c r="I506" s="179"/>
      <c r="K506" s="163"/>
      <c r="L506" s="168"/>
    </row>
    <row r="507" spans="1:16" ht="35.25" thickBot="1">
      <c r="F507" s="68"/>
    </row>
    <row r="508" spans="1:16">
      <c r="A508" s="3493" t="s">
        <v>2</v>
      </c>
      <c r="B508" s="3482"/>
      <c r="C508" s="48" t="s">
        <v>3</v>
      </c>
      <c r="D508" s="128" t="s">
        <v>4</v>
      </c>
      <c r="E508" s="77" t="s">
        <v>5</v>
      </c>
      <c r="F508" s="78" t="s">
        <v>5</v>
      </c>
      <c r="G508" s="211" t="s">
        <v>6</v>
      </c>
      <c r="H508" s="140" t="s">
        <v>7</v>
      </c>
      <c r="I508" s="180" t="s">
        <v>1511</v>
      </c>
      <c r="J508" s="172" t="s">
        <v>9</v>
      </c>
      <c r="K508" s="186" t="s">
        <v>9</v>
      </c>
      <c r="L508" s="192" t="s">
        <v>2495</v>
      </c>
      <c r="M508" s="190"/>
    </row>
    <row r="509" spans="1:16" ht="35.25" thickBot="1">
      <c r="A509" s="155"/>
      <c r="B509" s="138"/>
      <c r="C509" s="50"/>
      <c r="D509" s="129" t="s">
        <v>10</v>
      </c>
      <c r="E509" s="79" t="s">
        <v>11</v>
      </c>
      <c r="F509" s="80" t="s">
        <v>12</v>
      </c>
      <c r="G509" s="212"/>
      <c r="H509" s="141" t="s">
        <v>13</v>
      </c>
      <c r="I509" s="181" t="s">
        <v>1512</v>
      </c>
      <c r="J509" s="173" t="s">
        <v>15</v>
      </c>
      <c r="K509" s="187" t="s">
        <v>14</v>
      </c>
      <c r="L509" s="193" t="s">
        <v>2496</v>
      </c>
      <c r="M509" s="190"/>
    </row>
    <row r="510" spans="1:16">
      <c r="A510" s="156"/>
      <c r="B510" s="154"/>
      <c r="C510" s="63"/>
      <c r="D510" s="199"/>
      <c r="E510" s="143"/>
      <c r="F510" s="69"/>
      <c r="G510" s="206"/>
      <c r="H510" s="74"/>
      <c r="I510" s="183"/>
      <c r="J510" s="175"/>
      <c r="K510" s="172"/>
      <c r="L510" s="194"/>
      <c r="M510" s="188">
        <v>3552</v>
      </c>
      <c r="N510" s="188">
        <f t="shared" ref="N510:N526" si="47">M510-(M510*0.03)</f>
        <v>3445.44</v>
      </c>
      <c r="O510" s="189">
        <v>7.0000000000000007E-2</v>
      </c>
      <c r="P510" s="170">
        <f t="shared" ref="P510:P526" si="48">(N510*O510)+N510</f>
        <v>3686.6208000000001</v>
      </c>
    </row>
    <row r="511" spans="1:16">
      <c r="A511" s="157"/>
      <c r="B511" s="154"/>
      <c r="C511" s="63"/>
      <c r="D511" s="199"/>
      <c r="E511" s="145"/>
      <c r="F511" s="61"/>
      <c r="G511" s="206"/>
      <c r="H511" s="74"/>
      <c r="I511" s="183"/>
      <c r="J511" s="175"/>
      <c r="K511" s="176"/>
      <c r="L511" s="194"/>
      <c r="N511" s="188">
        <f t="shared" si="47"/>
        <v>0</v>
      </c>
      <c r="O511" s="189">
        <v>7.0000000000000007E-2</v>
      </c>
      <c r="P511" s="170">
        <f t="shared" si="48"/>
        <v>0</v>
      </c>
    </row>
    <row r="512" spans="1:16">
      <c r="A512" s="157"/>
      <c r="B512" s="239"/>
      <c r="C512" s="63"/>
      <c r="D512" s="199"/>
      <c r="E512" s="145"/>
      <c r="F512" s="61"/>
      <c r="G512" s="206"/>
      <c r="H512" s="74"/>
      <c r="I512" s="183"/>
      <c r="J512" s="175"/>
      <c r="K512" s="245"/>
      <c r="L512" s="194"/>
      <c r="M512" s="188">
        <v>9498.06</v>
      </c>
      <c r="N512" s="188">
        <f t="shared" si="47"/>
        <v>9213.118199999999</v>
      </c>
      <c r="O512" s="189">
        <v>7.0000000000000007E-2</v>
      </c>
      <c r="P512" s="170">
        <f t="shared" si="48"/>
        <v>9858.0364739999986</v>
      </c>
    </row>
    <row r="513" spans="1:16">
      <c r="A513" s="157"/>
      <c r="B513" s="239"/>
      <c r="C513" s="63"/>
      <c r="D513" s="199"/>
      <c r="E513" s="145"/>
      <c r="F513" s="61"/>
      <c r="G513" s="206"/>
      <c r="H513" s="74"/>
      <c r="I513" s="183"/>
      <c r="J513" s="175"/>
      <c r="K513" s="197"/>
      <c r="L513" s="194"/>
      <c r="M513" s="188">
        <v>15305.4</v>
      </c>
      <c r="N513" s="188">
        <f t="shared" si="47"/>
        <v>14846.237999999999</v>
      </c>
      <c r="O513" s="189">
        <v>7.0000000000000007E-2</v>
      </c>
      <c r="P513" s="170">
        <f t="shared" si="48"/>
        <v>15885.47466</v>
      </c>
    </row>
    <row r="514" spans="1:16">
      <c r="A514" s="157"/>
      <c r="B514" s="154"/>
      <c r="C514" s="63"/>
      <c r="D514" s="199"/>
      <c r="E514" s="145"/>
      <c r="F514" s="61"/>
      <c r="G514" s="206"/>
      <c r="H514" s="74"/>
      <c r="I514" s="183"/>
      <c r="J514" s="175"/>
      <c r="K514" s="197"/>
      <c r="L514" s="194"/>
      <c r="N514" s="188">
        <f t="shared" si="47"/>
        <v>0</v>
      </c>
      <c r="O514" s="189">
        <v>7.0000000000000007E-2</v>
      </c>
      <c r="P514" s="170">
        <f t="shared" si="48"/>
        <v>0</v>
      </c>
    </row>
    <row r="515" spans="1:16">
      <c r="A515" s="157"/>
      <c r="B515" s="154"/>
      <c r="C515" s="63"/>
      <c r="D515" s="199"/>
      <c r="E515" s="145"/>
      <c r="F515" s="61"/>
      <c r="G515" s="206"/>
      <c r="H515" s="74"/>
      <c r="I515" s="183"/>
      <c r="J515" s="175"/>
      <c r="K515" s="197"/>
      <c r="L515" s="194"/>
      <c r="N515" s="188">
        <f t="shared" si="47"/>
        <v>0</v>
      </c>
      <c r="O515" s="189">
        <v>7.0000000000000007E-2</v>
      </c>
      <c r="P515" s="170">
        <f t="shared" si="48"/>
        <v>0</v>
      </c>
    </row>
    <row r="516" spans="1:16">
      <c r="A516" s="157"/>
      <c r="B516" s="154"/>
      <c r="C516" s="63"/>
      <c r="D516" s="199"/>
      <c r="E516" s="145"/>
      <c r="F516" s="61"/>
      <c r="G516" s="206"/>
      <c r="H516" s="74"/>
      <c r="I516" s="183"/>
      <c r="J516" s="175"/>
      <c r="K516" s="197"/>
      <c r="L516" s="194"/>
      <c r="N516" s="188">
        <f t="shared" si="47"/>
        <v>0</v>
      </c>
      <c r="O516" s="189">
        <v>7.0000000000000007E-2</v>
      </c>
      <c r="P516" s="170">
        <f t="shared" si="48"/>
        <v>0</v>
      </c>
    </row>
    <row r="517" spans="1:16">
      <c r="A517" s="157"/>
      <c r="B517" s="239"/>
      <c r="C517" s="222"/>
      <c r="D517" s="3464"/>
      <c r="E517" s="145"/>
      <c r="F517" s="61"/>
      <c r="G517" s="223"/>
      <c r="H517" s="224"/>
      <c r="I517" s="225"/>
      <c r="J517" s="209"/>
      <c r="K517" s="244"/>
      <c r="M517" s="188">
        <v>14244.12</v>
      </c>
      <c r="N517" s="188">
        <f t="shared" si="47"/>
        <v>13816.796400000001</v>
      </c>
      <c r="O517" s="189">
        <v>7.0000000000000007E-2</v>
      </c>
      <c r="P517" s="170">
        <f t="shared" si="48"/>
        <v>14783.972148000001</v>
      </c>
    </row>
    <row r="518" spans="1:16">
      <c r="A518" s="157"/>
      <c r="B518" s="162"/>
      <c r="C518" s="63"/>
      <c r="D518" s="199"/>
      <c r="E518" s="145"/>
      <c r="F518" s="61"/>
      <c r="G518" s="206"/>
      <c r="H518" s="74"/>
      <c r="I518" s="183"/>
      <c r="J518" s="175"/>
      <c r="K518" s="197"/>
      <c r="L518" s="194"/>
      <c r="M518" s="188">
        <v>3240</v>
      </c>
      <c r="N518" s="188">
        <f t="shared" si="47"/>
        <v>3142.8</v>
      </c>
      <c r="O518" s="189">
        <v>7.0000000000000007E-2</v>
      </c>
      <c r="P518" s="170">
        <f t="shared" si="48"/>
        <v>3362.7960000000003</v>
      </c>
    </row>
    <row r="519" spans="1:16">
      <c r="A519" s="157"/>
      <c r="B519" s="162"/>
      <c r="C519" s="63"/>
      <c r="D519" s="199"/>
      <c r="E519" s="145"/>
      <c r="F519" s="61"/>
      <c r="G519" s="206"/>
      <c r="H519" s="74"/>
      <c r="I519" s="183"/>
      <c r="J519" s="175"/>
      <c r="K519" s="197"/>
      <c r="L519" s="194"/>
      <c r="M519" s="188">
        <v>14700</v>
      </c>
      <c r="N519" s="188">
        <f t="shared" si="47"/>
        <v>14259</v>
      </c>
      <c r="O519" s="189">
        <v>7.0000000000000007E-2</v>
      </c>
      <c r="P519" s="170">
        <f t="shared" si="48"/>
        <v>15257.130000000001</v>
      </c>
    </row>
    <row r="520" spans="1:16">
      <c r="A520" s="157"/>
      <c r="B520" s="162"/>
      <c r="C520" s="222"/>
      <c r="D520" s="3464"/>
      <c r="E520" s="237"/>
      <c r="F520" s="238"/>
      <c r="G520" s="223"/>
      <c r="H520" s="224"/>
      <c r="I520" s="225"/>
      <c r="J520" s="209"/>
      <c r="K520" s="226"/>
      <c r="L520" s="229"/>
      <c r="M520" s="188">
        <v>14582.7</v>
      </c>
      <c r="N520" s="188">
        <f t="shared" si="47"/>
        <v>14145.219000000001</v>
      </c>
      <c r="O520" s="189">
        <v>7.0000000000000007E-2</v>
      </c>
      <c r="P520" s="170">
        <f t="shared" si="48"/>
        <v>15135.384330000001</v>
      </c>
    </row>
    <row r="521" spans="1:16">
      <c r="A521" s="157"/>
      <c r="B521" s="162"/>
      <c r="C521" s="63"/>
      <c r="D521" s="199"/>
      <c r="E521" s="145"/>
      <c r="F521" s="61"/>
      <c r="G521" s="206"/>
      <c r="H521" s="74"/>
      <c r="I521" s="183"/>
      <c r="J521" s="175"/>
      <c r="K521" s="197"/>
      <c r="L521" s="229"/>
      <c r="M521" s="188">
        <v>13483.8</v>
      </c>
      <c r="N521" s="188">
        <f t="shared" si="47"/>
        <v>13079.286</v>
      </c>
      <c r="O521" s="189">
        <v>7.0000000000000007E-2</v>
      </c>
      <c r="P521" s="170">
        <f t="shared" si="48"/>
        <v>13994.836020000001</v>
      </c>
    </row>
    <row r="522" spans="1:16">
      <c r="A522" s="157"/>
      <c r="B522" s="154"/>
      <c r="C522" s="222"/>
      <c r="D522" s="3464"/>
      <c r="E522" s="145"/>
      <c r="F522" s="61"/>
      <c r="G522" s="223"/>
      <c r="H522" s="224"/>
      <c r="I522" s="225"/>
      <c r="J522" s="209"/>
      <c r="K522" s="226"/>
      <c r="L522" s="229"/>
      <c r="M522" s="188">
        <v>2669.52</v>
      </c>
      <c r="N522" s="188">
        <f t="shared" si="47"/>
        <v>2589.4344000000001</v>
      </c>
      <c r="O522" s="189">
        <v>7.0000000000000007E-2</v>
      </c>
      <c r="P522" s="170">
        <f t="shared" si="48"/>
        <v>2770.6948080000002</v>
      </c>
    </row>
    <row r="523" spans="1:16">
      <c r="A523" s="157"/>
      <c r="B523" s="154"/>
      <c r="C523" s="222"/>
      <c r="D523" s="3464"/>
      <c r="E523" s="145"/>
      <c r="F523" s="61"/>
      <c r="G523" s="223"/>
      <c r="H523" s="224"/>
      <c r="I523" s="225"/>
      <c r="J523" s="209"/>
      <c r="K523" s="226"/>
      <c r="L523" s="229"/>
      <c r="N523" s="188">
        <f t="shared" si="47"/>
        <v>0</v>
      </c>
      <c r="O523" s="189">
        <v>7.0000000000000007E-2</v>
      </c>
      <c r="P523" s="170">
        <f t="shared" si="48"/>
        <v>0</v>
      </c>
    </row>
    <row r="524" spans="1:16">
      <c r="A524" s="221"/>
      <c r="B524" s="240"/>
      <c r="C524" s="222"/>
      <c r="D524" s="3464"/>
      <c r="E524" s="145"/>
      <c r="F524" s="61"/>
      <c r="G524" s="223"/>
      <c r="H524" s="224"/>
      <c r="I524" s="225"/>
      <c r="J524" s="209"/>
      <c r="K524" s="226"/>
      <c r="L524" s="229"/>
      <c r="M524" s="188">
        <v>12972.96</v>
      </c>
      <c r="N524" s="188">
        <f t="shared" si="47"/>
        <v>12583.771199999999</v>
      </c>
      <c r="O524" s="189">
        <v>7.0000000000000007E-2</v>
      </c>
      <c r="P524" s="170">
        <f t="shared" si="48"/>
        <v>13464.635183999999</v>
      </c>
    </row>
    <row r="525" spans="1:16">
      <c r="A525" s="157"/>
      <c r="B525" s="154"/>
      <c r="C525" s="63"/>
      <c r="D525" s="199"/>
      <c r="E525" s="145"/>
      <c r="F525" s="61"/>
      <c r="G525" s="206"/>
      <c r="H525" s="74"/>
      <c r="I525" s="183"/>
      <c r="J525" s="209"/>
      <c r="K525" s="197"/>
      <c r="L525" s="229"/>
      <c r="M525" s="188">
        <v>12687.84</v>
      </c>
      <c r="N525" s="188">
        <f t="shared" si="47"/>
        <v>12307.2048</v>
      </c>
      <c r="O525" s="189">
        <v>7.0000000000000007E-2</v>
      </c>
      <c r="P525" s="170">
        <f t="shared" si="48"/>
        <v>13168.709135999999</v>
      </c>
    </row>
    <row r="526" spans="1:16">
      <c r="A526" s="157"/>
      <c r="B526" s="154"/>
      <c r="C526" s="63"/>
      <c r="D526" s="199"/>
      <c r="E526" s="145"/>
      <c r="F526" s="61"/>
      <c r="G526" s="206"/>
      <c r="H526" s="74"/>
      <c r="I526" s="183"/>
      <c r="J526" s="175"/>
      <c r="K526" s="197"/>
      <c r="L526" s="194"/>
      <c r="M526" s="188">
        <v>16572.599999999999</v>
      </c>
      <c r="N526" s="188">
        <f t="shared" si="47"/>
        <v>16075.421999999999</v>
      </c>
      <c r="O526" s="189">
        <v>7.0000000000000007E-2</v>
      </c>
      <c r="P526" s="170">
        <f t="shared" si="48"/>
        <v>17200.701539999998</v>
      </c>
    </row>
    <row r="527" spans="1:16">
      <c r="A527" s="157"/>
      <c r="B527" s="154"/>
      <c r="C527" s="63"/>
      <c r="D527" s="199"/>
      <c r="E527" s="90"/>
      <c r="F527" s="61"/>
      <c r="G527" s="206"/>
      <c r="H527" s="74"/>
      <c r="I527" s="203"/>
      <c r="J527" s="175"/>
      <c r="K527" s="197"/>
      <c r="L527" s="194"/>
      <c r="M527" s="188">
        <v>6021.12</v>
      </c>
      <c r="N527" s="188">
        <f>M527-(M527*0.03)</f>
        <v>5840.4863999999998</v>
      </c>
      <c r="O527" s="189">
        <v>7.0000000000000007E-2</v>
      </c>
      <c r="P527" s="170">
        <f>(N527*O527)+N527</f>
        <v>6249.3204479999995</v>
      </c>
    </row>
    <row r="528" spans="1:16">
      <c r="A528" s="157"/>
      <c r="B528" s="154"/>
      <c r="C528" s="63"/>
      <c r="D528" s="199"/>
      <c r="E528" s="90"/>
      <c r="F528" s="61"/>
      <c r="G528" s="206"/>
      <c r="H528" s="74"/>
      <c r="I528" s="183"/>
      <c r="J528" s="175"/>
      <c r="K528" s="197"/>
      <c r="L528" s="194"/>
      <c r="M528" s="188">
        <v>8714.16</v>
      </c>
      <c r="N528" s="188">
        <f>M528-(M528*0.03)</f>
        <v>8452.7351999999992</v>
      </c>
      <c r="O528" s="189">
        <v>7.0000000000000007E-2</v>
      </c>
      <c r="P528" s="170">
        <f>(N528*O528)+N528</f>
        <v>9044.4266639999987</v>
      </c>
    </row>
    <row r="529" spans="1:16">
      <c r="A529" s="157"/>
      <c r="B529" s="154"/>
      <c r="C529" s="63"/>
      <c r="D529" s="199"/>
      <c r="E529" s="90"/>
      <c r="F529" s="61"/>
      <c r="G529" s="206"/>
      <c r="H529" s="74"/>
      <c r="I529" s="183"/>
      <c r="J529" s="175"/>
      <c r="K529" s="197"/>
      <c r="L529" s="194"/>
      <c r="M529" s="188">
        <v>0</v>
      </c>
      <c r="N529" s="188">
        <f>M529-(M529*0.03)</f>
        <v>0</v>
      </c>
      <c r="O529" s="189">
        <v>7.0000000000000007E-2</v>
      </c>
      <c r="P529" s="170">
        <f t="shared" ref="P529:P535" si="49">(N529*O529)+N529</f>
        <v>0</v>
      </c>
    </row>
    <row r="530" spans="1:16">
      <c r="A530" s="157"/>
      <c r="B530" s="154"/>
      <c r="C530" s="63"/>
      <c r="D530" s="199"/>
      <c r="E530" s="90"/>
      <c r="F530" s="61"/>
      <c r="G530" s="206"/>
      <c r="H530" s="74"/>
      <c r="I530" s="183"/>
      <c r="J530" s="175"/>
      <c r="K530" s="197"/>
      <c r="L530" s="194"/>
      <c r="M530" s="188">
        <v>18537.7</v>
      </c>
      <c r="N530" s="188">
        <f>M530-(M530*0.03)</f>
        <v>17981.569</v>
      </c>
      <c r="O530" s="189">
        <v>7.0000000000000007E-2</v>
      </c>
      <c r="P530" s="170">
        <f t="shared" si="49"/>
        <v>19240.278829999999</v>
      </c>
    </row>
    <row r="531" spans="1:16">
      <c r="A531" s="158"/>
      <c r="B531" s="154"/>
      <c r="C531" s="63"/>
      <c r="D531" s="199"/>
      <c r="E531" s="91"/>
      <c r="F531" s="61"/>
      <c r="G531" s="206"/>
      <c r="H531" s="74"/>
      <c r="I531" s="183"/>
      <c r="J531" s="175"/>
      <c r="K531" s="197"/>
      <c r="L531" s="194"/>
      <c r="M531" s="188">
        <v>9031.68</v>
      </c>
      <c r="N531" s="188">
        <f t="shared" ref="N531:N543" si="50">M531-(M531*0.03)</f>
        <v>8760.7296000000006</v>
      </c>
      <c r="O531" s="189">
        <v>7.0000000000000007E-2</v>
      </c>
      <c r="P531" s="170">
        <f t="shared" si="49"/>
        <v>9373.9806720000015</v>
      </c>
    </row>
    <row r="532" spans="1:16">
      <c r="A532" s="200"/>
      <c r="B532" s="154"/>
      <c r="C532" s="63"/>
      <c r="D532" s="199"/>
      <c r="E532" s="153"/>
      <c r="F532" s="61"/>
      <c r="G532" s="206"/>
      <c r="H532" s="88"/>
      <c r="I532" s="184"/>
      <c r="J532" s="201"/>
      <c r="K532" s="202"/>
      <c r="L532" s="194"/>
      <c r="N532" s="188">
        <f t="shared" si="50"/>
        <v>0</v>
      </c>
      <c r="O532" s="189">
        <v>7.0000000000000007E-2</v>
      </c>
      <c r="P532" s="170">
        <f t="shared" si="49"/>
        <v>0</v>
      </c>
    </row>
    <row r="533" spans="1:16">
      <c r="A533" s="157"/>
      <c r="B533" s="154"/>
      <c r="C533" s="63"/>
      <c r="D533" s="199"/>
      <c r="E533" s="198"/>
      <c r="F533" s="61"/>
      <c r="G533" s="206"/>
      <c r="H533" s="74"/>
      <c r="I533" s="183"/>
      <c r="J533" s="175"/>
      <c r="K533" s="197"/>
      <c r="L533" s="194"/>
      <c r="M533" s="188">
        <v>8478.9599999999991</v>
      </c>
      <c r="N533" s="188">
        <f t="shared" si="50"/>
        <v>8224.5911999999989</v>
      </c>
      <c r="O533" s="189">
        <v>7.0000000000000007E-2</v>
      </c>
      <c r="P533" s="170">
        <f t="shared" si="49"/>
        <v>8800.3125839999993</v>
      </c>
    </row>
    <row r="534" spans="1:16">
      <c r="A534" s="157"/>
      <c r="B534" s="154"/>
      <c r="C534" s="63"/>
      <c r="D534" s="199"/>
      <c r="E534" s="142"/>
      <c r="F534" s="61"/>
      <c r="G534" s="206"/>
      <c r="H534" s="74"/>
      <c r="I534" s="183"/>
      <c r="J534" s="175"/>
      <c r="K534" s="197"/>
      <c r="L534" s="194"/>
      <c r="M534" s="188">
        <v>11122.62</v>
      </c>
      <c r="N534" s="188">
        <f t="shared" si="50"/>
        <v>10788.941400000002</v>
      </c>
      <c r="O534" s="189">
        <v>7.0000000000000007E-2</v>
      </c>
      <c r="P534" s="170">
        <f t="shared" si="49"/>
        <v>11544.167298000002</v>
      </c>
    </row>
    <row r="535" spans="1:16">
      <c r="A535" s="157"/>
      <c r="B535" s="154"/>
      <c r="C535" s="63"/>
      <c r="D535" s="196"/>
      <c r="E535" s="120"/>
      <c r="F535" s="121"/>
      <c r="G535" s="206"/>
      <c r="H535" s="115"/>
      <c r="I535" s="185"/>
      <c r="J535" s="175"/>
      <c r="K535" s="197"/>
      <c r="L535" s="194"/>
      <c r="M535" s="188">
        <v>3813.12</v>
      </c>
      <c r="N535" s="188">
        <f t="shared" si="50"/>
        <v>3698.7264</v>
      </c>
      <c r="O535" s="189">
        <v>7.0000000000000007E-2</v>
      </c>
      <c r="P535" s="170">
        <f t="shared" si="49"/>
        <v>3957.637248</v>
      </c>
    </row>
    <row r="536" spans="1:16">
      <c r="A536" s="157"/>
      <c r="B536" s="154"/>
      <c r="C536" s="63"/>
      <c r="D536" s="196"/>
      <c r="E536" s="249"/>
      <c r="F536" s="121"/>
      <c r="G536" s="206"/>
      <c r="H536" s="115"/>
      <c r="I536" s="185"/>
      <c r="J536" s="175"/>
      <c r="K536" s="197"/>
      <c r="L536" s="194"/>
    </row>
    <row r="537" spans="1:16">
      <c r="A537" s="157"/>
      <c r="B537" s="154"/>
      <c r="C537" s="63"/>
      <c r="D537" s="196"/>
      <c r="E537" s="249"/>
      <c r="F537" s="121"/>
      <c r="G537" s="206"/>
      <c r="H537" s="115"/>
      <c r="I537" s="185"/>
      <c r="J537" s="175"/>
      <c r="K537" s="197"/>
      <c r="L537" s="194"/>
    </row>
    <row r="538" spans="1:16">
      <c r="A538" s="157"/>
      <c r="B538" s="154"/>
      <c r="C538" s="63"/>
      <c r="D538" s="196"/>
      <c r="E538" s="249"/>
      <c r="F538" s="121"/>
      <c r="G538" s="206"/>
      <c r="H538" s="115"/>
      <c r="I538" s="185"/>
      <c r="J538" s="175"/>
      <c r="K538" s="197"/>
      <c r="L538" s="194"/>
    </row>
    <row r="539" spans="1:16">
      <c r="A539" s="157"/>
      <c r="B539" s="154"/>
      <c r="C539" s="63"/>
      <c r="D539" s="196"/>
      <c r="E539" s="249"/>
      <c r="F539" s="121"/>
      <c r="G539" s="206"/>
      <c r="H539" s="115"/>
      <c r="I539" s="185"/>
      <c r="J539" s="175"/>
      <c r="K539" s="197"/>
      <c r="L539" s="194"/>
    </row>
    <row r="540" spans="1:16">
      <c r="A540" s="157"/>
      <c r="B540" s="154"/>
      <c r="C540" s="63"/>
      <c r="D540" s="196"/>
      <c r="E540" s="249"/>
      <c r="F540" s="121"/>
      <c r="G540" s="206"/>
      <c r="H540" s="115"/>
      <c r="I540" s="185"/>
      <c r="J540" s="175"/>
      <c r="K540" s="197"/>
      <c r="L540" s="194"/>
    </row>
    <row r="541" spans="1:16">
      <c r="A541" s="157"/>
      <c r="B541" s="154"/>
      <c r="C541" s="63"/>
      <c r="D541" s="196"/>
      <c r="E541" s="249"/>
      <c r="F541" s="121"/>
      <c r="G541" s="206"/>
      <c r="H541" s="115"/>
      <c r="I541" s="185"/>
      <c r="J541" s="175"/>
      <c r="K541" s="197"/>
      <c r="L541" s="194"/>
    </row>
    <row r="542" spans="1:16">
      <c r="A542" s="157"/>
      <c r="B542" s="154"/>
      <c r="C542" s="63"/>
      <c r="D542" s="196"/>
      <c r="E542" s="142"/>
      <c r="F542" s="61"/>
      <c r="G542" s="206"/>
      <c r="H542" s="74"/>
      <c r="I542" s="183"/>
      <c r="J542" s="175"/>
      <c r="K542" s="197"/>
      <c r="L542" s="194"/>
    </row>
    <row r="543" spans="1:16">
      <c r="A543" s="157"/>
      <c r="B543" s="161"/>
      <c r="C543" s="63"/>
      <c r="D543" s="196"/>
      <c r="E543" s="142"/>
      <c r="F543" s="61"/>
      <c r="G543" s="206"/>
      <c r="H543" s="74"/>
      <c r="I543" s="183"/>
      <c r="J543" s="175"/>
      <c r="K543" s="197"/>
      <c r="L543" s="194"/>
      <c r="M543" s="188">
        <v>8640</v>
      </c>
      <c r="N543" s="188">
        <f t="shared" si="50"/>
        <v>8380.7999999999993</v>
      </c>
      <c r="O543" s="189">
        <v>7.0000000000000007E-2</v>
      </c>
      <c r="P543" s="170">
        <f>(N543*O543)+N543</f>
        <v>8967.4559999999983</v>
      </c>
    </row>
    <row r="544" spans="1:16">
      <c r="A544" s="160"/>
      <c r="B544" s="154"/>
      <c r="C544" s="63"/>
      <c r="D544" s="196"/>
      <c r="E544" s="120"/>
      <c r="F544" s="121"/>
      <c r="G544" s="206"/>
      <c r="H544" s="115"/>
      <c r="I544" s="185"/>
      <c r="J544" s="174"/>
      <c r="K544" s="195"/>
      <c r="L544" s="194"/>
    </row>
    <row r="545" spans="1:16">
      <c r="F545" s="68"/>
    </row>
    <row r="546" spans="1:16">
      <c r="F546" s="68"/>
    </row>
    <row r="547" spans="1:16">
      <c r="A547" s="44" t="s">
        <v>0</v>
      </c>
      <c r="B547" s="127"/>
      <c r="C547" s="104"/>
      <c r="F547" s="68"/>
      <c r="I547" s="179"/>
      <c r="K547" s="163"/>
      <c r="L547" s="168"/>
    </row>
    <row r="548" spans="1:16">
      <c r="A548" s="3480" t="s">
        <v>2512</v>
      </c>
      <c r="B548" s="3480"/>
      <c r="C548" s="44"/>
      <c r="D548" s="109"/>
      <c r="F548" s="68"/>
      <c r="I548" s="179"/>
      <c r="K548" s="163"/>
      <c r="L548" s="168"/>
    </row>
    <row r="549" spans="1:16" ht="35.25" thickBot="1">
      <c r="F549" s="68"/>
    </row>
    <row r="550" spans="1:16">
      <c r="A550" s="3493" t="s">
        <v>2</v>
      </c>
      <c r="B550" s="3482"/>
      <c r="C550" s="48" t="s">
        <v>3</v>
      </c>
      <c r="D550" s="128" t="s">
        <v>4</v>
      </c>
      <c r="E550" s="77" t="s">
        <v>5</v>
      </c>
      <c r="F550" s="78" t="s">
        <v>5</v>
      </c>
      <c r="G550" s="211" t="s">
        <v>6</v>
      </c>
      <c r="H550" s="140" t="s">
        <v>7</v>
      </c>
      <c r="I550" s="180" t="s">
        <v>1511</v>
      </c>
      <c r="J550" s="172" t="s">
        <v>9</v>
      </c>
      <c r="K550" s="186" t="s">
        <v>9</v>
      </c>
      <c r="L550" s="192" t="s">
        <v>2495</v>
      </c>
      <c r="M550" s="190"/>
    </row>
    <row r="551" spans="1:16" ht="35.25" thickBot="1">
      <c r="A551" s="155"/>
      <c r="B551" s="138"/>
      <c r="C551" s="50"/>
      <c r="D551" s="129" t="s">
        <v>10</v>
      </c>
      <c r="E551" s="79" t="s">
        <v>11</v>
      </c>
      <c r="F551" s="80" t="s">
        <v>12</v>
      </c>
      <c r="G551" s="212"/>
      <c r="H551" s="141" t="s">
        <v>13</v>
      </c>
      <c r="I551" s="181" t="s">
        <v>1512</v>
      </c>
      <c r="J551" s="173" t="s">
        <v>15</v>
      </c>
      <c r="K551" s="187" t="s">
        <v>14</v>
      </c>
      <c r="L551" s="193" t="s">
        <v>2496</v>
      </c>
      <c r="M551" s="190"/>
    </row>
    <row r="552" spans="1:16">
      <c r="A552" s="156"/>
      <c r="B552" s="154"/>
      <c r="C552" s="63"/>
      <c r="D552" s="199"/>
      <c r="E552" s="143"/>
      <c r="F552" s="69"/>
      <c r="G552" s="206"/>
      <c r="H552" s="74"/>
      <c r="I552" s="183"/>
      <c r="J552" s="175"/>
      <c r="K552" s="172"/>
      <c r="L552" s="194"/>
      <c r="M552" s="188">
        <v>3552</v>
      </c>
      <c r="N552" s="188">
        <f t="shared" ref="N552:N568" si="51">M552-(M552*0.03)</f>
        <v>3445.44</v>
      </c>
      <c r="O552" s="189">
        <v>7.0000000000000007E-2</v>
      </c>
      <c r="P552" s="170">
        <f t="shared" ref="P552:P568" si="52">(N552*O552)+N552</f>
        <v>3686.6208000000001</v>
      </c>
    </row>
    <row r="553" spans="1:16">
      <c r="A553" s="157"/>
      <c r="B553" s="154"/>
      <c r="C553" s="63"/>
      <c r="D553" s="199"/>
      <c r="E553" s="145"/>
      <c r="F553" s="61"/>
      <c r="G553" s="206"/>
      <c r="H553" s="74"/>
      <c r="I553" s="183"/>
      <c r="J553" s="175"/>
      <c r="K553" s="176"/>
      <c r="L553" s="194"/>
      <c r="N553" s="188">
        <f t="shared" si="51"/>
        <v>0</v>
      </c>
      <c r="O553" s="189">
        <v>7.0000000000000007E-2</v>
      </c>
      <c r="P553" s="170">
        <f t="shared" si="52"/>
        <v>0</v>
      </c>
    </row>
    <row r="554" spans="1:16">
      <c r="A554" s="157"/>
      <c r="B554" s="239"/>
      <c r="C554" s="63"/>
      <c r="D554" s="199"/>
      <c r="E554" s="145"/>
      <c r="F554" s="61"/>
      <c r="G554" s="206"/>
      <c r="H554" s="74"/>
      <c r="I554" s="183"/>
      <c r="J554" s="175"/>
      <c r="K554" s="245"/>
      <c r="L554" s="194"/>
      <c r="M554" s="188">
        <v>9498.06</v>
      </c>
      <c r="N554" s="188">
        <f t="shared" si="51"/>
        <v>9213.118199999999</v>
      </c>
      <c r="O554" s="189">
        <v>7.0000000000000007E-2</v>
      </c>
      <c r="P554" s="170">
        <f t="shared" si="52"/>
        <v>9858.0364739999986</v>
      </c>
    </row>
    <row r="555" spans="1:16">
      <c r="A555" s="157"/>
      <c r="B555" s="239"/>
      <c r="C555" s="63"/>
      <c r="D555" s="199"/>
      <c r="E555" s="145"/>
      <c r="F555" s="61"/>
      <c r="G555" s="206"/>
      <c r="H555" s="74"/>
      <c r="I555" s="183"/>
      <c r="J555" s="175"/>
      <c r="K555" s="197"/>
      <c r="L555" s="194"/>
      <c r="M555" s="188">
        <v>15305.4</v>
      </c>
      <c r="N555" s="188">
        <f t="shared" si="51"/>
        <v>14846.237999999999</v>
      </c>
      <c r="O555" s="189">
        <v>7.0000000000000007E-2</v>
      </c>
      <c r="P555" s="170">
        <f t="shared" si="52"/>
        <v>15885.47466</v>
      </c>
    </row>
    <row r="556" spans="1:16">
      <c r="A556" s="157"/>
      <c r="B556" s="154"/>
      <c r="C556" s="63"/>
      <c r="D556" s="199"/>
      <c r="E556" s="145"/>
      <c r="F556" s="61"/>
      <c r="G556" s="206"/>
      <c r="H556" s="74"/>
      <c r="I556" s="183"/>
      <c r="J556" s="175"/>
      <c r="K556" s="197"/>
      <c r="L556" s="194"/>
      <c r="N556" s="188">
        <f t="shared" si="51"/>
        <v>0</v>
      </c>
      <c r="O556" s="189">
        <v>7.0000000000000007E-2</v>
      </c>
      <c r="P556" s="170">
        <f t="shared" si="52"/>
        <v>0</v>
      </c>
    </row>
    <row r="557" spans="1:16">
      <c r="A557" s="157"/>
      <c r="B557" s="154"/>
      <c r="C557" s="63"/>
      <c r="D557" s="199"/>
      <c r="E557" s="145"/>
      <c r="F557" s="61"/>
      <c r="G557" s="206"/>
      <c r="H557" s="74"/>
      <c r="I557" s="183"/>
      <c r="J557" s="175"/>
      <c r="K557" s="197"/>
      <c r="L557" s="194"/>
      <c r="N557" s="188">
        <f t="shared" si="51"/>
        <v>0</v>
      </c>
      <c r="O557" s="189">
        <v>7.0000000000000007E-2</v>
      </c>
      <c r="P557" s="170">
        <f t="shared" si="52"/>
        <v>0</v>
      </c>
    </row>
    <row r="558" spans="1:16">
      <c r="A558" s="157"/>
      <c r="B558" s="154"/>
      <c r="C558" s="63"/>
      <c r="D558" s="199"/>
      <c r="E558" s="145"/>
      <c r="F558" s="61"/>
      <c r="G558" s="206"/>
      <c r="H558" s="74"/>
      <c r="I558" s="183"/>
      <c r="J558" s="175"/>
      <c r="K558" s="197"/>
      <c r="L558" s="194"/>
      <c r="N558" s="188">
        <f t="shared" si="51"/>
        <v>0</v>
      </c>
      <c r="O558" s="189">
        <v>7.0000000000000007E-2</v>
      </c>
      <c r="P558" s="170">
        <f t="shared" si="52"/>
        <v>0</v>
      </c>
    </row>
    <row r="559" spans="1:16">
      <c r="A559" s="157"/>
      <c r="B559" s="239"/>
      <c r="C559" s="222"/>
      <c r="D559" s="3464"/>
      <c r="E559" s="145"/>
      <c r="F559" s="61"/>
      <c r="G559" s="223"/>
      <c r="H559" s="224"/>
      <c r="I559" s="225"/>
      <c r="J559" s="209"/>
      <c r="K559" s="244"/>
      <c r="M559" s="188">
        <v>14244.12</v>
      </c>
      <c r="N559" s="188">
        <f t="shared" si="51"/>
        <v>13816.796400000001</v>
      </c>
      <c r="O559" s="189">
        <v>7.0000000000000007E-2</v>
      </c>
      <c r="P559" s="170">
        <f t="shared" si="52"/>
        <v>14783.972148000001</v>
      </c>
    </row>
    <row r="560" spans="1:16">
      <c r="A560" s="157"/>
      <c r="B560" s="162"/>
      <c r="C560" s="63"/>
      <c r="D560" s="199"/>
      <c r="E560" s="145"/>
      <c r="F560" s="61"/>
      <c r="G560" s="206"/>
      <c r="H560" s="74"/>
      <c r="I560" s="183"/>
      <c r="J560" s="175"/>
      <c r="K560" s="197"/>
      <c r="L560" s="194"/>
      <c r="M560" s="188">
        <v>3240</v>
      </c>
      <c r="N560" s="188">
        <f t="shared" si="51"/>
        <v>3142.8</v>
      </c>
      <c r="O560" s="189">
        <v>7.0000000000000007E-2</v>
      </c>
      <c r="P560" s="170">
        <f t="shared" si="52"/>
        <v>3362.7960000000003</v>
      </c>
    </row>
    <row r="561" spans="1:16">
      <c r="A561" s="157"/>
      <c r="B561" s="162"/>
      <c r="C561" s="63"/>
      <c r="D561" s="199"/>
      <c r="E561" s="145"/>
      <c r="F561" s="61"/>
      <c r="G561" s="206"/>
      <c r="H561" s="74"/>
      <c r="I561" s="183"/>
      <c r="J561" s="175"/>
      <c r="K561" s="197"/>
      <c r="L561" s="194"/>
      <c r="M561" s="188">
        <v>14700</v>
      </c>
      <c r="N561" s="188">
        <f t="shared" si="51"/>
        <v>14259</v>
      </c>
      <c r="O561" s="189">
        <v>7.0000000000000007E-2</v>
      </c>
      <c r="P561" s="170">
        <f t="shared" si="52"/>
        <v>15257.130000000001</v>
      </c>
    </row>
    <row r="562" spans="1:16">
      <c r="A562" s="157"/>
      <c r="B562" s="162"/>
      <c r="C562" s="222"/>
      <c r="D562" s="3464"/>
      <c r="E562" s="237"/>
      <c r="F562" s="238"/>
      <c r="G562" s="223"/>
      <c r="H562" s="224"/>
      <c r="I562" s="225"/>
      <c r="J562" s="209"/>
      <c r="K562" s="226"/>
      <c r="L562" s="229"/>
      <c r="M562" s="188">
        <v>14582.7</v>
      </c>
      <c r="N562" s="188">
        <f t="shared" si="51"/>
        <v>14145.219000000001</v>
      </c>
      <c r="O562" s="189">
        <v>7.0000000000000007E-2</v>
      </c>
      <c r="P562" s="170">
        <f t="shared" si="52"/>
        <v>15135.384330000001</v>
      </c>
    </row>
    <row r="563" spans="1:16">
      <c r="A563" s="157"/>
      <c r="B563" s="162"/>
      <c r="C563" s="63"/>
      <c r="D563" s="199"/>
      <c r="E563" s="145"/>
      <c r="F563" s="61"/>
      <c r="G563" s="206"/>
      <c r="H563" s="74"/>
      <c r="I563" s="183"/>
      <c r="J563" s="175"/>
      <c r="K563" s="197"/>
      <c r="L563" s="229"/>
      <c r="M563" s="188">
        <v>13483.8</v>
      </c>
      <c r="N563" s="188">
        <f t="shared" si="51"/>
        <v>13079.286</v>
      </c>
      <c r="O563" s="189">
        <v>7.0000000000000007E-2</v>
      </c>
      <c r="P563" s="170">
        <f t="shared" si="52"/>
        <v>13994.836020000001</v>
      </c>
    </row>
    <row r="564" spans="1:16">
      <c r="A564" s="157"/>
      <c r="B564" s="154"/>
      <c r="C564" s="222"/>
      <c r="D564" s="3464"/>
      <c r="E564" s="145"/>
      <c r="F564" s="61"/>
      <c r="G564" s="223"/>
      <c r="H564" s="224"/>
      <c r="I564" s="225"/>
      <c r="J564" s="209"/>
      <c r="K564" s="226"/>
      <c r="L564" s="229"/>
      <c r="M564" s="188">
        <v>2669.52</v>
      </c>
      <c r="N564" s="188">
        <f t="shared" si="51"/>
        <v>2589.4344000000001</v>
      </c>
      <c r="O564" s="189">
        <v>7.0000000000000007E-2</v>
      </c>
      <c r="P564" s="170">
        <f t="shared" si="52"/>
        <v>2770.6948080000002</v>
      </c>
    </row>
    <row r="565" spans="1:16">
      <c r="A565" s="157"/>
      <c r="B565" s="154"/>
      <c r="C565" s="222"/>
      <c r="D565" s="3464"/>
      <c r="E565" s="145"/>
      <c r="F565" s="61"/>
      <c r="G565" s="223"/>
      <c r="H565" s="224"/>
      <c r="I565" s="225"/>
      <c r="J565" s="209"/>
      <c r="K565" s="226"/>
      <c r="L565" s="229"/>
      <c r="N565" s="188">
        <f t="shared" si="51"/>
        <v>0</v>
      </c>
      <c r="O565" s="189">
        <v>7.0000000000000007E-2</v>
      </c>
      <c r="P565" s="170">
        <f t="shared" si="52"/>
        <v>0</v>
      </c>
    </row>
    <row r="566" spans="1:16">
      <c r="A566" s="221"/>
      <c r="B566" s="240"/>
      <c r="C566" s="222"/>
      <c r="D566" s="3464"/>
      <c r="E566" s="145"/>
      <c r="F566" s="61"/>
      <c r="G566" s="223"/>
      <c r="H566" s="224"/>
      <c r="I566" s="225"/>
      <c r="J566" s="209"/>
      <c r="K566" s="226"/>
      <c r="L566" s="229"/>
      <c r="M566" s="188">
        <v>12972.96</v>
      </c>
      <c r="N566" s="188">
        <f t="shared" si="51"/>
        <v>12583.771199999999</v>
      </c>
      <c r="O566" s="189">
        <v>7.0000000000000007E-2</v>
      </c>
      <c r="P566" s="170">
        <f t="shared" si="52"/>
        <v>13464.635183999999</v>
      </c>
    </row>
    <row r="567" spans="1:16">
      <c r="A567" s="157"/>
      <c r="B567" s="154"/>
      <c r="C567" s="63"/>
      <c r="D567" s="199"/>
      <c r="E567" s="145"/>
      <c r="F567" s="61"/>
      <c r="G567" s="206"/>
      <c r="H567" s="74"/>
      <c r="I567" s="183"/>
      <c r="J567" s="209"/>
      <c r="K567" s="197"/>
      <c r="L567" s="229"/>
      <c r="M567" s="188">
        <v>12687.84</v>
      </c>
      <c r="N567" s="188">
        <f t="shared" si="51"/>
        <v>12307.2048</v>
      </c>
      <c r="O567" s="189">
        <v>7.0000000000000007E-2</v>
      </c>
      <c r="P567" s="170">
        <f t="shared" si="52"/>
        <v>13168.709135999999</v>
      </c>
    </row>
    <row r="568" spans="1:16">
      <c r="A568" s="157"/>
      <c r="B568" s="154"/>
      <c r="C568" s="63"/>
      <c r="D568" s="199"/>
      <c r="E568" s="145"/>
      <c r="F568" s="61"/>
      <c r="G568" s="206"/>
      <c r="H568" s="74"/>
      <c r="I568" s="183"/>
      <c r="J568" s="175"/>
      <c r="K568" s="197"/>
      <c r="L568" s="194"/>
      <c r="M568" s="188">
        <v>16572.599999999999</v>
      </c>
      <c r="N568" s="188">
        <f t="shared" si="51"/>
        <v>16075.421999999999</v>
      </c>
      <c r="O568" s="189">
        <v>7.0000000000000007E-2</v>
      </c>
      <c r="P568" s="170">
        <f t="shared" si="52"/>
        <v>17200.701539999998</v>
      </c>
    </row>
    <row r="569" spans="1:16">
      <c r="A569" s="157"/>
      <c r="B569" s="154"/>
      <c r="C569" s="63"/>
      <c r="D569" s="199"/>
      <c r="E569" s="90"/>
      <c r="F569" s="61"/>
      <c r="G569" s="206"/>
      <c r="H569" s="74"/>
      <c r="I569" s="203"/>
      <c r="J569" s="175"/>
      <c r="K569" s="197"/>
      <c r="L569" s="194"/>
      <c r="M569" s="188">
        <v>6021.12</v>
      </c>
      <c r="N569" s="188">
        <f>M569-(M569*0.03)</f>
        <v>5840.4863999999998</v>
      </c>
      <c r="O569" s="189">
        <v>7.0000000000000007E-2</v>
      </c>
      <c r="P569" s="170">
        <f>(N569*O569)+N569</f>
        <v>6249.3204479999995</v>
      </c>
    </row>
    <row r="570" spans="1:16">
      <c r="A570" s="157"/>
      <c r="B570" s="154"/>
      <c r="C570" s="63"/>
      <c r="D570" s="199"/>
      <c r="E570" s="90"/>
      <c r="F570" s="61"/>
      <c r="G570" s="206"/>
      <c r="H570" s="74"/>
      <c r="I570" s="183"/>
      <c r="J570" s="175"/>
      <c r="K570" s="197"/>
      <c r="L570" s="194"/>
      <c r="M570" s="188">
        <v>8714.16</v>
      </c>
      <c r="N570" s="188">
        <f>M570-(M570*0.03)</f>
        <v>8452.7351999999992</v>
      </c>
      <c r="O570" s="189">
        <v>7.0000000000000007E-2</v>
      </c>
      <c r="P570" s="170">
        <f>(N570*O570)+N570</f>
        <v>9044.4266639999987</v>
      </c>
    </row>
    <row r="571" spans="1:16">
      <c r="A571" s="157"/>
      <c r="B571" s="154"/>
      <c r="C571" s="63"/>
      <c r="D571" s="199"/>
      <c r="E571" s="90"/>
      <c r="F571" s="61"/>
      <c r="G571" s="206"/>
      <c r="H571" s="74"/>
      <c r="I571" s="183"/>
      <c r="J571" s="175"/>
      <c r="K571" s="197"/>
      <c r="L571" s="194"/>
      <c r="M571" s="188">
        <v>0</v>
      </c>
      <c r="N571" s="188">
        <f>M571-(M571*0.03)</f>
        <v>0</v>
      </c>
      <c r="O571" s="189">
        <v>7.0000000000000007E-2</v>
      </c>
      <c r="P571" s="170">
        <f t="shared" ref="P571:P577" si="53">(N571*O571)+N571</f>
        <v>0</v>
      </c>
    </row>
    <row r="572" spans="1:16">
      <c r="A572" s="157"/>
      <c r="B572" s="154"/>
      <c r="C572" s="63"/>
      <c r="D572" s="199"/>
      <c r="E572" s="90"/>
      <c r="F572" s="61"/>
      <c r="G572" s="206"/>
      <c r="H572" s="74"/>
      <c r="I572" s="183"/>
      <c r="J572" s="175"/>
      <c r="K572" s="197"/>
      <c r="L572" s="194"/>
      <c r="M572" s="188">
        <v>18537.7</v>
      </c>
      <c r="N572" s="188">
        <f>M572-(M572*0.03)</f>
        <v>17981.569</v>
      </c>
      <c r="O572" s="189">
        <v>7.0000000000000007E-2</v>
      </c>
      <c r="P572" s="170">
        <f t="shared" si="53"/>
        <v>19240.278829999999</v>
      </c>
    </row>
    <row r="573" spans="1:16">
      <c r="A573" s="158"/>
      <c r="B573" s="154"/>
      <c r="C573" s="63"/>
      <c r="D573" s="199"/>
      <c r="E573" s="91"/>
      <c r="F573" s="61"/>
      <c r="G573" s="206"/>
      <c r="H573" s="74"/>
      <c r="I573" s="183"/>
      <c r="J573" s="175"/>
      <c r="K573" s="197"/>
      <c r="L573" s="194"/>
      <c r="M573" s="188">
        <v>9031.68</v>
      </c>
      <c r="N573" s="188">
        <f t="shared" ref="N573:N583" si="54">M573-(M573*0.03)</f>
        <v>8760.7296000000006</v>
      </c>
      <c r="O573" s="189">
        <v>7.0000000000000007E-2</v>
      </c>
      <c r="P573" s="170">
        <f t="shared" si="53"/>
        <v>9373.9806720000015</v>
      </c>
    </row>
    <row r="574" spans="1:16">
      <c r="A574" s="200"/>
      <c r="B574" s="154"/>
      <c r="C574" s="63"/>
      <c r="D574" s="199"/>
      <c r="E574" s="153"/>
      <c r="F574" s="61"/>
      <c r="G574" s="206"/>
      <c r="H574" s="88"/>
      <c r="I574" s="184"/>
      <c r="J574" s="201"/>
      <c r="K574" s="202"/>
      <c r="L574" s="194"/>
      <c r="N574" s="188">
        <f t="shared" si="54"/>
        <v>0</v>
      </c>
      <c r="O574" s="189">
        <v>7.0000000000000007E-2</v>
      </c>
      <c r="P574" s="170">
        <f t="shared" si="53"/>
        <v>0</v>
      </c>
    </row>
    <row r="575" spans="1:16">
      <c r="A575" s="157"/>
      <c r="B575" s="154"/>
      <c r="C575" s="63"/>
      <c r="D575" s="199"/>
      <c r="E575" s="198"/>
      <c r="F575" s="61"/>
      <c r="G575" s="206"/>
      <c r="H575" s="74"/>
      <c r="I575" s="183"/>
      <c r="J575" s="175"/>
      <c r="K575" s="197"/>
      <c r="L575" s="194"/>
      <c r="M575" s="188">
        <v>8478.9599999999991</v>
      </c>
      <c r="N575" s="188">
        <f t="shared" si="54"/>
        <v>8224.5911999999989</v>
      </c>
      <c r="O575" s="189">
        <v>7.0000000000000007E-2</v>
      </c>
      <c r="P575" s="170">
        <f t="shared" si="53"/>
        <v>8800.3125839999993</v>
      </c>
    </row>
    <row r="576" spans="1:16">
      <c r="A576" s="157"/>
      <c r="B576" s="154"/>
      <c r="C576" s="63"/>
      <c r="D576" s="199"/>
      <c r="E576" s="142"/>
      <c r="F576" s="61"/>
      <c r="G576" s="206"/>
      <c r="H576" s="74"/>
      <c r="I576" s="183"/>
      <c r="J576" s="175"/>
      <c r="K576" s="197"/>
      <c r="L576" s="194"/>
      <c r="M576" s="188">
        <v>11122.62</v>
      </c>
      <c r="N576" s="188">
        <f t="shared" si="54"/>
        <v>10788.941400000002</v>
      </c>
      <c r="O576" s="189">
        <v>7.0000000000000007E-2</v>
      </c>
      <c r="P576" s="170">
        <f t="shared" si="53"/>
        <v>11544.167298000002</v>
      </c>
    </row>
    <row r="577" spans="1:16">
      <c r="A577" s="157"/>
      <c r="B577" s="154"/>
      <c r="C577" s="63"/>
      <c r="D577" s="196"/>
      <c r="E577" s="120"/>
      <c r="F577" s="121"/>
      <c r="G577" s="206"/>
      <c r="H577" s="115"/>
      <c r="I577" s="185"/>
      <c r="J577" s="175"/>
      <c r="K577" s="197"/>
      <c r="L577" s="194"/>
      <c r="M577" s="188">
        <v>3813.12</v>
      </c>
      <c r="N577" s="188">
        <f t="shared" si="54"/>
        <v>3698.7264</v>
      </c>
      <c r="O577" s="189">
        <v>7.0000000000000007E-2</v>
      </c>
      <c r="P577" s="170">
        <f t="shared" si="53"/>
        <v>3957.637248</v>
      </c>
    </row>
    <row r="578" spans="1:16">
      <c r="A578" s="157"/>
      <c r="B578" s="154"/>
      <c r="C578" s="63"/>
      <c r="D578" s="196"/>
      <c r="E578" s="249"/>
      <c r="F578" s="121"/>
      <c r="G578" s="206"/>
      <c r="H578" s="115"/>
      <c r="I578" s="185"/>
      <c r="J578" s="175"/>
      <c r="K578" s="197"/>
      <c r="L578" s="194"/>
    </row>
    <row r="579" spans="1:16">
      <c r="A579" s="157"/>
      <c r="B579" s="154"/>
      <c r="C579" s="63"/>
      <c r="D579" s="196"/>
      <c r="E579" s="249"/>
      <c r="F579" s="121"/>
      <c r="G579" s="206"/>
      <c r="H579" s="115"/>
      <c r="I579" s="185"/>
      <c r="J579" s="175"/>
      <c r="K579" s="197"/>
      <c r="L579" s="194"/>
    </row>
    <row r="580" spans="1:16">
      <c r="A580" s="157"/>
      <c r="B580" s="154"/>
      <c r="C580" s="63"/>
      <c r="D580" s="196"/>
      <c r="E580" s="249"/>
      <c r="F580" s="121"/>
      <c r="G580" s="206"/>
      <c r="H580" s="115"/>
      <c r="I580" s="185"/>
      <c r="J580" s="175"/>
      <c r="K580" s="197"/>
      <c r="L580" s="194"/>
    </row>
    <row r="581" spans="1:16">
      <c r="A581" s="157"/>
      <c r="B581" s="154"/>
      <c r="C581" s="63"/>
      <c r="D581" s="196"/>
      <c r="E581" s="142"/>
      <c r="F581" s="61"/>
      <c r="G581" s="206"/>
      <c r="H581" s="74"/>
      <c r="I581" s="183"/>
      <c r="J581" s="175"/>
      <c r="K581" s="197"/>
      <c r="L581" s="194"/>
    </row>
    <row r="582" spans="1:16">
      <c r="A582" s="157"/>
      <c r="B582" s="154"/>
      <c r="C582" s="63"/>
      <c r="D582" s="196"/>
      <c r="E582" s="142"/>
      <c r="F582" s="61"/>
      <c r="G582" s="206"/>
      <c r="H582" s="74"/>
      <c r="I582" s="183"/>
      <c r="J582" s="175"/>
      <c r="K582" s="197"/>
      <c r="L582" s="194"/>
    </row>
    <row r="583" spans="1:16">
      <c r="A583" s="157"/>
      <c r="B583" s="161"/>
      <c r="C583" s="63"/>
      <c r="D583" s="196"/>
      <c r="E583" s="142"/>
      <c r="F583" s="61"/>
      <c r="G583" s="206"/>
      <c r="H583" s="74"/>
      <c r="I583" s="183"/>
      <c r="J583" s="175"/>
      <c r="K583" s="197"/>
      <c r="L583" s="194"/>
      <c r="M583" s="188">
        <v>8640</v>
      </c>
      <c r="N583" s="188">
        <f t="shared" si="54"/>
        <v>8380.7999999999993</v>
      </c>
      <c r="O583" s="189">
        <v>7.0000000000000007E-2</v>
      </c>
      <c r="P583" s="170">
        <f>(N583*O583)+N583</f>
        <v>8967.4559999999983</v>
      </c>
    </row>
    <row r="584" spans="1:16">
      <c r="A584" s="157"/>
      <c r="B584" s="161"/>
      <c r="C584" s="63"/>
      <c r="D584" s="196"/>
      <c r="E584" s="142"/>
      <c r="F584" s="61"/>
      <c r="G584" s="206"/>
      <c r="H584" s="74"/>
      <c r="I584" s="183"/>
      <c r="J584" s="175"/>
      <c r="K584" s="197"/>
      <c r="L584" s="194"/>
    </row>
    <row r="585" spans="1:16">
      <c r="A585" s="157"/>
      <c r="B585" s="161"/>
      <c r="C585" s="63"/>
      <c r="D585" s="196"/>
      <c r="E585" s="142"/>
      <c r="F585" s="61"/>
      <c r="G585" s="206"/>
      <c r="H585" s="74"/>
      <c r="I585" s="183"/>
      <c r="J585" s="175"/>
      <c r="K585" s="197"/>
      <c r="L585" s="194"/>
    </row>
    <row r="586" spans="1:16">
      <c r="A586" s="160"/>
      <c r="B586" s="154"/>
      <c r="C586" s="63"/>
      <c r="D586" s="196"/>
      <c r="E586" s="120"/>
      <c r="F586" s="121"/>
      <c r="G586" s="206"/>
      <c r="H586" s="115"/>
      <c r="I586" s="185"/>
      <c r="J586" s="174"/>
      <c r="K586" s="195"/>
      <c r="L586" s="194"/>
    </row>
    <row r="587" spans="1:16">
      <c r="F587" s="68"/>
    </row>
    <row r="588" spans="1:16">
      <c r="F588" s="68"/>
    </row>
    <row r="589" spans="1:16">
      <c r="A589" s="44" t="s">
        <v>0</v>
      </c>
      <c r="B589" s="127"/>
      <c r="C589" s="104"/>
      <c r="F589" s="68"/>
      <c r="I589" s="179"/>
      <c r="K589" s="163"/>
      <c r="L589" s="168"/>
    </row>
    <row r="590" spans="1:16">
      <c r="A590" s="3480" t="s">
        <v>2512</v>
      </c>
      <c r="B590" s="3480"/>
      <c r="C590" s="44"/>
      <c r="D590" s="109"/>
      <c r="F590" s="68"/>
      <c r="I590" s="179"/>
      <c r="K590" s="163"/>
      <c r="L590" s="168"/>
    </row>
    <row r="591" spans="1:16" ht="35.25" thickBot="1">
      <c r="F591" s="68"/>
    </row>
    <row r="592" spans="1:16">
      <c r="A592" s="3493" t="s">
        <v>2</v>
      </c>
      <c r="B592" s="3482"/>
      <c r="C592" s="48" t="s">
        <v>3</v>
      </c>
      <c r="D592" s="128" t="s">
        <v>4</v>
      </c>
      <c r="E592" s="77" t="s">
        <v>5</v>
      </c>
      <c r="F592" s="78" t="s">
        <v>5</v>
      </c>
      <c r="G592" s="211" t="s">
        <v>6</v>
      </c>
      <c r="H592" s="140" t="s">
        <v>7</v>
      </c>
      <c r="I592" s="180" t="s">
        <v>1511</v>
      </c>
      <c r="J592" s="172" t="s">
        <v>9</v>
      </c>
      <c r="K592" s="186" t="s">
        <v>9</v>
      </c>
      <c r="L592" s="192" t="s">
        <v>2495</v>
      </c>
      <c r="M592" s="190"/>
    </row>
    <row r="593" spans="1:16" ht="35.25" thickBot="1">
      <c r="A593" s="155"/>
      <c r="B593" s="138"/>
      <c r="C593" s="50"/>
      <c r="D593" s="129" t="s">
        <v>10</v>
      </c>
      <c r="E593" s="79" t="s">
        <v>11</v>
      </c>
      <c r="F593" s="80" t="s">
        <v>12</v>
      </c>
      <c r="G593" s="212"/>
      <c r="H593" s="141" t="s">
        <v>13</v>
      </c>
      <c r="I593" s="181" t="s">
        <v>1512</v>
      </c>
      <c r="J593" s="173" t="s">
        <v>15</v>
      </c>
      <c r="K593" s="187" t="s">
        <v>14</v>
      </c>
      <c r="L593" s="193" t="s">
        <v>2496</v>
      </c>
      <c r="M593" s="190"/>
    </row>
    <row r="594" spans="1:16">
      <c r="A594" s="156"/>
      <c r="B594" s="154"/>
      <c r="C594" s="63"/>
      <c r="D594" s="199"/>
      <c r="E594" s="143"/>
      <c r="F594" s="69"/>
      <c r="G594" s="206"/>
      <c r="H594" s="74"/>
      <c r="I594" s="183"/>
      <c r="J594" s="175"/>
      <c r="K594" s="172"/>
      <c r="L594" s="194"/>
      <c r="M594" s="188">
        <v>3552</v>
      </c>
      <c r="N594" s="188">
        <f t="shared" ref="N594:N610" si="55">M594-(M594*0.03)</f>
        <v>3445.44</v>
      </c>
      <c r="O594" s="189">
        <v>7.0000000000000007E-2</v>
      </c>
      <c r="P594" s="170">
        <f t="shared" ref="P594:P610" si="56">(N594*O594)+N594</f>
        <v>3686.6208000000001</v>
      </c>
    </row>
    <row r="595" spans="1:16">
      <c r="A595" s="157"/>
      <c r="B595" s="154"/>
      <c r="C595" s="63"/>
      <c r="D595" s="199"/>
      <c r="E595" s="145"/>
      <c r="F595" s="61"/>
      <c r="G595" s="206"/>
      <c r="H595" s="74"/>
      <c r="I595" s="183"/>
      <c r="J595" s="175"/>
      <c r="K595" s="176"/>
      <c r="L595" s="194"/>
      <c r="N595" s="188">
        <f t="shared" si="55"/>
        <v>0</v>
      </c>
      <c r="O595" s="189">
        <v>7.0000000000000007E-2</v>
      </c>
      <c r="P595" s="170">
        <f t="shared" si="56"/>
        <v>0</v>
      </c>
    </row>
    <row r="596" spans="1:16">
      <c r="A596" s="157"/>
      <c r="B596" s="239"/>
      <c r="C596" s="63"/>
      <c r="D596" s="199"/>
      <c r="E596" s="145"/>
      <c r="F596" s="61"/>
      <c r="G596" s="206"/>
      <c r="H596" s="74"/>
      <c r="I596" s="183"/>
      <c r="J596" s="175"/>
      <c r="K596" s="245"/>
      <c r="L596" s="194"/>
      <c r="M596" s="188">
        <v>9498.06</v>
      </c>
      <c r="N596" s="188">
        <f t="shared" si="55"/>
        <v>9213.118199999999</v>
      </c>
      <c r="O596" s="189">
        <v>7.0000000000000007E-2</v>
      </c>
      <c r="P596" s="170">
        <f t="shared" si="56"/>
        <v>9858.0364739999986</v>
      </c>
    </row>
    <row r="597" spans="1:16">
      <c r="A597" s="157"/>
      <c r="B597" s="239"/>
      <c r="C597" s="63"/>
      <c r="D597" s="199"/>
      <c r="E597" s="145"/>
      <c r="F597" s="61"/>
      <c r="G597" s="206"/>
      <c r="H597" s="74"/>
      <c r="I597" s="183"/>
      <c r="J597" s="175"/>
      <c r="K597" s="197"/>
      <c r="L597" s="194"/>
      <c r="M597" s="188">
        <v>15305.4</v>
      </c>
      <c r="N597" s="188">
        <f t="shared" si="55"/>
        <v>14846.237999999999</v>
      </c>
      <c r="O597" s="189">
        <v>7.0000000000000007E-2</v>
      </c>
      <c r="P597" s="170">
        <f t="shared" si="56"/>
        <v>15885.47466</v>
      </c>
    </row>
    <row r="598" spans="1:16">
      <c r="A598" s="157"/>
      <c r="B598" s="154"/>
      <c r="C598" s="63"/>
      <c r="D598" s="199"/>
      <c r="E598" s="145"/>
      <c r="F598" s="61"/>
      <c r="G598" s="206"/>
      <c r="H598" s="74"/>
      <c r="I598" s="183"/>
      <c r="J598" s="175"/>
      <c r="K598" s="197"/>
      <c r="L598" s="194"/>
      <c r="N598" s="188">
        <f t="shared" si="55"/>
        <v>0</v>
      </c>
      <c r="O598" s="189">
        <v>7.0000000000000007E-2</v>
      </c>
      <c r="P598" s="170">
        <f t="shared" si="56"/>
        <v>0</v>
      </c>
    </row>
    <row r="599" spans="1:16">
      <c r="A599" s="157"/>
      <c r="B599" s="154"/>
      <c r="C599" s="63"/>
      <c r="D599" s="199"/>
      <c r="E599" s="145"/>
      <c r="F599" s="61"/>
      <c r="G599" s="206"/>
      <c r="H599" s="74"/>
      <c r="I599" s="183"/>
      <c r="J599" s="175"/>
      <c r="K599" s="197"/>
      <c r="L599" s="194"/>
      <c r="N599" s="188">
        <f t="shared" si="55"/>
        <v>0</v>
      </c>
      <c r="O599" s="189">
        <v>7.0000000000000007E-2</v>
      </c>
      <c r="P599" s="170">
        <f t="shared" si="56"/>
        <v>0</v>
      </c>
    </row>
    <row r="600" spans="1:16">
      <c r="A600" s="157"/>
      <c r="B600" s="154"/>
      <c r="C600" s="63"/>
      <c r="D600" s="199"/>
      <c r="E600" s="145"/>
      <c r="F600" s="61"/>
      <c r="G600" s="206"/>
      <c r="H600" s="74"/>
      <c r="I600" s="183"/>
      <c r="J600" s="175"/>
      <c r="K600" s="197"/>
      <c r="L600" s="194"/>
      <c r="N600" s="188">
        <f t="shared" si="55"/>
        <v>0</v>
      </c>
      <c r="O600" s="189">
        <v>7.0000000000000007E-2</v>
      </c>
      <c r="P600" s="170">
        <f t="shared" si="56"/>
        <v>0</v>
      </c>
    </row>
    <row r="601" spans="1:16">
      <c r="A601" s="157"/>
      <c r="B601" s="239"/>
      <c r="C601" s="222"/>
      <c r="D601" s="3464"/>
      <c r="E601" s="145"/>
      <c r="F601" s="61"/>
      <c r="G601" s="223"/>
      <c r="H601" s="224"/>
      <c r="I601" s="225"/>
      <c r="J601" s="209"/>
      <c r="K601" s="244"/>
      <c r="M601" s="188">
        <v>14244.12</v>
      </c>
      <c r="N601" s="188">
        <f t="shared" si="55"/>
        <v>13816.796400000001</v>
      </c>
      <c r="O601" s="189">
        <v>7.0000000000000007E-2</v>
      </c>
      <c r="P601" s="170">
        <f t="shared" si="56"/>
        <v>14783.972148000001</v>
      </c>
    </row>
    <row r="602" spans="1:16">
      <c r="A602" s="157"/>
      <c r="B602" s="162"/>
      <c r="C602" s="63"/>
      <c r="D602" s="199"/>
      <c r="E602" s="145"/>
      <c r="F602" s="61"/>
      <c r="G602" s="206"/>
      <c r="H602" s="74"/>
      <c r="I602" s="183"/>
      <c r="J602" s="175"/>
      <c r="K602" s="197"/>
      <c r="L602" s="194"/>
      <c r="M602" s="188">
        <v>3240</v>
      </c>
      <c r="N602" s="188">
        <f t="shared" si="55"/>
        <v>3142.8</v>
      </c>
      <c r="O602" s="189">
        <v>7.0000000000000007E-2</v>
      </c>
      <c r="P602" s="170">
        <f t="shared" si="56"/>
        <v>3362.7960000000003</v>
      </c>
    </row>
    <row r="603" spans="1:16">
      <c r="A603" s="157"/>
      <c r="B603" s="162"/>
      <c r="C603" s="63"/>
      <c r="D603" s="199"/>
      <c r="E603" s="145"/>
      <c r="F603" s="61"/>
      <c r="G603" s="206"/>
      <c r="H603" s="74"/>
      <c r="I603" s="183"/>
      <c r="J603" s="175"/>
      <c r="K603" s="197"/>
      <c r="L603" s="194"/>
      <c r="M603" s="188">
        <v>14700</v>
      </c>
      <c r="N603" s="188">
        <f t="shared" si="55"/>
        <v>14259</v>
      </c>
      <c r="O603" s="189">
        <v>7.0000000000000007E-2</v>
      </c>
      <c r="P603" s="170">
        <f t="shared" si="56"/>
        <v>15257.130000000001</v>
      </c>
    </row>
    <row r="604" spans="1:16">
      <c r="A604" s="157"/>
      <c r="B604" s="162"/>
      <c r="C604" s="222"/>
      <c r="D604" s="3464"/>
      <c r="E604" s="237"/>
      <c r="F604" s="238"/>
      <c r="G604" s="223"/>
      <c r="H604" s="224"/>
      <c r="I604" s="225"/>
      <c r="J604" s="209"/>
      <c r="K604" s="226"/>
      <c r="L604" s="229"/>
      <c r="M604" s="188">
        <v>14582.7</v>
      </c>
      <c r="N604" s="188">
        <f t="shared" si="55"/>
        <v>14145.219000000001</v>
      </c>
      <c r="O604" s="189">
        <v>7.0000000000000007E-2</v>
      </c>
      <c r="P604" s="170">
        <f t="shared" si="56"/>
        <v>15135.384330000001</v>
      </c>
    </row>
    <row r="605" spans="1:16">
      <c r="A605" s="157"/>
      <c r="B605" s="162"/>
      <c r="C605" s="63"/>
      <c r="D605" s="199"/>
      <c r="E605" s="145"/>
      <c r="F605" s="61"/>
      <c r="G605" s="206"/>
      <c r="H605" s="74"/>
      <c r="I605" s="183"/>
      <c r="J605" s="175"/>
      <c r="K605" s="197"/>
      <c r="L605" s="229"/>
      <c r="M605" s="188">
        <v>13483.8</v>
      </c>
      <c r="N605" s="188">
        <f t="shared" si="55"/>
        <v>13079.286</v>
      </c>
      <c r="O605" s="189">
        <v>7.0000000000000007E-2</v>
      </c>
      <c r="P605" s="170">
        <f t="shared" si="56"/>
        <v>13994.836020000001</v>
      </c>
    </row>
    <row r="606" spans="1:16">
      <c r="A606" s="157"/>
      <c r="B606" s="154"/>
      <c r="C606" s="222"/>
      <c r="D606" s="3464"/>
      <c r="E606" s="145"/>
      <c r="F606" s="61"/>
      <c r="G606" s="223"/>
      <c r="H606" s="224"/>
      <c r="I606" s="225"/>
      <c r="J606" s="209"/>
      <c r="K606" s="226"/>
      <c r="L606" s="229"/>
      <c r="M606" s="188">
        <v>2669.52</v>
      </c>
      <c r="N606" s="188">
        <f t="shared" si="55"/>
        <v>2589.4344000000001</v>
      </c>
      <c r="O606" s="189">
        <v>7.0000000000000007E-2</v>
      </c>
      <c r="P606" s="170">
        <f t="shared" si="56"/>
        <v>2770.6948080000002</v>
      </c>
    </row>
    <row r="607" spans="1:16">
      <c r="A607" s="157"/>
      <c r="B607" s="154"/>
      <c r="C607" s="222"/>
      <c r="D607" s="3464"/>
      <c r="E607" s="145"/>
      <c r="F607" s="61"/>
      <c r="G607" s="223"/>
      <c r="H607" s="224"/>
      <c r="I607" s="225"/>
      <c r="J607" s="209"/>
      <c r="K607" s="226"/>
      <c r="L607" s="229"/>
      <c r="N607" s="188">
        <f t="shared" si="55"/>
        <v>0</v>
      </c>
      <c r="O607" s="189">
        <v>7.0000000000000007E-2</v>
      </c>
      <c r="P607" s="170">
        <f t="shared" si="56"/>
        <v>0</v>
      </c>
    </row>
    <row r="608" spans="1:16">
      <c r="A608" s="221"/>
      <c r="B608" s="240"/>
      <c r="C608" s="222"/>
      <c r="D608" s="3464"/>
      <c r="E608" s="145"/>
      <c r="F608" s="61"/>
      <c r="G608" s="223"/>
      <c r="H608" s="224"/>
      <c r="I608" s="225"/>
      <c r="J608" s="209"/>
      <c r="K608" s="226"/>
      <c r="L608" s="229"/>
      <c r="M608" s="188">
        <v>12972.96</v>
      </c>
      <c r="N608" s="188">
        <f t="shared" si="55"/>
        <v>12583.771199999999</v>
      </c>
      <c r="O608" s="189">
        <v>7.0000000000000007E-2</v>
      </c>
      <c r="P608" s="170">
        <f t="shared" si="56"/>
        <v>13464.635183999999</v>
      </c>
    </row>
    <row r="609" spans="1:16">
      <c r="A609" s="157"/>
      <c r="B609" s="154"/>
      <c r="C609" s="63"/>
      <c r="D609" s="199"/>
      <c r="E609" s="145"/>
      <c r="F609" s="61"/>
      <c r="G609" s="206"/>
      <c r="H609" s="74"/>
      <c r="I609" s="183"/>
      <c r="J609" s="209"/>
      <c r="K609" s="197"/>
      <c r="L609" s="229"/>
      <c r="M609" s="188">
        <v>12687.84</v>
      </c>
      <c r="N609" s="188">
        <f t="shared" si="55"/>
        <v>12307.2048</v>
      </c>
      <c r="O609" s="189">
        <v>7.0000000000000007E-2</v>
      </c>
      <c r="P609" s="170">
        <f t="shared" si="56"/>
        <v>13168.709135999999</v>
      </c>
    </row>
    <row r="610" spans="1:16">
      <c r="A610" s="157"/>
      <c r="B610" s="154"/>
      <c r="C610" s="63"/>
      <c r="D610" s="199"/>
      <c r="E610" s="145"/>
      <c r="F610" s="61"/>
      <c r="G610" s="206"/>
      <c r="H610" s="74"/>
      <c r="I610" s="183"/>
      <c r="J610" s="175"/>
      <c r="K610" s="197"/>
      <c r="L610" s="194"/>
      <c r="M610" s="188">
        <v>16572.599999999999</v>
      </c>
      <c r="N610" s="188">
        <f t="shared" si="55"/>
        <v>16075.421999999999</v>
      </c>
      <c r="O610" s="189">
        <v>7.0000000000000007E-2</v>
      </c>
      <c r="P610" s="170">
        <f t="shared" si="56"/>
        <v>17200.701539999998</v>
      </c>
    </row>
    <row r="611" spans="1:16">
      <c r="A611" s="157"/>
      <c r="B611" s="154"/>
      <c r="C611" s="63"/>
      <c r="D611" s="199"/>
      <c r="E611" s="90"/>
      <c r="F611" s="61"/>
      <c r="G611" s="206"/>
      <c r="H611" s="74"/>
      <c r="I611" s="203"/>
      <c r="J611" s="175"/>
      <c r="K611" s="197"/>
      <c r="L611" s="194"/>
      <c r="M611" s="188">
        <v>6021.12</v>
      </c>
      <c r="N611" s="188">
        <f>M611-(M611*0.03)</f>
        <v>5840.4863999999998</v>
      </c>
      <c r="O611" s="189">
        <v>7.0000000000000007E-2</v>
      </c>
      <c r="P611" s="170">
        <f>(N611*O611)+N611</f>
        <v>6249.3204479999995</v>
      </c>
    </row>
    <row r="612" spans="1:16">
      <c r="A612" s="157"/>
      <c r="B612" s="154"/>
      <c r="C612" s="63"/>
      <c r="D612" s="199"/>
      <c r="E612" s="90"/>
      <c r="F612" s="61"/>
      <c r="G612" s="206"/>
      <c r="H612" s="74"/>
      <c r="I612" s="183"/>
      <c r="J612" s="175"/>
      <c r="K612" s="197"/>
      <c r="L612" s="194"/>
      <c r="M612" s="188">
        <v>8714.16</v>
      </c>
      <c r="N612" s="188">
        <f>M612-(M612*0.03)</f>
        <v>8452.7351999999992</v>
      </c>
      <c r="O612" s="189">
        <v>7.0000000000000007E-2</v>
      </c>
      <c r="P612" s="170">
        <f>(N612*O612)+N612</f>
        <v>9044.4266639999987</v>
      </c>
    </row>
    <row r="613" spans="1:16">
      <c r="A613" s="157"/>
      <c r="B613" s="154"/>
      <c r="C613" s="63"/>
      <c r="D613" s="199"/>
      <c r="E613" s="90"/>
      <c r="F613" s="61"/>
      <c r="G613" s="206"/>
      <c r="H613" s="74"/>
      <c r="I613" s="183"/>
      <c r="J613" s="175"/>
      <c r="K613" s="197"/>
      <c r="L613" s="194"/>
      <c r="M613" s="188">
        <v>0</v>
      </c>
      <c r="N613" s="188">
        <f>M613-(M613*0.03)</f>
        <v>0</v>
      </c>
      <c r="O613" s="189">
        <v>7.0000000000000007E-2</v>
      </c>
      <c r="P613" s="170">
        <f t="shared" ref="P613:P619" si="57">(N613*O613)+N613</f>
        <v>0</v>
      </c>
    </row>
    <row r="614" spans="1:16">
      <c r="A614" s="157"/>
      <c r="B614" s="154"/>
      <c r="C614" s="63"/>
      <c r="D614" s="199"/>
      <c r="E614" s="90"/>
      <c r="F614" s="61"/>
      <c r="G614" s="206"/>
      <c r="H614" s="74"/>
      <c r="I614" s="183"/>
      <c r="J614" s="175"/>
      <c r="K614" s="197"/>
      <c r="L614" s="194"/>
      <c r="M614" s="188">
        <v>18537.7</v>
      </c>
      <c r="N614" s="188">
        <f>M614-(M614*0.03)</f>
        <v>17981.569</v>
      </c>
      <c r="O614" s="189">
        <v>7.0000000000000007E-2</v>
      </c>
      <c r="P614" s="170">
        <f t="shared" si="57"/>
        <v>19240.278829999999</v>
      </c>
    </row>
    <row r="615" spans="1:16">
      <c r="A615" s="158"/>
      <c r="B615" s="154"/>
      <c r="C615" s="63"/>
      <c r="D615" s="199"/>
      <c r="E615" s="91"/>
      <c r="F615" s="61"/>
      <c r="G615" s="206"/>
      <c r="H615" s="74"/>
      <c r="I615" s="183"/>
      <c r="J615" s="175"/>
      <c r="K615" s="197"/>
      <c r="L615" s="194"/>
      <c r="M615" s="188">
        <v>9031.68</v>
      </c>
      <c r="N615" s="188">
        <f t="shared" ref="N615:N624" si="58">M615-(M615*0.03)</f>
        <v>8760.7296000000006</v>
      </c>
      <c r="O615" s="189">
        <v>7.0000000000000007E-2</v>
      </c>
      <c r="P615" s="170">
        <f t="shared" si="57"/>
        <v>9373.9806720000015</v>
      </c>
    </row>
    <row r="616" spans="1:16">
      <c r="A616" s="200"/>
      <c r="B616" s="154"/>
      <c r="C616" s="63"/>
      <c r="D616" s="199"/>
      <c r="E616" s="153"/>
      <c r="F616" s="61"/>
      <c r="G616" s="206"/>
      <c r="H616" s="88"/>
      <c r="I616" s="184"/>
      <c r="J616" s="201"/>
      <c r="K616" s="202"/>
      <c r="L616" s="194"/>
      <c r="N616" s="188">
        <f t="shared" si="58"/>
        <v>0</v>
      </c>
      <c r="O616" s="189">
        <v>7.0000000000000007E-2</v>
      </c>
      <c r="P616" s="170">
        <f t="shared" si="57"/>
        <v>0</v>
      </c>
    </row>
    <row r="617" spans="1:16">
      <c r="A617" s="157"/>
      <c r="B617" s="154"/>
      <c r="C617" s="63"/>
      <c r="D617" s="199"/>
      <c r="E617" s="198"/>
      <c r="F617" s="61"/>
      <c r="G617" s="206"/>
      <c r="H617" s="74"/>
      <c r="I617" s="183"/>
      <c r="J617" s="175"/>
      <c r="K617" s="197"/>
      <c r="L617" s="194"/>
      <c r="M617" s="188">
        <v>8478.9599999999991</v>
      </c>
      <c r="N617" s="188">
        <f t="shared" si="58"/>
        <v>8224.5911999999989</v>
      </c>
      <c r="O617" s="189">
        <v>7.0000000000000007E-2</v>
      </c>
      <c r="P617" s="170">
        <f t="shared" si="57"/>
        <v>8800.3125839999993</v>
      </c>
    </row>
    <row r="618" spans="1:16">
      <c r="A618" s="157"/>
      <c r="B618" s="154"/>
      <c r="C618" s="63"/>
      <c r="D618" s="199"/>
      <c r="E618" s="142"/>
      <c r="F618" s="61"/>
      <c r="G618" s="206"/>
      <c r="H618" s="74"/>
      <c r="I618" s="183"/>
      <c r="J618" s="175"/>
      <c r="K618" s="197"/>
      <c r="L618" s="194"/>
      <c r="M618" s="188">
        <v>11122.62</v>
      </c>
      <c r="N618" s="188">
        <f t="shared" si="58"/>
        <v>10788.941400000002</v>
      </c>
      <c r="O618" s="189">
        <v>7.0000000000000007E-2</v>
      </c>
      <c r="P618" s="170">
        <f t="shared" si="57"/>
        <v>11544.167298000002</v>
      </c>
    </row>
    <row r="619" spans="1:16">
      <c r="A619" s="157"/>
      <c r="B619" s="154"/>
      <c r="C619" s="63"/>
      <c r="D619" s="196"/>
      <c r="E619" s="120"/>
      <c r="F619" s="121"/>
      <c r="G619" s="206"/>
      <c r="H619" s="115"/>
      <c r="I619" s="185"/>
      <c r="J619" s="175"/>
      <c r="K619" s="197"/>
      <c r="L619" s="194"/>
      <c r="M619" s="188">
        <v>3813.12</v>
      </c>
      <c r="N619" s="188">
        <f t="shared" si="58"/>
        <v>3698.7264</v>
      </c>
      <c r="O619" s="189">
        <v>7.0000000000000007E-2</v>
      </c>
      <c r="P619" s="170">
        <f t="shared" si="57"/>
        <v>3957.637248</v>
      </c>
    </row>
    <row r="620" spans="1:16">
      <c r="A620" s="157"/>
      <c r="B620" s="154"/>
      <c r="C620" s="63"/>
      <c r="D620" s="196"/>
      <c r="E620" s="249"/>
      <c r="F620" s="121"/>
      <c r="G620" s="206"/>
      <c r="H620" s="115"/>
      <c r="I620" s="185"/>
      <c r="J620" s="175"/>
      <c r="K620" s="197"/>
      <c r="L620" s="194"/>
    </row>
    <row r="621" spans="1:16">
      <c r="A621" s="157"/>
      <c r="B621" s="154"/>
      <c r="C621" s="63"/>
      <c r="D621" s="196"/>
      <c r="E621" s="249"/>
      <c r="F621" s="121"/>
      <c r="G621" s="206"/>
      <c r="H621" s="115"/>
      <c r="I621" s="185"/>
      <c r="J621" s="175"/>
      <c r="K621" s="197"/>
      <c r="L621" s="194"/>
    </row>
    <row r="622" spans="1:16">
      <c r="A622" s="157"/>
      <c r="B622" s="154"/>
      <c r="C622" s="63"/>
      <c r="D622" s="196"/>
      <c r="E622" s="249"/>
      <c r="F622" s="121"/>
      <c r="G622" s="206"/>
      <c r="H622" s="115"/>
      <c r="I622" s="185"/>
      <c r="J622" s="175"/>
      <c r="K622" s="197"/>
      <c r="L622" s="194"/>
    </row>
    <row r="623" spans="1:16">
      <c r="A623" s="157"/>
      <c r="B623" s="154"/>
      <c r="C623" s="63"/>
      <c r="D623" s="196"/>
      <c r="E623" s="142"/>
      <c r="F623" s="61"/>
      <c r="G623" s="206"/>
      <c r="H623" s="74"/>
      <c r="I623" s="183"/>
      <c r="J623" s="175"/>
      <c r="K623" s="197"/>
      <c r="L623" s="194"/>
    </row>
    <row r="624" spans="1:16">
      <c r="A624" s="157"/>
      <c r="B624" s="161"/>
      <c r="C624" s="63"/>
      <c r="D624" s="196"/>
      <c r="E624" s="142"/>
      <c r="F624" s="61"/>
      <c r="G624" s="206"/>
      <c r="H624" s="74"/>
      <c r="I624" s="183"/>
      <c r="J624" s="175"/>
      <c r="K624" s="197"/>
      <c r="L624" s="194"/>
      <c r="M624" s="188">
        <v>8640</v>
      </c>
      <c r="N624" s="188">
        <f t="shared" si="58"/>
        <v>8380.7999999999993</v>
      </c>
      <c r="O624" s="189">
        <v>7.0000000000000007E-2</v>
      </c>
      <c r="P624" s="170">
        <f>(N624*O624)+N624</f>
        <v>8967.4559999999983</v>
      </c>
    </row>
    <row r="625" spans="1:13">
      <c r="A625" s="160"/>
      <c r="B625" s="154"/>
      <c r="C625" s="63"/>
      <c r="D625" s="196"/>
      <c r="E625" s="120"/>
      <c r="F625" s="121"/>
      <c r="G625" s="206"/>
      <c r="H625" s="115"/>
      <c r="I625" s="185"/>
      <c r="J625" s="174"/>
      <c r="K625" s="195"/>
      <c r="L625" s="194"/>
    </row>
    <row r="626" spans="1:13">
      <c r="A626" s="204"/>
      <c r="B626" s="3444"/>
      <c r="C626" s="3444"/>
      <c r="D626" s="3444"/>
      <c r="E626" s="3444"/>
      <c r="F626" s="3444"/>
      <c r="G626" s="213"/>
      <c r="H626" s="109"/>
      <c r="I626" s="3444"/>
      <c r="J626" s="234"/>
      <c r="K626" s="3444"/>
      <c r="L626" s="235"/>
      <c r="M626" s="3444"/>
    </row>
  </sheetData>
  <mergeCells count="30">
    <mergeCell ref="A214:B214"/>
    <mergeCell ref="A3:B3"/>
    <mergeCell ref="A5:B5"/>
    <mergeCell ref="A45:B45"/>
    <mergeCell ref="A47:B47"/>
    <mergeCell ref="A87:B87"/>
    <mergeCell ref="A89:B89"/>
    <mergeCell ref="A128:B128"/>
    <mergeCell ref="A130:B130"/>
    <mergeCell ref="A170:B170"/>
    <mergeCell ref="A172:B172"/>
    <mergeCell ref="A212:B212"/>
    <mergeCell ref="A592:B592"/>
    <mergeCell ref="A380:B380"/>
    <mergeCell ref="A382:B382"/>
    <mergeCell ref="A422:B422"/>
    <mergeCell ref="A424:B424"/>
    <mergeCell ref="A464:B464"/>
    <mergeCell ref="A466:B466"/>
    <mergeCell ref="A506:B506"/>
    <mergeCell ref="A508:B508"/>
    <mergeCell ref="A548:B548"/>
    <mergeCell ref="A550:B550"/>
    <mergeCell ref="A590:B590"/>
    <mergeCell ref="A254:B254"/>
    <mergeCell ref="A256:B256"/>
    <mergeCell ref="A296:B296"/>
    <mergeCell ref="A298:B298"/>
    <mergeCell ref="A338:B338"/>
    <mergeCell ref="A340:B340"/>
  </mergeCells>
  <phoneticPr fontId="6" type="noConversion"/>
  <hyperlinks>
    <hyperlink ref="I29" r:id="rId1" xr:uid="{C7FB7C2A-2F91-4EEC-A976-44CEF7C40EED}"/>
  </hyperlinks>
  <pageMargins left="0.7" right="0.7" top="0.75" bottom="0.75" header="0.3" footer="0.3"/>
  <pageSetup paperSize="9" orientation="portrait" horizontalDpi="0" verticalDpi="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4BD4-960D-4410-94CA-DAEF21252F28}">
  <sheetPr>
    <tabColor indexed="13"/>
  </sheetPr>
  <dimension ref="A1:L596"/>
  <sheetViews>
    <sheetView topLeftCell="A7" zoomScale="60" zoomScaleNormal="60" zoomScaleSheetLayoutView="100" workbookViewId="0">
      <selection activeCell="I11" sqref="I11"/>
    </sheetView>
  </sheetViews>
  <sheetFormatPr defaultColWidth="12.140625" defaultRowHeight="34.5"/>
  <cols>
    <col min="1" max="1" width="2" style="75" customWidth="1"/>
    <col min="2" max="2" width="29.7109375" style="125" customWidth="1"/>
    <col min="3" max="4" width="13.140625" style="335" customWidth="1"/>
    <col min="5" max="5" width="13.140625" style="45" customWidth="1"/>
    <col min="6" max="6" width="13.140625" style="152" customWidth="1"/>
    <col min="7" max="7" width="11.42578125" style="210" customWidth="1"/>
    <col min="8" max="8" width="11.28515625" style="76" customWidth="1"/>
    <col min="9" max="9" width="22.7109375" style="178" customWidth="1"/>
    <col min="10" max="10" width="13" style="682" customWidth="1"/>
    <col min="11" max="11" width="13.140625" style="366" customWidth="1"/>
    <col min="12" max="16384" width="12.140625" style="76"/>
  </cols>
  <sheetData>
    <row r="1" spans="1:11" ht="30" customHeight="1">
      <c r="F1" s="68"/>
      <c r="K1" s="492">
        <v>1</v>
      </c>
    </row>
    <row r="2" spans="1:11">
      <c r="A2" s="44" t="s">
        <v>0</v>
      </c>
      <c r="C2" s="167"/>
      <c r="F2" s="68"/>
    </row>
    <row r="3" spans="1:11">
      <c r="A3" s="112" t="s">
        <v>3293</v>
      </c>
      <c r="B3" s="625"/>
      <c r="C3" s="270"/>
      <c r="D3" s="167"/>
      <c r="F3" s="68"/>
    </row>
    <row r="4" spans="1:11" ht="25.5" customHeight="1" thickBot="1">
      <c r="F4" s="68"/>
    </row>
    <row r="5" spans="1:11">
      <c r="A5" s="3493" t="s">
        <v>2</v>
      </c>
      <c r="B5" s="3482"/>
      <c r="C5" s="336" t="s">
        <v>3</v>
      </c>
      <c r="D5" s="408" t="s">
        <v>4</v>
      </c>
      <c r="E5" s="77" t="s">
        <v>5</v>
      </c>
      <c r="F5" s="78" t="s">
        <v>5</v>
      </c>
      <c r="G5" s="211" t="s">
        <v>6</v>
      </c>
      <c r="H5" s="48" t="s">
        <v>7</v>
      </c>
      <c r="I5" s="618" t="s">
        <v>1511</v>
      </c>
      <c r="J5" s="683" t="s">
        <v>9</v>
      </c>
      <c r="K5" s="346" t="s">
        <v>9</v>
      </c>
    </row>
    <row r="6" spans="1:11" ht="35.25" thickBot="1">
      <c r="A6" s="155"/>
      <c r="B6" s="494"/>
      <c r="C6" s="337"/>
      <c r="D6" s="409" t="s">
        <v>10</v>
      </c>
      <c r="E6" s="79" t="s">
        <v>11</v>
      </c>
      <c r="F6" s="80" t="s">
        <v>12</v>
      </c>
      <c r="G6" s="212"/>
      <c r="H6" s="50" t="s">
        <v>13</v>
      </c>
      <c r="I6" s="619" t="s">
        <v>1512</v>
      </c>
      <c r="J6" s="684" t="s">
        <v>14</v>
      </c>
      <c r="K6" s="347" t="s">
        <v>15</v>
      </c>
    </row>
    <row r="7" spans="1:11">
      <c r="A7" s="156"/>
      <c r="B7" s="43" t="s">
        <v>3294</v>
      </c>
      <c r="C7" s="207" t="s">
        <v>3295</v>
      </c>
      <c r="D7" s="421" t="s">
        <v>3296</v>
      </c>
      <c r="E7" s="145" t="s">
        <v>3297</v>
      </c>
      <c r="F7" s="61" t="s">
        <v>3298</v>
      </c>
      <c r="G7" s="2737" t="s">
        <v>1292</v>
      </c>
      <c r="H7" s="217" t="s">
        <v>3299</v>
      </c>
      <c r="I7" s="182" t="s">
        <v>3300</v>
      </c>
      <c r="J7" s="182" t="s">
        <v>3301</v>
      </c>
      <c r="K7" s="365" t="s">
        <v>3302</v>
      </c>
    </row>
    <row r="8" spans="1:11">
      <c r="A8" s="157"/>
      <c r="B8" s="113" t="s">
        <v>3303</v>
      </c>
      <c r="C8" s="207" t="s">
        <v>3304</v>
      </c>
      <c r="D8" s="342" t="s">
        <v>3305</v>
      </c>
      <c r="E8" s="396" t="s">
        <v>3306</v>
      </c>
      <c r="F8" s="61" t="s">
        <v>3307</v>
      </c>
      <c r="G8" s="206" t="s">
        <v>3308</v>
      </c>
      <c r="H8" s="88" t="s">
        <v>3309</v>
      </c>
      <c r="I8" s="622" t="s">
        <v>393</v>
      </c>
      <c r="J8" s="687" t="s">
        <v>3310</v>
      </c>
      <c r="K8" s="379" t="s">
        <v>3311</v>
      </c>
    </row>
    <row r="9" spans="1:11">
      <c r="A9" s="157"/>
      <c r="B9" s="43" t="s">
        <v>3312</v>
      </c>
      <c r="C9" s="207" t="s">
        <v>3313</v>
      </c>
      <c r="D9" s="422" t="s">
        <v>3314</v>
      </c>
      <c r="E9" s="237" t="s">
        <v>3315</v>
      </c>
      <c r="F9" s="238" t="s">
        <v>3316</v>
      </c>
      <c r="G9" s="2737" t="s">
        <v>3317</v>
      </c>
      <c r="H9" s="224" t="s">
        <v>3318</v>
      </c>
      <c r="I9" s="182" t="s">
        <v>3319</v>
      </c>
      <c r="J9" s="686" t="s">
        <v>3320</v>
      </c>
      <c r="K9" s="378" t="s">
        <v>3321</v>
      </c>
    </row>
    <row r="10" spans="1:11">
      <c r="A10" s="157"/>
      <c r="B10" s="113" t="s">
        <v>3322</v>
      </c>
      <c r="C10" s="207" t="s">
        <v>3323</v>
      </c>
      <c r="D10" s="342" t="s">
        <v>3324</v>
      </c>
      <c r="E10" s="153" t="s">
        <v>3325</v>
      </c>
      <c r="F10" s="61"/>
      <c r="G10" s="206" t="s">
        <v>2052</v>
      </c>
      <c r="H10" s="88" t="s">
        <v>3326</v>
      </c>
      <c r="I10" s="622" t="s">
        <v>3327</v>
      </c>
      <c r="J10" s="687" t="s">
        <v>3328</v>
      </c>
      <c r="K10" s="379" t="s">
        <v>3329</v>
      </c>
    </row>
    <row r="11" spans="1:11">
      <c r="A11" s="157"/>
      <c r="B11" s="113" t="s">
        <v>3330</v>
      </c>
      <c r="C11" s="207" t="s">
        <v>3331</v>
      </c>
      <c r="D11" s="342"/>
      <c r="E11" s="91"/>
      <c r="F11" s="61"/>
      <c r="G11" s="2737" t="s">
        <v>3332</v>
      </c>
      <c r="H11" s="74"/>
      <c r="I11" s="182"/>
      <c r="J11" s="685"/>
      <c r="K11" s="365"/>
    </row>
    <row r="12" spans="1:11">
      <c r="A12" s="157"/>
      <c r="B12" s="113" t="s">
        <v>3333</v>
      </c>
      <c r="C12" s="207"/>
      <c r="D12" s="342" t="s">
        <v>3334</v>
      </c>
      <c r="E12" s="145" t="s">
        <v>3335</v>
      </c>
      <c r="F12" s="61" t="s">
        <v>2330</v>
      </c>
      <c r="G12" s="2737" t="s">
        <v>700</v>
      </c>
      <c r="H12" s="3059" t="s">
        <v>3336</v>
      </c>
      <c r="I12" s="182" t="s">
        <v>554</v>
      </c>
      <c r="J12" s="685" t="s">
        <v>3337</v>
      </c>
      <c r="K12" s="365" t="s">
        <v>3338</v>
      </c>
    </row>
    <row r="13" spans="1:11">
      <c r="A13" s="157"/>
      <c r="B13" s="43"/>
      <c r="C13" s="207"/>
      <c r="D13" s="421"/>
      <c r="E13" s="90"/>
      <c r="F13" s="61"/>
      <c r="G13" s="2737"/>
      <c r="H13" s="74"/>
      <c r="I13" s="182"/>
      <c r="J13" s="685"/>
      <c r="K13" s="365"/>
    </row>
    <row r="14" spans="1:11">
      <c r="A14" s="157"/>
      <c r="B14" s="43" t="s">
        <v>3339</v>
      </c>
      <c r="C14" s="207" t="s">
        <v>3340</v>
      </c>
      <c r="D14" s="421"/>
      <c r="E14" s="90" t="s">
        <v>3341</v>
      </c>
      <c r="F14" s="61" t="s">
        <v>2823</v>
      </c>
      <c r="G14" s="2737" t="s">
        <v>3342</v>
      </c>
      <c r="H14" s="74" t="s">
        <v>3343</v>
      </c>
      <c r="I14" s="182" t="s">
        <v>493</v>
      </c>
      <c r="J14" s="685" t="s">
        <v>3344</v>
      </c>
      <c r="K14" s="365" t="s">
        <v>3345</v>
      </c>
    </row>
    <row r="15" spans="1:11">
      <c r="A15" s="157"/>
      <c r="B15" s="43" t="s">
        <v>3346</v>
      </c>
      <c r="C15" s="207" t="s">
        <v>3347</v>
      </c>
      <c r="D15" s="421"/>
      <c r="E15" s="90" t="s">
        <v>3348</v>
      </c>
      <c r="F15" s="61" t="s">
        <v>3349</v>
      </c>
      <c r="G15" s="2737" t="s">
        <v>3342</v>
      </c>
      <c r="H15" s="74" t="s">
        <v>3350</v>
      </c>
      <c r="I15" s="182" t="s">
        <v>1879</v>
      </c>
      <c r="J15" s="685" t="s">
        <v>3351</v>
      </c>
      <c r="K15" s="365" t="s">
        <v>3352</v>
      </c>
    </row>
    <row r="16" spans="1:11">
      <c r="A16" s="157"/>
      <c r="B16" s="43" t="s">
        <v>3353</v>
      </c>
      <c r="C16" s="207" t="s">
        <v>3354</v>
      </c>
      <c r="D16" s="421"/>
      <c r="E16" s="90" t="s">
        <v>3341</v>
      </c>
      <c r="F16" s="61" t="s">
        <v>3355</v>
      </c>
      <c r="G16" s="2737" t="s">
        <v>700</v>
      </c>
      <c r="H16" s="74" t="s">
        <v>3356</v>
      </c>
      <c r="I16" s="182" t="s">
        <v>381</v>
      </c>
      <c r="J16" s="685" t="s">
        <v>3357</v>
      </c>
      <c r="K16" s="365" t="s">
        <v>3358</v>
      </c>
    </row>
    <row r="17" spans="1:11">
      <c r="A17" s="157"/>
      <c r="B17" s="43" t="s">
        <v>3359</v>
      </c>
      <c r="C17" s="207" t="s">
        <v>3360</v>
      </c>
      <c r="D17" s="421"/>
      <c r="E17" s="3062" t="s">
        <v>3361</v>
      </c>
      <c r="F17" s="121" t="s">
        <v>2730</v>
      </c>
      <c r="G17" s="206" t="s">
        <v>3362</v>
      </c>
      <c r="H17" s="74" t="s">
        <v>195</v>
      </c>
      <c r="I17" s="182" t="s">
        <v>554</v>
      </c>
      <c r="J17" s="685" t="s">
        <v>3363</v>
      </c>
      <c r="K17" s="365" t="s">
        <v>3364</v>
      </c>
    </row>
    <row r="18" spans="1:11">
      <c r="A18" s="157"/>
      <c r="B18" s="43" t="s">
        <v>3365</v>
      </c>
      <c r="C18" s="207" t="s">
        <v>3360</v>
      </c>
      <c r="D18" s="421"/>
      <c r="E18" s="91" t="s">
        <v>2833</v>
      </c>
      <c r="F18" s="2325" t="s">
        <v>3366</v>
      </c>
      <c r="G18" s="2701" t="s">
        <v>3367</v>
      </c>
      <c r="H18" s="685" t="s">
        <v>2420</v>
      </c>
      <c r="I18" s="182" t="s">
        <v>301</v>
      </c>
      <c r="J18" s="685" t="s">
        <v>3368</v>
      </c>
      <c r="K18" s="365" t="s">
        <v>3369</v>
      </c>
    </row>
    <row r="19" spans="1:11">
      <c r="A19" s="157"/>
      <c r="B19" s="43" t="s">
        <v>3370</v>
      </c>
      <c r="C19" s="207" t="s">
        <v>3371</v>
      </c>
      <c r="D19" s="421" t="s">
        <v>3372</v>
      </c>
      <c r="E19" s="153" t="s">
        <v>3373</v>
      </c>
      <c r="F19" s="61"/>
      <c r="G19" s="2737" t="s">
        <v>1851</v>
      </c>
      <c r="H19" s="88" t="s">
        <v>3374</v>
      </c>
      <c r="I19" s="182" t="s">
        <v>3375</v>
      </c>
      <c r="J19" s="687" t="s">
        <v>3376</v>
      </c>
      <c r="K19" s="379"/>
    </row>
    <row r="20" spans="1:11">
      <c r="A20" s="157"/>
      <c r="B20" s="43" t="s">
        <v>3377</v>
      </c>
      <c r="C20" s="207" t="s">
        <v>3378</v>
      </c>
      <c r="D20" s="421"/>
      <c r="E20" s="153" t="s">
        <v>3379</v>
      </c>
      <c r="F20" s="61"/>
      <c r="G20" s="2737" t="s">
        <v>2772</v>
      </c>
      <c r="H20" s="88" t="s">
        <v>3380</v>
      </c>
      <c r="I20" s="182" t="s">
        <v>554</v>
      </c>
      <c r="J20" s="687" t="s">
        <v>3381</v>
      </c>
      <c r="K20" s="687" t="s">
        <v>3382</v>
      </c>
    </row>
    <row r="21" spans="1:11">
      <c r="A21" s="221"/>
      <c r="B21" s="43" t="s">
        <v>3383</v>
      </c>
      <c r="C21" s="207" t="s">
        <v>2832</v>
      </c>
      <c r="D21" s="342"/>
      <c r="E21" s="145" t="s">
        <v>2820</v>
      </c>
      <c r="F21" s="61" t="s">
        <v>3384</v>
      </c>
      <c r="G21" s="2737" t="s">
        <v>1700</v>
      </c>
      <c r="H21" s="74" t="s">
        <v>2897</v>
      </c>
      <c r="I21" s="182" t="s">
        <v>554</v>
      </c>
      <c r="J21" s="685" t="s">
        <v>3385</v>
      </c>
      <c r="K21" s="365" t="s">
        <v>3386</v>
      </c>
    </row>
    <row r="22" spans="1:11">
      <c r="A22" s="157"/>
      <c r="B22" s="43" t="s">
        <v>3387</v>
      </c>
      <c r="C22" s="207" t="s">
        <v>3388</v>
      </c>
      <c r="D22" s="421" t="s">
        <v>3389</v>
      </c>
      <c r="E22" s="198" t="s">
        <v>3390</v>
      </c>
      <c r="F22" s="61"/>
      <c r="G22" s="2737" t="s">
        <v>1851</v>
      </c>
      <c r="H22" s="182" t="s">
        <v>3391</v>
      </c>
      <c r="I22" s="182" t="s">
        <v>493</v>
      </c>
      <c r="J22" s="685" t="s">
        <v>3392</v>
      </c>
      <c r="K22" s="378" t="s">
        <v>3393</v>
      </c>
    </row>
    <row r="23" spans="1:11">
      <c r="A23" s="157"/>
      <c r="B23" s="3419" t="s">
        <v>3394</v>
      </c>
      <c r="C23" s="2808" t="s">
        <v>3395</v>
      </c>
      <c r="D23" s="3420"/>
      <c r="E23" s="3421" t="s">
        <v>2841</v>
      </c>
      <c r="F23" s="3422" t="s">
        <v>3396</v>
      </c>
      <c r="G23" s="2737" t="s">
        <v>1638</v>
      </c>
      <c r="H23" s="3423" t="s">
        <v>3397</v>
      </c>
      <c r="I23" s="3423" t="s">
        <v>456</v>
      </c>
      <c r="J23" s="3424" t="s">
        <v>3398</v>
      </c>
      <c r="K23" s="3425" t="s">
        <v>3399</v>
      </c>
    </row>
    <row r="24" spans="1:11">
      <c r="A24" s="157"/>
      <c r="B24" s="742" t="s">
        <v>3400</v>
      </c>
      <c r="C24" s="1422" t="s">
        <v>3401</v>
      </c>
      <c r="D24" s="1423"/>
      <c r="E24" s="208"/>
      <c r="F24" s="798" t="s">
        <v>3402</v>
      </c>
      <c r="G24" s="799" t="s">
        <v>3403</v>
      </c>
      <c r="H24" s="1424" t="s">
        <v>3404</v>
      </c>
      <c r="I24" s="1425" t="s">
        <v>639</v>
      </c>
      <c r="J24" s="1426" t="s">
        <v>3405</v>
      </c>
      <c r="K24" s="1427" t="s">
        <v>2837</v>
      </c>
    </row>
    <row r="25" spans="1:11">
      <c r="A25" s="157"/>
      <c r="B25" s="742" t="s">
        <v>3406</v>
      </c>
      <c r="C25" s="1422" t="s">
        <v>3354</v>
      </c>
      <c r="D25" s="1423"/>
      <c r="E25" s="208" t="s">
        <v>3407</v>
      </c>
      <c r="F25" s="798" t="s">
        <v>384</v>
      </c>
      <c r="G25" s="2737" t="s">
        <v>1609</v>
      </c>
      <c r="H25" s="1424" t="s">
        <v>2056</v>
      </c>
      <c r="I25" s="1425" t="s">
        <v>368</v>
      </c>
      <c r="J25" s="1426" t="s">
        <v>3408</v>
      </c>
      <c r="K25" s="1427" t="s">
        <v>3409</v>
      </c>
    </row>
    <row r="26" spans="1:11">
      <c r="A26" s="157"/>
      <c r="B26" s="742" t="s">
        <v>3410</v>
      </c>
      <c r="C26" s="1422" t="s">
        <v>3411</v>
      </c>
      <c r="D26" s="1423"/>
      <c r="E26" s="208" t="s">
        <v>3412</v>
      </c>
      <c r="F26" s="798" t="s">
        <v>3413</v>
      </c>
      <c r="G26" s="2737" t="s">
        <v>3414</v>
      </c>
      <c r="H26" s="1424" t="s">
        <v>1610</v>
      </c>
      <c r="I26" s="1425" t="s">
        <v>368</v>
      </c>
      <c r="J26" s="1426" t="s">
        <v>3415</v>
      </c>
      <c r="K26" s="1427" t="s">
        <v>3416</v>
      </c>
    </row>
    <row r="27" spans="1:11">
      <c r="A27" s="157"/>
      <c r="B27" s="742" t="s">
        <v>3417</v>
      </c>
      <c r="C27" s="1422"/>
      <c r="D27" s="1423"/>
      <c r="E27" s="382"/>
      <c r="F27" s="798"/>
      <c r="G27" s="799" t="s">
        <v>3418</v>
      </c>
      <c r="H27" s="1424"/>
      <c r="I27" s="1428"/>
      <c r="J27" s="1426" t="s">
        <v>3419</v>
      </c>
      <c r="K27" s="1427"/>
    </row>
    <row r="28" spans="1:11">
      <c r="A28" s="158"/>
      <c r="B28" s="742" t="s">
        <v>3417</v>
      </c>
      <c r="C28" s="1422" t="s">
        <v>3420</v>
      </c>
      <c r="D28" s="1423"/>
      <c r="E28" s="382"/>
      <c r="F28" s="798"/>
      <c r="G28" s="2737" t="s">
        <v>1677</v>
      </c>
      <c r="H28" s="3414" t="s">
        <v>3421</v>
      </c>
      <c r="I28" s="1428"/>
      <c r="J28" s="1764" t="s">
        <v>3422</v>
      </c>
      <c r="K28" s="1427" t="s">
        <v>3423</v>
      </c>
    </row>
    <row r="29" spans="1:11">
      <c r="A29" s="200"/>
      <c r="B29" s="742" t="s">
        <v>3424</v>
      </c>
      <c r="C29" s="1429" t="s">
        <v>353</v>
      </c>
      <c r="D29" s="1423"/>
      <c r="E29" s="208" t="s">
        <v>3425</v>
      </c>
      <c r="F29" s="208" t="s">
        <v>3426</v>
      </c>
      <c r="G29" s="2737" t="s">
        <v>1677</v>
      </c>
      <c r="H29" s="1426" t="s">
        <v>3427</v>
      </c>
      <c r="I29" s="1425" t="s">
        <v>493</v>
      </c>
      <c r="J29" s="1426" t="s">
        <v>3428</v>
      </c>
      <c r="K29" s="1427" t="s">
        <v>3429</v>
      </c>
    </row>
    <row r="30" spans="1:11">
      <c r="A30" s="157"/>
      <c r="B30" s="742" t="s">
        <v>3430</v>
      </c>
      <c r="C30" s="1429"/>
      <c r="D30" s="1423"/>
      <c r="E30" s="208" t="s">
        <v>2848</v>
      </c>
      <c r="F30" s="798" t="s">
        <v>3431</v>
      </c>
      <c r="G30" s="2737" t="s">
        <v>1851</v>
      </c>
      <c r="H30" s="1424" t="s">
        <v>2823</v>
      </c>
      <c r="I30" s="1425"/>
      <c r="J30" s="1426" t="s">
        <v>3432</v>
      </c>
      <c r="K30" s="1427"/>
    </row>
    <row r="31" spans="1:11">
      <c r="A31" s="157"/>
      <c r="B31" s="742" t="s">
        <v>3433</v>
      </c>
      <c r="C31" s="1429" t="s">
        <v>3295</v>
      </c>
      <c r="D31" s="1423" t="s">
        <v>3305</v>
      </c>
      <c r="E31" s="382"/>
      <c r="F31" s="798"/>
      <c r="G31" s="799" t="s">
        <v>2487</v>
      </c>
      <c r="H31" s="1425" t="s">
        <v>3434</v>
      </c>
      <c r="I31" s="1425" t="s">
        <v>368</v>
      </c>
      <c r="J31" s="1425" t="s">
        <v>3435</v>
      </c>
      <c r="K31" s="1427" t="s">
        <v>3436</v>
      </c>
    </row>
    <row r="32" spans="1:11">
      <c r="A32" s="157"/>
      <c r="B32" s="742" t="s">
        <v>903</v>
      </c>
      <c r="C32" s="1429" t="s">
        <v>3437</v>
      </c>
      <c r="D32" s="1423" t="s">
        <v>3438</v>
      </c>
      <c r="E32" s="382"/>
      <c r="F32" s="798"/>
      <c r="G32" s="799" t="s">
        <v>3439</v>
      </c>
      <c r="H32" s="1424" t="s">
        <v>3440</v>
      </c>
      <c r="I32" s="1425" t="s">
        <v>368</v>
      </c>
      <c r="J32" s="1426" t="s">
        <v>3441</v>
      </c>
      <c r="K32" s="1427" t="s">
        <v>3442</v>
      </c>
    </row>
    <row r="33" spans="1:11">
      <c r="A33" s="157"/>
      <c r="B33" s="742" t="s">
        <v>3443</v>
      </c>
      <c r="C33" s="1429" t="s">
        <v>1119</v>
      </c>
      <c r="D33" s="1423" t="s">
        <v>1063</v>
      </c>
      <c r="E33" s="208" t="s">
        <v>2859</v>
      </c>
      <c r="F33" s="798" t="s">
        <v>3444</v>
      </c>
      <c r="G33" s="2737" t="s">
        <v>1638</v>
      </c>
      <c r="H33" s="1424" t="s">
        <v>3445</v>
      </c>
      <c r="I33" s="1425" t="s">
        <v>381</v>
      </c>
      <c r="J33" s="1426" t="s">
        <v>3446</v>
      </c>
      <c r="K33" s="1427" t="s">
        <v>3447</v>
      </c>
    </row>
    <row r="34" spans="1:11">
      <c r="A34" s="157"/>
      <c r="B34" s="742" t="s">
        <v>3448</v>
      </c>
      <c r="C34" s="1429" t="s">
        <v>1119</v>
      </c>
      <c r="D34" s="1423" t="s">
        <v>3449</v>
      </c>
      <c r="E34" s="208" t="s">
        <v>3450</v>
      </c>
      <c r="F34" s="798" t="s">
        <v>3451</v>
      </c>
      <c r="G34" s="2737" t="s">
        <v>1677</v>
      </c>
      <c r="H34" s="1424" t="s">
        <v>3452</v>
      </c>
      <c r="I34" s="1425" t="s">
        <v>381</v>
      </c>
      <c r="J34" s="1426" t="s">
        <v>3453</v>
      </c>
      <c r="K34" s="1427" t="s">
        <v>3454</v>
      </c>
    </row>
    <row r="35" spans="1:11">
      <c r="A35" s="157"/>
      <c r="B35" s="742" t="s">
        <v>3455</v>
      </c>
      <c r="C35" s="1429"/>
      <c r="D35" s="1423"/>
      <c r="E35" s="208"/>
      <c r="F35" s="798"/>
      <c r="G35" s="799"/>
      <c r="H35" s="1424"/>
      <c r="I35" s="1425" t="s">
        <v>368</v>
      </c>
      <c r="J35" s="1426"/>
      <c r="K35" s="1427"/>
    </row>
    <row r="36" spans="1:11" ht="35.25" customHeight="1">
      <c r="B36" s="742" t="s">
        <v>3456</v>
      </c>
      <c r="C36" s="1431" t="s">
        <v>1054</v>
      </c>
      <c r="D36" s="1432" t="s">
        <v>3457</v>
      </c>
      <c r="E36" s="1433"/>
      <c r="F36" s="1434"/>
      <c r="G36" s="1435" t="s">
        <v>2484</v>
      </c>
      <c r="H36" s="1436"/>
      <c r="I36" s="1425" t="s">
        <v>493</v>
      </c>
      <c r="J36" s="1438">
        <v>4750</v>
      </c>
      <c r="K36" s="1439">
        <v>95</v>
      </c>
    </row>
    <row r="37" spans="1:11" ht="25.5" customHeight="1">
      <c r="B37" s="1430" t="s">
        <v>3458</v>
      </c>
      <c r="C37" s="1431" t="s">
        <v>1054</v>
      </c>
      <c r="D37" s="1432" t="s">
        <v>3457</v>
      </c>
      <c r="E37" s="1433" t="s">
        <v>3459</v>
      </c>
      <c r="F37" s="1434"/>
      <c r="G37" s="1435" t="s">
        <v>3332</v>
      </c>
      <c r="H37" s="1436" t="s">
        <v>3460</v>
      </c>
      <c r="I37" s="1437" t="s">
        <v>3461</v>
      </c>
      <c r="J37" s="1438" t="s">
        <v>3462</v>
      </c>
      <c r="K37" s="1439">
        <v>110.8</v>
      </c>
    </row>
    <row r="38" spans="1:11">
      <c r="A38" s="44" t="s">
        <v>0</v>
      </c>
      <c r="C38" s="167"/>
      <c r="F38" s="68"/>
      <c r="K38" s="492">
        <v>2</v>
      </c>
    </row>
    <row r="39" spans="1:11" ht="35.25" customHeight="1">
      <c r="A39" s="112" t="s">
        <v>3293</v>
      </c>
      <c r="B39" s="625"/>
      <c r="C39" s="270"/>
      <c r="D39" s="167"/>
      <c r="F39" s="68"/>
    </row>
    <row r="40" spans="1:11" ht="21.75" customHeight="1" thickBot="1">
      <c r="F40" s="68"/>
    </row>
    <row r="41" spans="1:11">
      <c r="A41" s="3481" t="s">
        <v>2</v>
      </c>
      <c r="B41" s="3482"/>
      <c r="C41" s="336" t="s">
        <v>3</v>
      </c>
      <c r="D41" s="408" t="s">
        <v>4</v>
      </c>
      <c r="E41" s="77" t="s">
        <v>5</v>
      </c>
      <c r="F41" s="78" t="s">
        <v>5</v>
      </c>
      <c r="G41" s="211" t="s">
        <v>6</v>
      </c>
      <c r="H41" s="48" t="s">
        <v>7</v>
      </c>
      <c r="I41" s="618" t="s">
        <v>1511</v>
      </c>
      <c r="J41" s="683" t="s">
        <v>9</v>
      </c>
      <c r="K41" s="367" t="s">
        <v>9</v>
      </c>
    </row>
    <row r="42" spans="1:11" ht="35.25" thickBot="1">
      <c r="A42" s="51"/>
      <c r="B42" s="494"/>
      <c r="C42" s="337"/>
      <c r="D42" s="409" t="s">
        <v>10</v>
      </c>
      <c r="E42" s="79" t="s">
        <v>11</v>
      </c>
      <c r="F42" s="80" t="s">
        <v>12</v>
      </c>
      <c r="G42" s="212"/>
      <c r="H42" s="50" t="s">
        <v>13</v>
      </c>
      <c r="I42" s="619" t="s">
        <v>1512</v>
      </c>
      <c r="J42" s="684" t="s">
        <v>15</v>
      </c>
      <c r="K42" s="368" t="s">
        <v>14</v>
      </c>
    </row>
    <row r="43" spans="1:11">
      <c r="A43" s="726"/>
      <c r="B43" s="43" t="s">
        <v>3463</v>
      </c>
      <c r="C43" s="340"/>
      <c r="D43" s="421"/>
      <c r="E43" s="90"/>
      <c r="F43" s="61"/>
      <c r="G43" s="206" t="s">
        <v>3464</v>
      </c>
      <c r="H43" s="74"/>
      <c r="I43" s="182"/>
      <c r="J43" s="685">
        <v>3000</v>
      </c>
      <c r="K43" s="365"/>
    </row>
    <row r="44" spans="1:11">
      <c r="A44" s="316"/>
      <c r="B44" s="43" t="s">
        <v>3465</v>
      </c>
      <c r="C44" s="340"/>
      <c r="D44" s="421"/>
      <c r="E44" s="90"/>
      <c r="F44" s="61"/>
      <c r="G44" s="206" t="s">
        <v>3466</v>
      </c>
      <c r="H44" s="74"/>
      <c r="I44" s="182"/>
      <c r="J44" s="685">
        <v>320</v>
      </c>
      <c r="K44" s="365"/>
    </row>
    <row r="45" spans="1:11">
      <c r="A45" s="83"/>
      <c r="B45" s="113" t="s">
        <v>2867</v>
      </c>
      <c r="C45" s="207" t="s">
        <v>284</v>
      </c>
      <c r="D45" s="342"/>
      <c r="E45" s="90"/>
      <c r="F45" s="61"/>
      <c r="G45" s="206" t="s">
        <v>2487</v>
      </c>
      <c r="H45" s="74"/>
      <c r="I45" s="182"/>
      <c r="J45" s="685" t="s">
        <v>3467</v>
      </c>
      <c r="K45" s="365"/>
    </row>
    <row r="46" spans="1:11">
      <c r="A46" s="315"/>
      <c r="B46" s="113" t="s">
        <v>3468</v>
      </c>
      <c r="C46" s="207" t="s">
        <v>3469</v>
      </c>
      <c r="D46" s="342"/>
      <c r="E46" s="332" t="s">
        <v>3470</v>
      </c>
      <c r="F46" s="61" t="s">
        <v>3471</v>
      </c>
      <c r="G46" s="2737" t="s">
        <v>3472</v>
      </c>
      <c r="H46" s="74" t="s">
        <v>3473</v>
      </c>
      <c r="I46" s="182" t="s">
        <v>540</v>
      </c>
      <c r="J46" s="685" t="s">
        <v>3474</v>
      </c>
      <c r="K46" s="365" t="s">
        <v>3475</v>
      </c>
    </row>
    <row r="47" spans="1:11">
      <c r="A47" s="315"/>
      <c r="B47" s="113" t="s">
        <v>3476</v>
      </c>
      <c r="C47" s="207"/>
      <c r="D47" s="342"/>
      <c r="E47" s="332" t="s">
        <v>3477</v>
      </c>
      <c r="F47" s="61" t="s">
        <v>3478</v>
      </c>
      <c r="G47" s="2737" t="s">
        <v>2745</v>
      </c>
      <c r="H47" s="74" t="s">
        <v>1946</v>
      </c>
      <c r="I47" s="182" t="s">
        <v>1879</v>
      </c>
      <c r="J47" s="685" t="s">
        <v>3129</v>
      </c>
      <c r="K47" s="365" t="s">
        <v>3479</v>
      </c>
    </row>
    <row r="48" spans="1:11">
      <c r="A48" s="315"/>
      <c r="B48" s="43" t="s">
        <v>3480</v>
      </c>
      <c r="C48" s="207" t="s">
        <v>3481</v>
      </c>
      <c r="D48" s="421"/>
      <c r="E48" s="3116" t="s">
        <v>3482</v>
      </c>
      <c r="F48" s="61"/>
      <c r="G48" s="2737" t="s">
        <v>1851</v>
      </c>
      <c r="H48" s="182" t="s">
        <v>1953</v>
      </c>
      <c r="I48" s="182" t="s">
        <v>554</v>
      </c>
      <c r="J48" s="685" t="s">
        <v>3483</v>
      </c>
      <c r="K48" s="378" t="s">
        <v>3484</v>
      </c>
    </row>
    <row r="49" spans="1:11">
      <c r="A49" s="315"/>
      <c r="B49" s="43"/>
      <c r="C49" s="207"/>
      <c r="D49" s="422"/>
      <c r="E49" s="237"/>
      <c r="F49" s="238"/>
      <c r="G49" s="223"/>
      <c r="H49" s="224"/>
      <c r="I49" s="182"/>
      <c r="J49" s="686"/>
      <c r="K49" s="378"/>
    </row>
    <row r="50" spans="1:11">
      <c r="A50" s="315"/>
      <c r="B50" s="43"/>
      <c r="D50" s="421"/>
      <c r="E50" s="145"/>
      <c r="F50" s="61"/>
      <c r="G50" s="206"/>
      <c r="H50" s="74"/>
      <c r="I50" s="182"/>
      <c r="J50" s="685"/>
      <c r="K50" s="365"/>
    </row>
    <row r="51" spans="1:11">
      <c r="A51" s="315"/>
      <c r="B51" s="43"/>
      <c r="C51" s="207"/>
      <c r="D51" s="421"/>
      <c r="E51" s="145"/>
      <c r="F51" s="61"/>
      <c r="G51" s="2731"/>
      <c r="H51" s="74"/>
      <c r="I51" s="182"/>
      <c r="J51" s="685"/>
      <c r="K51" s="365"/>
    </row>
    <row r="52" spans="1:11">
      <c r="A52" s="315"/>
      <c r="B52" s="113" t="s">
        <v>3485</v>
      </c>
      <c r="C52" s="207" t="s">
        <v>3486</v>
      </c>
      <c r="D52" s="342" t="s">
        <v>3487</v>
      </c>
      <c r="E52" s="153" t="s">
        <v>3355</v>
      </c>
      <c r="F52" s="61"/>
      <c r="G52" s="2737" t="s">
        <v>700</v>
      </c>
      <c r="H52" s="88" t="s">
        <v>3488</v>
      </c>
      <c r="I52" s="622" t="s">
        <v>1879</v>
      </c>
      <c r="J52" s="687" t="s">
        <v>3489</v>
      </c>
      <c r="K52" s="379" t="s">
        <v>3490</v>
      </c>
    </row>
    <row r="53" spans="1:11">
      <c r="A53" s="315"/>
      <c r="B53" s="113" t="s">
        <v>3491</v>
      </c>
      <c r="C53" s="341" t="s">
        <v>3492</v>
      </c>
      <c r="D53" s="624"/>
      <c r="E53" s="145" t="s">
        <v>3493</v>
      </c>
      <c r="F53" s="61"/>
      <c r="G53" s="223" t="s">
        <v>3494</v>
      </c>
      <c r="H53" s="224" t="s">
        <v>3495</v>
      </c>
      <c r="I53" s="182" t="s">
        <v>1879</v>
      </c>
      <c r="J53" s="686" t="s">
        <v>3496</v>
      </c>
      <c r="K53" s="378" t="s">
        <v>3497</v>
      </c>
    </row>
    <row r="54" spans="1:11">
      <c r="A54" s="315"/>
      <c r="B54" s="113" t="s">
        <v>3491</v>
      </c>
      <c r="C54" s="207"/>
      <c r="D54" s="624" t="s">
        <v>3401</v>
      </c>
      <c r="E54" s="145" t="s">
        <v>3498</v>
      </c>
      <c r="F54" s="61"/>
      <c r="G54" s="223" t="s">
        <v>2341</v>
      </c>
      <c r="H54" s="224" t="s">
        <v>3499</v>
      </c>
      <c r="I54" s="182"/>
      <c r="J54" s="686" t="s">
        <v>3500</v>
      </c>
      <c r="K54" s="378" t="s">
        <v>3501</v>
      </c>
    </row>
    <row r="55" spans="1:11">
      <c r="A55" s="315"/>
      <c r="B55" s="113" t="s">
        <v>3502</v>
      </c>
      <c r="C55" s="207" t="s">
        <v>3503</v>
      </c>
      <c r="D55" s="342"/>
      <c r="E55" s="145"/>
      <c r="F55" s="238" t="s">
        <v>3504</v>
      </c>
      <c r="G55" s="3117" t="s">
        <v>3367</v>
      </c>
      <c r="H55" s="101" t="s">
        <v>3505</v>
      </c>
      <c r="I55" s="182" t="s">
        <v>554</v>
      </c>
      <c r="J55" s="686" t="s">
        <v>3506</v>
      </c>
      <c r="K55" s="378" t="s">
        <v>3507</v>
      </c>
    </row>
    <row r="56" spans="1:11">
      <c r="A56" s="315"/>
      <c r="B56" s="113" t="s">
        <v>3508</v>
      </c>
      <c r="C56" s="207"/>
      <c r="D56" s="342"/>
      <c r="E56" s="237"/>
      <c r="F56" s="238"/>
      <c r="G56" s="343"/>
      <c r="H56" s="63"/>
      <c r="I56" s="182"/>
      <c r="J56" s="686">
        <v>1050</v>
      </c>
      <c r="K56" s="378"/>
    </row>
    <row r="57" spans="1:11">
      <c r="A57" s="315"/>
      <c r="B57" s="43" t="s">
        <v>3509</v>
      </c>
      <c r="C57" s="207" t="s">
        <v>284</v>
      </c>
      <c r="D57" s="207"/>
      <c r="E57" s="120"/>
      <c r="F57" s="121"/>
      <c r="G57" s="217" t="s">
        <v>3464</v>
      </c>
      <c r="H57" s="74"/>
      <c r="I57" s="182"/>
      <c r="J57" s="685">
        <v>960</v>
      </c>
      <c r="K57" s="365"/>
    </row>
    <row r="58" spans="1:11">
      <c r="A58" s="315"/>
      <c r="B58" s="1516" t="s">
        <v>3510</v>
      </c>
      <c r="C58" s="1517" t="s">
        <v>1809</v>
      </c>
      <c r="D58" s="416" t="s">
        <v>3511</v>
      </c>
      <c r="E58" s="1401">
        <v>28</v>
      </c>
      <c r="F58" s="936" t="s">
        <v>3512</v>
      </c>
      <c r="G58" s="982" t="s">
        <v>3513</v>
      </c>
      <c r="H58" s="2069" t="s">
        <v>3514</v>
      </c>
      <c r="I58" s="620" t="s">
        <v>361</v>
      </c>
      <c r="J58" s="1519" t="s">
        <v>3515</v>
      </c>
      <c r="K58" s="983">
        <v>23.07</v>
      </c>
    </row>
    <row r="59" spans="1:11" ht="39" thickBot="1">
      <c r="A59" s="438"/>
      <c r="B59" s="406" t="s">
        <v>3516</v>
      </c>
      <c r="C59" s="1459" t="s">
        <v>1809</v>
      </c>
      <c r="D59" s="413" t="s">
        <v>3511</v>
      </c>
      <c r="E59" s="221">
        <v>30</v>
      </c>
      <c r="F59" s="777" t="s">
        <v>3517</v>
      </c>
      <c r="G59" s="223" t="s">
        <v>3518</v>
      </c>
      <c r="H59" s="1826" t="s">
        <v>3519</v>
      </c>
      <c r="I59" s="620" t="s">
        <v>361</v>
      </c>
      <c r="J59" s="686" t="s">
        <v>3520</v>
      </c>
      <c r="K59" s="1570">
        <v>26.07</v>
      </c>
    </row>
    <row r="60" spans="1:11" ht="35.25" thickBot="1">
      <c r="A60" s="315"/>
      <c r="B60" s="1589"/>
      <c r="C60" s="1590"/>
      <c r="D60" s="413"/>
      <c r="E60" s="1756"/>
      <c r="F60" s="1323"/>
      <c r="G60" s="223"/>
      <c r="H60" s="778"/>
      <c r="I60" s="620"/>
      <c r="J60" s="686"/>
      <c r="K60" s="2317"/>
    </row>
    <row r="61" spans="1:11">
      <c r="A61" s="315"/>
      <c r="B61" s="1589" t="s">
        <v>3521</v>
      </c>
      <c r="C61" s="1590"/>
      <c r="D61" s="413" t="s">
        <v>3522</v>
      </c>
      <c r="E61" s="1756">
        <v>40</v>
      </c>
      <c r="F61" s="1323" t="s">
        <v>3523</v>
      </c>
      <c r="G61" s="223" t="s">
        <v>3524</v>
      </c>
      <c r="H61" s="778" t="s">
        <v>3525</v>
      </c>
      <c r="I61" s="620" t="s">
        <v>393</v>
      </c>
      <c r="J61" s="686" t="s">
        <v>3326</v>
      </c>
      <c r="K61" s="2317" t="s">
        <v>3526</v>
      </c>
    </row>
    <row r="62" spans="1:11">
      <c r="A62" s="315"/>
      <c r="B62" s="1336" t="s">
        <v>3527</v>
      </c>
      <c r="C62" s="341" t="s">
        <v>353</v>
      </c>
      <c r="D62" s="413" t="s">
        <v>3528</v>
      </c>
      <c r="E62" s="1757">
        <v>27</v>
      </c>
      <c r="F62" s="1758" t="s">
        <v>3529</v>
      </c>
      <c r="G62" s="223" t="s">
        <v>3530</v>
      </c>
      <c r="H62" s="472" t="s">
        <v>3531</v>
      </c>
      <c r="I62" s="472" t="s">
        <v>3532</v>
      </c>
      <c r="J62" s="686" t="s">
        <v>3533</v>
      </c>
      <c r="K62" s="646" t="s">
        <v>3534</v>
      </c>
    </row>
    <row r="63" spans="1:11">
      <c r="A63" s="315"/>
      <c r="B63" s="406" t="s">
        <v>3535</v>
      </c>
      <c r="C63" s="1459" t="s">
        <v>3536</v>
      </c>
      <c r="D63" s="422" t="s">
        <v>317</v>
      </c>
      <c r="E63" s="1759">
        <v>75</v>
      </c>
      <c r="F63" s="1760" t="s">
        <v>3537</v>
      </c>
      <c r="G63" s="223" t="s">
        <v>2202</v>
      </c>
      <c r="H63" s="224"/>
      <c r="I63" s="620" t="s">
        <v>3538</v>
      </c>
      <c r="J63" s="686" t="s">
        <v>3539</v>
      </c>
      <c r="K63" s="1364" t="s">
        <v>3540</v>
      </c>
    </row>
    <row r="64" spans="1:11">
      <c r="A64" s="315"/>
      <c r="B64" s="406" t="s">
        <v>3535</v>
      </c>
      <c r="C64" s="1459" t="s">
        <v>3541</v>
      </c>
      <c r="D64" s="422" t="s">
        <v>317</v>
      </c>
      <c r="E64" s="1759">
        <v>75</v>
      </c>
      <c r="F64" s="1760" t="s">
        <v>3537</v>
      </c>
      <c r="G64" s="223" t="s">
        <v>2202</v>
      </c>
      <c r="H64" s="224"/>
      <c r="I64" s="620" t="s">
        <v>3538</v>
      </c>
      <c r="J64" s="686" t="s">
        <v>3539</v>
      </c>
      <c r="K64" s="1364" t="s">
        <v>3540</v>
      </c>
    </row>
    <row r="65" spans="1:11">
      <c r="A65" s="315"/>
      <c r="B65" s="406" t="s">
        <v>3535</v>
      </c>
      <c r="C65" s="1459" t="s">
        <v>3536</v>
      </c>
      <c r="D65" s="422" t="s">
        <v>317</v>
      </c>
      <c r="E65" s="1759">
        <v>75</v>
      </c>
      <c r="F65" s="1760" t="s">
        <v>3537</v>
      </c>
      <c r="G65" s="223" t="s">
        <v>2202</v>
      </c>
      <c r="H65" s="224"/>
      <c r="I65" s="620" t="s">
        <v>3538</v>
      </c>
      <c r="J65" s="686" t="s">
        <v>3539</v>
      </c>
      <c r="K65" s="1364" t="s">
        <v>3540</v>
      </c>
    </row>
    <row r="66" spans="1:11">
      <c r="A66" s="441"/>
      <c r="B66" s="406" t="s">
        <v>3535</v>
      </c>
      <c r="C66" s="1459" t="s">
        <v>3541</v>
      </c>
      <c r="D66" s="422" t="s">
        <v>317</v>
      </c>
      <c r="E66" s="1759">
        <v>75</v>
      </c>
      <c r="F66" s="1760" t="s">
        <v>3537</v>
      </c>
      <c r="G66" s="223" t="s">
        <v>2202</v>
      </c>
      <c r="H66" s="224"/>
      <c r="I66" s="620" t="s">
        <v>3538</v>
      </c>
      <c r="J66" s="686" t="s">
        <v>3539</v>
      </c>
      <c r="K66" s="1364" t="s">
        <v>3540</v>
      </c>
    </row>
    <row r="67" spans="1:11">
      <c r="A67" s="315"/>
      <c r="B67" s="406" t="s">
        <v>3542</v>
      </c>
      <c r="C67" s="1459" t="s">
        <v>3543</v>
      </c>
      <c r="D67" s="422" t="s">
        <v>2798</v>
      </c>
      <c r="E67" s="1761">
        <v>150</v>
      </c>
      <c r="F67" s="1762" t="s">
        <v>3544</v>
      </c>
      <c r="G67" s="223" t="s">
        <v>2775</v>
      </c>
      <c r="H67" s="224"/>
      <c r="I67" s="620" t="s">
        <v>3545</v>
      </c>
      <c r="J67" s="686" t="s">
        <v>2792</v>
      </c>
      <c r="K67" s="378" t="s">
        <v>3546</v>
      </c>
    </row>
    <row r="68" spans="1:11">
      <c r="A68" s="315"/>
      <c r="B68" s="406" t="s">
        <v>3547</v>
      </c>
      <c r="C68" s="1459" t="s">
        <v>3543</v>
      </c>
      <c r="D68" s="422" t="s">
        <v>2805</v>
      </c>
      <c r="E68" s="1761">
        <v>150</v>
      </c>
      <c r="F68" s="1762" t="s">
        <v>3544</v>
      </c>
      <c r="G68" s="223" t="s">
        <v>2775</v>
      </c>
      <c r="H68" s="224"/>
      <c r="I68" s="620" t="s">
        <v>3545</v>
      </c>
      <c r="J68" s="686" t="s">
        <v>2792</v>
      </c>
      <c r="K68" s="378" t="s">
        <v>3546</v>
      </c>
    </row>
    <row r="69" spans="1:11">
      <c r="A69" s="315"/>
      <c r="B69" s="406" t="s">
        <v>3548</v>
      </c>
      <c r="C69" s="1459" t="s">
        <v>3543</v>
      </c>
      <c r="D69" s="422" t="s">
        <v>1169</v>
      </c>
      <c r="E69" s="1761">
        <v>150</v>
      </c>
      <c r="F69" s="1762" t="s">
        <v>3544</v>
      </c>
      <c r="G69" s="223" t="s">
        <v>2775</v>
      </c>
      <c r="H69" s="224"/>
      <c r="I69" s="620" t="s">
        <v>3545</v>
      </c>
      <c r="J69" s="686" t="s">
        <v>2792</v>
      </c>
      <c r="K69" s="378" t="s">
        <v>3546</v>
      </c>
    </row>
    <row r="70" spans="1:11" ht="31.5" customHeight="1">
      <c r="A70" s="83"/>
      <c r="B70" s="406" t="s">
        <v>3549</v>
      </c>
      <c r="C70" s="1459" t="s">
        <v>3550</v>
      </c>
      <c r="D70" s="422" t="s">
        <v>2805</v>
      </c>
      <c r="E70" s="1761">
        <v>220</v>
      </c>
      <c r="F70" s="1762" t="s">
        <v>3551</v>
      </c>
      <c r="G70" s="223" t="s">
        <v>2775</v>
      </c>
      <c r="H70" s="224"/>
      <c r="I70" s="620" t="s">
        <v>3552</v>
      </c>
      <c r="J70" s="686" t="s">
        <v>3553</v>
      </c>
      <c r="K70" s="378" t="s">
        <v>3554</v>
      </c>
    </row>
    <row r="71" spans="1:11" ht="31.5" customHeight="1">
      <c r="A71" s="83"/>
      <c r="B71" s="1727" t="s">
        <v>3555</v>
      </c>
      <c r="C71" s="341"/>
      <c r="D71" s="624" t="s">
        <v>1051</v>
      </c>
      <c r="E71" s="1759" t="s">
        <v>3556</v>
      </c>
      <c r="F71" s="1760"/>
      <c r="G71" s="223" t="s">
        <v>2206</v>
      </c>
      <c r="H71" s="224"/>
      <c r="I71" s="620" t="s">
        <v>3557</v>
      </c>
      <c r="J71" s="686">
        <v>1600</v>
      </c>
      <c r="K71" s="378">
        <v>64</v>
      </c>
    </row>
    <row r="72" spans="1:11" ht="31.5" customHeight="1">
      <c r="A72" s="83"/>
      <c r="B72" s="770" t="s">
        <v>3558</v>
      </c>
      <c r="C72" s="1517"/>
      <c r="D72" s="413" t="s">
        <v>1908</v>
      </c>
      <c r="E72" s="1756">
        <v>45</v>
      </c>
      <c r="F72" s="1323" t="s">
        <v>3559</v>
      </c>
      <c r="G72" s="223" t="s">
        <v>2772</v>
      </c>
      <c r="H72" s="224" t="s">
        <v>3560</v>
      </c>
      <c r="I72" s="620" t="s">
        <v>393</v>
      </c>
      <c r="J72" s="686" t="s">
        <v>3561</v>
      </c>
      <c r="K72" s="1755" t="s">
        <v>3562</v>
      </c>
    </row>
    <row r="73" spans="1:11" ht="31.5" customHeight="1">
      <c r="B73" s="43"/>
      <c r="C73" s="207"/>
      <c r="D73" s="207"/>
      <c r="E73" s="120"/>
      <c r="F73" s="121"/>
      <c r="G73" s="217"/>
      <c r="H73" s="74"/>
      <c r="I73" s="182"/>
      <c r="J73" s="685"/>
      <c r="K73" s="365"/>
    </row>
    <row r="74" spans="1:11" ht="31.5" customHeight="1">
      <c r="B74" s="75"/>
      <c r="C74" s="167"/>
      <c r="D74" s="167"/>
      <c r="E74" s="44"/>
      <c r="F74" s="68"/>
      <c r="G74" s="269"/>
      <c r="H74" s="75"/>
      <c r="I74" s="296"/>
      <c r="J74" s="688"/>
      <c r="K74" s="492">
        <v>3</v>
      </c>
    </row>
    <row r="75" spans="1:11">
      <c r="A75" s="44" t="s">
        <v>0</v>
      </c>
      <c r="C75" s="167"/>
      <c r="F75" s="68"/>
    </row>
    <row r="76" spans="1:11" ht="35.25" customHeight="1">
      <c r="A76" s="112" t="s">
        <v>3293</v>
      </c>
      <c r="B76" s="625"/>
      <c r="C76" s="270"/>
      <c r="D76" s="167"/>
      <c r="F76" s="68"/>
    </row>
    <row r="77" spans="1:11" ht="25.5" customHeight="1" thickBot="1">
      <c r="F77" s="68"/>
    </row>
    <row r="78" spans="1:11">
      <c r="A78" s="3481" t="s">
        <v>2</v>
      </c>
      <c r="B78" s="3482"/>
      <c r="C78" s="336" t="s">
        <v>3</v>
      </c>
      <c r="D78" s="408" t="s">
        <v>4</v>
      </c>
      <c r="E78" s="77" t="s">
        <v>5</v>
      </c>
      <c r="F78" s="78" t="s">
        <v>5</v>
      </c>
      <c r="G78" s="211" t="s">
        <v>6</v>
      </c>
      <c r="H78" s="48" t="s">
        <v>7</v>
      </c>
      <c r="I78" s="618" t="s">
        <v>1511</v>
      </c>
      <c r="J78" s="683" t="s">
        <v>9</v>
      </c>
      <c r="K78" s="367" t="s">
        <v>9</v>
      </c>
    </row>
    <row r="79" spans="1:11" ht="35.25" thickBot="1">
      <c r="A79" s="51"/>
      <c r="B79" s="494"/>
      <c r="C79" s="337"/>
      <c r="D79" s="409" t="s">
        <v>10</v>
      </c>
      <c r="E79" s="79" t="s">
        <v>11</v>
      </c>
      <c r="F79" s="80" t="s">
        <v>12</v>
      </c>
      <c r="G79" s="212"/>
      <c r="H79" s="50" t="s">
        <v>13</v>
      </c>
      <c r="I79" s="619" t="s">
        <v>1512</v>
      </c>
      <c r="J79" s="684" t="s">
        <v>15</v>
      </c>
      <c r="K79" s="368" t="s">
        <v>14</v>
      </c>
    </row>
    <row r="80" spans="1:11">
      <c r="A80" s="53"/>
      <c r="B80" s="43" t="s">
        <v>2150</v>
      </c>
      <c r="C80" s="207" t="s">
        <v>2191</v>
      </c>
      <c r="D80" s="623" t="s">
        <v>1141</v>
      </c>
      <c r="E80" s="145">
        <v>70</v>
      </c>
      <c r="F80" s="61" t="s">
        <v>2907</v>
      </c>
      <c r="G80" s="206" t="s">
        <v>3524</v>
      </c>
      <c r="H80" s="74">
        <v>890</v>
      </c>
      <c r="I80" s="182" t="s">
        <v>368</v>
      </c>
      <c r="J80" s="685" t="s">
        <v>2154</v>
      </c>
      <c r="K80" s="363" t="s">
        <v>3563</v>
      </c>
    </row>
    <row r="81" spans="1:11">
      <c r="A81" s="152"/>
      <c r="B81" s="43" t="s">
        <v>2156</v>
      </c>
      <c r="C81" s="207" t="s">
        <v>2157</v>
      </c>
      <c r="D81" s="421" t="s">
        <v>40</v>
      </c>
      <c r="E81" s="145">
        <v>295</v>
      </c>
      <c r="F81" s="121" t="s">
        <v>3564</v>
      </c>
      <c r="G81" s="206" t="s">
        <v>3524</v>
      </c>
      <c r="H81" s="74">
        <v>1600</v>
      </c>
      <c r="I81" s="182" t="s">
        <v>368</v>
      </c>
      <c r="J81" s="685" t="s">
        <v>2160</v>
      </c>
      <c r="K81" s="363" t="s">
        <v>3565</v>
      </c>
    </row>
    <row r="82" spans="1:11">
      <c r="A82" s="315"/>
      <c r="B82" s="43" t="s">
        <v>2156</v>
      </c>
      <c r="C82" s="207" t="s">
        <v>2162</v>
      </c>
      <c r="D82" s="422" t="s">
        <v>23</v>
      </c>
      <c r="E82" s="145">
        <v>100</v>
      </c>
      <c r="F82" s="121" t="s">
        <v>3566</v>
      </c>
      <c r="G82" s="223" t="s">
        <v>3530</v>
      </c>
      <c r="H82" s="224">
        <v>1025</v>
      </c>
      <c r="I82" s="182" t="s">
        <v>2753</v>
      </c>
      <c r="J82" s="686" t="s">
        <v>3567</v>
      </c>
      <c r="K82" s="378" t="s">
        <v>3568</v>
      </c>
    </row>
    <row r="83" spans="1:11">
      <c r="A83" s="315"/>
      <c r="B83" s="43" t="s">
        <v>2156</v>
      </c>
      <c r="C83" s="207" t="s">
        <v>2167</v>
      </c>
      <c r="D83" s="421" t="s">
        <v>23</v>
      </c>
      <c r="E83" s="145">
        <v>55</v>
      </c>
      <c r="F83" s="121" t="s">
        <v>3569</v>
      </c>
      <c r="G83" s="206" t="s">
        <v>318</v>
      </c>
      <c r="H83" s="74">
        <v>540</v>
      </c>
      <c r="I83" s="182" t="s">
        <v>2185</v>
      </c>
      <c r="J83" s="686" t="s">
        <v>2006</v>
      </c>
      <c r="K83" s="365" t="s">
        <v>3570</v>
      </c>
    </row>
    <row r="84" spans="1:11">
      <c r="A84" s="315"/>
      <c r="B84" s="43" t="s">
        <v>2171</v>
      </c>
      <c r="C84" s="207" t="s">
        <v>2172</v>
      </c>
      <c r="D84" s="421" t="s">
        <v>18</v>
      </c>
      <c r="E84" s="145">
        <v>55</v>
      </c>
      <c r="F84" s="61"/>
      <c r="G84" s="206" t="s">
        <v>764</v>
      </c>
      <c r="H84" s="74"/>
      <c r="I84" s="182"/>
      <c r="J84" s="685" t="s">
        <v>2173</v>
      </c>
      <c r="K84" s="363" t="s">
        <v>2174</v>
      </c>
    </row>
    <row r="85" spans="1:11">
      <c r="A85" s="315"/>
      <c r="B85" s="1462" t="s">
        <v>2201</v>
      </c>
      <c r="C85" s="1422"/>
      <c r="D85" s="1423" t="s">
        <v>30</v>
      </c>
      <c r="E85" s="208">
        <v>220</v>
      </c>
      <c r="F85" s="798"/>
      <c r="G85" s="799" t="s">
        <v>2202</v>
      </c>
      <c r="H85" s="1424"/>
      <c r="I85" s="1425"/>
      <c r="J85" s="1426">
        <v>800</v>
      </c>
      <c r="K85" s="1427">
        <f>J85/4</f>
        <v>200</v>
      </c>
    </row>
    <row r="86" spans="1:11">
      <c r="A86" s="315"/>
      <c r="B86" s="742" t="s">
        <v>2203</v>
      </c>
      <c r="C86" s="1422"/>
      <c r="D86" s="1423" t="s">
        <v>18</v>
      </c>
      <c r="E86" s="208">
        <v>30</v>
      </c>
      <c r="F86" s="798"/>
      <c r="G86" s="799" t="s">
        <v>2204</v>
      </c>
      <c r="H86" s="1424"/>
      <c r="I86" s="1425"/>
      <c r="J86" s="1426">
        <v>560</v>
      </c>
      <c r="K86" s="1427">
        <v>23.33</v>
      </c>
    </row>
    <row r="87" spans="1:11" ht="35.25" thickBot="1">
      <c r="A87" s="2438"/>
      <c r="B87" s="2439" t="s">
        <v>2205</v>
      </c>
      <c r="C87" s="2440"/>
      <c r="D87" s="2441" t="s">
        <v>23</v>
      </c>
      <c r="E87" s="2442">
        <v>50</v>
      </c>
      <c r="F87" s="2443"/>
      <c r="G87" s="2444" t="s">
        <v>2206</v>
      </c>
      <c r="H87" s="2445"/>
      <c r="I87" s="2446"/>
      <c r="J87" s="2447">
        <v>540</v>
      </c>
      <c r="K87" s="2448">
        <v>45</v>
      </c>
    </row>
    <row r="88" spans="1:11" ht="35.25" thickTop="1">
      <c r="A88" s="316"/>
      <c r="B88" s="82" t="s">
        <v>2188</v>
      </c>
      <c r="C88" s="117" t="s">
        <v>2024</v>
      </c>
      <c r="D88" s="2435" t="s">
        <v>40</v>
      </c>
      <c r="E88" s="143">
        <v>650</v>
      </c>
      <c r="F88" s="69"/>
      <c r="G88" s="216" t="s">
        <v>3518</v>
      </c>
      <c r="H88" s="82">
        <v>3300</v>
      </c>
      <c r="I88" s="2436" t="s">
        <v>368</v>
      </c>
      <c r="J88" s="2437">
        <v>3330</v>
      </c>
      <c r="K88" s="371">
        <f>J88/6</f>
        <v>555</v>
      </c>
    </row>
    <row r="89" spans="1:11">
      <c r="A89" s="315"/>
      <c r="B89" s="74" t="s">
        <v>2188</v>
      </c>
      <c r="C89" s="207" t="s">
        <v>2191</v>
      </c>
      <c r="D89" s="421" t="s">
        <v>23</v>
      </c>
      <c r="E89" s="2324">
        <v>170</v>
      </c>
      <c r="F89" s="861" t="s">
        <v>3571</v>
      </c>
      <c r="G89" s="979" t="s">
        <v>3572</v>
      </c>
      <c r="H89" s="74">
        <v>1810</v>
      </c>
      <c r="I89" s="182" t="s">
        <v>368</v>
      </c>
      <c r="J89" s="685" t="s">
        <v>3573</v>
      </c>
      <c r="K89" s="365">
        <v>153.33000000000001</v>
      </c>
    </row>
    <row r="90" spans="1:11">
      <c r="A90" s="315"/>
      <c r="B90" s="43" t="s">
        <v>3574</v>
      </c>
      <c r="C90" s="207" t="s">
        <v>284</v>
      </c>
      <c r="D90" s="465" t="s">
        <v>193</v>
      </c>
      <c r="E90" s="142" t="s">
        <v>3575</v>
      </c>
      <c r="F90" s="61" t="s">
        <v>3576</v>
      </c>
      <c r="G90" s="2765" t="s">
        <v>3577</v>
      </c>
      <c r="H90" s="74" t="s">
        <v>3578</v>
      </c>
      <c r="I90" s="182" t="s">
        <v>368</v>
      </c>
      <c r="J90" s="590" t="s">
        <v>3579</v>
      </c>
      <c r="K90" s="1585" t="s">
        <v>3580</v>
      </c>
    </row>
    <row r="91" spans="1:11">
      <c r="A91" s="315"/>
      <c r="B91" s="43" t="s">
        <v>3581</v>
      </c>
      <c r="C91" s="207" t="s">
        <v>284</v>
      </c>
      <c r="D91" s="465" t="s">
        <v>193</v>
      </c>
      <c r="E91" s="142" t="s">
        <v>3575</v>
      </c>
      <c r="F91" s="61" t="s">
        <v>3576</v>
      </c>
      <c r="G91" s="2765" t="s">
        <v>760</v>
      </c>
      <c r="H91" s="74" t="s">
        <v>3578</v>
      </c>
      <c r="I91" s="182" t="s">
        <v>368</v>
      </c>
      <c r="J91" s="590" t="s">
        <v>3579</v>
      </c>
      <c r="K91" s="1585" t="s">
        <v>3580</v>
      </c>
    </row>
    <row r="92" spans="1:11">
      <c r="A92" s="315"/>
      <c r="B92" s="362" t="s">
        <v>3582</v>
      </c>
      <c r="C92" s="207" t="s">
        <v>284</v>
      </c>
      <c r="D92" s="465" t="s">
        <v>193</v>
      </c>
      <c r="E92" s="142" t="s">
        <v>3583</v>
      </c>
      <c r="F92" s="61" t="s">
        <v>3584</v>
      </c>
      <c r="G92" s="2765" t="s">
        <v>760</v>
      </c>
      <c r="H92" s="74" t="s">
        <v>3585</v>
      </c>
      <c r="I92" s="182" t="s">
        <v>368</v>
      </c>
      <c r="J92" s="590" t="s">
        <v>2136</v>
      </c>
      <c r="K92" s="1585" t="s">
        <v>3586</v>
      </c>
    </row>
    <row r="93" spans="1:11">
      <c r="A93" s="315"/>
      <c r="B93" s="362" t="s">
        <v>3587</v>
      </c>
      <c r="C93" s="207" t="s">
        <v>284</v>
      </c>
      <c r="D93" s="465" t="s">
        <v>193</v>
      </c>
      <c r="E93" s="142" t="s">
        <v>3583</v>
      </c>
      <c r="F93" s="61" t="s">
        <v>3584</v>
      </c>
      <c r="G93" s="477" t="s">
        <v>2772</v>
      </c>
      <c r="H93" s="74" t="s">
        <v>3326</v>
      </c>
      <c r="I93" s="182" t="s">
        <v>368</v>
      </c>
      <c r="J93" s="590" t="s">
        <v>710</v>
      </c>
      <c r="K93" s="1585" t="s">
        <v>3588</v>
      </c>
    </row>
    <row r="94" spans="1:11">
      <c r="A94" s="315"/>
      <c r="B94" s="362" t="s">
        <v>3589</v>
      </c>
      <c r="C94" s="207" t="s">
        <v>284</v>
      </c>
      <c r="D94" s="465" t="s">
        <v>193</v>
      </c>
      <c r="E94" s="142" t="s">
        <v>3583</v>
      </c>
      <c r="F94" s="61" t="s">
        <v>3584</v>
      </c>
      <c r="G94" s="477" t="s">
        <v>2772</v>
      </c>
      <c r="H94" s="74" t="s">
        <v>3326</v>
      </c>
      <c r="I94" s="182" t="s">
        <v>368</v>
      </c>
      <c r="J94" s="590" t="s">
        <v>710</v>
      </c>
      <c r="K94" s="1585" t="s">
        <v>3588</v>
      </c>
    </row>
    <row r="95" spans="1:11">
      <c r="A95" s="315"/>
      <c r="B95" s="481" t="s">
        <v>3590</v>
      </c>
      <c r="C95" s="1440" t="s">
        <v>3550</v>
      </c>
      <c r="D95" s="1417"/>
      <c r="E95" s="1420"/>
      <c r="F95" s="1441" t="s">
        <v>3591</v>
      </c>
      <c r="G95" s="717" t="s">
        <v>2206</v>
      </c>
      <c r="H95" s="765"/>
      <c r="I95" s="1418" t="s">
        <v>3592</v>
      </c>
      <c r="J95" s="1419" t="s">
        <v>3593</v>
      </c>
      <c r="K95" s="720" t="s">
        <v>3594</v>
      </c>
    </row>
    <row r="96" spans="1:11">
      <c r="A96" s="315"/>
      <c r="B96" s="811" t="s">
        <v>3595</v>
      </c>
      <c r="C96" s="1440"/>
      <c r="D96" s="1417"/>
      <c r="E96" s="1420"/>
      <c r="F96" s="716"/>
      <c r="G96" s="717" t="s">
        <v>3596</v>
      </c>
      <c r="H96" s="765"/>
      <c r="I96" s="1418"/>
      <c r="J96" s="1419">
        <v>700</v>
      </c>
      <c r="K96" s="720"/>
    </row>
    <row r="97" spans="1:11">
      <c r="A97" s="315"/>
      <c r="B97" s="811" t="s">
        <v>3597</v>
      </c>
      <c r="C97" s="1440" t="s">
        <v>3598</v>
      </c>
      <c r="D97" s="1417"/>
      <c r="E97" s="1420" t="s">
        <v>3599</v>
      </c>
      <c r="F97" s="716"/>
      <c r="G97" s="717" t="s">
        <v>3600</v>
      </c>
      <c r="H97" s="765"/>
      <c r="I97" s="1418"/>
      <c r="J97" s="1419" t="s">
        <v>3601</v>
      </c>
      <c r="K97" s="720" t="s">
        <v>3602</v>
      </c>
    </row>
    <row r="98" spans="1:11">
      <c r="A98" s="221"/>
      <c r="B98" s="481" t="s">
        <v>3603</v>
      </c>
      <c r="C98" s="1440"/>
      <c r="D98" s="1417"/>
      <c r="E98" s="1420"/>
      <c r="F98" s="716"/>
      <c r="G98" s="717" t="s">
        <v>3596</v>
      </c>
      <c r="H98" s="765"/>
      <c r="I98" s="1418"/>
      <c r="J98" s="1419">
        <v>320</v>
      </c>
      <c r="K98" s="720"/>
    </row>
    <row r="99" spans="1:11">
      <c r="A99" s="480"/>
      <c r="B99" s="481" t="s">
        <v>3604</v>
      </c>
      <c r="C99" s="1440" t="s">
        <v>3605</v>
      </c>
      <c r="D99" s="1417"/>
      <c r="E99" s="1420" t="s">
        <v>3606</v>
      </c>
      <c r="F99" s="716"/>
      <c r="G99" s="717" t="s">
        <v>3600</v>
      </c>
      <c r="H99" s="765"/>
      <c r="I99" s="1418"/>
      <c r="J99" s="1419" t="s">
        <v>3607</v>
      </c>
      <c r="K99" s="720" t="s">
        <v>3608</v>
      </c>
    </row>
    <row r="100" spans="1:11">
      <c r="A100" s="315"/>
      <c r="B100" s="481" t="s">
        <v>3609</v>
      </c>
      <c r="C100" s="1440"/>
      <c r="D100" s="1417"/>
      <c r="E100" s="1420"/>
      <c r="F100" s="716"/>
      <c r="G100" s="717"/>
      <c r="H100" s="765"/>
      <c r="I100" s="1418"/>
      <c r="J100" s="1419"/>
      <c r="K100" s="720"/>
    </row>
    <row r="101" spans="1:11">
      <c r="A101" s="315"/>
      <c r="B101" s="481" t="s">
        <v>3610</v>
      </c>
      <c r="C101" s="1440"/>
      <c r="D101" s="1417"/>
      <c r="E101" s="1442"/>
      <c r="F101" s="716"/>
      <c r="G101" s="717" t="s">
        <v>3596</v>
      </c>
      <c r="H101" s="765"/>
      <c r="I101" s="1418" t="s">
        <v>3611</v>
      </c>
      <c r="J101" s="1419">
        <v>220</v>
      </c>
      <c r="K101" s="720"/>
    </row>
    <row r="102" spans="1:11">
      <c r="A102" s="438"/>
      <c r="B102" s="43"/>
      <c r="C102" s="207"/>
      <c r="D102" s="421"/>
      <c r="E102" s="145"/>
      <c r="F102" s="61"/>
      <c r="G102" s="206"/>
      <c r="H102" s="74"/>
      <c r="I102" s="182"/>
      <c r="J102" s="685"/>
      <c r="K102" s="365"/>
    </row>
    <row r="103" spans="1:11">
      <c r="A103" s="315"/>
      <c r="B103" s="43"/>
      <c r="C103" s="207"/>
      <c r="D103" s="421"/>
      <c r="E103" s="145"/>
      <c r="F103" s="61"/>
      <c r="G103" s="206"/>
      <c r="H103" s="74"/>
      <c r="I103" s="182"/>
      <c r="J103" s="685"/>
      <c r="K103" s="365"/>
    </row>
    <row r="104" spans="1:11">
      <c r="A104" s="315"/>
      <c r="B104" s="43"/>
      <c r="C104" s="207"/>
      <c r="D104" s="421"/>
      <c r="E104" s="145"/>
      <c r="F104" s="61"/>
      <c r="G104" s="206"/>
      <c r="H104" s="74"/>
      <c r="I104" s="182"/>
      <c r="J104" s="685"/>
      <c r="K104" s="365"/>
    </row>
    <row r="105" spans="1:11">
      <c r="A105" s="315"/>
      <c r="B105" s="43"/>
      <c r="C105" s="207"/>
      <c r="D105" s="421"/>
      <c r="E105" s="145"/>
      <c r="F105" s="61"/>
      <c r="G105" s="206"/>
      <c r="H105" s="74"/>
      <c r="I105" s="182"/>
      <c r="J105" s="685"/>
      <c r="K105" s="365"/>
    </row>
    <row r="106" spans="1:11">
      <c r="A106" s="315"/>
      <c r="B106" s="43"/>
      <c r="C106" s="207"/>
      <c r="D106" s="421"/>
      <c r="E106" s="145"/>
      <c r="F106" s="61"/>
      <c r="G106" s="206"/>
      <c r="H106" s="74"/>
      <c r="I106" s="182"/>
      <c r="J106" s="685"/>
      <c r="K106" s="365"/>
    </row>
    <row r="107" spans="1:11">
      <c r="A107" s="315"/>
      <c r="B107" s="43"/>
      <c r="C107" s="207"/>
      <c r="D107" s="421"/>
      <c r="E107" s="145"/>
      <c r="F107" s="61"/>
      <c r="G107" s="206"/>
      <c r="H107" s="74"/>
      <c r="I107" s="182"/>
      <c r="J107" s="685"/>
      <c r="K107" s="365"/>
    </row>
    <row r="108" spans="1:11" ht="35.25" customHeight="1">
      <c r="A108" s="315"/>
      <c r="B108" s="43"/>
      <c r="C108" s="207"/>
      <c r="D108" s="421"/>
      <c r="E108" s="145"/>
      <c r="F108" s="61"/>
      <c r="G108" s="206"/>
      <c r="H108" s="74"/>
      <c r="I108" s="182"/>
      <c r="J108" s="685"/>
      <c r="K108" s="365"/>
    </row>
    <row r="109" spans="1:11" ht="31.5" customHeight="1">
      <c r="A109" s="44"/>
      <c r="B109" s="43"/>
      <c r="C109" s="207"/>
      <c r="D109" s="421"/>
      <c r="E109" s="145"/>
      <c r="F109" s="61"/>
      <c r="G109" s="206"/>
      <c r="H109" s="74"/>
      <c r="I109" s="182"/>
      <c r="J109" s="685"/>
      <c r="K109" s="365"/>
    </row>
    <row r="110" spans="1:11" ht="31.5" customHeight="1">
      <c r="A110" s="44"/>
      <c r="B110" s="75"/>
      <c r="C110" s="167"/>
      <c r="D110" s="167"/>
      <c r="E110" s="167"/>
      <c r="F110" s="167"/>
      <c r="G110" s="167"/>
      <c r="H110" s="167"/>
      <c r="I110" s="167"/>
      <c r="J110" s="689"/>
      <c r="K110" s="492"/>
    </row>
    <row r="111" spans="1:11">
      <c r="A111" s="44" t="s">
        <v>0</v>
      </c>
      <c r="C111" s="167"/>
      <c r="F111" s="68"/>
      <c r="K111" s="492">
        <v>4</v>
      </c>
    </row>
    <row r="112" spans="1:11" ht="35.25" customHeight="1">
      <c r="A112" s="112" t="s">
        <v>3293</v>
      </c>
      <c r="B112" s="625"/>
      <c r="C112" s="270"/>
      <c r="D112" s="167"/>
      <c r="F112" s="68"/>
    </row>
    <row r="113" spans="1:11" ht="25.5" customHeight="1" thickBot="1">
      <c r="F113" s="68"/>
    </row>
    <row r="114" spans="1:11">
      <c r="A114" s="3493" t="s">
        <v>2</v>
      </c>
      <c r="B114" s="3482"/>
      <c r="C114" s="336" t="s">
        <v>3</v>
      </c>
      <c r="D114" s="408" t="s">
        <v>4</v>
      </c>
      <c r="E114" s="77" t="s">
        <v>5</v>
      </c>
      <c r="F114" s="78" t="s">
        <v>5</v>
      </c>
      <c r="G114" s="211" t="s">
        <v>6</v>
      </c>
      <c r="H114" s="48" t="s">
        <v>7</v>
      </c>
      <c r="I114" s="618" t="s">
        <v>1511</v>
      </c>
      <c r="J114" s="683" t="s">
        <v>9</v>
      </c>
      <c r="K114" s="346" t="s">
        <v>9</v>
      </c>
    </row>
    <row r="115" spans="1:11" ht="35.25" thickBot="1">
      <c r="A115" s="155"/>
      <c r="B115" s="494"/>
      <c r="C115" s="337"/>
      <c r="D115" s="409" t="s">
        <v>10</v>
      </c>
      <c r="E115" s="79" t="s">
        <v>11</v>
      </c>
      <c r="F115" s="80" t="s">
        <v>12</v>
      </c>
      <c r="G115" s="212"/>
      <c r="H115" s="50" t="s">
        <v>13</v>
      </c>
      <c r="I115" s="619" t="s">
        <v>1512</v>
      </c>
      <c r="J115" s="684" t="s">
        <v>15</v>
      </c>
      <c r="K115" s="347" t="s">
        <v>14</v>
      </c>
    </row>
    <row r="116" spans="1:11">
      <c r="A116" s="157"/>
      <c r="B116" s="781" t="s">
        <v>3612</v>
      </c>
      <c r="C116" s="341"/>
      <c r="D116" s="624"/>
      <c r="E116" s="406"/>
      <c r="F116" s="852"/>
      <c r="G116" s="1720"/>
      <c r="H116" s="663"/>
      <c r="I116" s="2062"/>
      <c r="J116" s="686"/>
      <c r="K116" s="1822"/>
    </row>
    <row r="117" spans="1:11">
      <c r="A117" s="158"/>
      <c r="B117" s="406" t="s">
        <v>1606</v>
      </c>
      <c r="C117" s="341" t="s">
        <v>284</v>
      </c>
      <c r="D117" s="624" t="s">
        <v>1607</v>
      </c>
      <c r="E117" s="406">
        <v>52</v>
      </c>
      <c r="F117" s="852">
        <v>490</v>
      </c>
      <c r="G117" s="1720" t="s">
        <v>3524</v>
      </c>
      <c r="H117" s="663" t="s">
        <v>1610</v>
      </c>
      <c r="I117" s="1535" t="s">
        <v>1611</v>
      </c>
      <c r="J117" s="1826" t="s">
        <v>1612</v>
      </c>
      <c r="K117" s="1822" t="s">
        <v>3613</v>
      </c>
    </row>
    <row r="118" spans="1:11" ht="35.25" thickBot="1">
      <c r="A118" s="3461"/>
      <c r="B118" s="1028" t="s">
        <v>1606</v>
      </c>
      <c r="C118" s="1721" t="s">
        <v>1614</v>
      </c>
      <c r="D118" s="1722" t="s">
        <v>1615</v>
      </c>
      <c r="E118" s="1028">
        <v>9</v>
      </c>
      <c r="F118" s="1788">
        <v>152</v>
      </c>
      <c r="G118" s="1723" t="s">
        <v>2775</v>
      </c>
      <c r="H118" s="1823" t="s">
        <v>3614</v>
      </c>
      <c r="I118" s="1535" t="s">
        <v>3615</v>
      </c>
      <c r="J118" s="1724" t="s">
        <v>3616</v>
      </c>
      <c r="K118" s="1824" t="s">
        <v>3617</v>
      </c>
    </row>
    <row r="119" spans="1:11">
      <c r="A119" s="200"/>
      <c r="B119" s="406" t="s">
        <v>1622</v>
      </c>
      <c r="C119" s="341" t="s">
        <v>26</v>
      </c>
      <c r="D119" s="624" t="s">
        <v>1623</v>
      </c>
      <c r="E119" s="1354">
        <v>102</v>
      </c>
      <c r="F119" s="2064" t="s">
        <v>3618</v>
      </c>
      <c r="G119" s="2313" t="s">
        <v>1732</v>
      </c>
      <c r="H119" s="620" t="s">
        <v>1703</v>
      </c>
      <c r="I119" s="1535" t="s">
        <v>3615</v>
      </c>
      <c r="J119" s="686" t="s">
        <v>3619</v>
      </c>
      <c r="K119" s="646" t="s">
        <v>3620</v>
      </c>
    </row>
    <row r="120" spans="1:11">
      <c r="A120" s="230"/>
      <c r="B120" s="406" t="s">
        <v>1622</v>
      </c>
      <c r="C120" s="341" t="s">
        <v>280</v>
      </c>
      <c r="D120" s="2063" t="s">
        <v>1607</v>
      </c>
      <c r="E120" s="1354">
        <v>52</v>
      </c>
      <c r="F120" s="2063" t="s">
        <v>3621</v>
      </c>
      <c r="G120" s="2314" t="s">
        <v>1732</v>
      </c>
      <c r="H120" s="620" t="s">
        <v>3622</v>
      </c>
      <c r="I120" s="1535" t="s">
        <v>3623</v>
      </c>
      <c r="J120" s="686" t="s">
        <v>3624</v>
      </c>
      <c r="K120" s="646" t="s">
        <v>3625</v>
      </c>
    </row>
    <row r="121" spans="1:11">
      <c r="A121" s="230"/>
      <c r="B121" s="406" t="s">
        <v>1622</v>
      </c>
      <c r="C121" s="341" t="s">
        <v>1635</v>
      </c>
      <c r="D121" s="1825" t="s">
        <v>1636</v>
      </c>
      <c r="E121" s="2066">
        <v>28</v>
      </c>
      <c r="F121" s="2065" t="s">
        <v>3626</v>
      </c>
      <c r="G121" s="2314" t="s">
        <v>1732</v>
      </c>
      <c r="H121" s="620" t="s">
        <v>3627</v>
      </c>
      <c r="I121" s="1535" t="s">
        <v>3628</v>
      </c>
      <c r="J121" s="686" t="s">
        <v>3629</v>
      </c>
      <c r="K121" s="646" t="s">
        <v>3630</v>
      </c>
    </row>
    <row r="122" spans="1:11">
      <c r="A122" s="230"/>
      <c r="B122" s="406" t="s">
        <v>1622</v>
      </c>
      <c r="C122" s="341" t="s">
        <v>1643</v>
      </c>
      <c r="D122" s="1825" t="s">
        <v>1644</v>
      </c>
      <c r="E122" s="1354">
        <v>10</v>
      </c>
      <c r="F122" s="2063" t="s">
        <v>3631</v>
      </c>
      <c r="G122" s="2314" t="s">
        <v>3524</v>
      </c>
      <c r="H122" s="620" t="s">
        <v>1646</v>
      </c>
      <c r="I122" s="1535" t="s">
        <v>1647</v>
      </c>
      <c r="J122" s="1826" t="s">
        <v>1648</v>
      </c>
      <c r="K122" s="646" t="s">
        <v>1649</v>
      </c>
    </row>
    <row r="123" spans="1:11" ht="35.25" thickBot="1">
      <c r="A123" s="156"/>
      <c r="B123" s="1028" t="s">
        <v>1622</v>
      </c>
      <c r="C123" s="1721" t="s">
        <v>3632</v>
      </c>
      <c r="D123" s="1722" t="s">
        <v>3633</v>
      </c>
      <c r="E123" s="2067">
        <v>5</v>
      </c>
      <c r="F123" s="1788">
        <v>132</v>
      </c>
      <c r="G123" s="1827" t="s">
        <v>2892</v>
      </c>
      <c r="H123" s="1828" t="s">
        <v>3634</v>
      </c>
      <c r="I123" s="1535" t="s">
        <v>3635</v>
      </c>
      <c r="J123" s="1829" t="s">
        <v>3636</v>
      </c>
      <c r="K123" s="1824" t="s">
        <v>3637</v>
      </c>
    </row>
    <row r="124" spans="1:11">
      <c r="A124" s="157"/>
      <c r="B124" s="1709" t="s">
        <v>1666</v>
      </c>
      <c r="C124" s="1710" t="s">
        <v>33</v>
      </c>
      <c r="D124" s="1830" t="s">
        <v>1667</v>
      </c>
      <c r="E124" s="2071">
        <v>102</v>
      </c>
      <c r="F124" s="2073" t="s">
        <v>3638</v>
      </c>
      <c r="G124" s="1831" t="s">
        <v>1732</v>
      </c>
      <c r="H124" s="1832" t="s">
        <v>1670</v>
      </c>
      <c r="I124" s="2070" t="s">
        <v>1671</v>
      </c>
      <c r="J124" s="1833" t="s">
        <v>1672</v>
      </c>
      <c r="K124" s="1834" t="s">
        <v>1673</v>
      </c>
    </row>
    <row r="125" spans="1:11">
      <c r="A125" s="157"/>
      <c r="B125" s="884" t="s">
        <v>1674</v>
      </c>
      <c r="C125" s="885" t="s">
        <v>791</v>
      </c>
      <c r="D125" s="1835" t="s">
        <v>3639</v>
      </c>
      <c r="E125" s="2072"/>
      <c r="F125" s="2074"/>
      <c r="G125" s="1836" t="s">
        <v>3640</v>
      </c>
      <c r="H125" s="1837" t="s">
        <v>1678</v>
      </c>
      <c r="I125" s="2070" t="s">
        <v>1679</v>
      </c>
      <c r="J125" s="1840" t="s">
        <v>1656</v>
      </c>
      <c r="K125" s="1838" t="s">
        <v>3641</v>
      </c>
    </row>
    <row r="126" spans="1:11">
      <c r="A126" s="157"/>
      <c r="B126" s="884" t="s">
        <v>1682</v>
      </c>
      <c r="C126" s="885" t="s">
        <v>1723</v>
      </c>
      <c r="D126" s="1835" t="s">
        <v>1684</v>
      </c>
      <c r="E126" s="2072">
        <v>27</v>
      </c>
      <c r="F126" s="2074" t="s">
        <v>3642</v>
      </c>
      <c r="G126" s="1836" t="s">
        <v>1732</v>
      </c>
      <c r="H126" s="1837" t="s">
        <v>3643</v>
      </c>
      <c r="I126" s="2070" t="s">
        <v>3644</v>
      </c>
      <c r="J126" s="1840" t="s">
        <v>3645</v>
      </c>
      <c r="K126" s="1838" t="s">
        <v>3641</v>
      </c>
    </row>
    <row r="127" spans="1:11">
      <c r="A127" s="157"/>
      <c r="B127" s="884" t="s">
        <v>1690</v>
      </c>
      <c r="C127" s="885" t="s">
        <v>3646</v>
      </c>
      <c r="D127" s="1839" t="s">
        <v>1692</v>
      </c>
      <c r="E127" s="2072">
        <v>13</v>
      </c>
      <c r="F127" s="2074" t="s">
        <v>3647</v>
      </c>
      <c r="G127" s="1836" t="s">
        <v>1732</v>
      </c>
      <c r="H127" s="1837" t="s">
        <v>1694</v>
      </c>
      <c r="I127" s="2070" t="s">
        <v>1695</v>
      </c>
      <c r="J127" s="1840" t="s">
        <v>1696</v>
      </c>
      <c r="K127" s="1838" t="s">
        <v>1697</v>
      </c>
    </row>
    <row r="128" spans="1:11" ht="37.5">
      <c r="A128" s="157"/>
      <c r="B128" s="383" t="s">
        <v>1746</v>
      </c>
      <c r="C128" s="1211" t="s">
        <v>1714</v>
      </c>
      <c r="D128" s="1232" t="s">
        <v>1264</v>
      </c>
      <c r="E128" s="1267">
        <v>25</v>
      </c>
      <c r="F128" s="1268">
        <v>130</v>
      </c>
      <c r="G128" s="1204" t="s">
        <v>1732</v>
      </c>
      <c r="H128" s="1205" t="s">
        <v>1733</v>
      </c>
      <c r="I128" s="474" t="s">
        <v>407</v>
      </c>
      <c r="J128" s="707" t="s">
        <v>1734</v>
      </c>
      <c r="K128" s="2241" t="s">
        <v>1735</v>
      </c>
    </row>
    <row r="129" spans="1:11" ht="37.5">
      <c r="A129" s="157"/>
      <c r="B129" s="383" t="s">
        <v>1730</v>
      </c>
      <c r="C129" s="1211" t="s">
        <v>1714</v>
      </c>
      <c r="D129" s="1232" t="s">
        <v>1264</v>
      </c>
      <c r="E129" s="1267">
        <v>25</v>
      </c>
      <c r="F129" s="1268">
        <v>130</v>
      </c>
      <c r="G129" s="1204" t="s">
        <v>1732</v>
      </c>
      <c r="H129" s="1205" t="s">
        <v>1733</v>
      </c>
      <c r="I129" s="474" t="s">
        <v>407</v>
      </c>
      <c r="J129" s="707" t="s">
        <v>1734</v>
      </c>
      <c r="K129" s="2241" t="s">
        <v>1735</v>
      </c>
    </row>
    <row r="130" spans="1:11" ht="39" thickBot="1">
      <c r="A130" s="157"/>
      <c r="B130" s="362" t="s">
        <v>3648</v>
      </c>
      <c r="C130" s="1211" t="s">
        <v>33</v>
      </c>
      <c r="D130" s="462" t="s">
        <v>3649</v>
      </c>
      <c r="E130" s="1249"/>
      <c r="F130" s="1214"/>
      <c r="G130" s="1250" t="s">
        <v>1748</v>
      </c>
      <c r="H130" s="1211" t="s">
        <v>421</v>
      </c>
      <c r="I130" s="2244" t="s">
        <v>301</v>
      </c>
      <c r="J130" s="1247"/>
      <c r="K130" s="1219"/>
    </row>
    <row r="131" spans="1:11">
      <c r="A131" s="157"/>
      <c r="B131" s="1139" t="s">
        <v>3650</v>
      </c>
      <c r="C131" s="207"/>
      <c r="D131" s="421"/>
      <c r="E131" s="143"/>
      <c r="F131" s="69"/>
      <c r="G131" s="206"/>
      <c r="H131" s="74"/>
      <c r="I131" s="182"/>
      <c r="J131" s="685"/>
      <c r="K131" s="367"/>
    </row>
    <row r="132" spans="1:11">
      <c r="A132" s="157"/>
      <c r="B132" s="912" t="s">
        <v>2811</v>
      </c>
      <c r="C132" s="1541"/>
      <c r="D132" s="1542"/>
      <c r="E132" s="2246" t="s">
        <v>2813</v>
      </c>
      <c r="F132" s="2247" t="s">
        <v>2814</v>
      </c>
      <c r="G132" s="923" t="s">
        <v>3651</v>
      </c>
      <c r="H132" s="913"/>
      <c r="I132" s="1543"/>
      <c r="J132" s="1540" t="s">
        <v>3652</v>
      </c>
      <c r="K132" s="3712"/>
    </row>
    <row r="133" spans="1:11">
      <c r="A133" s="157"/>
      <c r="B133" s="1544" t="s">
        <v>3653</v>
      </c>
      <c r="C133" s="1541" t="s">
        <v>2819</v>
      </c>
      <c r="D133" s="1545"/>
      <c r="E133" s="1544" t="s">
        <v>3654</v>
      </c>
      <c r="F133" s="2247" t="s">
        <v>3655</v>
      </c>
      <c r="G133" s="1547" t="s">
        <v>3524</v>
      </c>
      <c r="H133" s="1548"/>
      <c r="I133" s="1543"/>
      <c r="J133" s="1540" t="s">
        <v>3656</v>
      </c>
      <c r="K133" s="3712" t="s">
        <v>3657</v>
      </c>
    </row>
    <row r="134" spans="1:11">
      <c r="A134" s="157"/>
      <c r="B134" s="912" t="s">
        <v>2825</v>
      </c>
      <c r="C134" s="1536"/>
      <c r="D134" s="2068" t="s">
        <v>186</v>
      </c>
      <c r="E134" s="2315" t="s">
        <v>2826</v>
      </c>
      <c r="F134" s="1545"/>
      <c r="G134" s="923" t="s">
        <v>3572</v>
      </c>
      <c r="H134" s="919" t="s">
        <v>2652</v>
      </c>
      <c r="I134" s="1539"/>
      <c r="J134" s="1540" t="s">
        <v>3658</v>
      </c>
      <c r="K134" s="3712" t="s">
        <v>3659</v>
      </c>
    </row>
    <row r="135" spans="1:11">
      <c r="A135" s="157"/>
      <c r="B135" s="1544" t="s">
        <v>3660</v>
      </c>
      <c r="C135" s="1541"/>
      <c r="D135" s="1545" t="s">
        <v>2832</v>
      </c>
      <c r="E135" s="2247" t="s">
        <v>2833</v>
      </c>
      <c r="F135" s="2247" t="s">
        <v>3655</v>
      </c>
      <c r="G135" s="923" t="s">
        <v>1732</v>
      </c>
      <c r="H135" s="913" t="s">
        <v>3661</v>
      </c>
      <c r="I135" s="1539" t="s">
        <v>3662</v>
      </c>
      <c r="J135" s="1540" t="s">
        <v>3663</v>
      </c>
      <c r="K135" s="3712" t="s">
        <v>3664</v>
      </c>
    </row>
    <row r="136" spans="1:11">
      <c r="A136" s="157"/>
      <c r="B136" s="1544" t="s">
        <v>2839</v>
      </c>
      <c r="C136" s="1541"/>
      <c r="D136" s="1545" t="s">
        <v>3665</v>
      </c>
      <c r="E136" s="2247" t="s">
        <v>3666</v>
      </c>
      <c r="F136" s="2316" t="s">
        <v>3667</v>
      </c>
      <c r="G136" s="1547" t="s">
        <v>1732</v>
      </c>
      <c r="H136" s="2200" t="s">
        <v>3668</v>
      </c>
      <c r="I136" s="1539" t="s">
        <v>3669</v>
      </c>
      <c r="J136" s="1597" t="s">
        <v>3670</v>
      </c>
      <c r="K136" s="3712" t="s">
        <v>3671</v>
      </c>
    </row>
    <row r="137" spans="1:11">
      <c r="A137" s="221"/>
      <c r="B137" s="1550" t="s">
        <v>2847</v>
      </c>
      <c r="C137" s="1541"/>
      <c r="D137" s="1545"/>
      <c r="E137" s="1546"/>
      <c r="F137" s="916"/>
      <c r="G137" s="923" t="s">
        <v>3672</v>
      </c>
      <c r="H137" s="913"/>
      <c r="I137" s="1543"/>
      <c r="J137" s="1540" t="s">
        <v>3673</v>
      </c>
      <c r="K137" s="3712">
        <v>150</v>
      </c>
    </row>
    <row r="138" spans="1:11">
      <c r="A138" s="157"/>
      <c r="B138" s="1544" t="s">
        <v>2852</v>
      </c>
      <c r="C138" s="1541"/>
      <c r="D138" s="1545"/>
      <c r="E138" s="1544" t="s">
        <v>2841</v>
      </c>
      <c r="F138" s="916"/>
      <c r="G138" s="923" t="s">
        <v>3651</v>
      </c>
      <c r="H138" s="913"/>
      <c r="I138" s="1543"/>
      <c r="J138" s="1540" t="s">
        <v>3674</v>
      </c>
      <c r="K138" s="3712" t="s">
        <v>3675</v>
      </c>
    </row>
    <row r="139" spans="1:11">
      <c r="A139" s="157"/>
      <c r="B139" s="1544" t="s">
        <v>2856</v>
      </c>
      <c r="C139" s="1541"/>
      <c r="D139" s="1545"/>
      <c r="E139" s="1546"/>
      <c r="F139" s="916"/>
      <c r="G139" s="1547" t="s">
        <v>2857</v>
      </c>
      <c r="H139" s="1549"/>
      <c r="I139" s="1543"/>
      <c r="J139" s="1540"/>
      <c r="K139" s="3712">
        <v>65</v>
      </c>
    </row>
    <row r="140" spans="1:11">
      <c r="A140" s="157"/>
      <c r="B140" s="913" t="s">
        <v>2858</v>
      </c>
      <c r="C140" s="1552"/>
      <c r="D140" s="1553"/>
      <c r="E140" s="2245" t="s">
        <v>2862</v>
      </c>
      <c r="F140" s="1555"/>
      <c r="G140" s="1556" t="s">
        <v>3651</v>
      </c>
      <c r="H140" s="1557"/>
      <c r="I140" s="1558"/>
      <c r="J140" s="1559" t="s">
        <v>3676</v>
      </c>
      <c r="K140" s="3713" t="s">
        <v>3677</v>
      </c>
    </row>
    <row r="141" spans="1:11">
      <c r="A141" s="157"/>
      <c r="B141" s="1551" t="s">
        <v>2867</v>
      </c>
      <c r="C141" s="1552" t="s">
        <v>352</v>
      </c>
      <c r="D141" s="1553"/>
      <c r="E141" s="1554" t="s">
        <v>3678</v>
      </c>
      <c r="F141" s="1555"/>
      <c r="G141" s="1556" t="s">
        <v>2487</v>
      </c>
      <c r="H141" s="1557"/>
      <c r="I141" s="1558"/>
      <c r="J141" s="1559"/>
      <c r="K141" s="3713" t="s">
        <v>2869</v>
      </c>
    </row>
    <row r="142" spans="1:11">
      <c r="A142" s="157"/>
      <c r="B142" s="1544" t="s">
        <v>2870</v>
      </c>
      <c r="C142" s="1541" t="s">
        <v>280</v>
      </c>
      <c r="D142" s="1545" t="s">
        <v>495</v>
      </c>
      <c r="E142" s="1546">
        <v>250</v>
      </c>
      <c r="F142" s="916"/>
      <c r="G142" s="923" t="s">
        <v>2206</v>
      </c>
      <c r="H142" s="913"/>
      <c r="I142" s="1543" t="s">
        <v>3679</v>
      </c>
      <c r="J142" s="1540" t="s">
        <v>3680</v>
      </c>
      <c r="K142" s="3712" t="s">
        <v>3681</v>
      </c>
    </row>
    <row r="143" spans="1:11">
      <c r="A143" s="157"/>
      <c r="B143" s="1544" t="s">
        <v>2870</v>
      </c>
      <c r="C143" s="1541" t="s">
        <v>829</v>
      </c>
      <c r="D143" s="1545" t="s">
        <v>248</v>
      </c>
      <c r="E143" s="2319" t="s">
        <v>441</v>
      </c>
      <c r="F143" s="1545" t="s">
        <v>3682</v>
      </c>
      <c r="G143" s="1547" t="s">
        <v>1732</v>
      </c>
      <c r="H143" s="2318" t="s">
        <v>3683</v>
      </c>
      <c r="I143" s="1543"/>
      <c r="J143" s="1597" t="s">
        <v>3684</v>
      </c>
      <c r="K143" s="3712" t="s">
        <v>3685</v>
      </c>
    </row>
    <row r="144" spans="1:11" ht="32.25" customHeight="1">
      <c r="A144" s="157"/>
      <c r="B144" s="1544" t="s">
        <v>2879</v>
      </c>
      <c r="C144" s="1541" t="s">
        <v>1783</v>
      </c>
      <c r="D144" s="1545" t="s">
        <v>285</v>
      </c>
      <c r="E144" s="1546">
        <v>45</v>
      </c>
      <c r="F144" s="916"/>
      <c r="G144" s="1547" t="s">
        <v>3686</v>
      </c>
      <c r="H144" s="1548"/>
      <c r="I144" s="1543" t="s">
        <v>3687</v>
      </c>
      <c r="J144" s="1596" t="s">
        <v>3688</v>
      </c>
      <c r="K144" s="3712" t="s">
        <v>3689</v>
      </c>
    </row>
    <row r="145" spans="1:12" ht="32.25" customHeight="1">
      <c r="A145" s="204"/>
      <c r="B145" s="912" t="s">
        <v>2885</v>
      </c>
      <c r="C145" s="1541" t="s">
        <v>2886</v>
      </c>
      <c r="D145" s="1560"/>
      <c r="E145" s="1537" t="s">
        <v>2887</v>
      </c>
      <c r="F145" s="1538" t="s">
        <v>2860</v>
      </c>
      <c r="G145" s="923" t="s">
        <v>1732</v>
      </c>
      <c r="H145" s="919" t="s">
        <v>2888</v>
      </c>
      <c r="I145" s="1543" t="s">
        <v>493</v>
      </c>
      <c r="J145" s="1540" t="s">
        <v>2889</v>
      </c>
      <c r="K145" s="3712" t="s">
        <v>2890</v>
      </c>
    </row>
    <row r="146" spans="1:12" ht="32.25" customHeight="1" thickBot="1">
      <c r="A146" s="204"/>
      <c r="B146" s="1561" t="s">
        <v>2891</v>
      </c>
      <c r="C146" s="1562"/>
      <c r="D146" s="1563"/>
      <c r="E146" s="1564">
        <v>350</v>
      </c>
      <c r="F146" s="1565">
        <v>40</v>
      </c>
      <c r="G146" s="1566" t="s">
        <v>2892</v>
      </c>
      <c r="H146" s="1567"/>
      <c r="I146" s="1568"/>
      <c r="J146" s="1569">
        <v>260</v>
      </c>
      <c r="K146" s="3714"/>
    </row>
    <row r="147" spans="1:12">
      <c r="A147" s="44" t="s">
        <v>0</v>
      </c>
      <c r="C147" s="167"/>
      <c r="F147" s="68"/>
    </row>
    <row r="148" spans="1:12" ht="35.25" customHeight="1">
      <c r="A148" s="112" t="s">
        <v>3690</v>
      </c>
      <c r="B148" s="625"/>
      <c r="C148" s="270"/>
      <c r="D148" s="167"/>
      <c r="F148" s="68"/>
    </row>
    <row r="149" spans="1:12" ht="22.5" customHeight="1" thickBot="1">
      <c r="F149" s="68"/>
    </row>
    <row r="150" spans="1:12">
      <c r="A150" s="3493" t="s">
        <v>2</v>
      </c>
      <c r="B150" s="3482"/>
      <c r="C150" s="344" t="s">
        <v>3</v>
      </c>
      <c r="D150" s="408" t="s">
        <v>4</v>
      </c>
      <c r="E150" s="77" t="s">
        <v>5</v>
      </c>
      <c r="F150" s="78" t="s">
        <v>5</v>
      </c>
      <c r="G150" s="211" t="s">
        <v>6</v>
      </c>
      <c r="H150" s="140" t="s">
        <v>7</v>
      </c>
      <c r="I150" s="618" t="s">
        <v>1511</v>
      </c>
      <c r="J150" s="683" t="s">
        <v>9</v>
      </c>
      <c r="K150" s="367" t="s">
        <v>9</v>
      </c>
    </row>
    <row r="151" spans="1:12" ht="35.25" thickBot="1">
      <c r="A151" s="155"/>
      <c r="B151" s="494"/>
      <c r="C151" s="345"/>
      <c r="D151" s="409" t="s">
        <v>10</v>
      </c>
      <c r="E151" s="79" t="s">
        <v>11</v>
      </c>
      <c r="F151" s="80" t="s">
        <v>12</v>
      </c>
      <c r="G151" s="212"/>
      <c r="H151" s="141" t="s">
        <v>13</v>
      </c>
      <c r="I151" s="619" t="s">
        <v>1512</v>
      </c>
      <c r="J151" s="684" t="s">
        <v>14</v>
      </c>
      <c r="K151" s="424" t="s">
        <v>15</v>
      </c>
    </row>
    <row r="152" spans="1:12">
      <c r="A152" s="221"/>
      <c r="B152" s="3448"/>
      <c r="C152" s="692"/>
      <c r="D152" s="421"/>
      <c r="E152" s="143"/>
      <c r="F152" s="69"/>
      <c r="G152" s="206"/>
      <c r="H152" s="74"/>
      <c r="I152" s="182"/>
      <c r="J152" s="685"/>
      <c r="K152" s="367"/>
    </row>
    <row r="153" spans="1:12">
      <c r="A153" s="157"/>
      <c r="B153" s="362" t="s">
        <v>3691</v>
      </c>
      <c r="C153" s="207" t="s">
        <v>18</v>
      </c>
      <c r="D153" s="465" t="s">
        <v>186</v>
      </c>
      <c r="E153" s="1409">
        <v>12</v>
      </c>
      <c r="F153" s="1967" t="s">
        <v>3692</v>
      </c>
      <c r="G153" s="206" t="s">
        <v>3693</v>
      </c>
      <c r="H153" s="115"/>
      <c r="I153" s="431" t="s">
        <v>3694</v>
      </c>
      <c r="J153" s="546" t="s">
        <v>2779</v>
      </c>
      <c r="K153" s="3060" t="s">
        <v>3695</v>
      </c>
      <c r="L153" s="453"/>
    </row>
    <row r="154" spans="1:12">
      <c r="A154" s="157"/>
      <c r="B154" s="362" t="s">
        <v>2901</v>
      </c>
      <c r="C154" s="207" t="s">
        <v>1771</v>
      </c>
      <c r="D154" s="465" t="s">
        <v>70</v>
      </c>
      <c r="E154" s="1409">
        <v>38</v>
      </c>
      <c r="F154" s="861" t="s">
        <v>3062</v>
      </c>
      <c r="G154" s="206" t="s">
        <v>3651</v>
      </c>
      <c r="H154" s="115">
        <v>1520</v>
      </c>
      <c r="I154" s="431" t="s">
        <v>3696</v>
      </c>
      <c r="J154" s="546" t="s">
        <v>3697</v>
      </c>
      <c r="K154" s="3060">
        <v>32.29</v>
      </c>
      <c r="L154" s="366"/>
    </row>
    <row r="155" spans="1:12">
      <c r="A155" s="157"/>
      <c r="B155" s="362" t="s">
        <v>2906</v>
      </c>
      <c r="C155" s="207" t="s">
        <v>829</v>
      </c>
      <c r="D155" s="465" t="s">
        <v>108</v>
      </c>
      <c r="E155" s="1409">
        <v>65</v>
      </c>
      <c r="F155" s="861" t="s">
        <v>3698</v>
      </c>
      <c r="G155" s="206" t="s">
        <v>3651</v>
      </c>
      <c r="H155" s="115">
        <v>1950</v>
      </c>
      <c r="I155" s="431" t="s">
        <v>3696</v>
      </c>
      <c r="J155" s="707">
        <v>1980</v>
      </c>
      <c r="K155" s="3060">
        <v>55</v>
      </c>
      <c r="L155" s="366"/>
    </row>
    <row r="156" spans="1:12">
      <c r="A156" s="157"/>
      <c r="B156" s="362" t="s">
        <v>3699</v>
      </c>
      <c r="C156" s="207"/>
      <c r="D156" s="465"/>
      <c r="E156" s="1409" t="s">
        <v>982</v>
      </c>
      <c r="F156" s="861"/>
      <c r="G156" s="206" t="s">
        <v>3693</v>
      </c>
      <c r="H156" s="115"/>
      <c r="I156" s="431"/>
      <c r="J156" s="707"/>
      <c r="K156" s="3060" t="s">
        <v>3700</v>
      </c>
      <c r="L156" s="366"/>
    </row>
    <row r="157" spans="1:12">
      <c r="A157" s="157"/>
      <c r="B157" s="406"/>
      <c r="C157" s="341"/>
      <c r="D157" s="413"/>
      <c r="E157" s="221"/>
      <c r="F157" s="777"/>
      <c r="G157" s="223"/>
      <c r="H157" s="224"/>
      <c r="I157" s="620"/>
      <c r="J157" s="686"/>
      <c r="K157" s="378"/>
      <c r="L157" s="366"/>
    </row>
    <row r="158" spans="1:12" ht="35.25" thickBot="1">
      <c r="A158" s="157"/>
      <c r="B158" s="770"/>
      <c r="C158" s="341"/>
      <c r="D158" s="413"/>
      <c r="E158" s="221"/>
      <c r="F158" s="936"/>
      <c r="G158" s="223"/>
      <c r="H158" s="224"/>
      <c r="I158" s="620"/>
      <c r="J158" s="686"/>
      <c r="K158" s="378"/>
      <c r="L158" s="366"/>
    </row>
    <row r="159" spans="1:12" ht="35.25" thickBot="1">
      <c r="A159" s="157"/>
      <c r="B159" s="3448" t="s">
        <v>3701</v>
      </c>
      <c r="C159" s="692"/>
      <c r="D159" s="421"/>
      <c r="E159" s="143"/>
      <c r="F159" s="69"/>
      <c r="G159" s="206"/>
      <c r="H159" s="74"/>
      <c r="I159" s="182"/>
      <c r="J159" s="685"/>
      <c r="K159" s="367"/>
      <c r="L159" s="366"/>
    </row>
    <row r="160" spans="1:12">
      <c r="A160" s="157"/>
      <c r="B160" s="552" t="s">
        <v>2483</v>
      </c>
      <c r="C160" s="1520"/>
      <c r="D160" s="1521" t="s">
        <v>18</v>
      </c>
      <c r="E160" s="1522"/>
      <c r="F160" s="1102"/>
      <c r="G160" s="1523" t="s">
        <v>2484</v>
      </c>
      <c r="H160" s="1524"/>
      <c r="I160" s="1525"/>
      <c r="J160" s="1526">
        <v>780</v>
      </c>
      <c r="K160" s="1527">
        <f>J160/24</f>
        <v>32.5</v>
      </c>
      <c r="L160" s="366"/>
    </row>
    <row r="161" spans="1:12">
      <c r="A161" s="157"/>
      <c r="B161" s="770" t="s">
        <v>2470</v>
      </c>
      <c r="C161" s="1528"/>
      <c r="D161" s="1358" t="s">
        <v>18</v>
      </c>
      <c r="E161" s="1529"/>
      <c r="F161" s="1530"/>
      <c r="G161" s="1531" t="s">
        <v>2485</v>
      </c>
      <c r="H161" s="1532"/>
      <c r="I161" s="1533"/>
      <c r="J161" s="1534">
        <v>850</v>
      </c>
      <c r="K161" s="1364">
        <f>J161/24</f>
        <v>35.416666666666664</v>
      </c>
      <c r="L161" s="366"/>
    </row>
    <row r="162" spans="1:12">
      <c r="A162" s="157"/>
      <c r="B162" s="406" t="s">
        <v>2473</v>
      </c>
      <c r="C162" s="1459"/>
      <c r="D162" s="413"/>
      <c r="E162" s="1014"/>
      <c r="F162" s="981"/>
      <c r="G162" s="223"/>
      <c r="H162" s="925"/>
      <c r="I162" s="1535"/>
      <c r="J162" s="686"/>
      <c r="K162" s="378"/>
    </row>
    <row r="163" spans="1:12">
      <c r="A163" s="157"/>
      <c r="B163" s="1006" t="s">
        <v>2480</v>
      </c>
      <c r="C163" s="1459"/>
      <c r="D163" s="413"/>
      <c r="E163" s="221"/>
      <c r="F163" s="777"/>
      <c r="G163" s="223"/>
      <c r="H163" s="224"/>
      <c r="I163" s="620"/>
      <c r="J163" s="686"/>
      <c r="K163" s="378"/>
    </row>
    <row r="164" spans="1:12">
      <c r="A164" s="157"/>
      <c r="B164" s="406" t="s">
        <v>2482</v>
      </c>
      <c r="C164" s="341"/>
      <c r="D164" s="413"/>
      <c r="E164" s="221"/>
      <c r="F164" s="777"/>
      <c r="G164" s="223"/>
      <c r="H164" s="224"/>
      <c r="I164" s="620"/>
      <c r="J164" s="686"/>
      <c r="K164" s="378"/>
    </row>
    <row r="165" spans="1:12">
      <c r="A165" s="157"/>
      <c r="B165" s="770" t="s">
        <v>2486</v>
      </c>
      <c r="C165" s="341" t="s">
        <v>980</v>
      </c>
      <c r="D165" s="413" t="s">
        <v>70</v>
      </c>
      <c r="E165" s="221"/>
      <c r="F165" s="936"/>
      <c r="G165" s="223" t="s">
        <v>2487</v>
      </c>
      <c r="H165" s="224"/>
      <c r="I165" s="620"/>
      <c r="J165" s="686" t="s">
        <v>2330</v>
      </c>
      <c r="K165" s="378">
        <v>29.17</v>
      </c>
    </row>
    <row r="166" spans="1:12">
      <c r="A166" s="157"/>
      <c r="B166" s="770" t="s">
        <v>2486</v>
      </c>
      <c r="C166" s="341" t="s">
        <v>320</v>
      </c>
      <c r="D166" s="413"/>
      <c r="E166" s="221"/>
      <c r="F166" s="936"/>
      <c r="G166" s="223"/>
      <c r="H166" s="224"/>
      <c r="I166" s="620"/>
      <c r="J166" s="686"/>
      <c r="K166" s="378"/>
    </row>
    <row r="167" spans="1:12">
      <c r="A167" s="157"/>
      <c r="B167" s="406" t="s">
        <v>2488</v>
      </c>
      <c r="C167" s="1459"/>
      <c r="D167" s="413" t="s">
        <v>18</v>
      </c>
      <c r="E167" s="1719" t="s">
        <v>2489</v>
      </c>
      <c r="F167" s="981"/>
      <c r="G167" s="223" t="s">
        <v>2487</v>
      </c>
      <c r="H167" s="925" t="s">
        <v>2490</v>
      </c>
      <c r="I167" s="1535" t="s">
        <v>361</v>
      </c>
      <c r="J167" s="686" t="s">
        <v>2491</v>
      </c>
      <c r="K167" s="378">
        <v>209.17</v>
      </c>
    </row>
    <row r="168" spans="1:12">
      <c r="A168" s="221"/>
      <c r="B168" s="406" t="s">
        <v>2492</v>
      </c>
      <c r="C168" s="341"/>
      <c r="D168" s="341"/>
      <c r="E168" s="1719"/>
      <c r="F168" s="981"/>
      <c r="G168" s="1535" t="s">
        <v>2493</v>
      </c>
      <c r="H168" s="224"/>
      <c r="I168" s="620"/>
      <c r="J168" s="686">
        <v>900</v>
      </c>
      <c r="K168" s="378"/>
    </row>
    <row r="169" spans="1:12">
      <c r="A169" s="157"/>
      <c r="B169" s="43"/>
      <c r="C169" s="207"/>
      <c r="D169" s="421"/>
      <c r="E169" s="145"/>
      <c r="F169" s="61"/>
      <c r="G169" s="206"/>
      <c r="H169" s="74"/>
      <c r="I169" s="182"/>
      <c r="J169" s="685"/>
      <c r="K169" s="365"/>
    </row>
    <row r="170" spans="1:12">
      <c r="A170" s="157"/>
      <c r="B170" s="770" t="s">
        <v>2757</v>
      </c>
      <c r="C170" s="341"/>
      <c r="D170" s="413" t="s">
        <v>3702</v>
      </c>
      <c r="E170" s="221">
        <v>50</v>
      </c>
      <c r="F170" s="936"/>
      <c r="G170" s="223" t="s">
        <v>3703</v>
      </c>
      <c r="H170" s="224"/>
      <c r="I170" s="620" t="s">
        <v>3704</v>
      </c>
      <c r="J170" s="686">
        <v>2000</v>
      </c>
      <c r="K170" s="3046">
        <f>J170/26</f>
        <v>76.92307692307692</v>
      </c>
    </row>
    <row r="171" spans="1:12">
      <c r="A171" s="157"/>
      <c r="B171" s="770" t="s">
        <v>2762</v>
      </c>
      <c r="C171" s="341"/>
      <c r="D171" s="413" t="s">
        <v>18</v>
      </c>
      <c r="E171" s="221">
        <v>95</v>
      </c>
      <c r="F171" s="936"/>
      <c r="G171" s="223" t="s">
        <v>3640</v>
      </c>
      <c r="H171" s="224">
        <v>1950</v>
      </c>
      <c r="I171" s="620" t="s">
        <v>393</v>
      </c>
      <c r="J171" s="686" t="s">
        <v>3705</v>
      </c>
      <c r="K171" s="3046">
        <v>82.5</v>
      </c>
    </row>
    <row r="172" spans="1:12">
      <c r="A172" s="157"/>
      <c r="B172" s="406" t="s">
        <v>2767</v>
      </c>
      <c r="C172" s="341"/>
      <c r="D172" s="413" t="s">
        <v>23</v>
      </c>
      <c r="E172" s="221">
        <v>50</v>
      </c>
      <c r="F172" s="777" t="s">
        <v>2768</v>
      </c>
      <c r="G172" s="223" t="s">
        <v>2202</v>
      </c>
      <c r="H172" s="224"/>
      <c r="I172" s="620"/>
      <c r="J172" s="1595" t="s">
        <v>2769</v>
      </c>
      <c r="K172" s="3046">
        <v>45</v>
      </c>
    </row>
    <row r="173" spans="1:12">
      <c r="A173" s="157"/>
      <c r="B173" s="406" t="s">
        <v>2770</v>
      </c>
      <c r="C173" s="341"/>
      <c r="D173" s="624" t="s">
        <v>23</v>
      </c>
      <c r="E173" s="795">
        <v>45</v>
      </c>
      <c r="F173" s="777"/>
      <c r="G173" s="223" t="s">
        <v>2202</v>
      </c>
      <c r="H173" s="224"/>
      <c r="I173" s="620"/>
      <c r="J173" s="1595" t="s">
        <v>660</v>
      </c>
      <c r="K173" s="3046">
        <v>37.5</v>
      </c>
    </row>
    <row r="174" spans="1:12">
      <c r="A174" s="158"/>
      <c r="B174" s="406" t="s">
        <v>3706</v>
      </c>
      <c r="C174" s="341"/>
      <c r="D174" s="624" t="s">
        <v>23</v>
      </c>
      <c r="E174" s="795">
        <v>45</v>
      </c>
      <c r="F174" s="777"/>
      <c r="G174" s="223" t="s">
        <v>3183</v>
      </c>
      <c r="H174" s="224"/>
      <c r="I174" s="620"/>
      <c r="J174" s="1595" t="s">
        <v>3707</v>
      </c>
      <c r="K174" s="3687"/>
    </row>
    <row r="175" spans="1:12">
      <c r="A175" s="200"/>
      <c r="B175" s="770" t="s">
        <v>2774</v>
      </c>
      <c r="C175" s="341"/>
      <c r="D175" s="624" t="s">
        <v>23</v>
      </c>
      <c r="E175" s="795">
        <v>35</v>
      </c>
      <c r="F175" s="777"/>
      <c r="G175" s="223" t="s">
        <v>2775</v>
      </c>
      <c r="H175" s="224"/>
      <c r="I175" s="620"/>
      <c r="J175" s="1595" t="s">
        <v>2776</v>
      </c>
      <c r="K175" s="3687">
        <v>26</v>
      </c>
    </row>
    <row r="176" spans="1:12">
      <c r="A176" s="157"/>
      <c r="B176" s="770" t="s">
        <v>3708</v>
      </c>
      <c r="C176" s="341"/>
      <c r="D176" s="624" t="s">
        <v>317</v>
      </c>
      <c r="E176" s="795"/>
      <c r="F176" s="777"/>
      <c r="G176" s="979" t="s">
        <v>3572</v>
      </c>
      <c r="H176" s="224"/>
      <c r="I176" s="620"/>
      <c r="J176" s="686" t="s">
        <v>3709</v>
      </c>
      <c r="K176" s="3687" t="s">
        <v>3710</v>
      </c>
    </row>
    <row r="177" spans="1:11">
      <c r="A177" s="157"/>
      <c r="B177" s="770" t="s">
        <v>2790</v>
      </c>
      <c r="C177" s="341" t="s">
        <v>192</v>
      </c>
      <c r="D177" s="624" t="s">
        <v>2832</v>
      </c>
      <c r="E177" s="795">
        <v>110</v>
      </c>
      <c r="F177" s="777"/>
      <c r="G177" s="979" t="s">
        <v>3572</v>
      </c>
      <c r="H177" s="224" t="s">
        <v>3711</v>
      </c>
      <c r="I177" s="620" t="s">
        <v>2832</v>
      </c>
      <c r="J177" s="686"/>
      <c r="K177" s="2787" t="s">
        <v>3711</v>
      </c>
    </row>
    <row r="178" spans="1:11">
      <c r="A178" s="157"/>
      <c r="B178" s="1336" t="s">
        <v>2796</v>
      </c>
      <c r="C178" s="1459" t="s">
        <v>3712</v>
      </c>
      <c r="D178" s="422"/>
      <c r="E178" s="2321" t="s">
        <v>1950</v>
      </c>
      <c r="F178" s="61"/>
      <c r="G178" s="979" t="s">
        <v>3572</v>
      </c>
      <c r="H178" s="224" t="s">
        <v>3713</v>
      </c>
      <c r="I178" s="620" t="s">
        <v>475</v>
      </c>
      <c r="J178" s="686" t="s">
        <v>3163</v>
      </c>
      <c r="K178" s="3046" t="s">
        <v>3714</v>
      </c>
    </row>
    <row r="179" spans="1:11">
      <c r="A179" s="157"/>
      <c r="B179" s="406" t="s">
        <v>2803</v>
      </c>
      <c r="C179" s="341" t="s">
        <v>2804</v>
      </c>
      <c r="D179" s="624"/>
      <c r="E179" s="2321" t="s">
        <v>3715</v>
      </c>
      <c r="F179" s="61"/>
      <c r="G179" s="979" t="s">
        <v>3572</v>
      </c>
      <c r="H179" s="224" t="s">
        <v>3716</v>
      </c>
      <c r="I179" s="620" t="s">
        <v>965</v>
      </c>
      <c r="J179" s="686" t="s">
        <v>2868</v>
      </c>
      <c r="K179" s="3046" t="s">
        <v>3717</v>
      </c>
    </row>
    <row r="180" spans="1:11">
      <c r="A180" s="157"/>
      <c r="B180" s="139"/>
      <c r="C180" s="207"/>
      <c r="D180" s="322"/>
      <c r="E180" s="249"/>
      <c r="F180" s="121"/>
      <c r="G180" s="206"/>
      <c r="H180" s="115"/>
      <c r="I180" s="217"/>
      <c r="J180" s="685"/>
      <c r="K180" s="365"/>
    </row>
    <row r="181" spans="1:11">
      <c r="F181" s="68"/>
    </row>
    <row r="182" spans="1:11">
      <c r="F182" s="68"/>
    </row>
    <row r="183" spans="1:11">
      <c r="A183" s="44" t="s">
        <v>0</v>
      </c>
      <c r="C183" s="167"/>
      <c r="F183" s="68"/>
    </row>
    <row r="184" spans="1:11">
      <c r="A184" s="112" t="s">
        <v>3718</v>
      </c>
      <c r="B184" s="625"/>
      <c r="C184" s="270"/>
      <c r="D184" s="167"/>
      <c r="F184" s="68"/>
    </row>
    <row r="185" spans="1:11" ht="25.5" customHeight="1" thickBot="1">
      <c r="F185" s="68"/>
    </row>
    <row r="186" spans="1:11">
      <c r="A186" s="3493" t="s">
        <v>2</v>
      </c>
      <c r="B186" s="3482"/>
      <c r="C186" s="344" t="s">
        <v>3</v>
      </c>
      <c r="D186" s="408" t="s">
        <v>4</v>
      </c>
      <c r="E186" s="77" t="s">
        <v>5</v>
      </c>
      <c r="F186" s="78" t="s">
        <v>5</v>
      </c>
      <c r="G186" s="211" t="s">
        <v>6</v>
      </c>
      <c r="H186" s="140" t="s">
        <v>7</v>
      </c>
      <c r="I186" s="618" t="s">
        <v>1511</v>
      </c>
      <c r="J186" s="683" t="s">
        <v>9</v>
      </c>
      <c r="K186" s="367" t="s">
        <v>9</v>
      </c>
    </row>
    <row r="187" spans="1:11" ht="35.25" thickBot="1">
      <c r="A187" s="155"/>
      <c r="B187" s="494"/>
      <c r="C187" s="345"/>
      <c r="D187" s="409" t="s">
        <v>10</v>
      </c>
      <c r="E187" s="79" t="s">
        <v>11</v>
      </c>
      <c r="F187" s="80" t="s">
        <v>12</v>
      </c>
      <c r="G187" s="212"/>
      <c r="H187" s="141" t="s">
        <v>13</v>
      </c>
      <c r="I187" s="619" t="s">
        <v>1512</v>
      </c>
      <c r="J187" s="684" t="s">
        <v>15</v>
      </c>
      <c r="K187" s="368" t="s">
        <v>14</v>
      </c>
    </row>
    <row r="188" spans="1:11">
      <c r="A188" s="293" t="s">
        <v>3719</v>
      </c>
      <c r="B188" s="626"/>
      <c r="C188" s="207"/>
      <c r="D188" s="421"/>
      <c r="E188" s="143"/>
      <c r="F188" s="69"/>
      <c r="G188" s="206"/>
      <c r="H188" s="74"/>
      <c r="I188" s="182"/>
      <c r="J188" s="685"/>
      <c r="K188" s="367"/>
    </row>
    <row r="189" spans="1:11">
      <c r="A189" s="157"/>
      <c r="B189" s="43" t="s">
        <v>3720</v>
      </c>
      <c r="C189" s="207"/>
      <c r="D189" s="421"/>
      <c r="E189" s="145"/>
      <c r="F189" s="61"/>
      <c r="G189" s="206"/>
      <c r="H189" s="74"/>
      <c r="I189" s="182"/>
      <c r="J189" s="685"/>
      <c r="K189" s="365"/>
    </row>
    <row r="190" spans="1:11">
      <c r="A190" s="157"/>
      <c r="B190" s="139" t="s">
        <v>3721</v>
      </c>
      <c r="C190" s="207"/>
      <c r="D190" s="421"/>
      <c r="E190" s="145"/>
      <c r="F190" s="61"/>
      <c r="G190" s="206"/>
      <c r="H190" s="74"/>
      <c r="I190" s="182"/>
      <c r="J190" s="685"/>
      <c r="K190" s="365"/>
    </row>
    <row r="191" spans="1:11">
      <c r="A191" s="157"/>
      <c r="B191" s="139" t="s">
        <v>2858</v>
      </c>
      <c r="C191" s="207"/>
      <c r="D191" s="421"/>
      <c r="E191" s="145"/>
      <c r="F191" s="61"/>
      <c r="G191" s="206"/>
      <c r="H191" s="74"/>
      <c r="I191" s="182"/>
      <c r="J191" s="685"/>
      <c r="K191" s="365"/>
    </row>
    <row r="192" spans="1:11">
      <c r="A192" s="157"/>
      <c r="B192" s="139" t="s">
        <v>2856</v>
      </c>
      <c r="C192" s="207"/>
      <c r="D192" s="421"/>
      <c r="E192" s="145"/>
      <c r="F192" s="61"/>
      <c r="G192" s="206"/>
      <c r="H192" s="74"/>
      <c r="I192" s="182"/>
      <c r="J192" s="685"/>
      <c r="K192" s="365"/>
    </row>
    <row r="193" spans="1:12">
      <c r="A193" s="157"/>
      <c r="B193" s="43" t="s">
        <v>2852</v>
      </c>
      <c r="C193" s="207"/>
      <c r="D193" s="421"/>
      <c r="E193" s="145"/>
      <c r="F193" s="61"/>
      <c r="G193" s="206"/>
      <c r="H193" s="74"/>
      <c r="I193" s="182"/>
      <c r="J193" s="685"/>
      <c r="K193" s="365"/>
    </row>
    <row r="194" spans="1:12">
      <c r="A194" s="157"/>
      <c r="B194" s="43" t="s">
        <v>3722</v>
      </c>
      <c r="C194" s="207"/>
      <c r="D194" s="421"/>
      <c r="E194" s="145"/>
      <c r="F194" s="61"/>
      <c r="G194" s="206"/>
      <c r="H194" s="74"/>
      <c r="I194" s="182"/>
      <c r="J194" s="685"/>
      <c r="K194" s="365"/>
    </row>
    <row r="195" spans="1:12">
      <c r="A195" s="157"/>
      <c r="B195" s="43" t="s">
        <v>3723</v>
      </c>
      <c r="C195" s="207"/>
      <c r="D195" s="422"/>
      <c r="E195" s="145"/>
      <c r="F195" s="61"/>
      <c r="G195" s="223"/>
      <c r="H195" s="224"/>
      <c r="I195" s="620"/>
      <c r="J195" s="686"/>
      <c r="K195" s="378"/>
    </row>
    <row r="196" spans="1:12">
      <c r="A196" s="157"/>
      <c r="B196" s="43" t="s">
        <v>3724</v>
      </c>
      <c r="C196" s="207"/>
      <c r="D196" s="421"/>
      <c r="E196" s="145"/>
      <c r="F196" s="61"/>
      <c r="G196" s="206"/>
      <c r="H196" s="74"/>
      <c r="I196" s="182"/>
      <c r="J196" s="685"/>
      <c r="K196" s="365"/>
    </row>
    <row r="197" spans="1:12">
      <c r="A197" s="157"/>
      <c r="B197" s="43" t="s">
        <v>3725</v>
      </c>
      <c r="C197" s="207"/>
      <c r="D197" s="421"/>
      <c r="E197" s="145"/>
      <c r="F197" s="61"/>
      <c r="G197" s="206"/>
      <c r="H197" s="74"/>
      <c r="I197" s="182"/>
      <c r="J197" s="685"/>
      <c r="K197" s="365"/>
    </row>
    <row r="198" spans="1:12">
      <c r="A198" s="157"/>
      <c r="B198" s="43" t="s">
        <v>3726</v>
      </c>
      <c r="C198" s="207"/>
      <c r="D198" s="422"/>
      <c r="E198" s="237"/>
      <c r="F198" s="238"/>
      <c r="G198" s="223"/>
      <c r="H198" s="224"/>
      <c r="I198" s="620"/>
      <c r="J198" s="686"/>
      <c r="K198" s="378"/>
    </row>
    <row r="199" spans="1:12">
      <c r="A199" s="157"/>
      <c r="B199" s="43" t="s">
        <v>2839</v>
      </c>
      <c r="C199" s="207"/>
      <c r="D199" s="421"/>
      <c r="E199" s="145"/>
      <c r="F199" s="61"/>
      <c r="G199" s="206"/>
      <c r="H199" s="74"/>
      <c r="I199" s="182"/>
      <c r="J199" s="685"/>
      <c r="K199" s="365"/>
    </row>
    <row r="200" spans="1:12">
      <c r="A200" s="157"/>
      <c r="B200" s="43" t="s">
        <v>3660</v>
      </c>
      <c r="C200" s="207"/>
      <c r="D200" s="422"/>
      <c r="E200" s="145"/>
      <c r="F200" s="61"/>
      <c r="G200" s="223"/>
      <c r="H200" s="224"/>
      <c r="I200" s="620"/>
      <c r="J200" s="686"/>
      <c r="K200" s="378"/>
    </row>
    <row r="201" spans="1:12">
      <c r="A201" s="157"/>
      <c r="B201" s="43" t="s">
        <v>2732</v>
      </c>
      <c r="C201" s="207" t="s">
        <v>26</v>
      </c>
      <c r="D201" s="422"/>
      <c r="E201" s="145"/>
      <c r="F201" s="61"/>
      <c r="G201" s="223"/>
      <c r="H201" s="224"/>
      <c r="I201" s="620"/>
      <c r="J201" s="686"/>
      <c r="K201" s="378"/>
    </row>
    <row r="202" spans="1:12">
      <c r="A202" s="221"/>
      <c r="B202" s="43" t="s">
        <v>2863</v>
      </c>
      <c r="C202" s="207"/>
      <c r="D202" s="422"/>
      <c r="E202" s="145"/>
      <c r="F202" s="61"/>
      <c r="G202" s="223"/>
      <c r="H202" s="224"/>
      <c r="I202" s="620"/>
      <c r="J202" s="686"/>
      <c r="K202" s="378"/>
      <c r="L202" s="76">
        <f>598.5/12</f>
        <v>49.875</v>
      </c>
    </row>
    <row r="203" spans="1:12">
      <c r="A203" s="157"/>
      <c r="B203" s="43" t="s">
        <v>3433</v>
      </c>
      <c r="C203" s="207"/>
      <c r="D203" s="421"/>
      <c r="E203" s="145"/>
      <c r="F203" s="61"/>
      <c r="G203" s="206"/>
      <c r="H203" s="74"/>
      <c r="I203" s="182"/>
      <c r="J203" s="686"/>
      <c r="K203" s="365"/>
      <c r="L203" s="76">
        <f>450/12</f>
        <v>37.5</v>
      </c>
    </row>
    <row r="204" spans="1:12">
      <c r="A204" s="157"/>
      <c r="B204" s="43" t="s">
        <v>3727</v>
      </c>
      <c r="C204" s="207"/>
      <c r="D204" s="421"/>
      <c r="E204" s="145"/>
      <c r="F204" s="61"/>
      <c r="G204" s="206"/>
      <c r="H204" s="74"/>
      <c r="I204" s="182"/>
      <c r="J204" s="685"/>
      <c r="K204" s="365"/>
    </row>
    <row r="205" spans="1:12">
      <c r="A205" s="157"/>
      <c r="B205" s="43" t="s">
        <v>2811</v>
      </c>
      <c r="C205" s="207"/>
      <c r="D205" s="421"/>
      <c r="E205" s="90"/>
      <c r="F205" s="61"/>
      <c r="G205" s="206"/>
      <c r="H205" s="74"/>
      <c r="I205" s="621"/>
      <c r="J205" s="685"/>
      <c r="K205" s="365"/>
    </row>
    <row r="206" spans="1:12">
      <c r="A206" s="157"/>
      <c r="B206" s="43" t="s">
        <v>3728</v>
      </c>
      <c r="C206" s="207"/>
      <c r="D206" s="421"/>
      <c r="E206" s="90"/>
      <c r="F206" s="61"/>
      <c r="G206" s="206"/>
      <c r="H206" s="74"/>
      <c r="I206" s="182"/>
      <c r="J206" s="685"/>
      <c r="K206" s="365"/>
    </row>
    <row r="207" spans="1:12">
      <c r="A207" s="157"/>
      <c r="B207" s="43" t="s">
        <v>3729</v>
      </c>
      <c r="C207" s="207"/>
      <c r="D207" s="421"/>
      <c r="E207" s="90"/>
      <c r="F207" s="61"/>
      <c r="G207" s="206"/>
      <c r="H207" s="74"/>
      <c r="I207" s="182"/>
      <c r="J207" s="685"/>
      <c r="K207" s="365"/>
    </row>
    <row r="208" spans="1:12">
      <c r="A208" s="157"/>
      <c r="B208" s="43" t="s">
        <v>3377</v>
      </c>
      <c r="C208" s="207"/>
      <c r="D208" s="421"/>
      <c r="E208" s="90"/>
      <c r="F208" s="61"/>
      <c r="G208" s="206"/>
      <c r="H208" s="74"/>
      <c r="I208" s="182"/>
      <c r="J208" s="685"/>
      <c r="K208" s="365"/>
    </row>
    <row r="209" spans="1:11">
      <c r="A209" s="158"/>
      <c r="B209" s="43" t="s">
        <v>2867</v>
      </c>
      <c r="C209" s="207" t="s">
        <v>3730</v>
      </c>
      <c r="D209" s="421"/>
      <c r="E209" s="91"/>
      <c r="F209" s="61"/>
      <c r="G209" s="206"/>
      <c r="H209" s="74"/>
      <c r="I209" s="182"/>
      <c r="J209" s="685"/>
      <c r="K209" s="365"/>
    </row>
    <row r="210" spans="1:11">
      <c r="A210" s="200"/>
      <c r="B210" s="43" t="s">
        <v>3731</v>
      </c>
      <c r="C210" s="207"/>
      <c r="D210" s="421"/>
      <c r="E210" s="153"/>
      <c r="F210" s="61"/>
      <c r="G210" s="206"/>
      <c r="H210" s="88"/>
      <c r="I210" s="622"/>
      <c r="J210" s="687"/>
      <c r="K210" s="379"/>
    </row>
    <row r="211" spans="1:11">
      <c r="A211" s="157"/>
      <c r="B211" s="43" t="s">
        <v>3732</v>
      </c>
      <c r="C211" s="207"/>
      <c r="D211" s="421"/>
      <c r="E211" s="198"/>
      <c r="F211" s="61"/>
      <c r="G211" s="206"/>
      <c r="H211" s="74"/>
      <c r="I211" s="182"/>
      <c r="J211" s="685"/>
      <c r="K211" s="365"/>
    </row>
    <row r="212" spans="1:11">
      <c r="A212" s="157"/>
      <c r="B212" s="43" t="s">
        <v>3733</v>
      </c>
      <c r="C212" s="207"/>
      <c r="D212" s="421"/>
      <c r="E212" s="142"/>
      <c r="F212" s="61"/>
      <c r="G212" s="206"/>
      <c r="H212" s="74"/>
      <c r="I212" s="182"/>
      <c r="J212" s="685"/>
      <c r="K212" s="365"/>
    </row>
    <row r="213" spans="1:11">
      <c r="A213" s="157"/>
      <c r="B213" s="43" t="s">
        <v>3734</v>
      </c>
      <c r="C213" s="207"/>
      <c r="D213" s="322"/>
      <c r="E213" s="120"/>
      <c r="F213" s="121"/>
      <c r="G213" s="206"/>
      <c r="H213" s="115"/>
      <c r="I213" s="217"/>
      <c r="J213" s="685"/>
      <c r="K213" s="365"/>
    </row>
    <row r="214" spans="1:11">
      <c r="A214" s="157"/>
      <c r="B214" s="43" t="s">
        <v>3735</v>
      </c>
      <c r="C214" s="207"/>
      <c r="D214" s="322"/>
      <c r="E214" s="249"/>
      <c r="F214" s="121"/>
      <c r="G214" s="206"/>
      <c r="H214" s="115"/>
      <c r="I214" s="217"/>
      <c r="J214" s="685"/>
      <c r="K214" s="365"/>
    </row>
    <row r="215" spans="1:11">
      <c r="A215" s="157"/>
      <c r="B215" s="43" t="s">
        <v>3406</v>
      </c>
      <c r="C215" s="207"/>
      <c r="D215" s="322"/>
      <c r="E215" s="249"/>
      <c r="F215" s="121"/>
      <c r="G215" s="206"/>
      <c r="H215" s="115"/>
      <c r="I215" s="217"/>
      <c r="J215" s="685"/>
      <c r="K215" s="365"/>
    </row>
    <row r="216" spans="1:11">
      <c r="A216" s="157"/>
      <c r="B216" s="43" t="s">
        <v>3039</v>
      </c>
      <c r="C216" s="207"/>
      <c r="D216" s="322"/>
      <c r="E216" s="249"/>
      <c r="F216" s="121"/>
      <c r="G216" s="206"/>
      <c r="H216" s="115"/>
      <c r="I216" s="217"/>
      <c r="J216" s="685"/>
      <c r="K216" s="365"/>
    </row>
    <row r="217" spans="1:11" ht="34.5" customHeight="1">
      <c r="F217" s="68"/>
    </row>
    <row r="218" spans="1:11">
      <c r="A218" s="44" t="s">
        <v>0</v>
      </c>
      <c r="C218" s="167"/>
      <c r="F218" s="68"/>
    </row>
    <row r="219" spans="1:11">
      <c r="A219" s="3480" t="s">
        <v>2512</v>
      </c>
      <c r="B219" s="3480"/>
      <c r="C219" s="270"/>
      <c r="D219" s="167"/>
      <c r="F219" s="68"/>
    </row>
    <row r="220" spans="1:11" ht="35.25" thickBot="1">
      <c r="F220" s="68"/>
    </row>
    <row r="221" spans="1:11">
      <c r="A221" s="3493" t="s">
        <v>2</v>
      </c>
      <c r="B221" s="3482"/>
      <c r="C221" s="344" t="s">
        <v>3</v>
      </c>
      <c r="D221" s="408" t="s">
        <v>4</v>
      </c>
      <c r="E221" s="77" t="s">
        <v>5</v>
      </c>
      <c r="F221" s="78" t="s">
        <v>5</v>
      </c>
      <c r="G221" s="211" t="s">
        <v>6</v>
      </c>
      <c r="H221" s="140" t="s">
        <v>7</v>
      </c>
      <c r="I221" s="618" t="s">
        <v>1511</v>
      </c>
      <c r="J221" s="683" t="s">
        <v>9</v>
      </c>
      <c r="K221" s="367" t="s">
        <v>9</v>
      </c>
    </row>
    <row r="222" spans="1:11" ht="35.25" thickBot="1">
      <c r="A222" s="155"/>
      <c r="B222" s="494"/>
      <c r="C222" s="345"/>
      <c r="D222" s="409" t="s">
        <v>10</v>
      </c>
      <c r="E222" s="79" t="s">
        <v>11</v>
      </c>
      <c r="F222" s="80" t="s">
        <v>12</v>
      </c>
      <c r="G222" s="212"/>
      <c r="H222" s="141" t="s">
        <v>13</v>
      </c>
      <c r="I222" s="619" t="s">
        <v>1512</v>
      </c>
      <c r="J222" s="684" t="s">
        <v>15</v>
      </c>
      <c r="K222" s="368" t="s">
        <v>14</v>
      </c>
    </row>
    <row r="223" spans="1:11">
      <c r="A223" s="157"/>
      <c r="B223" s="74" t="s">
        <v>3736</v>
      </c>
      <c r="C223" s="207"/>
      <c r="D223" s="322"/>
      <c r="E223" s="142"/>
      <c r="F223" s="61"/>
      <c r="G223" s="206"/>
      <c r="H223" s="74"/>
      <c r="I223" s="182"/>
      <c r="J223" s="685"/>
      <c r="K223" s="365"/>
    </row>
    <row r="224" spans="1:11">
      <c r="A224" s="157"/>
      <c r="B224" s="74" t="s">
        <v>3737</v>
      </c>
      <c r="C224" s="207" t="s">
        <v>3738</v>
      </c>
      <c r="D224" s="322"/>
      <c r="E224" s="100"/>
      <c r="F224" s="61"/>
      <c r="G224" s="206"/>
      <c r="H224" s="74"/>
      <c r="I224" s="182"/>
      <c r="J224" s="685"/>
      <c r="K224" s="365"/>
    </row>
    <row r="225" spans="1:11" ht="36" customHeight="1">
      <c r="A225" s="160"/>
      <c r="B225" s="74"/>
      <c r="C225" s="207" t="s">
        <v>3739</v>
      </c>
      <c r="D225" s="322"/>
      <c r="E225" s="120"/>
      <c r="F225" s="121"/>
      <c r="G225" s="206"/>
      <c r="H225" s="115"/>
      <c r="I225" s="217"/>
      <c r="J225" s="691"/>
      <c r="K225" s="363"/>
    </row>
    <row r="226" spans="1:11" ht="36" customHeight="1" thickBot="1">
      <c r="A226" s="160"/>
      <c r="B226" s="43"/>
      <c r="C226" s="207"/>
      <c r="D226" s="411"/>
      <c r="E226" s="120"/>
      <c r="F226" s="121"/>
      <c r="G226" s="206"/>
      <c r="H226" s="115"/>
      <c r="I226" s="217"/>
      <c r="J226" s="691"/>
      <c r="K226" s="363"/>
    </row>
    <row r="227" spans="1:11">
      <c r="A227" s="480" t="s">
        <v>3740</v>
      </c>
      <c r="B227" s="693"/>
      <c r="C227" s="692"/>
      <c r="D227" s="421" t="s">
        <v>3741</v>
      </c>
      <c r="E227" s="143"/>
      <c r="F227" s="69"/>
      <c r="G227" s="206"/>
      <c r="H227" s="74"/>
      <c r="I227" s="182"/>
      <c r="J227" s="685"/>
      <c r="K227" s="367"/>
    </row>
    <row r="228" spans="1:11">
      <c r="A228" s="157"/>
      <c r="B228" s="43" t="s">
        <v>3742</v>
      </c>
      <c r="C228" s="207" t="s">
        <v>3712</v>
      </c>
      <c r="D228" s="421"/>
      <c r="E228" s="145" t="s">
        <v>3743</v>
      </c>
      <c r="F228" s="61"/>
      <c r="G228" s="206" t="s">
        <v>2097</v>
      </c>
      <c r="H228" s="74"/>
      <c r="I228" s="182"/>
      <c r="J228" s="685" t="s">
        <v>3744</v>
      </c>
      <c r="K228" s="365" t="s">
        <v>3745</v>
      </c>
    </row>
    <row r="229" spans="1:11">
      <c r="A229" s="157"/>
      <c r="B229" s="43" t="s">
        <v>3746</v>
      </c>
      <c r="C229" s="207" t="s">
        <v>3712</v>
      </c>
      <c r="D229" s="421"/>
      <c r="E229" s="145" t="s">
        <v>3743</v>
      </c>
      <c r="F229" s="61"/>
      <c r="G229" s="206" t="s">
        <v>2097</v>
      </c>
      <c r="H229" s="74"/>
      <c r="I229" s="182"/>
      <c r="J229" s="685" t="s">
        <v>3744</v>
      </c>
      <c r="K229" s="365" t="s">
        <v>3745</v>
      </c>
    </row>
    <row r="230" spans="1:11">
      <c r="A230" s="157"/>
      <c r="B230" s="43" t="s">
        <v>3747</v>
      </c>
      <c r="C230" s="207" t="s">
        <v>3748</v>
      </c>
      <c r="D230" s="421"/>
      <c r="E230" s="145" t="s">
        <v>3749</v>
      </c>
      <c r="F230" s="61"/>
      <c r="G230" s="206" t="s">
        <v>2097</v>
      </c>
      <c r="H230" s="74"/>
      <c r="I230" s="182"/>
      <c r="J230" s="685" t="s">
        <v>3750</v>
      </c>
      <c r="K230" s="365" t="s">
        <v>3751</v>
      </c>
    </row>
    <row r="231" spans="1:11">
      <c r="A231" s="157"/>
      <c r="B231" s="43" t="s">
        <v>3752</v>
      </c>
      <c r="C231" s="207"/>
      <c r="D231" s="421"/>
      <c r="E231" s="145"/>
      <c r="F231" s="61"/>
      <c r="G231" s="206" t="s">
        <v>1971</v>
      </c>
      <c r="H231" s="74"/>
      <c r="I231" s="182"/>
      <c r="J231" s="685">
        <v>300</v>
      </c>
      <c r="K231" s="365"/>
    </row>
    <row r="232" spans="1:11">
      <c r="A232" s="157"/>
      <c r="B232" s="43" t="s">
        <v>3753</v>
      </c>
      <c r="C232" s="207"/>
      <c r="D232" s="421"/>
      <c r="E232" s="145"/>
      <c r="F232" s="61"/>
      <c r="G232" s="206"/>
      <c r="H232" s="74"/>
      <c r="I232" s="182"/>
      <c r="J232" s="685">
        <v>300</v>
      </c>
      <c r="K232" s="365"/>
    </row>
    <row r="233" spans="1:11">
      <c r="A233" s="157"/>
      <c r="B233" s="43" t="s">
        <v>3754</v>
      </c>
      <c r="C233" s="207" t="s">
        <v>3438</v>
      </c>
      <c r="D233" s="421"/>
      <c r="E233" s="145"/>
      <c r="F233" s="61"/>
      <c r="G233" s="206" t="s">
        <v>3755</v>
      </c>
      <c r="H233" s="74"/>
      <c r="I233" s="182"/>
      <c r="J233" s="685">
        <v>310</v>
      </c>
      <c r="K233" s="365"/>
    </row>
    <row r="234" spans="1:11">
      <c r="A234" s="157"/>
      <c r="B234" s="43" t="s">
        <v>3756</v>
      </c>
      <c r="C234" s="207"/>
      <c r="D234" s="421"/>
      <c r="E234" s="145"/>
      <c r="F234" s="61"/>
      <c r="G234" s="206" t="s">
        <v>3757</v>
      </c>
      <c r="H234" s="74"/>
      <c r="I234" s="182"/>
      <c r="J234" s="685">
        <v>1500</v>
      </c>
      <c r="K234" s="365"/>
    </row>
    <row r="235" spans="1:11">
      <c r="A235" s="157"/>
      <c r="B235" s="43" t="s">
        <v>3758</v>
      </c>
      <c r="C235" s="207"/>
      <c r="D235" s="421"/>
      <c r="E235" s="145"/>
      <c r="F235" s="61"/>
      <c r="G235" s="206" t="s">
        <v>3759</v>
      </c>
      <c r="H235" s="74"/>
      <c r="I235" s="182" t="s">
        <v>3760</v>
      </c>
      <c r="J235" s="685">
        <v>310</v>
      </c>
      <c r="K235" s="365"/>
    </row>
    <row r="236" spans="1:11" ht="35.25" customHeight="1">
      <c r="A236" s="157"/>
      <c r="B236" s="43" t="s">
        <v>3761</v>
      </c>
      <c r="C236" s="207" t="s">
        <v>3712</v>
      </c>
      <c r="D236" s="421"/>
      <c r="E236" s="145"/>
      <c r="F236" s="61"/>
      <c r="G236" s="206" t="s">
        <v>2397</v>
      </c>
      <c r="H236" s="74"/>
      <c r="I236" s="182"/>
      <c r="J236" s="685">
        <v>350</v>
      </c>
      <c r="K236" s="365"/>
    </row>
    <row r="237" spans="1:11">
      <c r="A237" s="157"/>
      <c r="B237" s="43" t="s">
        <v>3733</v>
      </c>
      <c r="C237" s="207" t="s">
        <v>3712</v>
      </c>
      <c r="D237" s="421"/>
      <c r="E237" s="145"/>
      <c r="F237" s="61"/>
      <c r="G237" s="206"/>
      <c r="H237" s="74"/>
      <c r="I237" s="182"/>
      <c r="J237" s="685">
        <v>195</v>
      </c>
      <c r="K237" s="365"/>
    </row>
    <row r="238" spans="1:11">
      <c r="A238" s="157"/>
      <c r="B238" s="43"/>
      <c r="C238" s="207"/>
      <c r="D238" s="422"/>
      <c r="E238" s="145"/>
      <c r="F238" s="61"/>
      <c r="G238" s="223"/>
      <c r="H238" s="224"/>
      <c r="I238" s="620"/>
      <c r="J238" s="686"/>
      <c r="K238" s="378"/>
    </row>
    <row r="239" spans="1:11" ht="35.25" thickBot="1">
      <c r="A239" s="157"/>
      <c r="B239" s="43"/>
      <c r="C239" s="207"/>
      <c r="D239" s="421"/>
      <c r="E239" s="145"/>
      <c r="F239" s="61"/>
      <c r="G239" s="206"/>
      <c r="H239" s="74"/>
      <c r="I239" s="182"/>
      <c r="J239" s="685"/>
      <c r="K239" s="365"/>
    </row>
    <row r="240" spans="1:11" ht="40.5">
      <c r="A240" s="157"/>
      <c r="B240" s="1728" t="s">
        <v>3762</v>
      </c>
      <c r="C240" s="1520"/>
      <c r="D240" s="1521"/>
      <c r="E240" s="1522"/>
      <c r="F240" s="1102"/>
      <c r="G240" s="1523" t="s">
        <v>3763</v>
      </c>
      <c r="H240" s="1524"/>
      <c r="I240" s="1525"/>
      <c r="J240" s="1526"/>
      <c r="K240" s="1527"/>
    </row>
    <row r="241" spans="1:11">
      <c r="A241" s="157"/>
      <c r="B241" s="770" t="s">
        <v>3764</v>
      </c>
      <c r="C241" s="1528" t="s">
        <v>565</v>
      </c>
      <c r="D241" s="1358" t="s">
        <v>1063</v>
      </c>
      <c r="E241" s="1529"/>
      <c r="F241" s="1530"/>
      <c r="G241" s="1531" t="s">
        <v>3765</v>
      </c>
      <c r="H241" s="2208" t="s">
        <v>3766</v>
      </c>
      <c r="I241" s="1533" t="s">
        <v>3767</v>
      </c>
      <c r="J241" s="1534" t="s">
        <v>3768</v>
      </c>
      <c r="K241" s="2209" t="s">
        <v>3769</v>
      </c>
    </row>
    <row r="242" spans="1:11">
      <c r="A242" s="157"/>
      <c r="B242" s="406" t="s">
        <v>3770</v>
      </c>
      <c r="C242" s="1459"/>
      <c r="D242" s="413" t="s">
        <v>3605</v>
      </c>
      <c r="E242" s="1014"/>
      <c r="F242" s="981"/>
      <c r="G242" s="223" t="s">
        <v>3771</v>
      </c>
      <c r="H242" s="925"/>
      <c r="I242" s="1535"/>
      <c r="J242" s="686" t="s">
        <v>3772</v>
      </c>
      <c r="K242" s="378" t="s">
        <v>3773</v>
      </c>
    </row>
    <row r="243" spans="1:11">
      <c r="A243" s="221"/>
      <c r="B243" s="1006" t="s">
        <v>3774</v>
      </c>
      <c r="C243" s="1459"/>
      <c r="D243" s="413" t="s">
        <v>3401</v>
      </c>
      <c r="E243" s="1014"/>
      <c r="F243" s="981"/>
      <c r="G243" s="223" t="s">
        <v>3765</v>
      </c>
      <c r="H243" s="925"/>
      <c r="I243" s="1535" t="s">
        <v>3775</v>
      </c>
      <c r="J243" s="686" t="s">
        <v>3776</v>
      </c>
      <c r="K243" s="378" t="s">
        <v>3777</v>
      </c>
    </row>
    <row r="244" spans="1:11">
      <c r="A244" s="157"/>
      <c r="B244" s="1006" t="s">
        <v>3778</v>
      </c>
      <c r="C244" s="1459"/>
      <c r="D244" s="413" t="s">
        <v>3401</v>
      </c>
      <c r="E244" s="221"/>
      <c r="F244" s="777"/>
      <c r="G244" s="223" t="s">
        <v>3765</v>
      </c>
      <c r="H244" s="224"/>
      <c r="I244" s="620" t="s">
        <v>3779</v>
      </c>
      <c r="J244" s="686" t="s">
        <v>3780</v>
      </c>
      <c r="K244" s="378" t="s">
        <v>3781</v>
      </c>
    </row>
    <row r="245" spans="1:11">
      <c r="A245" s="157"/>
      <c r="B245" s="1006" t="s">
        <v>3782</v>
      </c>
      <c r="C245" s="1459"/>
      <c r="D245" s="413" t="s">
        <v>285</v>
      </c>
      <c r="E245" s="1014"/>
      <c r="F245" s="981"/>
      <c r="G245" s="223" t="s">
        <v>3765</v>
      </c>
      <c r="H245" s="925"/>
      <c r="I245" s="1535" t="s">
        <v>3783</v>
      </c>
      <c r="J245" s="686" t="s">
        <v>3784</v>
      </c>
      <c r="K245" s="378" t="s">
        <v>1726</v>
      </c>
    </row>
    <row r="246" spans="1:11">
      <c r="A246" s="157"/>
      <c r="B246" s="139"/>
      <c r="C246" s="207"/>
      <c r="D246" s="421"/>
      <c r="E246" s="198"/>
      <c r="F246" s="61"/>
      <c r="G246" s="206"/>
      <c r="H246" s="74"/>
      <c r="I246" s="182"/>
      <c r="J246" s="685"/>
      <c r="K246" s="365"/>
    </row>
    <row r="247" spans="1:11">
      <c r="A247" s="157"/>
      <c r="B247" s="139"/>
      <c r="C247" s="207"/>
      <c r="D247" s="421"/>
      <c r="E247" s="142"/>
      <c r="F247" s="61"/>
      <c r="G247" s="206"/>
      <c r="H247" s="74"/>
      <c r="I247" s="182"/>
      <c r="J247" s="685"/>
      <c r="K247" s="365"/>
    </row>
    <row r="248" spans="1:11">
      <c r="A248" s="157"/>
      <c r="B248" s="139"/>
      <c r="C248" s="207"/>
      <c r="D248" s="322"/>
      <c r="E248" s="120"/>
      <c r="F248" s="121"/>
      <c r="G248" s="206"/>
      <c r="H248" s="115"/>
      <c r="I248" s="217"/>
      <c r="J248" s="685"/>
      <c r="K248" s="365"/>
    </row>
    <row r="249" spans="1:11">
      <c r="A249" s="157"/>
      <c r="B249" s="139"/>
      <c r="C249" s="207"/>
      <c r="D249" s="322"/>
      <c r="E249" s="249"/>
      <c r="F249" s="121"/>
      <c r="G249" s="206"/>
      <c r="H249" s="115"/>
      <c r="I249" s="217"/>
      <c r="J249" s="685"/>
      <c r="K249" s="365"/>
    </row>
    <row r="250" spans="1:11" ht="28.5" customHeight="1">
      <c r="A250" s="157"/>
      <c r="B250" s="139"/>
      <c r="C250" s="207"/>
      <c r="D250" s="322"/>
      <c r="E250" s="249"/>
      <c r="F250" s="121"/>
      <c r="G250" s="206"/>
      <c r="H250" s="115"/>
      <c r="I250" s="217"/>
      <c r="J250" s="685"/>
      <c r="K250" s="365"/>
    </row>
    <row r="251" spans="1:11">
      <c r="A251" s="157"/>
      <c r="B251" s="139"/>
      <c r="C251" s="207"/>
      <c r="D251" s="322"/>
      <c r="E251" s="249"/>
      <c r="F251" s="121"/>
      <c r="G251" s="206"/>
      <c r="H251" s="115"/>
      <c r="I251" s="217"/>
      <c r="J251" s="685"/>
      <c r="K251" s="365"/>
    </row>
    <row r="252" spans="1:11">
      <c r="A252" s="157"/>
      <c r="B252" s="139"/>
      <c r="C252" s="207"/>
      <c r="D252" s="322"/>
      <c r="E252" s="142"/>
      <c r="F252" s="61"/>
      <c r="G252" s="206"/>
      <c r="H252" s="74"/>
      <c r="I252" s="182"/>
      <c r="J252" s="685"/>
      <c r="K252" s="365"/>
    </row>
    <row r="253" spans="1:11">
      <c r="F253" s="68"/>
    </row>
    <row r="254" spans="1:11">
      <c r="F254" s="68"/>
    </row>
    <row r="255" spans="1:11">
      <c r="A255" s="44" t="s">
        <v>0</v>
      </c>
      <c r="C255" s="167"/>
      <c r="F255" s="68"/>
    </row>
    <row r="256" spans="1:11">
      <c r="A256" s="3480" t="s">
        <v>2512</v>
      </c>
      <c r="B256" s="3480"/>
      <c r="C256" s="270"/>
      <c r="D256" s="167"/>
      <c r="F256" s="68"/>
    </row>
    <row r="257" spans="1:11" ht="35.25" thickBot="1">
      <c r="F257" s="68"/>
    </row>
    <row r="258" spans="1:11">
      <c r="A258" s="3493" t="s">
        <v>2</v>
      </c>
      <c r="B258" s="3482"/>
      <c r="C258" s="344" t="s">
        <v>3</v>
      </c>
      <c r="D258" s="408" t="s">
        <v>4</v>
      </c>
      <c r="E258" s="77" t="s">
        <v>5</v>
      </c>
      <c r="F258" s="78" t="s">
        <v>5</v>
      </c>
      <c r="G258" s="211" t="s">
        <v>6</v>
      </c>
      <c r="H258" s="140" t="s">
        <v>7</v>
      </c>
      <c r="I258" s="618" t="s">
        <v>1511</v>
      </c>
      <c r="J258" s="683" t="s">
        <v>9</v>
      </c>
      <c r="K258" s="367" t="s">
        <v>9</v>
      </c>
    </row>
    <row r="259" spans="1:11" ht="35.25" thickBot="1">
      <c r="A259" s="155"/>
      <c r="B259" s="494"/>
      <c r="C259" s="345"/>
      <c r="D259" s="409" t="s">
        <v>10</v>
      </c>
      <c r="E259" s="79" t="s">
        <v>11</v>
      </c>
      <c r="F259" s="80" t="s">
        <v>12</v>
      </c>
      <c r="G259" s="212"/>
      <c r="H259" s="141" t="s">
        <v>13</v>
      </c>
      <c r="I259" s="619" t="s">
        <v>1512</v>
      </c>
      <c r="J259" s="684" t="s">
        <v>15</v>
      </c>
      <c r="K259" s="368" t="s">
        <v>14</v>
      </c>
    </row>
    <row r="260" spans="1:11">
      <c r="A260" s="156"/>
      <c r="B260" s="139"/>
      <c r="C260" s="207"/>
      <c r="D260" s="421"/>
      <c r="E260" s="143"/>
      <c r="F260" s="69"/>
      <c r="G260" s="206"/>
      <c r="H260" s="74"/>
      <c r="I260" s="182"/>
      <c r="J260" s="685"/>
      <c r="K260" s="367"/>
    </row>
    <row r="261" spans="1:11">
      <c r="A261" s="157"/>
      <c r="B261" s="139"/>
      <c r="C261" s="207"/>
      <c r="D261" s="421"/>
      <c r="E261" s="145"/>
      <c r="F261" s="61"/>
      <c r="G261" s="206"/>
      <c r="H261" s="74"/>
      <c r="I261" s="182"/>
      <c r="J261" s="685"/>
      <c r="K261" s="365"/>
    </row>
    <row r="262" spans="1:11">
      <c r="A262" s="157"/>
      <c r="B262" s="463"/>
      <c r="C262" s="207"/>
      <c r="D262" s="421"/>
      <c r="E262" s="145"/>
      <c r="F262" s="61"/>
      <c r="G262" s="206"/>
      <c r="H262" s="74"/>
      <c r="I262" s="182"/>
      <c r="J262" s="685"/>
      <c r="K262" s="365"/>
    </row>
    <row r="263" spans="1:11">
      <c r="A263" s="157"/>
      <c r="B263" s="463"/>
      <c r="C263" s="207"/>
      <c r="D263" s="421"/>
      <c r="E263" s="145"/>
      <c r="F263" s="61"/>
      <c r="G263" s="206"/>
      <c r="H263" s="74"/>
      <c r="I263" s="182"/>
      <c r="J263" s="685"/>
      <c r="K263" s="365"/>
    </row>
    <row r="264" spans="1:11">
      <c r="A264" s="157"/>
      <c r="B264" s="139"/>
      <c r="C264" s="207"/>
      <c r="D264" s="421"/>
      <c r="E264" s="145"/>
      <c r="F264" s="61"/>
      <c r="G264" s="206"/>
      <c r="H264" s="74"/>
      <c r="I264" s="182"/>
      <c r="J264" s="685"/>
      <c r="K264" s="365"/>
    </row>
    <row r="265" spans="1:11">
      <c r="A265" s="157"/>
      <c r="B265" s="139"/>
      <c r="C265" s="207"/>
      <c r="D265" s="421"/>
      <c r="E265" s="145"/>
      <c r="F265" s="61"/>
      <c r="G265" s="206"/>
      <c r="H265" s="74"/>
      <c r="I265" s="182"/>
      <c r="J265" s="685"/>
      <c r="K265" s="365"/>
    </row>
    <row r="266" spans="1:11">
      <c r="A266" s="157"/>
      <c r="B266" s="139"/>
      <c r="C266" s="207"/>
      <c r="D266" s="421"/>
      <c r="E266" s="145"/>
      <c r="F266" s="61"/>
      <c r="G266" s="206"/>
      <c r="H266" s="74"/>
      <c r="I266" s="182"/>
      <c r="J266" s="685"/>
      <c r="K266" s="365"/>
    </row>
    <row r="267" spans="1:11">
      <c r="A267" s="157"/>
      <c r="B267" s="463"/>
      <c r="C267" s="341"/>
      <c r="D267" s="422"/>
      <c r="E267" s="145"/>
      <c r="F267" s="61"/>
      <c r="G267" s="223"/>
      <c r="H267" s="224"/>
      <c r="I267" s="620"/>
      <c r="J267" s="686"/>
      <c r="K267" s="378"/>
    </row>
    <row r="268" spans="1:11">
      <c r="A268" s="157"/>
      <c r="B268" s="433"/>
      <c r="C268" s="207"/>
      <c r="D268" s="421"/>
      <c r="E268" s="145"/>
      <c r="F268" s="61"/>
      <c r="G268" s="206"/>
      <c r="H268" s="74"/>
      <c r="I268" s="182"/>
      <c r="J268" s="685"/>
      <c r="K268" s="365"/>
    </row>
    <row r="269" spans="1:11">
      <c r="A269" s="157"/>
      <c r="B269" s="433"/>
      <c r="C269" s="207"/>
      <c r="D269" s="421"/>
      <c r="E269" s="145"/>
      <c r="F269" s="61"/>
      <c r="G269" s="206"/>
      <c r="H269" s="74"/>
      <c r="I269" s="182"/>
      <c r="J269" s="685"/>
      <c r="K269" s="365"/>
    </row>
    <row r="270" spans="1:11">
      <c r="A270" s="157"/>
      <c r="B270" s="433"/>
      <c r="C270" s="341"/>
      <c r="D270" s="422"/>
      <c r="E270" s="237"/>
      <c r="F270" s="238"/>
      <c r="G270" s="223"/>
      <c r="H270" s="224"/>
      <c r="I270" s="620"/>
      <c r="J270" s="686"/>
      <c r="K270" s="378"/>
    </row>
    <row r="271" spans="1:11">
      <c r="A271" s="157"/>
      <c r="B271" s="433"/>
      <c r="C271" s="207"/>
      <c r="D271" s="421"/>
      <c r="E271" s="145"/>
      <c r="F271" s="61"/>
      <c r="G271" s="206"/>
      <c r="H271" s="74"/>
      <c r="I271" s="182"/>
      <c r="J271" s="685"/>
      <c r="K271" s="365"/>
    </row>
    <row r="272" spans="1:11">
      <c r="A272" s="157"/>
      <c r="B272" s="139"/>
      <c r="C272" s="341"/>
      <c r="D272" s="422"/>
      <c r="E272" s="145"/>
      <c r="F272" s="61"/>
      <c r="G272" s="223"/>
      <c r="H272" s="224"/>
      <c r="I272" s="620"/>
      <c r="J272" s="686"/>
      <c r="K272" s="378"/>
    </row>
    <row r="273" spans="1:11">
      <c r="A273" s="157"/>
      <c r="B273" s="139"/>
      <c r="C273" s="341"/>
      <c r="D273" s="422"/>
      <c r="E273" s="145"/>
      <c r="F273" s="61"/>
      <c r="G273" s="223"/>
      <c r="H273" s="224"/>
      <c r="I273" s="620"/>
      <c r="J273" s="686"/>
      <c r="K273" s="378"/>
    </row>
    <row r="274" spans="1:11">
      <c r="A274" s="221"/>
      <c r="B274" s="457"/>
      <c r="C274" s="341"/>
      <c r="D274" s="422"/>
      <c r="E274" s="145"/>
      <c r="F274" s="61"/>
      <c r="G274" s="223"/>
      <c r="H274" s="224"/>
      <c r="I274" s="620"/>
      <c r="J274" s="686"/>
      <c r="K274" s="378"/>
    </row>
    <row r="275" spans="1:11">
      <c r="A275" s="157"/>
      <c r="B275" s="139"/>
      <c r="C275" s="207"/>
      <c r="D275" s="421"/>
      <c r="E275" s="145"/>
      <c r="F275" s="61"/>
      <c r="G275" s="206"/>
      <c r="H275" s="74"/>
      <c r="I275" s="182"/>
      <c r="J275" s="686"/>
      <c r="K275" s="365"/>
    </row>
    <row r="276" spans="1:11">
      <c r="A276" s="157"/>
      <c r="B276" s="139"/>
      <c r="C276" s="207"/>
      <c r="D276" s="421"/>
      <c r="E276" s="145"/>
      <c r="F276" s="61"/>
      <c r="G276" s="206"/>
      <c r="H276" s="74"/>
      <c r="I276" s="182"/>
      <c r="J276" s="685"/>
      <c r="K276" s="365"/>
    </row>
    <row r="277" spans="1:11">
      <c r="A277" s="157"/>
      <c r="B277" s="139"/>
      <c r="C277" s="207"/>
      <c r="D277" s="421"/>
      <c r="E277" s="90"/>
      <c r="F277" s="61"/>
      <c r="G277" s="206"/>
      <c r="H277" s="74"/>
      <c r="I277" s="621"/>
      <c r="J277" s="685"/>
      <c r="K277" s="365"/>
    </row>
    <row r="278" spans="1:11">
      <c r="A278" s="157"/>
      <c r="B278" s="139"/>
      <c r="C278" s="207"/>
      <c r="D278" s="421"/>
      <c r="E278" s="90"/>
      <c r="F278" s="61"/>
      <c r="G278" s="206"/>
      <c r="H278" s="74"/>
      <c r="I278" s="182"/>
      <c r="J278" s="685"/>
      <c r="K278" s="365"/>
    </row>
    <row r="279" spans="1:11">
      <c r="A279" s="157"/>
      <c r="B279" s="139"/>
      <c r="C279" s="207"/>
      <c r="D279" s="421"/>
      <c r="E279" s="90"/>
      <c r="F279" s="61"/>
      <c r="G279" s="206"/>
      <c r="H279" s="74"/>
      <c r="I279" s="182"/>
      <c r="J279" s="685"/>
      <c r="K279" s="365"/>
    </row>
    <row r="280" spans="1:11">
      <c r="A280" s="157"/>
      <c r="B280" s="139"/>
      <c r="C280" s="207"/>
      <c r="D280" s="421"/>
      <c r="E280" s="90"/>
      <c r="F280" s="61"/>
      <c r="G280" s="206"/>
      <c r="H280" s="74"/>
      <c r="I280" s="182"/>
      <c r="J280" s="685"/>
      <c r="K280" s="365"/>
    </row>
    <row r="281" spans="1:11" ht="25.5" customHeight="1">
      <c r="A281" s="158"/>
      <c r="B281" s="139"/>
      <c r="C281" s="207"/>
      <c r="D281" s="421"/>
      <c r="E281" s="91"/>
      <c r="F281" s="61"/>
      <c r="G281" s="206"/>
      <c r="H281" s="74"/>
      <c r="I281" s="182"/>
      <c r="J281" s="685"/>
      <c r="K281" s="365"/>
    </row>
    <row r="282" spans="1:11">
      <c r="A282" s="200"/>
      <c r="B282" s="139"/>
      <c r="C282" s="207"/>
      <c r="D282" s="421"/>
      <c r="E282" s="153"/>
      <c r="F282" s="61"/>
      <c r="G282" s="206"/>
      <c r="H282" s="88"/>
      <c r="I282" s="622"/>
      <c r="J282" s="687"/>
      <c r="K282" s="379"/>
    </row>
    <row r="283" spans="1:11">
      <c r="A283" s="157"/>
      <c r="B283" s="139"/>
      <c r="C283" s="207"/>
      <c r="D283" s="421"/>
      <c r="E283" s="198"/>
      <c r="F283" s="61"/>
      <c r="G283" s="206"/>
      <c r="H283" s="74"/>
      <c r="I283" s="182"/>
      <c r="J283" s="685"/>
      <c r="K283" s="365"/>
    </row>
    <row r="284" spans="1:11" ht="22.5" customHeight="1">
      <c r="A284" s="157"/>
      <c r="B284" s="139"/>
      <c r="C284" s="207"/>
      <c r="D284" s="421"/>
      <c r="E284" s="142"/>
      <c r="F284" s="61"/>
      <c r="G284" s="206"/>
      <c r="H284" s="74"/>
      <c r="I284" s="182"/>
      <c r="J284" s="685"/>
      <c r="K284" s="365"/>
    </row>
    <row r="285" spans="1:11">
      <c r="A285" s="157"/>
      <c r="B285" s="139"/>
      <c r="C285" s="207"/>
      <c r="D285" s="322"/>
      <c r="E285" s="120"/>
      <c r="F285" s="121"/>
      <c r="G285" s="206"/>
      <c r="H285" s="115"/>
      <c r="I285" s="217"/>
      <c r="J285" s="685"/>
      <c r="K285" s="365"/>
    </row>
    <row r="286" spans="1:11">
      <c r="A286" s="157"/>
      <c r="B286" s="139"/>
      <c r="C286" s="207"/>
      <c r="D286" s="322"/>
      <c r="E286" s="249"/>
      <c r="F286" s="121"/>
      <c r="G286" s="206"/>
      <c r="H286" s="115"/>
      <c r="I286" s="217"/>
      <c r="J286" s="685"/>
      <c r="K286" s="365"/>
    </row>
    <row r="287" spans="1:11">
      <c r="A287" s="157"/>
      <c r="B287" s="460"/>
      <c r="C287" s="207"/>
      <c r="D287" s="322"/>
      <c r="E287" s="142"/>
      <c r="F287" s="61"/>
      <c r="G287" s="206"/>
      <c r="H287" s="74"/>
      <c r="I287" s="182"/>
      <c r="J287" s="685"/>
      <c r="K287" s="365"/>
    </row>
    <row r="288" spans="1:11">
      <c r="A288" s="160"/>
      <c r="B288" s="139"/>
      <c r="C288" s="207"/>
      <c r="D288" s="322"/>
      <c r="E288" s="120"/>
      <c r="F288" s="121"/>
      <c r="G288" s="206"/>
      <c r="H288" s="115"/>
      <c r="I288" s="217"/>
      <c r="J288" s="691"/>
      <c r="K288" s="363"/>
    </row>
    <row r="289" spans="1:11">
      <c r="A289" s="204"/>
      <c r="B289" s="109"/>
      <c r="C289" s="205"/>
      <c r="D289" s="167"/>
      <c r="E289" s="3444"/>
      <c r="F289" s="3444"/>
      <c r="G289" s="213"/>
      <c r="H289" s="109"/>
      <c r="I289" s="109"/>
      <c r="J289" s="690"/>
      <c r="K289" s="380"/>
    </row>
    <row r="290" spans="1:11">
      <c r="F290" s="68"/>
    </row>
    <row r="291" spans="1:11">
      <c r="A291" s="44" t="s">
        <v>0</v>
      </c>
      <c r="C291" s="167"/>
      <c r="F291" s="68"/>
    </row>
    <row r="292" spans="1:11">
      <c r="A292" s="3480" t="s">
        <v>2512</v>
      </c>
      <c r="B292" s="3480"/>
      <c r="C292" s="270"/>
      <c r="D292" s="167"/>
      <c r="F292" s="68"/>
    </row>
    <row r="293" spans="1:11" ht="35.25" thickBot="1">
      <c r="F293" s="68"/>
    </row>
    <row r="294" spans="1:11">
      <c r="A294" s="3493" t="s">
        <v>2</v>
      </c>
      <c r="B294" s="3482"/>
      <c r="C294" s="344" t="s">
        <v>3</v>
      </c>
      <c r="D294" s="408" t="s">
        <v>4</v>
      </c>
      <c r="E294" s="77" t="s">
        <v>5</v>
      </c>
      <c r="F294" s="78" t="s">
        <v>5</v>
      </c>
      <c r="G294" s="211" t="s">
        <v>6</v>
      </c>
      <c r="H294" s="140" t="s">
        <v>7</v>
      </c>
      <c r="I294" s="618" t="s">
        <v>1511</v>
      </c>
      <c r="J294" s="683" t="s">
        <v>9</v>
      </c>
      <c r="K294" s="367" t="s">
        <v>9</v>
      </c>
    </row>
    <row r="295" spans="1:11" ht="35.25" thickBot="1">
      <c r="A295" s="155"/>
      <c r="B295" s="494"/>
      <c r="C295" s="345"/>
      <c r="D295" s="409" t="s">
        <v>10</v>
      </c>
      <c r="E295" s="79" t="s">
        <v>11</v>
      </c>
      <c r="F295" s="80" t="s">
        <v>12</v>
      </c>
      <c r="G295" s="212"/>
      <c r="H295" s="141" t="s">
        <v>13</v>
      </c>
      <c r="I295" s="619" t="s">
        <v>1512</v>
      </c>
      <c r="J295" s="684" t="s">
        <v>15</v>
      </c>
      <c r="K295" s="368" t="s">
        <v>14</v>
      </c>
    </row>
    <row r="296" spans="1:11">
      <c r="A296" s="156"/>
      <c r="B296" s="139"/>
      <c r="C296" s="207"/>
      <c r="D296" s="421"/>
      <c r="E296" s="143"/>
      <c r="F296" s="69"/>
      <c r="G296" s="206"/>
      <c r="H296" s="74"/>
      <c r="I296" s="182"/>
      <c r="J296" s="685"/>
      <c r="K296" s="367"/>
    </row>
    <row r="297" spans="1:11">
      <c r="A297" s="157"/>
      <c r="B297" s="139"/>
      <c r="C297" s="207"/>
      <c r="D297" s="421"/>
      <c r="E297" s="145"/>
      <c r="F297" s="61"/>
      <c r="G297" s="206"/>
      <c r="H297" s="74"/>
      <c r="I297" s="182"/>
      <c r="J297" s="685"/>
      <c r="K297" s="365"/>
    </row>
    <row r="298" spans="1:11">
      <c r="A298" s="157"/>
      <c r="B298" s="463"/>
      <c r="C298" s="207"/>
      <c r="D298" s="421"/>
      <c r="E298" s="145"/>
      <c r="F298" s="61"/>
      <c r="G298" s="206"/>
      <c r="H298" s="74"/>
      <c r="I298" s="182"/>
      <c r="J298" s="685"/>
      <c r="K298" s="365"/>
    </row>
    <row r="299" spans="1:11">
      <c r="A299" s="157"/>
      <c r="B299" s="463"/>
      <c r="C299" s="207"/>
      <c r="D299" s="421"/>
      <c r="E299" s="145"/>
      <c r="F299" s="61"/>
      <c r="G299" s="206"/>
      <c r="H299" s="74"/>
      <c r="I299" s="182"/>
      <c r="J299" s="685"/>
      <c r="K299" s="365"/>
    </row>
    <row r="300" spans="1:11">
      <c r="A300" s="157"/>
      <c r="B300" s="139"/>
      <c r="C300" s="207"/>
      <c r="D300" s="421"/>
      <c r="E300" s="145"/>
      <c r="F300" s="61"/>
      <c r="G300" s="206"/>
      <c r="H300" s="74"/>
      <c r="I300" s="182"/>
      <c r="J300" s="685"/>
      <c r="K300" s="365"/>
    </row>
    <row r="301" spans="1:11">
      <c r="A301" s="157"/>
      <c r="B301" s="139"/>
      <c r="C301" s="207"/>
      <c r="D301" s="421"/>
      <c r="E301" s="145"/>
      <c r="F301" s="61"/>
      <c r="G301" s="206"/>
      <c r="H301" s="74"/>
      <c r="I301" s="182"/>
      <c r="J301" s="685"/>
      <c r="K301" s="365"/>
    </row>
    <row r="302" spans="1:11">
      <c r="A302" s="157"/>
      <c r="B302" s="139"/>
      <c r="C302" s="207"/>
      <c r="D302" s="421"/>
      <c r="E302" s="145"/>
      <c r="F302" s="61"/>
      <c r="G302" s="206"/>
      <c r="H302" s="74"/>
      <c r="I302" s="182"/>
      <c r="J302" s="685"/>
      <c r="K302" s="365"/>
    </row>
    <row r="303" spans="1:11">
      <c r="A303" s="157"/>
      <c r="B303" s="463"/>
      <c r="C303" s="341"/>
      <c r="D303" s="422"/>
      <c r="E303" s="145"/>
      <c r="F303" s="61"/>
      <c r="G303" s="223"/>
      <c r="H303" s="224"/>
      <c r="I303" s="620"/>
      <c r="J303" s="686"/>
      <c r="K303" s="378"/>
    </row>
    <row r="304" spans="1:11">
      <c r="A304" s="157"/>
      <c r="B304" s="433"/>
      <c r="C304" s="207"/>
      <c r="D304" s="421"/>
      <c r="E304" s="145"/>
      <c r="F304" s="61"/>
      <c r="G304" s="206"/>
      <c r="H304" s="74"/>
      <c r="I304" s="182"/>
      <c r="J304" s="685"/>
      <c r="K304" s="365"/>
    </row>
    <row r="305" spans="1:11">
      <c r="A305" s="157"/>
      <c r="B305" s="433"/>
      <c r="C305" s="207"/>
      <c r="D305" s="421"/>
      <c r="E305" s="145"/>
      <c r="F305" s="61"/>
      <c r="G305" s="206"/>
      <c r="H305" s="74"/>
      <c r="I305" s="182"/>
      <c r="J305" s="685"/>
      <c r="K305" s="365"/>
    </row>
    <row r="306" spans="1:11">
      <c r="A306" s="157"/>
      <c r="B306" s="433"/>
      <c r="C306" s="341"/>
      <c r="D306" s="422"/>
      <c r="E306" s="237"/>
      <c r="F306" s="238"/>
      <c r="G306" s="223"/>
      <c r="H306" s="224"/>
      <c r="I306" s="620"/>
      <c r="J306" s="686"/>
      <c r="K306" s="378"/>
    </row>
    <row r="307" spans="1:11">
      <c r="A307" s="157"/>
      <c r="B307" s="433"/>
      <c r="C307" s="207"/>
      <c r="D307" s="421"/>
      <c r="E307" s="145"/>
      <c r="F307" s="61"/>
      <c r="G307" s="206"/>
      <c r="H307" s="74"/>
      <c r="I307" s="182"/>
      <c r="J307" s="685"/>
      <c r="K307" s="365"/>
    </row>
    <row r="308" spans="1:11">
      <c r="A308" s="157"/>
      <c r="B308" s="139"/>
      <c r="C308" s="341"/>
      <c r="D308" s="422"/>
      <c r="E308" s="145"/>
      <c r="F308" s="61"/>
      <c r="G308" s="223"/>
      <c r="H308" s="224"/>
      <c r="I308" s="620"/>
      <c r="J308" s="686"/>
      <c r="K308" s="378"/>
    </row>
    <row r="309" spans="1:11">
      <c r="A309" s="157"/>
      <c r="B309" s="139"/>
      <c r="C309" s="341"/>
      <c r="D309" s="422"/>
      <c r="E309" s="145"/>
      <c r="F309" s="61"/>
      <c r="G309" s="223"/>
      <c r="H309" s="224"/>
      <c r="I309" s="620"/>
      <c r="J309" s="686"/>
      <c r="K309" s="378"/>
    </row>
    <row r="310" spans="1:11">
      <c r="A310" s="221"/>
      <c r="B310" s="457"/>
      <c r="C310" s="341"/>
      <c r="D310" s="422"/>
      <c r="E310" s="145"/>
      <c r="F310" s="61"/>
      <c r="G310" s="223"/>
      <c r="H310" s="224"/>
      <c r="I310" s="620"/>
      <c r="J310" s="686"/>
      <c r="K310" s="378"/>
    </row>
    <row r="311" spans="1:11">
      <c r="A311" s="157"/>
      <c r="B311" s="139"/>
      <c r="C311" s="207"/>
      <c r="D311" s="421"/>
      <c r="E311" s="145"/>
      <c r="F311" s="61"/>
      <c r="G311" s="206"/>
      <c r="H311" s="74"/>
      <c r="I311" s="182"/>
      <c r="J311" s="686"/>
      <c r="K311" s="365"/>
    </row>
    <row r="312" spans="1:11">
      <c r="A312" s="157"/>
      <c r="B312" s="139"/>
      <c r="C312" s="207"/>
      <c r="D312" s="421"/>
      <c r="E312" s="145"/>
      <c r="F312" s="61"/>
      <c r="G312" s="206"/>
      <c r="H312" s="74"/>
      <c r="I312" s="182"/>
      <c r="J312" s="685"/>
      <c r="K312" s="365"/>
    </row>
    <row r="313" spans="1:11">
      <c r="A313" s="157"/>
      <c r="B313" s="139"/>
      <c r="C313" s="207"/>
      <c r="D313" s="421"/>
      <c r="E313" s="90"/>
      <c r="F313" s="61"/>
      <c r="G313" s="206"/>
      <c r="H313" s="74"/>
      <c r="I313" s="621"/>
      <c r="J313" s="685"/>
      <c r="K313" s="365"/>
    </row>
    <row r="314" spans="1:11">
      <c r="A314" s="157"/>
      <c r="B314" s="139"/>
      <c r="C314" s="207"/>
      <c r="D314" s="421"/>
      <c r="E314" s="90"/>
      <c r="F314" s="61"/>
      <c r="G314" s="206"/>
      <c r="H314" s="74"/>
      <c r="I314" s="182"/>
      <c r="J314" s="685"/>
      <c r="K314" s="365"/>
    </row>
    <row r="315" spans="1:11">
      <c r="A315" s="157"/>
      <c r="B315" s="139"/>
      <c r="C315" s="207"/>
      <c r="D315" s="421"/>
      <c r="E315" s="90"/>
      <c r="F315" s="61"/>
      <c r="G315" s="206"/>
      <c r="H315" s="74"/>
      <c r="I315" s="182"/>
      <c r="J315" s="685"/>
      <c r="K315" s="365"/>
    </row>
    <row r="316" spans="1:11" ht="26.25" customHeight="1">
      <c r="A316" s="157"/>
      <c r="B316" s="139"/>
      <c r="C316" s="207"/>
      <c r="D316" s="421"/>
      <c r="E316" s="90"/>
      <c r="F316" s="61"/>
      <c r="G316" s="206"/>
      <c r="H316" s="74"/>
      <c r="I316" s="182"/>
      <c r="J316" s="685"/>
      <c r="K316" s="365"/>
    </row>
    <row r="317" spans="1:11">
      <c r="A317" s="158"/>
      <c r="B317" s="139"/>
      <c r="C317" s="207"/>
      <c r="D317" s="421"/>
      <c r="E317" s="91"/>
      <c r="F317" s="61"/>
      <c r="G317" s="206"/>
      <c r="H317" s="74"/>
      <c r="I317" s="182"/>
      <c r="J317" s="685"/>
      <c r="K317" s="365"/>
    </row>
    <row r="318" spans="1:11">
      <c r="A318" s="200"/>
      <c r="B318" s="139"/>
      <c r="C318" s="207"/>
      <c r="D318" s="421"/>
      <c r="E318" s="153"/>
      <c r="F318" s="61"/>
      <c r="G318" s="206"/>
      <c r="H318" s="88"/>
      <c r="I318" s="622"/>
      <c r="J318" s="687"/>
      <c r="K318" s="379"/>
    </row>
    <row r="319" spans="1:11">
      <c r="A319" s="157"/>
      <c r="B319" s="139"/>
      <c r="C319" s="207"/>
      <c r="D319" s="421"/>
      <c r="E319" s="198"/>
      <c r="F319" s="61"/>
      <c r="G319" s="206"/>
      <c r="H319" s="74"/>
      <c r="I319" s="182"/>
      <c r="J319" s="685"/>
      <c r="K319" s="365"/>
    </row>
    <row r="320" spans="1:11">
      <c r="A320" s="157"/>
      <c r="B320" s="139"/>
      <c r="C320" s="207"/>
      <c r="D320" s="421"/>
      <c r="E320" s="142"/>
      <c r="F320" s="61"/>
      <c r="G320" s="206"/>
      <c r="H320" s="74"/>
      <c r="I320" s="182"/>
      <c r="J320" s="685"/>
      <c r="K320" s="365"/>
    </row>
    <row r="321" spans="1:11">
      <c r="A321" s="157"/>
      <c r="B321" s="139"/>
      <c r="C321" s="207"/>
      <c r="D321" s="322"/>
      <c r="E321" s="120"/>
      <c r="F321" s="121"/>
      <c r="G321" s="206"/>
      <c r="H321" s="115"/>
      <c r="I321" s="217"/>
      <c r="J321" s="685"/>
      <c r="K321" s="365"/>
    </row>
    <row r="322" spans="1:11">
      <c r="A322" s="157"/>
      <c r="B322" s="139"/>
      <c r="C322" s="207"/>
      <c r="D322" s="322"/>
      <c r="E322" s="249"/>
      <c r="F322" s="121"/>
      <c r="G322" s="206"/>
      <c r="H322" s="115"/>
      <c r="I322" s="217"/>
      <c r="J322" s="685"/>
      <c r="K322" s="365"/>
    </row>
    <row r="323" spans="1:11">
      <c r="A323" s="157"/>
      <c r="B323" s="139"/>
      <c r="C323" s="207"/>
      <c r="D323" s="322"/>
      <c r="E323" s="249"/>
      <c r="F323" s="121"/>
      <c r="G323" s="206"/>
      <c r="H323" s="115"/>
      <c r="I323" s="217"/>
      <c r="J323" s="685"/>
      <c r="K323" s="365"/>
    </row>
    <row r="324" spans="1:11">
      <c r="A324" s="157"/>
      <c r="B324" s="139"/>
      <c r="C324" s="207"/>
      <c r="D324" s="322"/>
      <c r="E324" s="249"/>
      <c r="F324" s="121"/>
      <c r="G324" s="206"/>
      <c r="H324" s="115"/>
      <c r="I324" s="217"/>
      <c r="J324" s="685"/>
      <c r="K324" s="365"/>
    </row>
    <row r="325" spans="1:11">
      <c r="A325" s="157"/>
      <c r="B325" s="139"/>
      <c r="C325" s="207"/>
      <c r="D325" s="322"/>
      <c r="E325" s="142"/>
      <c r="F325" s="61"/>
      <c r="G325" s="206"/>
      <c r="H325" s="74"/>
      <c r="I325" s="182"/>
      <c r="J325" s="685"/>
      <c r="K325" s="365"/>
    </row>
    <row r="326" spans="1:11">
      <c r="A326" s="157"/>
      <c r="B326" s="460"/>
      <c r="C326" s="207"/>
      <c r="D326" s="322"/>
      <c r="E326" s="142"/>
      <c r="F326" s="61"/>
      <c r="G326" s="206"/>
      <c r="H326" s="74"/>
      <c r="I326" s="182"/>
      <c r="J326" s="685"/>
      <c r="K326" s="365"/>
    </row>
    <row r="327" spans="1:11">
      <c r="A327" s="160"/>
      <c r="B327" s="139"/>
      <c r="C327" s="207"/>
      <c r="D327" s="322"/>
      <c r="E327" s="120"/>
      <c r="F327" s="121"/>
      <c r="G327" s="206"/>
      <c r="H327" s="115"/>
      <c r="I327" s="217"/>
      <c r="J327" s="691"/>
      <c r="K327" s="363"/>
    </row>
    <row r="328" spans="1:11">
      <c r="A328" s="204"/>
      <c r="B328" s="109"/>
      <c r="C328" s="205"/>
      <c r="D328" s="167"/>
      <c r="E328" s="3444"/>
      <c r="F328" s="3444"/>
      <c r="G328" s="213"/>
      <c r="H328" s="109"/>
      <c r="I328" s="109"/>
      <c r="J328" s="690"/>
      <c r="K328" s="380"/>
    </row>
    <row r="329" spans="1:11">
      <c r="F329" s="68"/>
    </row>
    <row r="330" spans="1:11">
      <c r="A330" s="44" t="s">
        <v>0</v>
      </c>
      <c r="C330" s="167"/>
      <c r="F330" s="68"/>
    </row>
    <row r="331" spans="1:11">
      <c r="A331" s="3480" t="s">
        <v>2512</v>
      </c>
      <c r="B331" s="3480"/>
      <c r="C331" s="270"/>
      <c r="D331" s="167"/>
      <c r="F331" s="68"/>
    </row>
    <row r="332" spans="1:11" ht="35.25" thickBot="1">
      <c r="F332" s="68"/>
    </row>
    <row r="333" spans="1:11">
      <c r="A333" s="3493" t="s">
        <v>2</v>
      </c>
      <c r="B333" s="3482"/>
      <c r="C333" s="344" t="s">
        <v>3</v>
      </c>
      <c r="D333" s="408" t="s">
        <v>4</v>
      </c>
      <c r="E333" s="77" t="s">
        <v>5</v>
      </c>
      <c r="F333" s="78" t="s">
        <v>5</v>
      </c>
      <c r="G333" s="211" t="s">
        <v>6</v>
      </c>
      <c r="H333" s="140" t="s">
        <v>7</v>
      </c>
      <c r="I333" s="618" t="s">
        <v>1511</v>
      </c>
      <c r="J333" s="683" t="s">
        <v>9</v>
      </c>
      <c r="K333" s="367" t="s">
        <v>9</v>
      </c>
    </row>
    <row r="334" spans="1:11" ht="35.25" thickBot="1">
      <c r="A334" s="155"/>
      <c r="B334" s="494"/>
      <c r="C334" s="345"/>
      <c r="D334" s="409" t="s">
        <v>10</v>
      </c>
      <c r="E334" s="79" t="s">
        <v>11</v>
      </c>
      <c r="F334" s="80" t="s">
        <v>12</v>
      </c>
      <c r="G334" s="212"/>
      <c r="H334" s="141" t="s">
        <v>13</v>
      </c>
      <c r="I334" s="619" t="s">
        <v>1512</v>
      </c>
      <c r="J334" s="684" t="s">
        <v>15</v>
      </c>
      <c r="K334" s="368" t="s">
        <v>14</v>
      </c>
    </row>
    <row r="335" spans="1:11">
      <c r="A335" s="156"/>
      <c r="B335" s="139"/>
      <c r="C335" s="207"/>
      <c r="D335" s="421"/>
      <c r="E335" s="143"/>
      <c r="F335" s="69"/>
      <c r="G335" s="206"/>
      <c r="H335" s="74"/>
      <c r="I335" s="182"/>
      <c r="J335" s="685"/>
      <c r="K335" s="367"/>
    </row>
    <row r="336" spans="1:11">
      <c r="A336" s="157"/>
      <c r="B336" s="139"/>
      <c r="C336" s="207"/>
      <c r="D336" s="421"/>
      <c r="E336" s="145"/>
      <c r="F336" s="61"/>
      <c r="G336" s="206"/>
      <c r="H336" s="74"/>
      <c r="I336" s="182"/>
      <c r="J336" s="685"/>
      <c r="K336" s="365"/>
    </row>
    <row r="337" spans="1:11">
      <c r="A337" s="157"/>
      <c r="B337" s="463"/>
      <c r="C337" s="207"/>
      <c r="D337" s="421"/>
      <c r="E337" s="145"/>
      <c r="F337" s="61"/>
      <c r="G337" s="206"/>
      <c r="H337" s="74"/>
      <c r="I337" s="182"/>
      <c r="J337" s="685"/>
      <c r="K337" s="365"/>
    </row>
    <row r="338" spans="1:11">
      <c r="A338" s="157"/>
      <c r="B338" s="463"/>
      <c r="C338" s="207"/>
      <c r="D338" s="421"/>
      <c r="E338" s="145"/>
      <c r="F338" s="61"/>
      <c r="G338" s="206"/>
      <c r="H338" s="74"/>
      <c r="I338" s="182"/>
      <c r="J338" s="685"/>
      <c r="K338" s="365"/>
    </row>
    <row r="339" spans="1:11">
      <c r="A339" s="157"/>
      <c r="B339" s="139"/>
      <c r="C339" s="207"/>
      <c r="D339" s="421"/>
      <c r="E339" s="145"/>
      <c r="F339" s="61"/>
      <c r="G339" s="206"/>
      <c r="H339" s="74"/>
      <c r="I339" s="182"/>
      <c r="J339" s="685"/>
      <c r="K339" s="365"/>
    </row>
    <row r="340" spans="1:11">
      <c r="A340" s="157"/>
      <c r="B340" s="139"/>
      <c r="C340" s="207"/>
      <c r="D340" s="421"/>
      <c r="E340" s="145"/>
      <c r="F340" s="61"/>
      <c r="G340" s="206"/>
      <c r="H340" s="74"/>
      <c r="I340" s="182"/>
      <c r="J340" s="685"/>
      <c r="K340" s="365"/>
    </row>
    <row r="341" spans="1:11">
      <c r="A341" s="157"/>
      <c r="B341" s="139"/>
      <c r="C341" s="207"/>
      <c r="D341" s="421"/>
      <c r="E341" s="145"/>
      <c r="F341" s="61"/>
      <c r="G341" s="206"/>
      <c r="H341" s="74"/>
      <c r="I341" s="182"/>
      <c r="J341" s="685"/>
      <c r="K341" s="365"/>
    </row>
    <row r="342" spans="1:11">
      <c r="A342" s="157"/>
      <c r="B342" s="463"/>
      <c r="C342" s="341"/>
      <c r="D342" s="422"/>
      <c r="E342" s="145"/>
      <c r="F342" s="61"/>
      <c r="G342" s="223"/>
      <c r="H342" s="224"/>
      <c r="I342" s="620"/>
      <c r="J342" s="686"/>
      <c r="K342" s="378"/>
    </row>
    <row r="343" spans="1:11">
      <c r="A343" s="157"/>
      <c r="B343" s="433"/>
      <c r="C343" s="207"/>
      <c r="D343" s="421"/>
      <c r="E343" s="145"/>
      <c r="F343" s="61"/>
      <c r="G343" s="206"/>
      <c r="H343" s="74"/>
      <c r="I343" s="182"/>
      <c r="J343" s="685"/>
      <c r="K343" s="365"/>
    </row>
    <row r="344" spans="1:11">
      <c r="A344" s="157"/>
      <c r="B344" s="433"/>
      <c r="C344" s="207"/>
      <c r="D344" s="421"/>
      <c r="E344" s="145"/>
      <c r="F344" s="61"/>
      <c r="G344" s="206"/>
      <c r="H344" s="74"/>
      <c r="I344" s="182"/>
      <c r="J344" s="685"/>
      <c r="K344" s="365"/>
    </row>
    <row r="345" spans="1:11">
      <c r="A345" s="157"/>
      <c r="B345" s="433"/>
      <c r="C345" s="341"/>
      <c r="D345" s="422"/>
      <c r="E345" s="237"/>
      <c r="F345" s="238"/>
      <c r="G345" s="223"/>
      <c r="H345" s="224"/>
      <c r="I345" s="620"/>
      <c r="J345" s="686"/>
      <c r="K345" s="378"/>
    </row>
    <row r="346" spans="1:11">
      <c r="A346" s="157"/>
      <c r="B346" s="433"/>
      <c r="C346" s="207"/>
      <c r="D346" s="421"/>
      <c r="E346" s="145"/>
      <c r="F346" s="61"/>
      <c r="G346" s="206"/>
      <c r="H346" s="74"/>
      <c r="I346" s="182"/>
      <c r="J346" s="685"/>
      <c r="K346" s="365"/>
    </row>
    <row r="347" spans="1:11">
      <c r="A347" s="157"/>
      <c r="B347" s="139"/>
      <c r="C347" s="341"/>
      <c r="D347" s="422"/>
      <c r="E347" s="145"/>
      <c r="F347" s="61"/>
      <c r="G347" s="223"/>
      <c r="H347" s="224"/>
      <c r="I347" s="620"/>
      <c r="J347" s="686"/>
      <c r="K347" s="378"/>
    </row>
    <row r="348" spans="1:11">
      <c r="A348" s="157"/>
      <c r="B348" s="139"/>
      <c r="C348" s="341"/>
      <c r="D348" s="422"/>
      <c r="E348" s="145"/>
      <c r="F348" s="61"/>
      <c r="G348" s="223"/>
      <c r="H348" s="224"/>
      <c r="I348" s="620"/>
      <c r="J348" s="686"/>
      <c r="K348" s="378"/>
    </row>
    <row r="349" spans="1:11">
      <c r="A349" s="221"/>
      <c r="B349" s="457"/>
      <c r="C349" s="341"/>
      <c r="D349" s="422"/>
      <c r="E349" s="145"/>
      <c r="F349" s="61"/>
      <c r="G349" s="223"/>
      <c r="H349" s="224"/>
      <c r="I349" s="620"/>
      <c r="J349" s="686"/>
      <c r="K349" s="378"/>
    </row>
    <row r="350" spans="1:11">
      <c r="A350" s="157"/>
      <c r="B350" s="139"/>
      <c r="C350" s="207"/>
      <c r="D350" s="421"/>
      <c r="E350" s="145"/>
      <c r="F350" s="61"/>
      <c r="G350" s="206"/>
      <c r="H350" s="74"/>
      <c r="I350" s="182"/>
      <c r="J350" s="686"/>
      <c r="K350" s="365"/>
    </row>
    <row r="351" spans="1:11" ht="24" customHeight="1">
      <c r="A351" s="157"/>
      <c r="B351" s="139"/>
      <c r="C351" s="207"/>
      <c r="D351" s="421"/>
      <c r="E351" s="145"/>
      <c r="F351" s="61"/>
      <c r="G351" s="206"/>
      <c r="H351" s="74"/>
      <c r="I351" s="182"/>
      <c r="J351" s="685"/>
      <c r="K351" s="365"/>
    </row>
    <row r="352" spans="1:11">
      <c r="A352" s="157"/>
      <c r="B352" s="139"/>
      <c r="C352" s="207"/>
      <c r="D352" s="421"/>
      <c r="E352" s="90"/>
      <c r="F352" s="61"/>
      <c r="G352" s="206"/>
      <c r="H352" s="74"/>
      <c r="I352" s="621"/>
      <c r="J352" s="685"/>
      <c r="K352" s="365"/>
    </row>
    <row r="353" spans="1:11">
      <c r="A353" s="157"/>
      <c r="B353" s="139"/>
      <c r="C353" s="207"/>
      <c r="D353" s="421"/>
      <c r="E353" s="90"/>
      <c r="F353" s="61"/>
      <c r="G353" s="206"/>
      <c r="H353" s="74"/>
      <c r="I353" s="182"/>
      <c r="J353" s="685"/>
      <c r="K353" s="365"/>
    </row>
    <row r="354" spans="1:11">
      <c r="A354" s="157"/>
      <c r="B354" s="139"/>
      <c r="C354" s="207"/>
      <c r="D354" s="421"/>
      <c r="E354" s="90"/>
      <c r="F354" s="61"/>
      <c r="G354" s="206"/>
      <c r="H354" s="74"/>
      <c r="I354" s="182"/>
      <c r="J354" s="685"/>
      <c r="K354" s="365"/>
    </row>
    <row r="355" spans="1:11">
      <c r="A355" s="157"/>
      <c r="B355" s="139"/>
      <c r="C355" s="207"/>
      <c r="D355" s="421"/>
      <c r="E355" s="90"/>
      <c r="F355" s="61"/>
      <c r="G355" s="206"/>
      <c r="H355" s="74"/>
      <c r="I355" s="182"/>
      <c r="J355" s="685"/>
      <c r="K355" s="365"/>
    </row>
    <row r="356" spans="1:11">
      <c r="A356" s="158"/>
      <c r="B356" s="139"/>
      <c r="C356" s="207"/>
      <c r="D356" s="421"/>
      <c r="E356" s="91"/>
      <c r="F356" s="61"/>
      <c r="G356" s="206"/>
      <c r="H356" s="74"/>
      <c r="I356" s="182"/>
      <c r="J356" s="685"/>
      <c r="K356" s="365"/>
    </row>
    <row r="357" spans="1:11">
      <c r="A357" s="200"/>
      <c r="B357" s="139"/>
      <c r="C357" s="207"/>
      <c r="D357" s="421"/>
      <c r="E357" s="153"/>
      <c r="F357" s="61"/>
      <c r="G357" s="206"/>
      <c r="H357" s="88"/>
      <c r="I357" s="622"/>
      <c r="J357" s="687"/>
      <c r="K357" s="379"/>
    </row>
    <row r="358" spans="1:11">
      <c r="A358" s="157"/>
      <c r="B358" s="139"/>
      <c r="C358" s="207"/>
      <c r="D358" s="421"/>
      <c r="E358" s="198"/>
      <c r="F358" s="61"/>
      <c r="G358" s="206"/>
      <c r="H358" s="74"/>
      <c r="I358" s="182"/>
      <c r="J358" s="685"/>
      <c r="K358" s="365"/>
    </row>
    <row r="359" spans="1:11">
      <c r="A359" s="157"/>
      <c r="B359" s="139"/>
      <c r="C359" s="207"/>
      <c r="D359" s="421"/>
      <c r="E359" s="142"/>
      <c r="F359" s="61"/>
      <c r="G359" s="206"/>
      <c r="H359" s="74"/>
      <c r="I359" s="182"/>
      <c r="J359" s="685"/>
      <c r="K359" s="365"/>
    </row>
    <row r="360" spans="1:11">
      <c r="A360" s="157"/>
      <c r="B360" s="139"/>
      <c r="C360" s="207"/>
      <c r="D360" s="322"/>
      <c r="E360" s="120"/>
      <c r="F360" s="121"/>
      <c r="G360" s="206"/>
      <c r="H360" s="115"/>
      <c r="I360" s="217"/>
      <c r="J360" s="685"/>
      <c r="K360" s="365"/>
    </row>
    <row r="361" spans="1:11">
      <c r="A361" s="157"/>
      <c r="B361" s="139"/>
      <c r="C361" s="207"/>
      <c r="D361" s="322"/>
      <c r="E361" s="249"/>
      <c r="F361" s="121"/>
      <c r="G361" s="206"/>
      <c r="H361" s="115"/>
      <c r="I361" s="217"/>
      <c r="J361" s="685"/>
      <c r="K361" s="365"/>
    </row>
    <row r="362" spans="1:11">
      <c r="A362" s="157"/>
      <c r="B362" s="139"/>
      <c r="C362" s="207"/>
      <c r="D362" s="322"/>
      <c r="E362" s="249"/>
      <c r="F362" s="121"/>
      <c r="G362" s="206"/>
      <c r="H362" s="115"/>
      <c r="I362" s="217"/>
      <c r="J362" s="685"/>
      <c r="K362" s="365"/>
    </row>
    <row r="363" spans="1:11">
      <c r="A363" s="157"/>
      <c r="B363" s="139"/>
      <c r="C363" s="207"/>
      <c r="D363" s="322"/>
      <c r="E363" s="249"/>
      <c r="F363" s="121"/>
      <c r="G363" s="206"/>
      <c r="H363" s="115"/>
      <c r="I363" s="217"/>
      <c r="J363" s="685"/>
      <c r="K363" s="365"/>
    </row>
    <row r="364" spans="1:11">
      <c r="A364" s="157"/>
      <c r="B364" s="139"/>
      <c r="C364" s="207"/>
      <c r="D364" s="322"/>
      <c r="E364" s="142"/>
      <c r="F364" s="61"/>
      <c r="G364" s="206"/>
      <c r="H364" s="74"/>
      <c r="I364" s="182"/>
      <c r="J364" s="685"/>
      <c r="K364" s="365"/>
    </row>
    <row r="365" spans="1:11">
      <c r="A365" s="157"/>
      <c r="B365" s="460"/>
      <c r="C365" s="207"/>
      <c r="D365" s="322"/>
      <c r="E365" s="142"/>
      <c r="F365" s="61"/>
      <c r="G365" s="206"/>
      <c r="H365" s="74"/>
      <c r="I365" s="182"/>
      <c r="J365" s="685"/>
      <c r="K365" s="365"/>
    </row>
    <row r="366" spans="1:11">
      <c r="A366" s="160"/>
      <c r="B366" s="139"/>
      <c r="C366" s="207"/>
      <c r="D366" s="322"/>
      <c r="E366" s="120"/>
      <c r="F366" s="121"/>
      <c r="G366" s="206"/>
      <c r="H366" s="115"/>
      <c r="I366" s="217"/>
      <c r="J366" s="691"/>
      <c r="K366" s="363"/>
    </row>
    <row r="367" spans="1:11">
      <c r="A367" s="204"/>
      <c r="B367" s="109"/>
      <c r="C367" s="205"/>
      <c r="D367" s="167"/>
      <c r="E367" s="3444"/>
      <c r="F367" s="3444"/>
      <c r="G367" s="213"/>
      <c r="H367" s="109"/>
      <c r="I367" s="109"/>
      <c r="J367" s="690"/>
      <c r="K367" s="380"/>
    </row>
    <row r="368" spans="1:11">
      <c r="F368" s="68"/>
    </row>
    <row r="369" spans="1:11">
      <c r="A369" s="44" t="s">
        <v>0</v>
      </c>
      <c r="C369" s="167"/>
      <c r="F369" s="68"/>
    </row>
    <row r="370" spans="1:11">
      <c r="A370" s="3480" t="s">
        <v>2512</v>
      </c>
      <c r="B370" s="3480"/>
      <c r="C370" s="270"/>
      <c r="D370" s="167"/>
      <c r="F370" s="68"/>
    </row>
    <row r="371" spans="1:11" ht="35.25" thickBot="1">
      <c r="F371" s="68"/>
    </row>
    <row r="372" spans="1:11">
      <c r="A372" s="3493" t="s">
        <v>2</v>
      </c>
      <c r="B372" s="3482"/>
      <c r="C372" s="344" t="s">
        <v>3</v>
      </c>
      <c r="D372" s="408" t="s">
        <v>4</v>
      </c>
      <c r="E372" s="77" t="s">
        <v>5</v>
      </c>
      <c r="F372" s="78" t="s">
        <v>5</v>
      </c>
      <c r="G372" s="211" t="s">
        <v>6</v>
      </c>
      <c r="H372" s="140" t="s">
        <v>7</v>
      </c>
      <c r="I372" s="618" t="s">
        <v>1511</v>
      </c>
      <c r="J372" s="683" t="s">
        <v>9</v>
      </c>
      <c r="K372" s="367" t="s">
        <v>9</v>
      </c>
    </row>
    <row r="373" spans="1:11" ht="35.25" thickBot="1">
      <c r="A373" s="155"/>
      <c r="B373" s="494"/>
      <c r="C373" s="345"/>
      <c r="D373" s="409" t="s">
        <v>10</v>
      </c>
      <c r="E373" s="79" t="s">
        <v>11</v>
      </c>
      <c r="F373" s="80" t="s">
        <v>12</v>
      </c>
      <c r="G373" s="212"/>
      <c r="H373" s="141" t="s">
        <v>13</v>
      </c>
      <c r="I373" s="619" t="s">
        <v>1512</v>
      </c>
      <c r="J373" s="684" t="s">
        <v>15</v>
      </c>
      <c r="K373" s="368" t="s">
        <v>14</v>
      </c>
    </row>
    <row r="374" spans="1:11">
      <c r="A374" s="156"/>
      <c r="B374" s="139"/>
      <c r="C374" s="207"/>
      <c r="D374" s="421"/>
      <c r="E374" s="143"/>
      <c r="F374" s="69"/>
      <c r="G374" s="206"/>
      <c r="H374" s="74"/>
      <c r="I374" s="182"/>
      <c r="J374" s="685"/>
      <c r="K374" s="367"/>
    </row>
    <row r="375" spans="1:11">
      <c r="A375" s="157"/>
      <c r="B375" s="139"/>
      <c r="C375" s="207"/>
      <c r="D375" s="421"/>
      <c r="E375" s="145"/>
      <c r="F375" s="61"/>
      <c r="G375" s="206"/>
      <c r="H375" s="74"/>
      <c r="I375" s="182"/>
      <c r="J375" s="685"/>
      <c r="K375" s="365"/>
    </row>
    <row r="376" spans="1:11">
      <c r="A376" s="157"/>
      <c r="B376" s="463"/>
      <c r="C376" s="207"/>
      <c r="D376" s="421"/>
      <c r="E376" s="145"/>
      <c r="F376" s="61"/>
      <c r="G376" s="206"/>
      <c r="H376" s="74"/>
      <c r="I376" s="182"/>
      <c r="J376" s="685"/>
      <c r="K376" s="365"/>
    </row>
    <row r="377" spans="1:11">
      <c r="A377" s="157"/>
      <c r="B377" s="463"/>
      <c r="C377" s="207"/>
      <c r="D377" s="421"/>
      <c r="E377" s="145"/>
      <c r="F377" s="61"/>
      <c r="G377" s="206"/>
      <c r="H377" s="74"/>
      <c r="I377" s="182"/>
      <c r="J377" s="685"/>
      <c r="K377" s="365"/>
    </row>
    <row r="378" spans="1:11">
      <c r="A378" s="157"/>
      <c r="B378" s="139"/>
      <c r="C378" s="207"/>
      <c r="D378" s="421"/>
      <c r="E378" s="145"/>
      <c r="F378" s="61"/>
      <c r="G378" s="206"/>
      <c r="H378" s="74"/>
      <c r="I378" s="182"/>
      <c r="J378" s="685"/>
      <c r="K378" s="365"/>
    </row>
    <row r="379" spans="1:11">
      <c r="A379" s="157"/>
      <c r="B379" s="139"/>
      <c r="C379" s="207"/>
      <c r="D379" s="421"/>
      <c r="E379" s="145"/>
      <c r="F379" s="61"/>
      <c r="G379" s="206"/>
      <c r="H379" s="74"/>
      <c r="I379" s="182"/>
      <c r="J379" s="685"/>
      <c r="K379" s="365"/>
    </row>
    <row r="380" spans="1:11">
      <c r="A380" s="157"/>
      <c r="B380" s="139"/>
      <c r="C380" s="207"/>
      <c r="D380" s="421"/>
      <c r="E380" s="145"/>
      <c r="F380" s="61"/>
      <c r="G380" s="206"/>
      <c r="H380" s="74"/>
      <c r="I380" s="182"/>
      <c r="J380" s="685"/>
      <c r="K380" s="365"/>
    </row>
    <row r="381" spans="1:11">
      <c r="A381" s="157"/>
      <c r="B381" s="463"/>
      <c r="C381" s="341"/>
      <c r="D381" s="422"/>
      <c r="E381" s="145"/>
      <c r="F381" s="61"/>
      <c r="G381" s="223"/>
      <c r="H381" s="224"/>
      <c r="I381" s="620"/>
      <c r="J381" s="686"/>
      <c r="K381" s="378"/>
    </row>
    <row r="382" spans="1:11">
      <c r="A382" s="157"/>
      <c r="B382" s="433"/>
      <c r="C382" s="207"/>
      <c r="D382" s="421"/>
      <c r="E382" s="145"/>
      <c r="F382" s="61"/>
      <c r="G382" s="206"/>
      <c r="H382" s="74"/>
      <c r="I382" s="182"/>
      <c r="J382" s="685"/>
      <c r="K382" s="365"/>
    </row>
    <row r="383" spans="1:11">
      <c r="A383" s="157"/>
      <c r="B383" s="433"/>
      <c r="C383" s="207"/>
      <c r="D383" s="421"/>
      <c r="E383" s="145"/>
      <c r="F383" s="61"/>
      <c r="G383" s="206"/>
      <c r="H383" s="74"/>
      <c r="I383" s="182"/>
      <c r="J383" s="685"/>
      <c r="K383" s="365"/>
    </row>
    <row r="384" spans="1:11">
      <c r="A384" s="157"/>
      <c r="B384" s="433"/>
      <c r="C384" s="341"/>
      <c r="D384" s="422"/>
      <c r="E384" s="237"/>
      <c r="F384" s="238"/>
      <c r="G384" s="223"/>
      <c r="H384" s="224"/>
      <c r="I384" s="620"/>
      <c r="J384" s="686"/>
      <c r="K384" s="378"/>
    </row>
    <row r="385" spans="1:11">
      <c r="A385" s="157"/>
      <c r="B385" s="433"/>
      <c r="C385" s="207"/>
      <c r="D385" s="421"/>
      <c r="E385" s="145"/>
      <c r="F385" s="61"/>
      <c r="G385" s="206"/>
      <c r="H385" s="74"/>
      <c r="I385" s="182"/>
      <c r="J385" s="685"/>
      <c r="K385" s="365"/>
    </row>
    <row r="386" spans="1:11">
      <c r="A386" s="157"/>
      <c r="B386" s="139"/>
      <c r="C386" s="341"/>
      <c r="D386" s="422"/>
      <c r="E386" s="145"/>
      <c r="F386" s="61"/>
      <c r="G386" s="223"/>
      <c r="H386" s="224"/>
      <c r="I386" s="620"/>
      <c r="J386" s="686"/>
      <c r="K386" s="378"/>
    </row>
    <row r="387" spans="1:11">
      <c r="A387" s="157"/>
      <c r="B387" s="139"/>
      <c r="C387" s="341"/>
      <c r="D387" s="422"/>
      <c r="E387" s="145"/>
      <c r="F387" s="61"/>
      <c r="G387" s="223"/>
      <c r="H387" s="224"/>
      <c r="I387" s="620"/>
      <c r="J387" s="686"/>
      <c r="K387" s="378"/>
    </row>
    <row r="388" spans="1:11">
      <c r="A388" s="221"/>
      <c r="B388" s="457"/>
      <c r="C388" s="341"/>
      <c r="D388" s="422"/>
      <c r="E388" s="145"/>
      <c r="F388" s="61"/>
      <c r="G388" s="223"/>
      <c r="H388" s="224"/>
      <c r="I388" s="620"/>
      <c r="J388" s="686"/>
      <c r="K388" s="378"/>
    </row>
    <row r="389" spans="1:11">
      <c r="A389" s="157"/>
      <c r="B389" s="139"/>
      <c r="C389" s="207"/>
      <c r="D389" s="421"/>
      <c r="E389" s="145"/>
      <c r="F389" s="61"/>
      <c r="G389" s="206"/>
      <c r="H389" s="74"/>
      <c r="I389" s="182"/>
      <c r="J389" s="686"/>
      <c r="K389" s="365"/>
    </row>
    <row r="390" spans="1:11">
      <c r="A390" s="157"/>
      <c r="B390" s="139"/>
      <c r="C390" s="207"/>
      <c r="D390" s="421"/>
      <c r="E390" s="145"/>
      <c r="F390" s="61"/>
      <c r="G390" s="206"/>
      <c r="H390" s="74"/>
      <c r="I390" s="182"/>
      <c r="J390" s="685"/>
      <c r="K390" s="365"/>
    </row>
    <row r="391" spans="1:11">
      <c r="A391" s="157"/>
      <c r="B391" s="139"/>
      <c r="C391" s="207"/>
      <c r="D391" s="421"/>
      <c r="E391" s="90"/>
      <c r="F391" s="61"/>
      <c r="G391" s="206"/>
      <c r="H391" s="74"/>
      <c r="I391" s="621"/>
      <c r="J391" s="685"/>
      <c r="K391" s="365"/>
    </row>
    <row r="392" spans="1:11">
      <c r="A392" s="157"/>
      <c r="B392" s="139"/>
      <c r="C392" s="207"/>
      <c r="D392" s="421"/>
      <c r="E392" s="90"/>
      <c r="F392" s="61"/>
      <c r="G392" s="206"/>
      <c r="H392" s="74"/>
      <c r="I392" s="182"/>
      <c r="J392" s="685"/>
      <c r="K392" s="365"/>
    </row>
    <row r="393" spans="1:11">
      <c r="A393" s="157"/>
      <c r="B393" s="139"/>
      <c r="C393" s="207"/>
      <c r="D393" s="421"/>
      <c r="E393" s="90"/>
      <c r="F393" s="61"/>
      <c r="G393" s="206"/>
      <c r="H393" s="74"/>
      <c r="I393" s="182"/>
      <c r="J393" s="685"/>
      <c r="K393" s="365"/>
    </row>
    <row r="394" spans="1:11">
      <c r="A394" s="157"/>
      <c r="B394" s="139"/>
      <c r="C394" s="207"/>
      <c r="D394" s="421"/>
      <c r="E394" s="90"/>
      <c r="F394" s="61"/>
      <c r="G394" s="206"/>
      <c r="H394" s="74"/>
      <c r="I394" s="182"/>
      <c r="J394" s="685"/>
      <c r="K394" s="365"/>
    </row>
    <row r="395" spans="1:11">
      <c r="A395" s="158"/>
      <c r="B395" s="139"/>
      <c r="C395" s="207"/>
      <c r="D395" s="421"/>
      <c r="E395" s="91"/>
      <c r="F395" s="61"/>
      <c r="G395" s="206"/>
      <c r="H395" s="74"/>
      <c r="I395" s="182"/>
      <c r="J395" s="685"/>
      <c r="K395" s="365"/>
    </row>
    <row r="396" spans="1:11">
      <c r="A396" s="200"/>
      <c r="B396" s="139"/>
      <c r="C396" s="207"/>
      <c r="D396" s="421"/>
      <c r="E396" s="153"/>
      <c r="F396" s="61"/>
      <c r="G396" s="206"/>
      <c r="H396" s="88"/>
      <c r="I396" s="622"/>
      <c r="J396" s="687"/>
      <c r="K396" s="379"/>
    </row>
    <row r="397" spans="1:11">
      <c r="A397" s="157"/>
      <c r="B397" s="139"/>
      <c r="C397" s="207"/>
      <c r="D397" s="421"/>
      <c r="E397" s="198"/>
      <c r="F397" s="61"/>
      <c r="G397" s="206"/>
      <c r="H397" s="74"/>
      <c r="I397" s="182"/>
      <c r="J397" s="685"/>
      <c r="K397" s="365"/>
    </row>
    <row r="398" spans="1:11">
      <c r="A398" s="157"/>
      <c r="B398" s="139"/>
      <c r="C398" s="207"/>
      <c r="D398" s="421"/>
      <c r="E398" s="142"/>
      <c r="F398" s="61"/>
      <c r="G398" s="206"/>
      <c r="H398" s="74"/>
      <c r="I398" s="182"/>
      <c r="J398" s="685"/>
      <c r="K398" s="365"/>
    </row>
    <row r="399" spans="1:11">
      <c r="A399" s="157"/>
      <c r="B399" s="139"/>
      <c r="C399" s="207"/>
      <c r="D399" s="322"/>
      <c r="E399" s="120"/>
      <c r="F399" s="121"/>
      <c r="G399" s="206"/>
      <c r="H399" s="115"/>
      <c r="I399" s="217"/>
      <c r="J399" s="685"/>
      <c r="K399" s="365"/>
    </row>
    <row r="400" spans="1:11">
      <c r="A400" s="157"/>
      <c r="B400" s="139"/>
      <c r="C400" s="207"/>
      <c r="D400" s="322"/>
      <c r="E400" s="249"/>
      <c r="F400" s="121"/>
      <c r="G400" s="206"/>
      <c r="H400" s="115"/>
      <c r="I400" s="217"/>
      <c r="J400" s="685"/>
      <c r="K400" s="365"/>
    </row>
    <row r="401" spans="1:11">
      <c r="A401" s="157"/>
      <c r="B401" s="139"/>
      <c r="C401" s="207"/>
      <c r="D401" s="322"/>
      <c r="E401" s="249"/>
      <c r="F401" s="121"/>
      <c r="G401" s="206"/>
      <c r="H401" s="115"/>
      <c r="I401" s="217"/>
      <c r="J401" s="685"/>
      <c r="K401" s="365"/>
    </row>
    <row r="402" spans="1:11">
      <c r="A402" s="157"/>
      <c r="B402" s="139"/>
      <c r="C402" s="207"/>
      <c r="D402" s="322"/>
      <c r="E402" s="249"/>
      <c r="F402" s="121"/>
      <c r="G402" s="206"/>
      <c r="H402" s="115"/>
      <c r="I402" s="217"/>
      <c r="J402" s="685"/>
      <c r="K402" s="365"/>
    </row>
    <row r="403" spans="1:11">
      <c r="A403" s="157"/>
      <c r="B403" s="139"/>
      <c r="C403" s="207"/>
      <c r="D403" s="322"/>
      <c r="E403" s="142"/>
      <c r="F403" s="61"/>
      <c r="G403" s="206"/>
      <c r="H403" s="74"/>
      <c r="I403" s="182"/>
      <c r="J403" s="685"/>
      <c r="K403" s="365"/>
    </row>
    <row r="404" spans="1:11">
      <c r="A404" s="157"/>
      <c r="B404" s="460"/>
      <c r="C404" s="207"/>
      <c r="D404" s="322"/>
      <c r="E404" s="142"/>
      <c r="F404" s="61"/>
      <c r="G404" s="206"/>
      <c r="H404" s="74"/>
      <c r="I404" s="182"/>
      <c r="J404" s="685"/>
      <c r="K404" s="365"/>
    </row>
    <row r="405" spans="1:11">
      <c r="A405" s="160"/>
      <c r="B405" s="139"/>
      <c r="C405" s="207"/>
      <c r="D405" s="322"/>
      <c r="E405" s="120"/>
      <c r="F405" s="121"/>
      <c r="G405" s="206"/>
      <c r="H405" s="115"/>
      <c r="I405" s="217"/>
      <c r="J405" s="691"/>
      <c r="K405" s="363"/>
    </row>
    <row r="406" spans="1:11">
      <c r="F406" s="68"/>
    </row>
    <row r="407" spans="1:11">
      <c r="A407" s="44" t="s">
        <v>0</v>
      </c>
      <c r="C407" s="167"/>
      <c r="F407" s="68"/>
    </row>
    <row r="408" spans="1:11">
      <c r="A408" s="3480" t="s">
        <v>2512</v>
      </c>
      <c r="B408" s="3480"/>
      <c r="C408" s="270"/>
      <c r="D408" s="167"/>
      <c r="F408" s="68"/>
    </row>
    <row r="409" spans="1:11" ht="35.25" thickBot="1">
      <c r="F409" s="68"/>
    </row>
    <row r="410" spans="1:11">
      <c r="A410" s="3493" t="s">
        <v>2</v>
      </c>
      <c r="B410" s="3482"/>
      <c r="C410" s="344" t="s">
        <v>3</v>
      </c>
      <c r="D410" s="408" t="s">
        <v>4</v>
      </c>
      <c r="E410" s="77" t="s">
        <v>5</v>
      </c>
      <c r="F410" s="78" t="s">
        <v>5</v>
      </c>
      <c r="G410" s="211" t="s">
        <v>6</v>
      </c>
      <c r="H410" s="140" t="s">
        <v>7</v>
      </c>
      <c r="I410" s="618" t="s">
        <v>1511</v>
      </c>
      <c r="J410" s="683" t="s">
        <v>9</v>
      </c>
      <c r="K410" s="367" t="s">
        <v>9</v>
      </c>
    </row>
    <row r="411" spans="1:11" ht="35.25" thickBot="1">
      <c r="A411" s="155"/>
      <c r="B411" s="494"/>
      <c r="C411" s="345"/>
      <c r="D411" s="409" t="s">
        <v>10</v>
      </c>
      <c r="E411" s="79" t="s">
        <v>11</v>
      </c>
      <c r="F411" s="80" t="s">
        <v>12</v>
      </c>
      <c r="G411" s="212"/>
      <c r="H411" s="141" t="s">
        <v>13</v>
      </c>
      <c r="I411" s="619" t="s">
        <v>1512</v>
      </c>
      <c r="J411" s="684" t="s">
        <v>15</v>
      </c>
      <c r="K411" s="368" t="s">
        <v>14</v>
      </c>
    </row>
    <row r="412" spans="1:11">
      <c r="A412" s="156"/>
      <c r="B412" s="139"/>
      <c r="C412" s="207"/>
      <c r="D412" s="421"/>
      <c r="E412" s="143"/>
      <c r="F412" s="69"/>
      <c r="G412" s="206"/>
      <c r="H412" s="74"/>
      <c r="I412" s="182"/>
      <c r="J412" s="685"/>
      <c r="K412" s="367"/>
    </row>
    <row r="413" spans="1:11">
      <c r="A413" s="157"/>
      <c r="B413" s="139"/>
      <c r="C413" s="207"/>
      <c r="D413" s="421"/>
      <c r="E413" s="145"/>
      <c r="F413" s="61"/>
      <c r="G413" s="206"/>
      <c r="H413" s="74"/>
      <c r="I413" s="182"/>
      <c r="J413" s="685"/>
      <c r="K413" s="365"/>
    </row>
    <row r="414" spans="1:11">
      <c r="A414" s="157"/>
      <c r="B414" s="463"/>
      <c r="C414" s="207"/>
      <c r="D414" s="421"/>
      <c r="E414" s="145"/>
      <c r="F414" s="61"/>
      <c r="G414" s="206"/>
      <c r="H414" s="74"/>
      <c r="I414" s="182"/>
      <c r="J414" s="685"/>
      <c r="K414" s="365"/>
    </row>
    <row r="415" spans="1:11">
      <c r="A415" s="157"/>
      <c r="B415" s="463"/>
      <c r="C415" s="207"/>
      <c r="D415" s="421"/>
      <c r="E415" s="145"/>
      <c r="F415" s="61"/>
      <c r="G415" s="206"/>
      <c r="H415" s="74"/>
      <c r="I415" s="182"/>
      <c r="J415" s="685"/>
      <c r="K415" s="365"/>
    </row>
    <row r="416" spans="1:11">
      <c r="A416" s="157"/>
      <c r="B416" s="139"/>
      <c r="C416" s="207"/>
      <c r="D416" s="421"/>
      <c r="E416" s="145"/>
      <c r="F416" s="61"/>
      <c r="G416" s="206"/>
      <c r="H416" s="74"/>
      <c r="I416" s="182"/>
      <c r="J416" s="685"/>
      <c r="K416" s="365"/>
    </row>
    <row r="417" spans="1:11">
      <c r="A417" s="157"/>
      <c r="B417" s="139"/>
      <c r="C417" s="207"/>
      <c r="D417" s="421"/>
      <c r="E417" s="145"/>
      <c r="F417" s="61"/>
      <c r="G417" s="206"/>
      <c r="H417" s="74"/>
      <c r="I417" s="182"/>
      <c r="J417" s="685"/>
      <c r="K417" s="365"/>
    </row>
    <row r="418" spans="1:11">
      <c r="A418" s="157"/>
      <c r="B418" s="139"/>
      <c r="C418" s="207"/>
      <c r="D418" s="421"/>
      <c r="E418" s="145"/>
      <c r="F418" s="61"/>
      <c r="G418" s="206"/>
      <c r="H418" s="74"/>
      <c r="I418" s="182"/>
      <c r="J418" s="685"/>
      <c r="K418" s="365"/>
    </row>
    <row r="419" spans="1:11">
      <c r="A419" s="157"/>
      <c r="B419" s="463"/>
      <c r="C419" s="341"/>
      <c r="D419" s="422"/>
      <c r="E419" s="145"/>
      <c r="F419" s="61"/>
      <c r="G419" s="223"/>
      <c r="H419" s="224"/>
      <c r="I419" s="620"/>
      <c r="J419" s="686"/>
      <c r="K419" s="378"/>
    </row>
    <row r="420" spans="1:11">
      <c r="A420" s="157"/>
      <c r="B420" s="433"/>
      <c r="C420" s="207"/>
      <c r="D420" s="421"/>
      <c r="E420" s="145"/>
      <c r="F420" s="61"/>
      <c r="G420" s="206"/>
      <c r="H420" s="74"/>
      <c r="I420" s="182"/>
      <c r="J420" s="685"/>
      <c r="K420" s="365"/>
    </row>
    <row r="421" spans="1:11">
      <c r="A421" s="157"/>
      <c r="B421" s="433"/>
      <c r="C421" s="207"/>
      <c r="D421" s="421"/>
      <c r="E421" s="145"/>
      <c r="F421" s="61"/>
      <c r="G421" s="206"/>
      <c r="H421" s="74"/>
      <c r="I421" s="182"/>
      <c r="J421" s="685"/>
      <c r="K421" s="365"/>
    </row>
    <row r="422" spans="1:11">
      <c r="A422" s="157"/>
      <c r="B422" s="433"/>
      <c r="C422" s="341"/>
      <c r="D422" s="422"/>
      <c r="E422" s="237"/>
      <c r="F422" s="238"/>
      <c r="G422" s="223"/>
      <c r="H422" s="224"/>
      <c r="I422" s="620"/>
      <c r="J422" s="686"/>
      <c r="K422" s="378"/>
    </row>
    <row r="423" spans="1:11">
      <c r="A423" s="157"/>
      <c r="B423" s="433"/>
      <c r="C423" s="207"/>
      <c r="D423" s="421"/>
      <c r="E423" s="145"/>
      <c r="F423" s="61"/>
      <c r="G423" s="206"/>
      <c r="H423" s="74"/>
      <c r="I423" s="182"/>
      <c r="J423" s="685"/>
      <c r="K423" s="365"/>
    </row>
    <row r="424" spans="1:11">
      <c r="A424" s="157"/>
      <c r="B424" s="139"/>
      <c r="C424" s="341"/>
      <c r="D424" s="422"/>
      <c r="E424" s="145"/>
      <c r="F424" s="61"/>
      <c r="G424" s="223"/>
      <c r="H424" s="224"/>
      <c r="I424" s="620"/>
      <c r="J424" s="686"/>
      <c r="K424" s="378"/>
    </row>
    <row r="425" spans="1:11">
      <c r="A425" s="157"/>
      <c r="B425" s="139"/>
      <c r="C425" s="341"/>
      <c r="D425" s="422"/>
      <c r="E425" s="145"/>
      <c r="F425" s="61"/>
      <c r="G425" s="223"/>
      <c r="H425" s="224"/>
      <c r="I425" s="620"/>
      <c r="J425" s="686"/>
      <c r="K425" s="378"/>
    </row>
    <row r="426" spans="1:11">
      <c r="A426" s="221"/>
      <c r="B426" s="457"/>
      <c r="C426" s="341"/>
      <c r="D426" s="422"/>
      <c r="E426" s="145"/>
      <c r="F426" s="61"/>
      <c r="G426" s="223"/>
      <c r="H426" s="224"/>
      <c r="I426" s="620"/>
      <c r="J426" s="686"/>
      <c r="K426" s="378"/>
    </row>
    <row r="427" spans="1:11">
      <c r="A427" s="157"/>
      <c r="B427" s="139"/>
      <c r="C427" s="207"/>
      <c r="D427" s="421"/>
      <c r="E427" s="145"/>
      <c r="F427" s="61"/>
      <c r="G427" s="206"/>
      <c r="H427" s="74"/>
      <c r="I427" s="182"/>
      <c r="J427" s="686"/>
      <c r="K427" s="365"/>
    </row>
    <row r="428" spans="1:11">
      <c r="A428" s="157"/>
      <c r="B428" s="139"/>
      <c r="C428" s="207"/>
      <c r="D428" s="421"/>
      <c r="E428" s="145"/>
      <c r="F428" s="61"/>
      <c r="G428" s="206"/>
      <c r="H428" s="74"/>
      <c r="I428" s="182"/>
      <c r="J428" s="685"/>
      <c r="K428" s="365"/>
    </row>
    <row r="429" spans="1:11">
      <c r="A429" s="157"/>
      <c r="B429" s="139"/>
      <c r="C429" s="207"/>
      <c r="D429" s="421"/>
      <c r="E429" s="90"/>
      <c r="F429" s="61"/>
      <c r="G429" s="206"/>
      <c r="H429" s="74"/>
      <c r="I429" s="621"/>
      <c r="J429" s="685"/>
      <c r="K429" s="365"/>
    </row>
    <row r="430" spans="1:11">
      <c r="A430" s="157"/>
      <c r="B430" s="139"/>
      <c r="C430" s="207"/>
      <c r="D430" s="421"/>
      <c r="E430" s="90"/>
      <c r="F430" s="61"/>
      <c r="G430" s="206"/>
      <c r="H430" s="74"/>
      <c r="I430" s="182"/>
      <c r="J430" s="685"/>
      <c r="K430" s="365"/>
    </row>
    <row r="431" spans="1:11">
      <c r="A431" s="157"/>
      <c r="B431" s="139"/>
      <c r="C431" s="207"/>
      <c r="D431" s="421"/>
      <c r="E431" s="90"/>
      <c r="F431" s="61"/>
      <c r="G431" s="206"/>
      <c r="H431" s="74"/>
      <c r="I431" s="182"/>
      <c r="J431" s="685"/>
      <c r="K431" s="365"/>
    </row>
    <row r="432" spans="1:11">
      <c r="A432" s="157"/>
      <c r="B432" s="139"/>
      <c r="C432" s="207"/>
      <c r="D432" s="421"/>
      <c r="E432" s="90"/>
      <c r="F432" s="61"/>
      <c r="G432" s="206"/>
      <c r="H432" s="74"/>
      <c r="I432" s="182"/>
      <c r="J432" s="685"/>
      <c r="K432" s="365"/>
    </row>
    <row r="433" spans="1:11">
      <c r="A433" s="158"/>
      <c r="B433" s="139"/>
      <c r="C433" s="207"/>
      <c r="D433" s="421"/>
      <c r="E433" s="91"/>
      <c r="F433" s="61"/>
      <c r="G433" s="206"/>
      <c r="H433" s="74"/>
      <c r="I433" s="182"/>
      <c r="J433" s="685"/>
      <c r="K433" s="365"/>
    </row>
    <row r="434" spans="1:11">
      <c r="A434" s="200"/>
      <c r="B434" s="139"/>
      <c r="C434" s="207"/>
      <c r="D434" s="421"/>
      <c r="E434" s="153"/>
      <c r="F434" s="61"/>
      <c r="G434" s="206"/>
      <c r="H434" s="88"/>
      <c r="I434" s="622"/>
      <c r="J434" s="687"/>
      <c r="K434" s="379"/>
    </row>
    <row r="435" spans="1:11">
      <c r="A435" s="157"/>
      <c r="B435" s="139"/>
      <c r="C435" s="207"/>
      <c r="D435" s="421"/>
      <c r="E435" s="198"/>
      <c r="F435" s="61"/>
      <c r="G435" s="206"/>
      <c r="H435" s="74"/>
      <c r="I435" s="182"/>
      <c r="J435" s="685"/>
      <c r="K435" s="365"/>
    </row>
    <row r="436" spans="1:11">
      <c r="A436" s="157"/>
      <c r="B436" s="139"/>
      <c r="C436" s="207"/>
      <c r="D436" s="421"/>
      <c r="E436" s="142"/>
      <c r="F436" s="61"/>
      <c r="G436" s="206"/>
      <c r="H436" s="74"/>
      <c r="I436" s="182"/>
      <c r="J436" s="685"/>
      <c r="K436" s="365"/>
    </row>
    <row r="437" spans="1:11">
      <c r="A437" s="157"/>
      <c r="B437" s="139"/>
      <c r="C437" s="207"/>
      <c r="D437" s="322"/>
      <c r="E437" s="120"/>
      <c r="F437" s="121"/>
      <c r="G437" s="206"/>
      <c r="H437" s="115"/>
      <c r="I437" s="217"/>
      <c r="J437" s="685"/>
      <c r="K437" s="365"/>
    </row>
    <row r="438" spans="1:11">
      <c r="A438" s="157"/>
      <c r="B438" s="139"/>
      <c r="C438" s="207"/>
      <c r="D438" s="322"/>
      <c r="E438" s="249"/>
      <c r="F438" s="121"/>
      <c r="G438" s="206"/>
      <c r="H438" s="115"/>
      <c r="I438" s="217"/>
      <c r="J438" s="685"/>
      <c r="K438" s="365"/>
    </row>
    <row r="439" spans="1:11">
      <c r="A439" s="157"/>
      <c r="B439" s="139"/>
      <c r="C439" s="207"/>
      <c r="D439" s="322"/>
      <c r="E439" s="249"/>
      <c r="F439" s="121"/>
      <c r="G439" s="206"/>
      <c r="H439" s="115"/>
      <c r="I439" s="217"/>
      <c r="J439" s="685"/>
      <c r="K439" s="365"/>
    </row>
    <row r="440" spans="1:11">
      <c r="A440" s="157"/>
      <c r="B440" s="139"/>
      <c r="C440" s="207"/>
      <c r="D440" s="322"/>
      <c r="E440" s="249"/>
      <c r="F440" s="121"/>
      <c r="G440" s="206"/>
      <c r="H440" s="115"/>
      <c r="I440" s="217"/>
      <c r="J440" s="685"/>
      <c r="K440" s="365"/>
    </row>
    <row r="441" spans="1:11">
      <c r="A441" s="157"/>
      <c r="B441" s="139"/>
      <c r="C441" s="207"/>
      <c r="D441" s="322"/>
      <c r="E441" s="142"/>
      <c r="F441" s="61"/>
      <c r="G441" s="206"/>
      <c r="H441" s="74"/>
      <c r="I441" s="182"/>
      <c r="J441" s="685"/>
      <c r="K441" s="365"/>
    </row>
    <row r="442" spans="1:11">
      <c r="A442" s="157"/>
      <c r="B442" s="460"/>
      <c r="C442" s="207"/>
      <c r="D442" s="322"/>
      <c r="E442" s="142"/>
      <c r="F442" s="61"/>
      <c r="G442" s="206"/>
      <c r="H442" s="74"/>
      <c r="I442" s="182"/>
      <c r="J442" s="685"/>
      <c r="K442" s="365"/>
    </row>
    <row r="443" spans="1:11">
      <c r="A443" s="160"/>
      <c r="B443" s="139"/>
      <c r="C443" s="207"/>
      <c r="D443" s="322"/>
      <c r="E443" s="120"/>
      <c r="F443" s="121"/>
      <c r="G443" s="206"/>
      <c r="H443" s="115"/>
      <c r="I443" s="217"/>
      <c r="J443" s="691"/>
      <c r="K443" s="363"/>
    </row>
    <row r="444" spans="1:11">
      <c r="F444" s="68"/>
    </row>
    <row r="445" spans="1:11">
      <c r="A445" s="44" t="s">
        <v>0</v>
      </c>
      <c r="C445" s="167"/>
      <c r="F445" s="68"/>
    </row>
    <row r="446" spans="1:11">
      <c r="A446" s="3480" t="s">
        <v>2512</v>
      </c>
      <c r="B446" s="3480"/>
      <c r="C446" s="270"/>
      <c r="D446" s="167"/>
      <c r="F446" s="68"/>
    </row>
    <row r="447" spans="1:11" ht="35.25" thickBot="1">
      <c r="F447" s="68"/>
    </row>
    <row r="448" spans="1:11">
      <c r="A448" s="3493" t="s">
        <v>2</v>
      </c>
      <c r="B448" s="3482"/>
      <c r="C448" s="344" t="s">
        <v>3</v>
      </c>
      <c r="D448" s="408" t="s">
        <v>4</v>
      </c>
      <c r="E448" s="77" t="s">
        <v>5</v>
      </c>
      <c r="F448" s="78" t="s">
        <v>5</v>
      </c>
      <c r="G448" s="211" t="s">
        <v>6</v>
      </c>
      <c r="H448" s="140" t="s">
        <v>7</v>
      </c>
      <c r="I448" s="618" t="s">
        <v>1511</v>
      </c>
      <c r="J448" s="683" t="s">
        <v>9</v>
      </c>
      <c r="K448" s="367" t="s">
        <v>9</v>
      </c>
    </row>
    <row r="449" spans="1:11" ht="35.25" thickBot="1">
      <c r="A449" s="155"/>
      <c r="B449" s="494"/>
      <c r="C449" s="345"/>
      <c r="D449" s="409" t="s">
        <v>10</v>
      </c>
      <c r="E449" s="79" t="s">
        <v>11</v>
      </c>
      <c r="F449" s="80" t="s">
        <v>12</v>
      </c>
      <c r="G449" s="212"/>
      <c r="H449" s="141" t="s">
        <v>13</v>
      </c>
      <c r="I449" s="619" t="s">
        <v>1512</v>
      </c>
      <c r="J449" s="684" t="s">
        <v>15</v>
      </c>
      <c r="K449" s="368" t="s">
        <v>14</v>
      </c>
    </row>
    <row r="450" spans="1:11">
      <c r="A450" s="156"/>
      <c r="B450" s="139"/>
      <c r="C450" s="207"/>
      <c r="D450" s="421"/>
      <c r="E450" s="143"/>
      <c r="F450" s="69"/>
      <c r="G450" s="206"/>
      <c r="H450" s="74"/>
      <c r="I450" s="182"/>
      <c r="J450" s="685"/>
      <c r="K450" s="367"/>
    </row>
    <row r="451" spans="1:11">
      <c r="A451" s="157"/>
      <c r="B451" s="139"/>
      <c r="C451" s="207"/>
      <c r="D451" s="421"/>
      <c r="E451" s="145"/>
      <c r="F451" s="61"/>
      <c r="G451" s="206"/>
      <c r="H451" s="74"/>
      <c r="I451" s="182"/>
      <c r="J451" s="685"/>
      <c r="K451" s="365"/>
    </row>
    <row r="452" spans="1:11">
      <c r="A452" s="157"/>
      <c r="B452" s="463"/>
      <c r="C452" s="207"/>
      <c r="D452" s="421"/>
      <c r="E452" s="145"/>
      <c r="F452" s="61"/>
      <c r="G452" s="206"/>
      <c r="H452" s="74"/>
      <c r="I452" s="182"/>
      <c r="J452" s="685"/>
      <c r="K452" s="365"/>
    </row>
    <row r="453" spans="1:11">
      <c r="A453" s="157"/>
      <c r="B453" s="463"/>
      <c r="C453" s="207"/>
      <c r="D453" s="421"/>
      <c r="E453" s="145"/>
      <c r="F453" s="61"/>
      <c r="G453" s="206"/>
      <c r="H453" s="74"/>
      <c r="I453" s="182"/>
      <c r="J453" s="685"/>
      <c r="K453" s="365"/>
    </row>
    <row r="454" spans="1:11">
      <c r="A454" s="157"/>
      <c r="B454" s="139"/>
      <c r="C454" s="207"/>
      <c r="D454" s="421"/>
      <c r="E454" s="145"/>
      <c r="F454" s="61"/>
      <c r="G454" s="206"/>
      <c r="H454" s="74"/>
      <c r="I454" s="182"/>
      <c r="J454" s="685"/>
      <c r="K454" s="365"/>
    </row>
    <row r="455" spans="1:11">
      <c r="A455" s="157"/>
      <c r="B455" s="139"/>
      <c r="C455" s="207"/>
      <c r="D455" s="421"/>
      <c r="E455" s="145"/>
      <c r="F455" s="61"/>
      <c r="G455" s="206"/>
      <c r="H455" s="74"/>
      <c r="I455" s="182"/>
      <c r="J455" s="685"/>
      <c r="K455" s="365"/>
    </row>
    <row r="456" spans="1:11">
      <c r="A456" s="157"/>
      <c r="B456" s="139"/>
      <c r="C456" s="207"/>
      <c r="D456" s="421"/>
      <c r="E456" s="145"/>
      <c r="F456" s="61"/>
      <c r="G456" s="206"/>
      <c r="H456" s="74"/>
      <c r="I456" s="182"/>
      <c r="J456" s="685"/>
      <c r="K456" s="365"/>
    </row>
    <row r="457" spans="1:11">
      <c r="A457" s="157"/>
      <c r="B457" s="463"/>
      <c r="C457" s="341"/>
      <c r="D457" s="422"/>
      <c r="E457" s="145"/>
      <c r="F457" s="61"/>
      <c r="G457" s="223"/>
      <c r="H457" s="224"/>
      <c r="I457" s="620"/>
      <c r="J457" s="686"/>
      <c r="K457" s="378"/>
    </row>
    <row r="458" spans="1:11">
      <c r="A458" s="157"/>
      <c r="B458" s="433"/>
      <c r="C458" s="207"/>
      <c r="D458" s="421"/>
      <c r="E458" s="145"/>
      <c r="F458" s="61"/>
      <c r="G458" s="206"/>
      <c r="H458" s="74"/>
      <c r="I458" s="182"/>
      <c r="J458" s="685"/>
      <c r="K458" s="365"/>
    </row>
    <row r="459" spans="1:11">
      <c r="A459" s="157"/>
      <c r="B459" s="433"/>
      <c r="C459" s="207"/>
      <c r="D459" s="421"/>
      <c r="E459" s="145"/>
      <c r="F459" s="61"/>
      <c r="G459" s="206"/>
      <c r="H459" s="74"/>
      <c r="I459" s="182"/>
      <c r="J459" s="685"/>
      <c r="K459" s="365"/>
    </row>
    <row r="460" spans="1:11">
      <c r="A460" s="157"/>
      <c r="B460" s="433"/>
      <c r="C460" s="341"/>
      <c r="D460" s="422"/>
      <c r="E460" s="237"/>
      <c r="F460" s="238"/>
      <c r="G460" s="223"/>
      <c r="H460" s="224"/>
      <c r="I460" s="620"/>
      <c r="J460" s="686"/>
      <c r="K460" s="378"/>
    </row>
    <row r="461" spans="1:11">
      <c r="A461" s="157"/>
      <c r="B461" s="433"/>
      <c r="C461" s="207"/>
      <c r="D461" s="421"/>
      <c r="E461" s="145"/>
      <c r="F461" s="61"/>
      <c r="G461" s="206"/>
      <c r="H461" s="74"/>
      <c r="I461" s="182"/>
      <c r="J461" s="685"/>
      <c r="K461" s="365"/>
    </row>
    <row r="462" spans="1:11">
      <c r="A462" s="157"/>
      <c r="B462" s="139"/>
      <c r="C462" s="341"/>
      <c r="D462" s="422"/>
      <c r="E462" s="145"/>
      <c r="F462" s="61"/>
      <c r="G462" s="223"/>
      <c r="H462" s="224"/>
      <c r="I462" s="620"/>
      <c r="J462" s="686"/>
      <c r="K462" s="378"/>
    </row>
    <row r="463" spans="1:11">
      <c r="A463" s="157"/>
      <c r="B463" s="139"/>
      <c r="C463" s="341"/>
      <c r="D463" s="422"/>
      <c r="E463" s="145"/>
      <c r="F463" s="61"/>
      <c r="G463" s="223"/>
      <c r="H463" s="224"/>
      <c r="I463" s="620"/>
      <c r="J463" s="686"/>
      <c r="K463" s="378"/>
    </row>
    <row r="464" spans="1:11">
      <c r="A464" s="221"/>
      <c r="B464" s="457"/>
      <c r="C464" s="341"/>
      <c r="D464" s="422"/>
      <c r="E464" s="145"/>
      <c r="F464" s="61"/>
      <c r="G464" s="223"/>
      <c r="H464" s="224"/>
      <c r="I464" s="620"/>
      <c r="J464" s="686"/>
      <c r="K464" s="378"/>
    </row>
    <row r="465" spans="1:11">
      <c r="A465" s="157"/>
      <c r="B465" s="139"/>
      <c r="C465" s="207"/>
      <c r="D465" s="421"/>
      <c r="E465" s="145"/>
      <c r="F465" s="61"/>
      <c r="G465" s="206"/>
      <c r="H465" s="74"/>
      <c r="I465" s="182"/>
      <c r="J465" s="686"/>
      <c r="K465" s="365"/>
    </row>
    <row r="466" spans="1:11">
      <c r="A466" s="157"/>
      <c r="B466" s="139"/>
      <c r="C466" s="207"/>
      <c r="D466" s="421"/>
      <c r="E466" s="145"/>
      <c r="F466" s="61"/>
      <c r="G466" s="206"/>
      <c r="H466" s="74"/>
      <c r="I466" s="182"/>
      <c r="J466" s="685"/>
      <c r="K466" s="365"/>
    </row>
    <row r="467" spans="1:11">
      <c r="A467" s="157"/>
      <c r="B467" s="139"/>
      <c r="C467" s="207"/>
      <c r="D467" s="421"/>
      <c r="E467" s="90"/>
      <c r="F467" s="61"/>
      <c r="G467" s="206"/>
      <c r="H467" s="74"/>
      <c r="I467" s="621"/>
      <c r="J467" s="685"/>
      <c r="K467" s="365"/>
    </row>
    <row r="468" spans="1:11">
      <c r="A468" s="157"/>
      <c r="B468" s="139"/>
      <c r="C468" s="207"/>
      <c r="D468" s="421"/>
      <c r="E468" s="90"/>
      <c r="F468" s="61"/>
      <c r="G468" s="206"/>
      <c r="H468" s="74"/>
      <c r="I468" s="182"/>
      <c r="J468" s="685"/>
      <c r="K468" s="365"/>
    </row>
    <row r="469" spans="1:11">
      <c r="A469" s="157"/>
      <c r="B469" s="139"/>
      <c r="C469" s="207"/>
      <c r="D469" s="421"/>
      <c r="E469" s="90"/>
      <c r="F469" s="61"/>
      <c r="G469" s="206"/>
      <c r="H469" s="74"/>
      <c r="I469" s="182"/>
      <c r="J469" s="685"/>
      <c r="K469" s="365"/>
    </row>
    <row r="470" spans="1:11">
      <c r="A470" s="157"/>
      <c r="B470" s="139"/>
      <c r="C470" s="207"/>
      <c r="D470" s="421"/>
      <c r="E470" s="90"/>
      <c r="F470" s="61"/>
      <c r="G470" s="206"/>
      <c r="H470" s="74"/>
      <c r="I470" s="182"/>
      <c r="J470" s="685"/>
      <c r="K470" s="365"/>
    </row>
    <row r="471" spans="1:11">
      <c r="A471" s="158"/>
      <c r="B471" s="139"/>
      <c r="C471" s="207"/>
      <c r="D471" s="421"/>
      <c r="E471" s="91"/>
      <c r="F471" s="61"/>
      <c r="G471" s="206"/>
      <c r="H471" s="74"/>
      <c r="I471" s="182"/>
      <c r="J471" s="685"/>
      <c r="K471" s="365"/>
    </row>
    <row r="472" spans="1:11">
      <c r="A472" s="200"/>
      <c r="B472" s="139"/>
      <c r="C472" s="207"/>
      <c r="D472" s="421"/>
      <c r="E472" s="153"/>
      <c r="F472" s="61"/>
      <c r="G472" s="206"/>
      <c r="H472" s="88"/>
      <c r="I472" s="622"/>
      <c r="J472" s="687"/>
      <c r="K472" s="379"/>
    </row>
    <row r="473" spans="1:11">
      <c r="A473" s="157"/>
      <c r="B473" s="139"/>
      <c r="C473" s="207"/>
      <c r="D473" s="421"/>
      <c r="E473" s="198"/>
      <c r="F473" s="61"/>
      <c r="G473" s="206"/>
      <c r="H473" s="74"/>
      <c r="I473" s="182"/>
      <c r="J473" s="685"/>
      <c r="K473" s="365"/>
    </row>
    <row r="474" spans="1:11">
      <c r="A474" s="157"/>
      <c r="B474" s="139"/>
      <c r="C474" s="207"/>
      <c r="D474" s="421"/>
      <c r="E474" s="142"/>
      <c r="F474" s="61"/>
      <c r="G474" s="206"/>
      <c r="H474" s="74"/>
      <c r="I474" s="182"/>
      <c r="J474" s="685"/>
      <c r="K474" s="365"/>
    </row>
    <row r="475" spans="1:11">
      <c r="A475" s="157"/>
      <c r="B475" s="139"/>
      <c r="C475" s="207"/>
      <c r="D475" s="322"/>
      <c r="E475" s="120"/>
      <c r="F475" s="121"/>
      <c r="G475" s="206"/>
      <c r="H475" s="115"/>
      <c r="I475" s="217"/>
      <c r="J475" s="685"/>
      <c r="K475" s="365"/>
    </row>
    <row r="476" spans="1:11">
      <c r="A476" s="157"/>
      <c r="B476" s="139"/>
      <c r="C476" s="207"/>
      <c r="D476" s="322"/>
      <c r="E476" s="249"/>
      <c r="F476" s="121"/>
      <c r="G476" s="206"/>
      <c r="H476" s="115"/>
      <c r="I476" s="217"/>
      <c r="J476" s="685"/>
      <c r="K476" s="365"/>
    </row>
    <row r="477" spans="1:11">
      <c r="A477" s="157"/>
      <c r="B477" s="139"/>
      <c r="C477" s="207"/>
      <c r="D477" s="322"/>
      <c r="E477" s="249"/>
      <c r="F477" s="121"/>
      <c r="G477" s="206"/>
      <c r="H477" s="115"/>
      <c r="I477" s="217"/>
      <c r="J477" s="685"/>
      <c r="K477" s="365"/>
    </row>
    <row r="478" spans="1:11">
      <c r="A478" s="157"/>
      <c r="B478" s="139"/>
      <c r="C478" s="207"/>
      <c r="D478" s="322"/>
      <c r="E478" s="249"/>
      <c r="F478" s="121"/>
      <c r="G478" s="206"/>
      <c r="H478" s="115"/>
      <c r="I478" s="217"/>
      <c r="J478" s="685"/>
      <c r="K478" s="365"/>
    </row>
    <row r="479" spans="1:11">
      <c r="A479" s="157"/>
      <c r="B479" s="139"/>
      <c r="C479" s="207"/>
      <c r="D479" s="322"/>
      <c r="E479" s="142"/>
      <c r="F479" s="61"/>
      <c r="G479" s="206"/>
      <c r="H479" s="74"/>
      <c r="I479" s="182"/>
      <c r="J479" s="685"/>
      <c r="K479" s="365"/>
    </row>
    <row r="480" spans="1:11">
      <c r="A480" s="157"/>
      <c r="B480" s="460"/>
      <c r="C480" s="207"/>
      <c r="D480" s="322"/>
      <c r="E480" s="142"/>
      <c r="F480" s="61"/>
      <c r="G480" s="206"/>
      <c r="H480" s="74"/>
      <c r="I480" s="182"/>
      <c r="J480" s="685"/>
      <c r="K480" s="365"/>
    </row>
    <row r="481" spans="1:11">
      <c r="A481" s="160"/>
      <c r="B481" s="139"/>
      <c r="C481" s="207"/>
      <c r="D481" s="322"/>
      <c r="E481" s="120"/>
      <c r="F481" s="121"/>
      <c r="G481" s="206"/>
      <c r="H481" s="115"/>
      <c r="I481" s="217"/>
      <c r="J481" s="691"/>
      <c r="K481" s="363"/>
    </row>
    <row r="482" spans="1:11">
      <c r="F482" s="68"/>
    </row>
    <row r="483" spans="1:11">
      <c r="A483" s="44" t="s">
        <v>0</v>
      </c>
      <c r="C483" s="167"/>
      <c r="F483" s="68"/>
    </row>
    <row r="484" spans="1:11">
      <c r="A484" s="3480" t="s">
        <v>2512</v>
      </c>
      <c r="B484" s="3480"/>
      <c r="C484" s="270"/>
      <c r="D484" s="167"/>
      <c r="F484" s="68"/>
    </row>
    <row r="485" spans="1:11" ht="35.25" thickBot="1">
      <c r="F485" s="68"/>
    </row>
    <row r="486" spans="1:11">
      <c r="A486" s="3493" t="s">
        <v>2</v>
      </c>
      <c r="B486" s="3482"/>
      <c r="C486" s="344" t="s">
        <v>3</v>
      </c>
      <c r="D486" s="408" t="s">
        <v>4</v>
      </c>
      <c r="E486" s="77" t="s">
        <v>5</v>
      </c>
      <c r="F486" s="78" t="s">
        <v>5</v>
      </c>
      <c r="G486" s="211" t="s">
        <v>6</v>
      </c>
      <c r="H486" s="140" t="s">
        <v>7</v>
      </c>
      <c r="I486" s="618" t="s">
        <v>1511</v>
      </c>
      <c r="J486" s="683" t="s">
        <v>9</v>
      </c>
      <c r="K486" s="367" t="s">
        <v>9</v>
      </c>
    </row>
    <row r="487" spans="1:11" ht="35.25" thickBot="1">
      <c r="A487" s="155"/>
      <c r="B487" s="494"/>
      <c r="C487" s="345"/>
      <c r="D487" s="409" t="s">
        <v>10</v>
      </c>
      <c r="E487" s="79" t="s">
        <v>11</v>
      </c>
      <c r="F487" s="80" t="s">
        <v>12</v>
      </c>
      <c r="G487" s="212"/>
      <c r="H487" s="141" t="s">
        <v>13</v>
      </c>
      <c r="I487" s="619" t="s">
        <v>1512</v>
      </c>
      <c r="J487" s="684" t="s">
        <v>15</v>
      </c>
      <c r="K487" s="368" t="s">
        <v>14</v>
      </c>
    </row>
    <row r="488" spans="1:11">
      <c r="A488" s="156"/>
      <c r="B488" s="139"/>
      <c r="C488" s="207"/>
      <c r="D488" s="421"/>
      <c r="E488" s="143"/>
      <c r="F488" s="69"/>
      <c r="G488" s="206"/>
      <c r="H488" s="74"/>
      <c r="I488" s="182"/>
      <c r="J488" s="685"/>
      <c r="K488" s="367"/>
    </row>
    <row r="489" spans="1:11">
      <c r="A489" s="157"/>
      <c r="B489" s="139"/>
      <c r="C489" s="207"/>
      <c r="D489" s="421"/>
      <c r="E489" s="145"/>
      <c r="F489" s="61"/>
      <c r="G489" s="206"/>
      <c r="H489" s="74"/>
      <c r="I489" s="182"/>
      <c r="J489" s="685"/>
      <c r="K489" s="365"/>
    </row>
    <row r="490" spans="1:11">
      <c r="A490" s="157"/>
      <c r="B490" s="463"/>
      <c r="C490" s="207"/>
      <c r="D490" s="421"/>
      <c r="E490" s="145"/>
      <c r="F490" s="61"/>
      <c r="G490" s="206"/>
      <c r="H490" s="74"/>
      <c r="I490" s="182"/>
      <c r="J490" s="685"/>
      <c r="K490" s="365"/>
    </row>
    <row r="491" spans="1:11">
      <c r="A491" s="157"/>
      <c r="B491" s="463"/>
      <c r="C491" s="207"/>
      <c r="D491" s="421"/>
      <c r="E491" s="145"/>
      <c r="F491" s="61"/>
      <c r="G491" s="206"/>
      <c r="H491" s="74"/>
      <c r="I491" s="182"/>
      <c r="J491" s="685"/>
      <c r="K491" s="365"/>
    </row>
    <row r="492" spans="1:11">
      <c r="A492" s="157"/>
      <c r="B492" s="139"/>
      <c r="C492" s="207"/>
      <c r="D492" s="421"/>
      <c r="E492" s="145"/>
      <c r="F492" s="61"/>
      <c r="G492" s="206"/>
      <c r="H492" s="74"/>
      <c r="I492" s="182"/>
      <c r="J492" s="685"/>
      <c r="K492" s="365"/>
    </row>
    <row r="493" spans="1:11">
      <c r="A493" s="157"/>
      <c r="B493" s="139"/>
      <c r="C493" s="207"/>
      <c r="D493" s="421"/>
      <c r="E493" s="145"/>
      <c r="F493" s="61"/>
      <c r="G493" s="206"/>
      <c r="H493" s="74"/>
      <c r="I493" s="182"/>
      <c r="J493" s="685"/>
      <c r="K493" s="365"/>
    </row>
    <row r="494" spans="1:11">
      <c r="A494" s="157"/>
      <c r="B494" s="139"/>
      <c r="C494" s="207"/>
      <c r="D494" s="421"/>
      <c r="E494" s="145"/>
      <c r="F494" s="61"/>
      <c r="G494" s="206"/>
      <c r="H494" s="74"/>
      <c r="I494" s="182"/>
      <c r="J494" s="685"/>
      <c r="K494" s="365"/>
    </row>
    <row r="495" spans="1:11">
      <c r="A495" s="157"/>
      <c r="B495" s="463"/>
      <c r="C495" s="341"/>
      <c r="D495" s="422"/>
      <c r="E495" s="145"/>
      <c r="F495" s="61"/>
      <c r="G495" s="223"/>
      <c r="H495" s="224"/>
      <c r="I495" s="620"/>
      <c r="J495" s="686"/>
      <c r="K495" s="378"/>
    </row>
    <row r="496" spans="1:11">
      <c r="A496" s="157"/>
      <c r="B496" s="433"/>
      <c r="C496" s="207"/>
      <c r="D496" s="421"/>
      <c r="E496" s="145"/>
      <c r="F496" s="61"/>
      <c r="G496" s="206"/>
      <c r="H496" s="74"/>
      <c r="I496" s="182"/>
      <c r="J496" s="685"/>
      <c r="K496" s="365"/>
    </row>
    <row r="497" spans="1:11">
      <c r="A497" s="157"/>
      <c r="B497" s="433"/>
      <c r="C497" s="207"/>
      <c r="D497" s="421"/>
      <c r="E497" s="145"/>
      <c r="F497" s="61"/>
      <c r="G497" s="206"/>
      <c r="H497" s="74"/>
      <c r="I497" s="182"/>
      <c r="J497" s="685"/>
      <c r="K497" s="365"/>
    </row>
    <row r="498" spans="1:11">
      <c r="A498" s="157"/>
      <c r="B498" s="433"/>
      <c r="C498" s="341"/>
      <c r="D498" s="422"/>
      <c r="E498" s="237"/>
      <c r="F498" s="238"/>
      <c r="G498" s="223"/>
      <c r="H498" s="224"/>
      <c r="I498" s="620"/>
      <c r="J498" s="686"/>
      <c r="K498" s="378"/>
    </row>
    <row r="499" spans="1:11">
      <c r="A499" s="157"/>
      <c r="B499" s="433"/>
      <c r="C499" s="207"/>
      <c r="D499" s="421"/>
      <c r="E499" s="145"/>
      <c r="F499" s="61"/>
      <c r="G499" s="206"/>
      <c r="H499" s="74"/>
      <c r="I499" s="182"/>
      <c r="J499" s="685"/>
      <c r="K499" s="365"/>
    </row>
    <row r="500" spans="1:11">
      <c r="A500" s="157"/>
      <c r="B500" s="139"/>
      <c r="C500" s="341"/>
      <c r="D500" s="422"/>
      <c r="E500" s="145"/>
      <c r="F500" s="61"/>
      <c r="G500" s="223"/>
      <c r="H500" s="224"/>
      <c r="I500" s="620"/>
      <c r="J500" s="686"/>
      <c r="K500" s="378"/>
    </row>
    <row r="501" spans="1:11">
      <c r="A501" s="157"/>
      <c r="B501" s="139"/>
      <c r="C501" s="341"/>
      <c r="D501" s="422"/>
      <c r="E501" s="145"/>
      <c r="F501" s="61"/>
      <c r="G501" s="223"/>
      <c r="H501" s="224"/>
      <c r="I501" s="620"/>
      <c r="J501" s="686"/>
      <c r="K501" s="378"/>
    </row>
    <row r="502" spans="1:11">
      <c r="A502" s="221"/>
      <c r="B502" s="457"/>
      <c r="C502" s="341"/>
      <c r="D502" s="422"/>
      <c r="E502" s="145"/>
      <c r="F502" s="61"/>
      <c r="G502" s="223"/>
      <c r="H502" s="224"/>
      <c r="I502" s="620"/>
      <c r="J502" s="686"/>
      <c r="K502" s="378"/>
    </row>
    <row r="503" spans="1:11">
      <c r="A503" s="157"/>
      <c r="B503" s="139"/>
      <c r="C503" s="207"/>
      <c r="D503" s="421"/>
      <c r="E503" s="145"/>
      <c r="F503" s="61"/>
      <c r="G503" s="206"/>
      <c r="H503" s="74"/>
      <c r="I503" s="182"/>
      <c r="J503" s="686"/>
      <c r="K503" s="365"/>
    </row>
    <row r="504" spans="1:11">
      <c r="A504" s="157"/>
      <c r="B504" s="139"/>
      <c r="C504" s="207"/>
      <c r="D504" s="421"/>
      <c r="E504" s="145"/>
      <c r="F504" s="61"/>
      <c r="G504" s="206"/>
      <c r="H504" s="74"/>
      <c r="I504" s="182"/>
      <c r="J504" s="685"/>
      <c r="K504" s="365"/>
    </row>
    <row r="505" spans="1:11">
      <c r="A505" s="157"/>
      <c r="B505" s="139"/>
      <c r="C505" s="207"/>
      <c r="D505" s="421"/>
      <c r="E505" s="90"/>
      <c r="F505" s="61"/>
      <c r="G505" s="206"/>
      <c r="H505" s="74"/>
      <c r="I505" s="621"/>
      <c r="J505" s="685"/>
      <c r="K505" s="365"/>
    </row>
    <row r="506" spans="1:11">
      <c r="A506" s="157"/>
      <c r="B506" s="139"/>
      <c r="C506" s="207"/>
      <c r="D506" s="421"/>
      <c r="E506" s="90"/>
      <c r="F506" s="61"/>
      <c r="G506" s="206"/>
      <c r="H506" s="74"/>
      <c r="I506" s="182"/>
      <c r="J506" s="685"/>
      <c r="K506" s="365"/>
    </row>
    <row r="507" spans="1:11">
      <c r="A507" s="157"/>
      <c r="B507" s="139"/>
      <c r="C507" s="207"/>
      <c r="D507" s="421"/>
      <c r="E507" s="90"/>
      <c r="F507" s="61"/>
      <c r="G507" s="206"/>
      <c r="H507" s="74"/>
      <c r="I507" s="182"/>
      <c r="J507" s="685"/>
      <c r="K507" s="365"/>
    </row>
    <row r="508" spans="1:11">
      <c r="A508" s="157"/>
      <c r="B508" s="139"/>
      <c r="C508" s="207"/>
      <c r="D508" s="421"/>
      <c r="E508" s="90"/>
      <c r="F508" s="61"/>
      <c r="G508" s="206"/>
      <c r="H508" s="74"/>
      <c r="I508" s="182"/>
      <c r="J508" s="685"/>
      <c r="K508" s="365"/>
    </row>
    <row r="509" spans="1:11">
      <c r="A509" s="158"/>
      <c r="B509" s="139"/>
      <c r="C509" s="207"/>
      <c r="D509" s="421"/>
      <c r="E509" s="91"/>
      <c r="F509" s="61"/>
      <c r="G509" s="206"/>
      <c r="H509" s="74"/>
      <c r="I509" s="182"/>
      <c r="J509" s="685"/>
      <c r="K509" s="365"/>
    </row>
    <row r="510" spans="1:11">
      <c r="A510" s="200"/>
      <c r="B510" s="139"/>
      <c r="C510" s="207"/>
      <c r="D510" s="421"/>
      <c r="E510" s="153"/>
      <c r="F510" s="61"/>
      <c r="G510" s="206"/>
      <c r="H510" s="88"/>
      <c r="I510" s="622"/>
      <c r="J510" s="687"/>
      <c r="K510" s="379"/>
    </row>
    <row r="511" spans="1:11">
      <c r="A511" s="157"/>
      <c r="B511" s="139"/>
      <c r="C511" s="207"/>
      <c r="D511" s="421"/>
      <c r="E511" s="198"/>
      <c r="F511" s="61"/>
      <c r="G511" s="206"/>
      <c r="H511" s="74"/>
      <c r="I511" s="182"/>
      <c r="J511" s="685"/>
      <c r="K511" s="365"/>
    </row>
    <row r="512" spans="1:11">
      <c r="A512" s="157"/>
      <c r="B512" s="139"/>
      <c r="C512" s="207"/>
      <c r="D512" s="421"/>
      <c r="E512" s="142"/>
      <c r="F512" s="61"/>
      <c r="G512" s="206"/>
      <c r="H512" s="74"/>
      <c r="I512" s="182"/>
      <c r="J512" s="685"/>
      <c r="K512" s="365"/>
    </row>
    <row r="513" spans="1:11">
      <c r="A513" s="157"/>
      <c r="B513" s="139"/>
      <c r="C513" s="207"/>
      <c r="D513" s="322"/>
      <c r="E513" s="120"/>
      <c r="F513" s="121"/>
      <c r="G513" s="206"/>
      <c r="H513" s="115"/>
      <c r="I513" s="217"/>
      <c r="J513" s="685"/>
      <c r="K513" s="365"/>
    </row>
    <row r="514" spans="1:11">
      <c r="A514" s="157"/>
      <c r="B514" s="139"/>
      <c r="C514" s="207"/>
      <c r="D514" s="322"/>
      <c r="E514" s="249"/>
      <c r="F514" s="121"/>
      <c r="G514" s="206"/>
      <c r="H514" s="115"/>
      <c r="I514" s="217"/>
      <c r="J514" s="685"/>
      <c r="K514" s="365"/>
    </row>
    <row r="515" spans="1:11">
      <c r="A515" s="157"/>
      <c r="B515" s="139"/>
      <c r="C515" s="207"/>
      <c r="D515" s="322"/>
      <c r="E515" s="249"/>
      <c r="F515" s="121"/>
      <c r="G515" s="206"/>
      <c r="H515" s="115"/>
      <c r="I515" s="217"/>
      <c r="J515" s="685"/>
      <c r="K515" s="365"/>
    </row>
    <row r="516" spans="1:11">
      <c r="A516" s="157"/>
      <c r="B516" s="139"/>
      <c r="C516" s="207"/>
      <c r="D516" s="322"/>
      <c r="E516" s="249"/>
      <c r="F516" s="121"/>
      <c r="G516" s="206"/>
      <c r="H516" s="115"/>
      <c r="I516" s="217"/>
      <c r="J516" s="685"/>
      <c r="K516" s="365"/>
    </row>
    <row r="517" spans="1:11">
      <c r="A517" s="157"/>
      <c r="B517" s="139"/>
      <c r="C517" s="207"/>
      <c r="D517" s="322"/>
      <c r="E517" s="142"/>
      <c r="F517" s="61"/>
      <c r="G517" s="206"/>
      <c r="H517" s="74"/>
      <c r="I517" s="182"/>
      <c r="J517" s="685"/>
      <c r="K517" s="365"/>
    </row>
    <row r="518" spans="1:11">
      <c r="A518" s="157"/>
      <c r="B518" s="460"/>
      <c r="C518" s="207"/>
      <c r="D518" s="322"/>
      <c r="E518" s="142"/>
      <c r="F518" s="61"/>
      <c r="G518" s="206"/>
      <c r="H518" s="74"/>
      <c r="I518" s="182"/>
      <c r="J518" s="685"/>
      <c r="K518" s="365"/>
    </row>
    <row r="519" spans="1:11">
      <c r="A519" s="160"/>
      <c r="B519" s="139"/>
      <c r="C519" s="207"/>
      <c r="D519" s="322"/>
      <c r="E519" s="120"/>
      <c r="F519" s="121"/>
      <c r="G519" s="206"/>
      <c r="H519" s="115"/>
      <c r="I519" s="217"/>
      <c r="J519" s="691"/>
      <c r="K519" s="363"/>
    </row>
    <row r="520" spans="1:11">
      <c r="F520" s="68"/>
    </row>
    <row r="521" spans="1:11">
      <c r="A521" s="44" t="s">
        <v>0</v>
      </c>
      <c r="C521" s="167"/>
      <c r="F521" s="68"/>
    </row>
    <row r="522" spans="1:11">
      <c r="A522" s="3480" t="s">
        <v>2512</v>
      </c>
      <c r="B522" s="3480"/>
      <c r="C522" s="270"/>
      <c r="D522" s="167"/>
      <c r="F522" s="68"/>
    </row>
    <row r="523" spans="1:11" ht="35.25" thickBot="1">
      <c r="F523" s="68"/>
    </row>
    <row r="524" spans="1:11">
      <c r="A524" s="3493" t="s">
        <v>2</v>
      </c>
      <c r="B524" s="3482"/>
      <c r="C524" s="344" t="s">
        <v>3</v>
      </c>
      <c r="D524" s="408" t="s">
        <v>4</v>
      </c>
      <c r="E524" s="77" t="s">
        <v>5</v>
      </c>
      <c r="F524" s="78" t="s">
        <v>5</v>
      </c>
      <c r="G524" s="211" t="s">
        <v>6</v>
      </c>
      <c r="H524" s="140" t="s">
        <v>7</v>
      </c>
      <c r="I524" s="618" t="s">
        <v>1511</v>
      </c>
      <c r="J524" s="683" t="s">
        <v>9</v>
      </c>
      <c r="K524" s="367" t="s">
        <v>9</v>
      </c>
    </row>
    <row r="525" spans="1:11" ht="35.25" thickBot="1">
      <c r="A525" s="155"/>
      <c r="B525" s="494"/>
      <c r="C525" s="345"/>
      <c r="D525" s="409" t="s">
        <v>10</v>
      </c>
      <c r="E525" s="79" t="s">
        <v>11</v>
      </c>
      <c r="F525" s="80" t="s">
        <v>12</v>
      </c>
      <c r="G525" s="212"/>
      <c r="H525" s="141" t="s">
        <v>13</v>
      </c>
      <c r="I525" s="619" t="s">
        <v>1512</v>
      </c>
      <c r="J525" s="684" t="s">
        <v>15</v>
      </c>
      <c r="K525" s="368" t="s">
        <v>14</v>
      </c>
    </row>
    <row r="526" spans="1:11">
      <c r="A526" s="156"/>
      <c r="B526" s="139"/>
      <c r="C526" s="207"/>
      <c r="D526" s="421"/>
      <c r="E526" s="143"/>
      <c r="F526" s="69"/>
      <c r="G526" s="206"/>
      <c r="H526" s="74"/>
      <c r="I526" s="182"/>
      <c r="J526" s="685"/>
      <c r="K526" s="367"/>
    </row>
    <row r="527" spans="1:11">
      <c r="A527" s="157"/>
      <c r="B527" s="139"/>
      <c r="C527" s="207"/>
      <c r="D527" s="421"/>
      <c r="E527" s="145"/>
      <c r="F527" s="61"/>
      <c r="G527" s="206"/>
      <c r="H527" s="74"/>
      <c r="I527" s="182"/>
      <c r="J527" s="685"/>
      <c r="K527" s="365"/>
    </row>
    <row r="528" spans="1:11">
      <c r="A528" s="157"/>
      <c r="B528" s="463"/>
      <c r="C528" s="207"/>
      <c r="D528" s="421"/>
      <c r="E528" s="145"/>
      <c r="F528" s="61"/>
      <c r="G528" s="206"/>
      <c r="H528" s="74"/>
      <c r="I528" s="182"/>
      <c r="J528" s="685"/>
      <c r="K528" s="365"/>
    </row>
    <row r="529" spans="1:11">
      <c r="A529" s="157"/>
      <c r="B529" s="463"/>
      <c r="C529" s="207"/>
      <c r="D529" s="421"/>
      <c r="E529" s="145"/>
      <c r="F529" s="61"/>
      <c r="G529" s="206"/>
      <c r="H529" s="74"/>
      <c r="I529" s="182"/>
      <c r="J529" s="685"/>
      <c r="K529" s="365"/>
    </row>
    <row r="530" spans="1:11">
      <c r="A530" s="157"/>
      <c r="B530" s="139"/>
      <c r="C530" s="207"/>
      <c r="D530" s="421"/>
      <c r="E530" s="145"/>
      <c r="F530" s="61"/>
      <c r="G530" s="206"/>
      <c r="H530" s="74"/>
      <c r="I530" s="182"/>
      <c r="J530" s="685"/>
      <c r="K530" s="365"/>
    </row>
    <row r="531" spans="1:11">
      <c r="A531" s="157"/>
      <c r="B531" s="139"/>
      <c r="C531" s="207"/>
      <c r="D531" s="421"/>
      <c r="E531" s="145"/>
      <c r="F531" s="61"/>
      <c r="G531" s="206"/>
      <c r="H531" s="74"/>
      <c r="I531" s="182"/>
      <c r="J531" s="685"/>
      <c r="K531" s="365"/>
    </row>
    <row r="532" spans="1:11">
      <c r="A532" s="157"/>
      <c r="B532" s="139"/>
      <c r="C532" s="207"/>
      <c r="D532" s="421"/>
      <c r="E532" s="145"/>
      <c r="F532" s="61"/>
      <c r="G532" s="206"/>
      <c r="H532" s="74"/>
      <c r="I532" s="182"/>
      <c r="J532" s="685"/>
      <c r="K532" s="365"/>
    </row>
    <row r="533" spans="1:11">
      <c r="A533" s="157"/>
      <c r="B533" s="463"/>
      <c r="C533" s="341"/>
      <c r="D533" s="422"/>
      <c r="E533" s="145"/>
      <c r="F533" s="61"/>
      <c r="G533" s="223"/>
      <c r="H533" s="224"/>
      <c r="I533" s="620"/>
      <c r="J533" s="686"/>
      <c r="K533" s="378"/>
    </row>
    <row r="534" spans="1:11">
      <c r="A534" s="157"/>
      <c r="B534" s="433"/>
      <c r="C534" s="207"/>
      <c r="D534" s="421"/>
      <c r="E534" s="145"/>
      <c r="F534" s="61"/>
      <c r="G534" s="206"/>
      <c r="H534" s="74"/>
      <c r="I534" s="182"/>
      <c r="J534" s="685"/>
      <c r="K534" s="365"/>
    </row>
    <row r="535" spans="1:11">
      <c r="A535" s="157"/>
      <c r="B535" s="433"/>
      <c r="C535" s="207"/>
      <c r="D535" s="421"/>
      <c r="E535" s="145"/>
      <c r="F535" s="61"/>
      <c r="G535" s="206"/>
      <c r="H535" s="74"/>
      <c r="I535" s="182"/>
      <c r="J535" s="685"/>
      <c r="K535" s="365"/>
    </row>
    <row r="536" spans="1:11">
      <c r="A536" s="157"/>
      <c r="B536" s="433"/>
      <c r="C536" s="341"/>
      <c r="D536" s="422"/>
      <c r="E536" s="237"/>
      <c r="F536" s="238"/>
      <c r="G536" s="223"/>
      <c r="H536" s="224"/>
      <c r="I536" s="620"/>
      <c r="J536" s="686"/>
      <c r="K536" s="378"/>
    </row>
    <row r="537" spans="1:11">
      <c r="A537" s="157"/>
      <c r="B537" s="433"/>
      <c r="C537" s="207"/>
      <c r="D537" s="421"/>
      <c r="E537" s="145"/>
      <c r="F537" s="61"/>
      <c r="G537" s="206"/>
      <c r="H537" s="74"/>
      <c r="I537" s="182"/>
      <c r="J537" s="685"/>
      <c r="K537" s="365"/>
    </row>
    <row r="538" spans="1:11">
      <c r="A538" s="157"/>
      <c r="B538" s="139"/>
      <c r="C538" s="341"/>
      <c r="D538" s="422"/>
      <c r="E538" s="145"/>
      <c r="F538" s="61"/>
      <c r="G538" s="223"/>
      <c r="H538" s="224"/>
      <c r="I538" s="620"/>
      <c r="J538" s="686"/>
      <c r="K538" s="378"/>
    </row>
    <row r="539" spans="1:11">
      <c r="A539" s="157"/>
      <c r="B539" s="139"/>
      <c r="C539" s="341"/>
      <c r="D539" s="422"/>
      <c r="E539" s="145"/>
      <c r="F539" s="61"/>
      <c r="G539" s="223"/>
      <c r="H539" s="224"/>
      <c r="I539" s="620"/>
      <c r="J539" s="686"/>
      <c r="K539" s="378"/>
    </row>
    <row r="540" spans="1:11">
      <c r="A540" s="221"/>
      <c r="B540" s="457"/>
      <c r="C540" s="341"/>
      <c r="D540" s="422"/>
      <c r="E540" s="145"/>
      <c r="F540" s="61"/>
      <c r="G540" s="223"/>
      <c r="H540" s="224"/>
      <c r="I540" s="620"/>
      <c r="J540" s="686"/>
      <c r="K540" s="378"/>
    </row>
    <row r="541" spans="1:11">
      <c r="A541" s="157"/>
      <c r="B541" s="139"/>
      <c r="C541" s="207"/>
      <c r="D541" s="421"/>
      <c r="E541" s="145"/>
      <c r="F541" s="61"/>
      <c r="G541" s="206"/>
      <c r="H541" s="74"/>
      <c r="I541" s="182"/>
      <c r="J541" s="686"/>
      <c r="K541" s="365"/>
    </row>
    <row r="542" spans="1:11">
      <c r="A542" s="157"/>
      <c r="B542" s="139"/>
      <c r="C542" s="207"/>
      <c r="D542" s="421"/>
      <c r="E542" s="145"/>
      <c r="F542" s="61"/>
      <c r="G542" s="206"/>
      <c r="H542" s="74"/>
      <c r="I542" s="182"/>
      <c r="J542" s="685"/>
      <c r="K542" s="365"/>
    </row>
    <row r="543" spans="1:11">
      <c r="A543" s="157"/>
      <c r="B543" s="139"/>
      <c r="C543" s="207"/>
      <c r="D543" s="421"/>
      <c r="E543" s="90"/>
      <c r="F543" s="61"/>
      <c r="G543" s="206"/>
      <c r="H543" s="74"/>
      <c r="I543" s="621"/>
      <c r="J543" s="685"/>
      <c r="K543" s="365"/>
    </row>
    <row r="544" spans="1:11">
      <c r="A544" s="157"/>
      <c r="B544" s="139"/>
      <c r="C544" s="207"/>
      <c r="D544" s="421"/>
      <c r="E544" s="90"/>
      <c r="F544" s="61"/>
      <c r="G544" s="206"/>
      <c r="H544" s="74"/>
      <c r="I544" s="182"/>
      <c r="J544" s="685"/>
      <c r="K544" s="365"/>
    </row>
    <row r="545" spans="1:11">
      <c r="A545" s="157"/>
      <c r="B545" s="139"/>
      <c r="C545" s="207"/>
      <c r="D545" s="421"/>
      <c r="E545" s="90"/>
      <c r="F545" s="61"/>
      <c r="G545" s="206"/>
      <c r="H545" s="74"/>
      <c r="I545" s="182"/>
      <c r="J545" s="685"/>
      <c r="K545" s="365"/>
    </row>
    <row r="546" spans="1:11">
      <c r="A546" s="157"/>
      <c r="B546" s="139"/>
      <c r="C546" s="207"/>
      <c r="D546" s="421"/>
      <c r="E546" s="90"/>
      <c r="F546" s="61"/>
      <c r="G546" s="206"/>
      <c r="H546" s="74"/>
      <c r="I546" s="182"/>
      <c r="J546" s="685"/>
      <c r="K546" s="365"/>
    </row>
    <row r="547" spans="1:11">
      <c r="A547" s="158"/>
      <c r="B547" s="139"/>
      <c r="C547" s="207"/>
      <c r="D547" s="421"/>
      <c r="E547" s="91"/>
      <c r="F547" s="61"/>
      <c r="G547" s="206"/>
      <c r="H547" s="74"/>
      <c r="I547" s="182"/>
      <c r="J547" s="685"/>
      <c r="K547" s="365"/>
    </row>
    <row r="548" spans="1:11">
      <c r="A548" s="200"/>
      <c r="B548" s="139"/>
      <c r="C548" s="207"/>
      <c r="D548" s="421"/>
      <c r="E548" s="153"/>
      <c r="F548" s="61"/>
      <c r="G548" s="206"/>
      <c r="H548" s="88"/>
      <c r="I548" s="622"/>
      <c r="J548" s="687"/>
      <c r="K548" s="379"/>
    </row>
    <row r="549" spans="1:11">
      <c r="A549" s="157"/>
      <c r="B549" s="139"/>
      <c r="C549" s="207"/>
      <c r="D549" s="421"/>
      <c r="E549" s="198"/>
      <c r="F549" s="61"/>
      <c r="G549" s="206"/>
      <c r="H549" s="74"/>
      <c r="I549" s="182"/>
      <c r="J549" s="685"/>
      <c r="K549" s="365"/>
    </row>
    <row r="550" spans="1:11">
      <c r="A550" s="157"/>
      <c r="B550" s="139"/>
      <c r="C550" s="207"/>
      <c r="D550" s="421"/>
      <c r="E550" s="142"/>
      <c r="F550" s="61"/>
      <c r="G550" s="206"/>
      <c r="H550" s="74"/>
      <c r="I550" s="182"/>
      <c r="J550" s="685"/>
      <c r="K550" s="365"/>
    </row>
    <row r="551" spans="1:11">
      <c r="A551" s="157"/>
      <c r="B551" s="139"/>
      <c r="C551" s="207"/>
      <c r="D551" s="322"/>
      <c r="E551" s="120"/>
      <c r="F551" s="121"/>
      <c r="G551" s="206"/>
      <c r="H551" s="115"/>
      <c r="I551" s="217"/>
      <c r="J551" s="685"/>
      <c r="K551" s="365"/>
    </row>
    <row r="552" spans="1:11">
      <c r="A552" s="157"/>
      <c r="B552" s="139"/>
      <c r="C552" s="207"/>
      <c r="D552" s="322"/>
      <c r="E552" s="249"/>
      <c r="F552" s="121"/>
      <c r="G552" s="206"/>
      <c r="H552" s="115"/>
      <c r="I552" s="217"/>
      <c r="J552" s="685"/>
      <c r="K552" s="365"/>
    </row>
    <row r="553" spans="1:11">
      <c r="A553" s="157"/>
      <c r="B553" s="139"/>
      <c r="C553" s="207"/>
      <c r="D553" s="322"/>
      <c r="E553" s="249"/>
      <c r="F553" s="121"/>
      <c r="G553" s="206"/>
      <c r="H553" s="115"/>
      <c r="I553" s="217"/>
      <c r="J553" s="685"/>
      <c r="K553" s="365"/>
    </row>
    <row r="554" spans="1:11">
      <c r="A554" s="157"/>
      <c r="B554" s="139"/>
      <c r="C554" s="207"/>
      <c r="D554" s="322"/>
      <c r="E554" s="249"/>
      <c r="F554" s="121"/>
      <c r="G554" s="206"/>
      <c r="H554" s="115"/>
      <c r="I554" s="217"/>
      <c r="J554" s="685"/>
      <c r="K554" s="365"/>
    </row>
    <row r="555" spans="1:11">
      <c r="A555" s="157"/>
      <c r="B555" s="139"/>
      <c r="C555" s="207"/>
      <c r="D555" s="322"/>
      <c r="E555" s="142"/>
      <c r="F555" s="61"/>
      <c r="G555" s="206"/>
      <c r="H555" s="74"/>
      <c r="I555" s="182"/>
      <c r="J555" s="685"/>
      <c r="K555" s="365"/>
    </row>
    <row r="556" spans="1:11">
      <c r="A556" s="157"/>
      <c r="B556" s="460"/>
      <c r="C556" s="207"/>
      <c r="D556" s="322"/>
      <c r="E556" s="142"/>
      <c r="F556" s="61"/>
      <c r="G556" s="206"/>
      <c r="H556" s="74"/>
      <c r="I556" s="182"/>
      <c r="J556" s="685"/>
      <c r="K556" s="365"/>
    </row>
    <row r="557" spans="1:11">
      <c r="A557" s="160"/>
      <c r="B557" s="139"/>
      <c r="C557" s="207"/>
      <c r="D557" s="322"/>
      <c r="E557" s="120"/>
      <c r="F557" s="121"/>
      <c r="G557" s="206"/>
      <c r="H557" s="115"/>
      <c r="I557" s="217"/>
      <c r="J557" s="691"/>
      <c r="K557" s="363"/>
    </row>
    <row r="558" spans="1:11">
      <c r="F558" s="68"/>
    </row>
    <row r="559" spans="1:11">
      <c r="A559" s="44" t="s">
        <v>0</v>
      </c>
      <c r="C559" s="167"/>
      <c r="F559" s="68"/>
    </row>
    <row r="560" spans="1:11">
      <c r="A560" s="3480" t="s">
        <v>2512</v>
      </c>
      <c r="B560" s="3480"/>
      <c r="C560" s="270"/>
      <c r="D560" s="167"/>
      <c r="F560" s="68"/>
    </row>
    <row r="561" spans="1:11" ht="35.25" thickBot="1">
      <c r="F561" s="68"/>
    </row>
    <row r="562" spans="1:11">
      <c r="A562" s="3493" t="s">
        <v>2</v>
      </c>
      <c r="B562" s="3482"/>
      <c r="C562" s="344" t="s">
        <v>3</v>
      </c>
      <c r="D562" s="408" t="s">
        <v>4</v>
      </c>
      <c r="E562" s="77" t="s">
        <v>5</v>
      </c>
      <c r="F562" s="78" t="s">
        <v>5</v>
      </c>
      <c r="G562" s="211" t="s">
        <v>6</v>
      </c>
      <c r="H562" s="140" t="s">
        <v>7</v>
      </c>
      <c r="I562" s="618" t="s">
        <v>1511</v>
      </c>
      <c r="J562" s="683" t="s">
        <v>9</v>
      </c>
      <c r="K562" s="367" t="s">
        <v>9</v>
      </c>
    </row>
    <row r="563" spans="1:11" ht="35.25" thickBot="1">
      <c r="A563" s="155"/>
      <c r="B563" s="494"/>
      <c r="C563" s="345"/>
      <c r="D563" s="409" t="s">
        <v>10</v>
      </c>
      <c r="E563" s="79" t="s">
        <v>11</v>
      </c>
      <c r="F563" s="80" t="s">
        <v>12</v>
      </c>
      <c r="G563" s="212"/>
      <c r="H563" s="141" t="s">
        <v>13</v>
      </c>
      <c r="I563" s="619" t="s">
        <v>1512</v>
      </c>
      <c r="J563" s="684" t="s">
        <v>15</v>
      </c>
      <c r="K563" s="368" t="s">
        <v>14</v>
      </c>
    </row>
    <row r="564" spans="1:11">
      <c r="A564" s="156"/>
      <c r="B564" s="139"/>
      <c r="C564" s="207"/>
      <c r="D564" s="421"/>
      <c r="E564" s="143"/>
      <c r="F564" s="69"/>
      <c r="G564" s="206"/>
      <c r="H564" s="74"/>
      <c r="I564" s="182"/>
      <c r="J564" s="685"/>
      <c r="K564" s="367"/>
    </row>
    <row r="565" spans="1:11">
      <c r="A565" s="157"/>
      <c r="B565" s="139"/>
      <c r="C565" s="207"/>
      <c r="D565" s="421"/>
      <c r="E565" s="145"/>
      <c r="F565" s="61"/>
      <c r="G565" s="206"/>
      <c r="H565" s="74"/>
      <c r="I565" s="182"/>
      <c r="J565" s="685"/>
      <c r="K565" s="365"/>
    </row>
    <row r="566" spans="1:11">
      <c r="A566" s="157"/>
      <c r="B566" s="463"/>
      <c r="C566" s="207"/>
      <c r="D566" s="421"/>
      <c r="E566" s="145"/>
      <c r="F566" s="61"/>
      <c r="G566" s="206"/>
      <c r="H566" s="74"/>
      <c r="I566" s="182"/>
      <c r="J566" s="685"/>
      <c r="K566" s="365"/>
    </row>
    <row r="567" spans="1:11">
      <c r="A567" s="157"/>
      <c r="B567" s="463"/>
      <c r="C567" s="207"/>
      <c r="D567" s="421"/>
      <c r="E567" s="145"/>
      <c r="F567" s="61"/>
      <c r="G567" s="206"/>
      <c r="H567" s="74"/>
      <c r="I567" s="182"/>
      <c r="J567" s="685"/>
      <c r="K567" s="365"/>
    </row>
    <row r="568" spans="1:11">
      <c r="A568" s="157"/>
      <c r="B568" s="139"/>
      <c r="C568" s="207"/>
      <c r="D568" s="421"/>
      <c r="E568" s="145"/>
      <c r="F568" s="61"/>
      <c r="G568" s="206"/>
      <c r="H568" s="74"/>
      <c r="I568" s="182"/>
      <c r="J568" s="685"/>
      <c r="K568" s="365"/>
    </row>
    <row r="569" spans="1:11">
      <c r="A569" s="157"/>
      <c r="B569" s="139"/>
      <c r="C569" s="207"/>
      <c r="D569" s="421"/>
      <c r="E569" s="145"/>
      <c r="F569" s="61"/>
      <c r="G569" s="206"/>
      <c r="H569" s="74"/>
      <c r="I569" s="182"/>
      <c r="J569" s="685"/>
      <c r="K569" s="365"/>
    </row>
    <row r="570" spans="1:11">
      <c r="A570" s="157"/>
      <c r="B570" s="139"/>
      <c r="C570" s="207"/>
      <c r="D570" s="421"/>
      <c r="E570" s="145"/>
      <c r="F570" s="61"/>
      <c r="G570" s="206"/>
      <c r="H570" s="74"/>
      <c r="I570" s="182"/>
      <c r="J570" s="685"/>
      <c r="K570" s="365"/>
    </row>
    <row r="571" spans="1:11">
      <c r="A571" s="157"/>
      <c r="B571" s="463"/>
      <c r="C571" s="341"/>
      <c r="D571" s="422"/>
      <c r="E571" s="145"/>
      <c r="F571" s="61"/>
      <c r="G571" s="223"/>
      <c r="H571" s="224"/>
      <c r="I571" s="620"/>
      <c r="J571" s="686"/>
      <c r="K571" s="378"/>
    </row>
    <row r="572" spans="1:11">
      <c r="A572" s="157"/>
      <c r="B572" s="433"/>
      <c r="C572" s="207"/>
      <c r="D572" s="421"/>
      <c r="E572" s="145"/>
      <c r="F572" s="61"/>
      <c r="G572" s="206"/>
      <c r="H572" s="74"/>
      <c r="I572" s="182"/>
      <c r="J572" s="685"/>
      <c r="K572" s="365"/>
    </row>
    <row r="573" spans="1:11">
      <c r="A573" s="157"/>
      <c r="B573" s="433"/>
      <c r="C573" s="207"/>
      <c r="D573" s="421"/>
      <c r="E573" s="145"/>
      <c r="F573" s="61"/>
      <c r="G573" s="206"/>
      <c r="H573" s="74"/>
      <c r="I573" s="182"/>
      <c r="J573" s="685"/>
      <c r="K573" s="365"/>
    </row>
    <row r="574" spans="1:11">
      <c r="A574" s="157"/>
      <c r="B574" s="433"/>
      <c r="C574" s="341"/>
      <c r="D574" s="422"/>
      <c r="E574" s="237"/>
      <c r="F574" s="238"/>
      <c r="G574" s="223"/>
      <c r="H574" s="224"/>
      <c r="I574" s="620"/>
      <c r="J574" s="686"/>
      <c r="K574" s="378"/>
    </row>
    <row r="575" spans="1:11">
      <c r="A575" s="157"/>
      <c r="B575" s="433"/>
      <c r="C575" s="207"/>
      <c r="D575" s="421"/>
      <c r="E575" s="145"/>
      <c r="F575" s="61"/>
      <c r="G575" s="206"/>
      <c r="H575" s="74"/>
      <c r="I575" s="182"/>
      <c r="J575" s="685"/>
      <c r="K575" s="365"/>
    </row>
    <row r="576" spans="1:11">
      <c r="A576" s="157"/>
      <c r="B576" s="139"/>
      <c r="C576" s="341"/>
      <c r="D576" s="422"/>
      <c r="E576" s="145"/>
      <c r="F576" s="61"/>
      <c r="G576" s="223"/>
      <c r="H576" s="224"/>
      <c r="I576" s="620"/>
      <c r="J576" s="686"/>
      <c r="K576" s="378"/>
    </row>
    <row r="577" spans="1:11">
      <c r="A577" s="157"/>
      <c r="B577" s="139"/>
      <c r="C577" s="341"/>
      <c r="D577" s="422"/>
      <c r="E577" s="145"/>
      <c r="F577" s="61"/>
      <c r="G577" s="223"/>
      <c r="H577" s="224"/>
      <c r="I577" s="620"/>
      <c r="J577" s="686"/>
      <c r="K577" s="378"/>
    </row>
    <row r="578" spans="1:11">
      <c r="A578" s="221"/>
      <c r="B578" s="457"/>
      <c r="C578" s="341"/>
      <c r="D578" s="422"/>
      <c r="E578" s="145"/>
      <c r="F578" s="61"/>
      <c r="G578" s="223"/>
      <c r="H578" s="224"/>
      <c r="I578" s="620"/>
      <c r="J578" s="686"/>
      <c r="K578" s="378"/>
    </row>
    <row r="579" spans="1:11">
      <c r="A579" s="157"/>
      <c r="B579" s="139"/>
      <c r="C579" s="207"/>
      <c r="D579" s="421"/>
      <c r="E579" s="145"/>
      <c r="F579" s="61"/>
      <c r="G579" s="206"/>
      <c r="H579" s="74"/>
      <c r="I579" s="182"/>
      <c r="J579" s="686"/>
      <c r="K579" s="365"/>
    </row>
    <row r="580" spans="1:11">
      <c r="A580" s="157"/>
      <c r="B580" s="139"/>
      <c r="C580" s="207"/>
      <c r="D580" s="421"/>
      <c r="E580" s="145"/>
      <c r="F580" s="61"/>
      <c r="G580" s="206"/>
      <c r="H580" s="74"/>
      <c r="I580" s="182"/>
      <c r="J580" s="685"/>
      <c r="K580" s="365"/>
    </row>
    <row r="581" spans="1:11">
      <c r="A581" s="157"/>
      <c r="B581" s="139"/>
      <c r="C581" s="207"/>
      <c r="D581" s="421"/>
      <c r="E581" s="90"/>
      <c r="F581" s="61"/>
      <c r="G581" s="206"/>
      <c r="H581" s="74"/>
      <c r="I581" s="621"/>
      <c r="J581" s="685"/>
      <c r="K581" s="365"/>
    </row>
    <row r="582" spans="1:11">
      <c r="A582" s="157"/>
      <c r="B582" s="139"/>
      <c r="C582" s="207"/>
      <c r="D582" s="421"/>
      <c r="E582" s="90"/>
      <c r="F582" s="61"/>
      <c r="G582" s="206"/>
      <c r="H582" s="74"/>
      <c r="I582" s="182"/>
      <c r="J582" s="685"/>
      <c r="K582" s="365"/>
    </row>
    <row r="583" spans="1:11">
      <c r="A583" s="157"/>
      <c r="B583" s="139"/>
      <c r="C583" s="207"/>
      <c r="D583" s="421"/>
      <c r="E583" s="90"/>
      <c r="F583" s="61"/>
      <c r="G583" s="206"/>
      <c r="H583" s="74"/>
      <c r="I583" s="182"/>
      <c r="J583" s="685"/>
      <c r="K583" s="365"/>
    </row>
    <row r="584" spans="1:11">
      <c r="A584" s="157"/>
      <c r="B584" s="139"/>
      <c r="C584" s="207"/>
      <c r="D584" s="421"/>
      <c r="E584" s="90"/>
      <c r="F584" s="61"/>
      <c r="G584" s="206"/>
      <c r="H584" s="74"/>
      <c r="I584" s="182"/>
      <c r="J584" s="685"/>
      <c r="K584" s="365"/>
    </row>
    <row r="585" spans="1:11">
      <c r="A585" s="158"/>
      <c r="B585" s="139"/>
      <c r="C585" s="207"/>
      <c r="D585" s="421"/>
      <c r="E585" s="91"/>
      <c r="F585" s="61"/>
      <c r="G585" s="206"/>
      <c r="H585" s="74"/>
      <c r="I585" s="182"/>
      <c r="J585" s="685"/>
      <c r="K585" s="365"/>
    </row>
    <row r="586" spans="1:11">
      <c r="A586" s="200"/>
      <c r="B586" s="139"/>
      <c r="C586" s="207"/>
      <c r="D586" s="421"/>
      <c r="E586" s="153"/>
      <c r="F586" s="61"/>
      <c r="G586" s="206"/>
      <c r="H586" s="88"/>
      <c r="I586" s="622"/>
      <c r="J586" s="687"/>
      <c r="K586" s="379"/>
    </row>
    <row r="587" spans="1:11">
      <c r="A587" s="157"/>
      <c r="B587" s="139"/>
      <c r="C587" s="207"/>
      <c r="D587" s="421"/>
      <c r="E587" s="198"/>
      <c r="F587" s="61"/>
      <c r="G587" s="206"/>
      <c r="H587" s="74"/>
      <c r="I587" s="182"/>
      <c r="J587" s="685"/>
      <c r="K587" s="365"/>
    </row>
    <row r="588" spans="1:11">
      <c r="A588" s="157"/>
      <c r="B588" s="139"/>
      <c r="C588" s="207"/>
      <c r="D588" s="421"/>
      <c r="E588" s="142"/>
      <c r="F588" s="61"/>
      <c r="G588" s="206"/>
      <c r="H588" s="74"/>
      <c r="I588" s="182"/>
      <c r="J588" s="685"/>
      <c r="K588" s="365"/>
    </row>
    <row r="589" spans="1:11">
      <c r="A589" s="157"/>
      <c r="B589" s="139"/>
      <c r="C589" s="207"/>
      <c r="D589" s="322"/>
      <c r="E589" s="120"/>
      <c r="F589" s="121"/>
      <c r="G589" s="206"/>
      <c r="H589" s="115"/>
      <c r="I589" s="217"/>
      <c r="J589" s="685"/>
      <c r="K589" s="365"/>
    </row>
    <row r="590" spans="1:11">
      <c r="A590" s="157"/>
      <c r="B590" s="139"/>
      <c r="C590" s="207"/>
      <c r="D590" s="322"/>
      <c r="E590" s="249"/>
      <c r="F590" s="121"/>
      <c r="G590" s="206"/>
      <c r="H590" s="115"/>
      <c r="I590" s="217"/>
      <c r="J590" s="685"/>
      <c r="K590" s="365"/>
    </row>
    <row r="591" spans="1:11">
      <c r="A591" s="157"/>
      <c r="B591" s="139"/>
      <c r="C591" s="207"/>
      <c r="D591" s="322"/>
      <c r="E591" s="249"/>
      <c r="F591" s="121"/>
      <c r="G591" s="206"/>
      <c r="H591" s="115"/>
      <c r="I591" s="217"/>
      <c r="J591" s="685"/>
      <c r="K591" s="365"/>
    </row>
    <row r="592" spans="1:11">
      <c r="A592" s="157"/>
      <c r="B592" s="139"/>
      <c r="C592" s="207"/>
      <c r="D592" s="322"/>
      <c r="E592" s="249"/>
      <c r="F592" s="121"/>
      <c r="G592" s="206"/>
      <c r="H592" s="115"/>
      <c r="I592" s="217"/>
      <c r="J592" s="685"/>
      <c r="K592" s="365"/>
    </row>
    <row r="593" spans="1:11">
      <c r="A593" s="157"/>
      <c r="B593" s="139"/>
      <c r="C593" s="207"/>
      <c r="D593" s="322"/>
      <c r="E593" s="142"/>
      <c r="F593" s="61"/>
      <c r="G593" s="206"/>
      <c r="H593" s="74"/>
      <c r="I593" s="182"/>
      <c r="J593" s="685"/>
      <c r="K593" s="365"/>
    </row>
    <row r="594" spans="1:11">
      <c r="A594" s="157"/>
      <c r="B594" s="460"/>
      <c r="C594" s="207"/>
      <c r="D594" s="322"/>
      <c r="E594" s="142"/>
      <c r="F594" s="61"/>
      <c r="G594" s="206"/>
      <c r="H594" s="74"/>
      <c r="I594" s="182"/>
      <c r="J594" s="685"/>
      <c r="K594" s="365"/>
    </row>
    <row r="595" spans="1:11">
      <c r="A595" s="160"/>
      <c r="B595" s="139"/>
      <c r="C595" s="207"/>
      <c r="D595" s="322"/>
      <c r="E595" s="120"/>
      <c r="F595" s="121"/>
      <c r="G595" s="206"/>
      <c r="H595" s="115"/>
      <c r="I595" s="217"/>
      <c r="J595" s="691"/>
      <c r="K595" s="363"/>
    </row>
    <row r="596" spans="1:11">
      <c r="A596" s="204"/>
      <c r="B596" s="109"/>
      <c r="C596" s="205"/>
      <c r="D596" s="167"/>
      <c r="E596" s="3444"/>
      <c r="F596" s="3444"/>
      <c r="G596" s="213"/>
      <c r="H596" s="109"/>
      <c r="I596" s="109"/>
      <c r="J596" s="690"/>
      <c r="K596" s="380"/>
    </row>
  </sheetData>
  <mergeCells count="26">
    <mergeCell ref="A522:B522"/>
    <mergeCell ref="A524:B524"/>
    <mergeCell ref="A560:B560"/>
    <mergeCell ref="A562:B562"/>
    <mergeCell ref="A446:B446"/>
    <mergeCell ref="A448:B448"/>
    <mergeCell ref="A484:B484"/>
    <mergeCell ref="A486:B486"/>
    <mergeCell ref="A370:B370"/>
    <mergeCell ref="A372:B372"/>
    <mergeCell ref="A408:B408"/>
    <mergeCell ref="A410:B410"/>
    <mergeCell ref="A292:B292"/>
    <mergeCell ref="A294:B294"/>
    <mergeCell ref="A331:B331"/>
    <mergeCell ref="A333:B333"/>
    <mergeCell ref="A221:B221"/>
    <mergeCell ref="A256:B256"/>
    <mergeCell ref="A258:B258"/>
    <mergeCell ref="A186:B186"/>
    <mergeCell ref="A114:B114"/>
    <mergeCell ref="A5:B5"/>
    <mergeCell ref="A41:B41"/>
    <mergeCell ref="A78:B78"/>
    <mergeCell ref="A150:B150"/>
    <mergeCell ref="A219:B219"/>
  </mergeCells>
  <phoneticPr fontId="6" type="noConversion"/>
  <pageMargins left="0.46" right="0.14000000000000001" top="0.14000000000000001" bottom="0.13" header="0.14000000000000001" footer="0.13"/>
  <pageSetup paperSize="9" scale="63" orientation="portrait" r:id="rId1"/>
  <headerFooter alignWithMargins="0"/>
  <rowBreaks count="5" manualBreakCount="5">
    <brk id="36" max="16383" man="1"/>
    <brk id="73" max="16383" man="1"/>
    <brk id="109" max="16383" man="1"/>
    <brk id="145" max="16383" man="1"/>
    <brk id="181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6B3D-EFF1-4CB9-B92B-935DF33AC1D6}">
  <sheetPr>
    <tabColor indexed="35"/>
  </sheetPr>
  <dimension ref="A1:AG289"/>
  <sheetViews>
    <sheetView topLeftCell="A25" zoomScale="98" zoomScaleNormal="98" zoomScaleSheetLayoutView="70" workbookViewId="0">
      <selection activeCell="F26" sqref="F26"/>
    </sheetView>
  </sheetViews>
  <sheetFormatPr defaultRowHeight="12.75"/>
  <cols>
    <col min="1" max="1" width="1.5703125" customWidth="1"/>
    <col min="2" max="2" width="27.42578125" customWidth="1"/>
    <col min="3" max="3" width="11.85546875" customWidth="1"/>
    <col min="4" max="4" width="12.5703125" customWidth="1"/>
    <col min="5" max="6" width="12.7109375" customWidth="1"/>
    <col min="7" max="7" width="12.140625" customWidth="1"/>
    <col min="8" max="8" width="9.42578125" customWidth="1"/>
    <col min="9" max="9" width="16.42578125" customWidth="1"/>
    <col min="10" max="10" width="11.42578125" customWidth="1"/>
    <col min="11" max="11" width="10.5703125" customWidth="1"/>
    <col min="12" max="33" width="19.140625" style="664" customWidth="1"/>
  </cols>
  <sheetData>
    <row r="1" spans="1:33" s="76" customFormat="1" ht="34.5">
      <c r="A1" s="44"/>
      <c r="B1" s="75"/>
      <c r="C1" s="124"/>
      <c r="D1" s="124"/>
      <c r="E1" s="124"/>
      <c r="F1" s="124"/>
      <c r="G1" s="124"/>
      <c r="H1" s="124"/>
      <c r="I1" s="124"/>
      <c r="J1" s="545"/>
      <c r="K1" s="537">
        <v>1</v>
      </c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7"/>
      <c r="W1" s="567"/>
      <c r="X1" s="567"/>
      <c r="Y1" s="567"/>
      <c r="Z1" s="567"/>
      <c r="AA1" s="567"/>
      <c r="AB1" s="567"/>
      <c r="AC1" s="567"/>
      <c r="AD1" s="567"/>
      <c r="AE1" s="567"/>
      <c r="AF1" s="567"/>
      <c r="AG1" s="567"/>
    </row>
    <row r="2" spans="1:33" s="76" customFormat="1" ht="34.5">
      <c r="A2" s="44" t="s">
        <v>0</v>
      </c>
      <c r="B2" s="127"/>
      <c r="C2" s="167"/>
      <c r="D2" s="125"/>
      <c r="E2" s="45"/>
      <c r="F2" s="68"/>
      <c r="G2" s="353"/>
      <c r="I2" s="497"/>
      <c r="J2" s="540"/>
      <c r="K2" s="171"/>
      <c r="L2" s="567"/>
      <c r="M2" s="567"/>
      <c r="N2" s="567"/>
      <c r="O2" s="567"/>
      <c r="P2" s="567"/>
      <c r="Q2" s="567"/>
      <c r="R2" s="567"/>
      <c r="S2" s="567"/>
      <c r="T2" s="567"/>
      <c r="U2" s="567"/>
      <c r="V2" s="567"/>
      <c r="W2" s="567"/>
      <c r="X2" s="567"/>
      <c r="Y2" s="567"/>
      <c r="Z2" s="567"/>
      <c r="AA2" s="567"/>
      <c r="AB2" s="567"/>
      <c r="AC2" s="567"/>
      <c r="AD2" s="567"/>
      <c r="AE2" s="567"/>
      <c r="AF2" s="567"/>
      <c r="AG2" s="567"/>
    </row>
    <row r="3" spans="1:33" s="76" customFormat="1" ht="35.25" customHeight="1">
      <c r="A3" s="112" t="s">
        <v>3785</v>
      </c>
      <c r="B3" s="112"/>
      <c r="C3" s="204"/>
      <c r="D3" s="109"/>
      <c r="E3" s="45"/>
      <c r="F3" s="68"/>
      <c r="G3" s="353"/>
      <c r="I3" s="497"/>
      <c r="J3" s="540"/>
      <c r="K3" s="171"/>
      <c r="L3" s="567"/>
      <c r="M3" s="567"/>
      <c r="N3" s="567"/>
      <c r="O3" s="567"/>
      <c r="P3" s="567"/>
      <c r="Q3" s="567"/>
      <c r="R3" s="567"/>
      <c r="S3" s="567"/>
      <c r="T3" s="567"/>
      <c r="U3" s="567"/>
      <c r="V3" s="567"/>
      <c r="W3" s="567"/>
      <c r="X3" s="567"/>
      <c r="Y3" s="567"/>
      <c r="Z3" s="567"/>
      <c r="AA3" s="567"/>
      <c r="AB3" s="567"/>
      <c r="AC3" s="567"/>
      <c r="AD3" s="567"/>
      <c r="AE3" s="567"/>
      <c r="AF3" s="567"/>
      <c r="AG3" s="567"/>
    </row>
    <row r="4" spans="1:33" s="76" customFormat="1" ht="16.5" customHeight="1" thickBot="1">
      <c r="A4" s="75"/>
      <c r="B4" s="125"/>
      <c r="C4" s="335"/>
      <c r="D4" s="125"/>
      <c r="E4" s="45"/>
      <c r="F4" s="68"/>
      <c r="G4" s="353"/>
      <c r="I4" s="497"/>
      <c r="J4" s="540"/>
      <c r="K4" s="171"/>
      <c r="L4" s="567"/>
      <c r="M4" s="567"/>
      <c r="N4" s="567"/>
      <c r="O4" s="567"/>
      <c r="P4" s="567"/>
      <c r="Q4" s="567"/>
      <c r="R4" s="567"/>
      <c r="S4" s="567"/>
      <c r="T4" s="567"/>
      <c r="U4" s="567"/>
      <c r="V4" s="567"/>
      <c r="W4" s="567"/>
      <c r="X4" s="567"/>
      <c r="Y4" s="567"/>
      <c r="Z4" s="567"/>
      <c r="AA4" s="567"/>
      <c r="AB4" s="567"/>
      <c r="AC4" s="567"/>
      <c r="AD4" s="567"/>
      <c r="AE4" s="567"/>
      <c r="AF4" s="567"/>
      <c r="AG4" s="567"/>
    </row>
    <row r="5" spans="1:33" s="76" customFormat="1" ht="34.5">
      <c r="A5" s="3493" t="s">
        <v>2</v>
      </c>
      <c r="B5" s="3482"/>
      <c r="C5" s="336" t="s">
        <v>3</v>
      </c>
      <c r="D5" s="3445" t="s">
        <v>4</v>
      </c>
      <c r="E5" s="77" t="s">
        <v>5</v>
      </c>
      <c r="F5" s="78" t="s">
        <v>5</v>
      </c>
      <c r="G5" s="250" t="s">
        <v>6</v>
      </c>
      <c r="H5" s="344" t="s">
        <v>7</v>
      </c>
      <c r="I5" s="592" t="s">
        <v>1511</v>
      </c>
      <c r="J5" s="584" t="s">
        <v>9</v>
      </c>
      <c r="K5" s="346" t="s">
        <v>9</v>
      </c>
      <c r="L5" s="567"/>
      <c r="M5" s="567"/>
      <c r="N5" s="567"/>
      <c r="O5" s="567"/>
      <c r="P5" s="567"/>
      <c r="Q5" s="567"/>
      <c r="R5" s="567"/>
      <c r="S5" s="567"/>
      <c r="T5" s="567"/>
      <c r="U5" s="567"/>
      <c r="V5" s="567"/>
      <c r="W5" s="567"/>
      <c r="X5" s="567"/>
      <c r="Y5" s="567"/>
      <c r="Z5" s="567"/>
      <c r="AA5" s="567"/>
      <c r="AB5" s="567"/>
      <c r="AC5" s="567"/>
      <c r="AD5" s="567"/>
      <c r="AE5" s="567"/>
      <c r="AF5" s="567"/>
      <c r="AG5" s="567"/>
    </row>
    <row r="6" spans="1:33" s="76" customFormat="1" ht="35.25" thickBot="1">
      <c r="A6" s="155"/>
      <c r="B6" s="138"/>
      <c r="C6" s="337"/>
      <c r="D6" s="51" t="s">
        <v>10</v>
      </c>
      <c r="E6" s="79" t="s">
        <v>11</v>
      </c>
      <c r="F6" s="80" t="s">
        <v>12</v>
      </c>
      <c r="G6" s="476"/>
      <c r="H6" s="345" t="s">
        <v>13</v>
      </c>
      <c r="I6" s="593" t="s">
        <v>1512</v>
      </c>
      <c r="J6" s="585" t="s">
        <v>14</v>
      </c>
      <c r="K6" s="347" t="s">
        <v>15</v>
      </c>
      <c r="L6" s="567"/>
      <c r="M6" s="567"/>
      <c r="N6" s="567"/>
      <c r="O6" s="567"/>
      <c r="P6" s="567"/>
      <c r="Q6" s="567"/>
      <c r="R6" s="567"/>
      <c r="S6" s="567"/>
      <c r="T6" s="567"/>
      <c r="U6" s="567"/>
      <c r="V6" s="567"/>
      <c r="W6" s="567"/>
      <c r="X6" s="567"/>
      <c r="Y6" s="567"/>
      <c r="Z6" s="567"/>
      <c r="AA6" s="567"/>
      <c r="AB6" s="567"/>
      <c r="AC6" s="567"/>
      <c r="AD6" s="567"/>
      <c r="AE6" s="567"/>
      <c r="AF6" s="567"/>
      <c r="AG6" s="567"/>
    </row>
    <row r="7" spans="1:33" s="76" customFormat="1" ht="34.5">
      <c r="A7" s="3527" t="s">
        <v>3786</v>
      </c>
      <c r="B7" s="3495"/>
      <c r="C7" s="608"/>
      <c r="D7" s="227"/>
      <c r="E7" s="255"/>
      <c r="F7" s="54"/>
      <c r="G7" s="477"/>
      <c r="H7" s="74"/>
      <c r="I7" s="431"/>
      <c r="J7" s="549"/>
      <c r="K7" s="526"/>
      <c r="L7" s="567"/>
      <c r="M7" s="567"/>
      <c r="N7" s="567"/>
      <c r="O7" s="567"/>
      <c r="P7" s="567"/>
      <c r="Q7" s="567"/>
      <c r="R7" s="567"/>
      <c r="S7" s="567"/>
      <c r="T7" s="567"/>
      <c r="U7" s="567"/>
      <c r="V7" s="567"/>
      <c r="W7" s="567"/>
      <c r="X7" s="567"/>
      <c r="Y7" s="567"/>
      <c r="Z7" s="567"/>
      <c r="AA7" s="567"/>
      <c r="AB7" s="567"/>
      <c r="AC7" s="567"/>
      <c r="AD7" s="567"/>
      <c r="AE7" s="567"/>
      <c r="AF7" s="567"/>
      <c r="AG7" s="567"/>
    </row>
    <row r="8" spans="1:33" s="76" customFormat="1" ht="34.5">
      <c r="A8" s="315"/>
      <c r="B8" s="43" t="s">
        <v>3787</v>
      </c>
      <c r="C8" s="207" t="s">
        <v>3788</v>
      </c>
      <c r="D8" s="751" t="s">
        <v>3789</v>
      </c>
      <c r="E8" s="2386" t="s">
        <v>3790</v>
      </c>
      <c r="F8" s="767" t="s">
        <v>3791</v>
      </c>
      <c r="G8" s="2765" t="s">
        <v>3792</v>
      </c>
      <c r="H8" s="74">
        <v>1713.6</v>
      </c>
      <c r="I8" s="553" t="s">
        <v>3793</v>
      </c>
      <c r="J8" s="1819" t="s">
        <v>3794</v>
      </c>
      <c r="K8" s="3146" t="s">
        <v>3795</v>
      </c>
      <c r="L8" s="567"/>
      <c r="M8" s="567"/>
      <c r="N8" s="567"/>
      <c r="O8" s="567"/>
      <c r="P8" s="567"/>
      <c r="Q8" s="567"/>
      <c r="R8" s="567"/>
      <c r="S8" s="567"/>
      <c r="T8" s="567"/>
      <c r="U8" s="567"/>
      <c r="V8" s="567"/>
      <c r="W8" s="567"/>
      <c r="X8" s="567"/>
      <c r="Y8" s="567"/>
      <c r="Z8" s="567"/>
      <c r="AA8" s="567"/>
      <c r="AB8" s="567"/>
      <c r="AC8" s="567"/>
      <c r="AD8" s="567"/>
      <c r="AE8" s="567"/>
      <c r="AF8" s="567"/>
      <c r="AG8" s="567"/>
    </row>
    <row r="9" spans="1:33" s="76" customFormat="1" ht="34.5">
      <c r="A9" s="315"/>
      <c r="B9" s="43"/>
      <c r="C9" s="207" t="s">
        <v>1542</v>
      </c>
      <c r="D9" s="1818" t="s">
        <v>3796</v>
      </c>
      <c r="E9" s="3147" t="s">
        <v>3797</v>
      </c>
      <c r="F9" s="767" t="s">
        <v>3798</v>
      </c>
      <c r="G9" s="2765" t="s">
        <v>3799</v>
      </c>
      <c r="H9" s="74">
        <v>1542.06</v>
      </c>
      <c r="I9" s="553" t="s">
        <v>3800</v>
      </c>
      <c r="J9" s="1819" t="s">
        <v>3801</v>
      </c>
      <c r="K9" s="3146" t="s">
        <v>3802</v>
      </c>
      <c r="L9" s="567"/>
      <c r="M9" s="567"/>
      <c r="N9" s="567"/>
      <c r="O9" s="567"/>
      <c r="P9" s="567"/>
      <c r="Q9" s="567"/>
      <c r="R9" s="567"/>
      <c r="S9" s="567"/>
      <c r="T9" s="567"/>
      <c r="U9" s="567"/>
      <c r="V9" s="567"/>
      <c r="W9" s="567"/>
      <c r="X9" s="567"/>
      <c r="Y9" s="567"/>
      <c r="Z9" s="567"/>
      <c r="AA9" s="567"/>
      <c r="AB9" s="567"/>
      <c r="AC9" s="567"/>
      <c r="AD9" s="567"/>
      <c r="AE9" s="567"/>
      <c r="AF9" s="567"/>
      <c r="AG9" s="567"/>
    </row>
    <row r="10" spans="1:33" s="76" customFormat="1" ht="34.5">
      <c r="A10" s="315"/>
      <c r="B10" s="362"/>
      <c r="C10" s="207" t="s">
        <v>236</v>
      </c>
      <c r="D10" s="465" t="s">
        <v>3803</v>
      </c>
      <c r="E10" s="2350">
        <v>28</v>
      </c>
      <c r="F10" s="1497">
        <v>1220</v>
      </c>
      <c r="G10" s="477" t="s">
        <v>3804</v>
      </c>
      <c r="H10" s="74"/>
      <c r="I10" s="431"/>
      <c r="J10" s="590">
        <v>1430</v>
      </c>
      <c r="K10" s="526">
        <v>24</v>
      </c>
      <c r="L10" s="567"/>
      <c r="M10" s="567"/>
      <c r="N10" s="567"/>
      <c r="O10" s="567"/>
      <c r="P10" s="567"/>
      <c r="Q10" s="567"/>
      <c r="R10" s="567"/>
      <c r="S10" s="567"/>
      <c r="T10" s="567"/>
      <c r="U10" s="567"/>
      <c r="V10" s="567"/>
      <c r="W10" s="567"/>
      <c r="X10" s="567"/>
      <c r="Y10" s="567"/>
      <c r="Z10" s="567"/>
      <c r="AA10" s="567"/>
      <c r="AB10" s="567"/>
      <c r="AC10" s="567"/>
      <c r="AD10" s="567"/>
      <c r="AE10" s="567"/>
      <c r="AF10" s="567"/>
      <c r="AG10" s="567"/>
    </row>
    <row r="11" spans="1:33" s="76" customFormat="1" ht="34.5">
      <c r="A11" s="315"/>
      <c r="B11" s="362"/>
      <c r="C11" s="207" t="s">
        <v>280</v>
      </c>
      <c r="D11" s="465" t="s">
        <v>353</v>
      </c>
      <c r="E11" s="2350" t="s">
        <v>3805</v>
      </c>
      <c r="F11" s="1497" t="s">
        <v>3806</v>
      </c>
      <c r="G11" s="887" t="s">
        <v>3807</v>
      </c>
      <c r="H11" s="74">
        <v>1260</v>
      </c>
      <c r="I11" s="2239" t="s">
        <v>3808</v>
      </c>
      <c r="J11" s="712" t="s">
        <v>3809</v>
      </c>
      <c r="K11" s="3412" t="s">
        <v>3810</v>
      </c>
      <c r="L11" s="567"/>
      <c r="M11" s="567"/>
      <c r="N11" s="567"/>
      <c r="O11" s="567"/>
      <c r="P11" s="567"/>
      <c r="Q11" s="567"/>
      <c r="R11" s="567"/>
      <c r="S11" s="567"/>
      <c r="T11" s="567"/>
      <c r="U11" s="567"/>
      <c r="V11" s="567"/>
      <c r="W11" s="567"/>
      <c r="X11" s="567"/>
      <c r="Y11" s="567"/>
      <c r="Z11" s="567"/>
      <c r="AA11" s="567"/>
      <c r="AB11" s="567"/>
      <c r="AC11" s="567"/>
      <c r="AD11" s="567"/>
      <c r="AE11" s="567"/>
      <c r="AF11" s="567"/>
      <c r="AG11" s="567"/>
    </row>
    <row r="12" spans="1:33" s="76" customFormat="1" ht="34.5">
      <c r="A12" s="315"/>
      <c r="B12" s="362" t="s">
        <v>3811</v>
      </c>
      <c r="C12" s="207" t="s">
        <v>1542</v>
      </c>
      <c r="D12" s="1818" t="s">
        <v>3796</v>
      </c>
      <c r="E12" s="3148" t="s">
        <v>3812</v>
      </c>
      <c r="F12" s="1497" t="s">
        <v>2334</v>
      </c>
      <c r="G12" s="477" t="s">
        <v>968</v>
      </c>
      <c r="H12" s="74">
        <v>1275.7</v>
      </c>
      <c r="I12" s="431" t="s">
        <v>3813</v>
      </c>
      <c r="J12" s="789" t="s">
        <v>3814</v>
      </c>
      <c r="K12" s="1157" t="s">
        <v>3815</v>
      </c>
      <c r="L12" s="567"/>
      <c r="M12" s="567"/>
      <c r="N12" s="567"/>
      <c r="O12" s="567"/>
      <c r="P12" s="567"/>
      <c r="Q12" s="567"/>
      <c r="R12" s="567"/>
      <c r="S12" s="567"/>
      <c r="T12" s="567"/>
      <c r="U12" s="567"/>
      <c r="V12" s="567"/>
      <c r="W12" s="567"/>
      <c r="X12" s="567"/>
      <c r="Y12" s="567"/>
      <c r="Z12" s="567"/>
      <c r="AA12" s="567"/>
      <c r="AB12" s="567"/>
      <c r="AC12" s="567"/>
      <c r="AD12" s="567"/>
      <c r="AE12" s="567"/>
      <c r="AF12" s="567"/>
      <c r="AG12" s="567"/>
    </row>
    <row r="13" spans="1:33" s="76" customFormat="1" ht="34.5">
      <c r="A13" s="315"/>
      <c r="B13" s="362"/>
      <c r="C13" s="207" t="s">
        <v>236</v>
      </c>
      <c r="D13" s="465" t="s">
        <v>3803</v>
      </c>
      <c r="E13" s="2350">
        <v>25</v>
      </c>
      <c r="F13" s="1497" t="s">
        <v>485</v>
      </c>
      <c r="G13" s="478" t="s">
        <v>968</v>
      </c>
      <c r="H13" s="224">
        <v>1233.6400000000001</v>
      </c>
      <c r="I13" s="431" t="s">
        <v>3816</v>
      </c>
      <c r="J13" s="609" t="s">
        <v>3817</v>
      </c>
      <c r="K13" s="527" t="s">
        <v>3817</v>
      </c>
      <c r="L13" s="567"/>
      <c r="M13" s="567"/>
      <c r="N13" s="567"/>
      <c r="O13" s="567"/>
      <c r="P13" s="567"/>
      <c r="Q13" s="567"/>
      <c r="R13" s="567"/>
      <c r="S13" s="567"/>
      <c r="T13" s="567"/>
      <c r="U13" s="567"/>
      <c r="V13" s="567"/>
      <c r="W13" s="567"/>
      <c r="X13" s="567"/>
      <c r="Y13" s="567"/>
      <c r="Z13" s="567"/>
      <c r="AA13" s="567"/>
      <c r="AB13" s="567"/>
      <c r="AC13" s="567"/>
      <c r="AD13" s="567"/>
      <c r="AE13" s="567"/>
      <c r="AF13" s="567"/>
      <c r="AG13" s="567"/>
    </row>
    <row r="14" spans="1:33" s="76" customFormat="1" ht="34.5">
      <c r="A14" s="315"/>
      <c r="B14" s="43"/>
      <c r="C14" s="207" t="s">
        <v>280</v>
      </c>
      <c r="D14" s="465" t="s">
        <v>353</v>
      </c>
      <c r="E14" s="84" t="s">
        <v>3818</v>
      </c>
      <c r="F14" s="767" t="s">
        <v>699</v>
      </c>
      <c r="G14" s="887" t="s">
        <v>3807</v>
      </c>
      <c r="H14" s="224">
        <v>1196.26</v>
      </c>
      <c r="I14" s="1587" t="s">
        <v>3819</v>
      </c>
      <c r="J14" s="3411" t="s">
        <v>3820</v>
      </c>
      <c r="K14" s="883" t="s">
        <v>3821</v>
      </c>
      <c r="L14" s="567"/>
      <c r="M14" s="567"/>
      <c r="N14" s="567"/>
      <c r="O14" s="567"/>
      <c r="P14" s="567"/>
      <c r="Q14" s="567"/>
      <c r="R14" s="567"/>
      <c r="S14" s="567"/>
      <c r="T14" s="567"/>
      <c r="U14" s="567"/>
      <c r="V14" s="567"/>
      <c r="W14" s="567"/>
      <c r="X14" s="567"/>
      <c r="Y14" s="567"/>
      <c r="Z14" s="567"/>
      <c r="AA14" s="567"/>
      <c r="AB14" s="567"/>
      <c r="AC14" s="567"/>
      <c r="AD14" s="567"/>
      <c r="AE14" s="567"/>
      <c r="AF14" s="567"/>
      <c r="AG14" s="567"/>
    </row>
    <row r="15" spans="1:33" s="76" customFormat="1" ht="34.5">
      <c r="A15" s="315"/>
      <c r="B15" s="3128" t="s">
        <v>3822</v>
      </c>
      <c r="C15" s="3129" t="s">
        <v>3788</v>
      </c>
      <c r="D15" s="3130" t="s">
        <v>3823</v>
      </c>
      <c r="E15" s="3131">
        <v>1100</v>
      </c>
      <c r="F15" s="3132"/>
      <c r="G15" s="3133" t="s">
        <v>3824</v>
      </c>
      <c r="H15" s="3134"/>
      <c r="I15" s="3135"/>
      <c r="J15" s="3136" t="s">
        <v>3816</v>
      </c>
      <c r="K15" s="3137">
        <v>4.4000000000000004</v>
      </c>
      <c r="L15" s="567"/>
      <c r="M15" s="567"/>
      <c r="N15" s="567"/>
      <c r="O15" s="567"/>
      <c r="P15" s="567"/>
      <c r="Q15" s="567"/>
      <c r="R15" s="567"/>
      <c r="S15" s="567"/>
      <c r="T15" s="567"/>
      <c r="U15" s="567"/>
      <c r="V15" s="567"/>
      <c r="W15" s="567"/>
      <c r="X15" s="567"/>
      <c r="Y15" s="567"/>
      <c r="Z15" s="567"/>
      <c r="AA15" s="567"/>
      <c r="AB15" s="567"/>
      <c r="AC15" s="567"/>
      <c r="AD15" s="567"/>
      <c r="AE15" s="567"/>
      <c r="AF15" s="567"/>
      <c r="AG15" s="567"/>
    </row>
    <row r="16" spans="1:33" s="76" customFormat="1" ht="34.5">
      <c r="A16" s="315"/>
      <c r="B16" s="3128"/>
      <c r="C16" s="3129" t="s">
        <v>1542</v>
      </c>
      <c r="D16" s="3138"/>
      <c r="E16" s="3131"/>
      <c r="F16" s="3132"/>
      <c r="G16" s="3139" t="s">
        <v>3825</v>
      </c>
      <c r="H16" s="3140">
        <v>1275.7</v>
      </c>
      <c r="I16" s="3141"/>
      <c r="J16" s="3142" t="s">
        <v>3826</v>
      </c>
      <c r="K16" s="3143" t="s">
        <v>3827</v>
      </c>
      <c r="L16" s="567"/>
      <c r="M16" s="567"/>
      <c r="N16" s="567"/>
      <c r="O16" s="567"/>
      <c r="P16" s="567"/>
      <c r="Q16" s="567"/>
      <c r="R16" s="567"/>
      <c r="S16" s="567"/>
      <c r="T16" s="567"/>
      <c r="U16" s="567"/>
      <c r="V16" s="567"/>
      <c r="W16" s="567"/>
      <c r="X16" s="567"/>
      <c r="Y16" s="567"/>
      <c r="Z16" s="567"/>
      <c r="AA16" s="567"/>
      <c r="AB16" s="567"/>
      <c r="AC16" s="567"/>
      <c r="AD16" s="567"/>
      <c r="AE16" s="567"/>
      <c r="AF16" s="567"/>
      <c r="AG16" s="567"/>
    </row>
    <row r="17" spans="1:33" s="76" customFormat="1" ht="34.5">
      <c r="A17" s="315"/>
      <c r="B17" s="3128"/>
      <c r="C17" s="3129" t="s">
        <v>280</v>
      </c>
      <c r="D17" s="3130" t="s">
        <v>353</v>
      </c>
      <c r="E17" s="3131"/>
      <c r="F17" s="3132"/>
      <c r="G17" s="3139" t="s">
        <v>3804</v>
      </c>
      <c r="H17" s="3140"/>
      <c r="I17" s="3141"/>
      <c r="J17" s="3144">
        <v>865</v>
      </c>
      <c r="K17" s="3145">
        <v>43.25</v>
      </c>
      <c r="L17" s="567"/>
      <c r="M17" s="567"/>
      <c r="N17" s="567"/>
      <c r="O17" s="567"/>
      <c r="P17" s="567"/>
      <c r="Q17" s="567"/>
      <c r="R17" s="567"/>
      <c r="S17" s="567"/>
      <c r="T17" s="567"/>
      <c r="U17" s="567"/>
      <c r="V17" s="567"/>
      <c r="W17" s="567"/>
      <c r="X17" s="567"/>
      <c r="Y17" s="567"/>
      <c r="Z17" s="567"/>
      <c r="AA17" s="567"/>
      <c r="AB17" s="567"/>
      <c r="AC17" s="567"/>
      <c r="AD17" s="567"/>
      <c r="AE17" s="567"/>
      <c r="AF17" s="567"/>
      <c r="AG17" s="567"/>
    </row>
    <row r="18" spans="1:33" s="76" customFormat="1" ht="34.5">
      <c r="A18" s="315"/>
      <c r="B18" s="43" t="s">
        <v>3828</v>
      </c>
      <c r="C18" s="207" t="s">
        <v>236</v>
      </c>
      <c r="D18" s="3469" t="s">
        <v>353</v>
      </c>
      <c r="E18" s="142">
        <v>70</v>
      </c>
      <c r="F18" s="61">
        <v>1330</v>
      </c>
      <c r="G18" s="2765" t="s">
        <v>3792</v>
      </c>
      <c r="H18" s="224">
        <v>1149.53</v>
      </c>
      <c r="I18" s="505" t="s">
        <v>3829</v>
      </c>
      <c r="J18" s="591" t="s">
        <v>3830</v>
      </c>
      <c r="K18" s="527">
        <v>63.05</v>
      </c>
      <c r="L18" s="567"/>
      <c r="M18" s="567"/>
      <c r="N18" s="567"/>
      <c r="O18" s="567"/>
      <c r="P18" s="567"/>
      <c r="Q18" s="567"/>
      <c r="R18" s="567"/>
      <c r="S18" s="567"/>
      <c r="T18" s="567"/>
      <c r="U18" s="567"/>
      <c r="V18" s="567"/>
      <c r="W18" s="567"/>
      <c r="X18" s="567"/>
      <c r="Y18" s="567"/>
      <c r="Z18" s="567"/>
      <c r="AA18" s="567"/>
      <c r="AB18" s="567"/>
      <c r="AC18" s="567"/>
      <c r="AD18" s="567"/>
      <c r="AE18" s="567"/>
      <c r="AF18" s="567"/>
      <c r="AG18" s="567"/>
    </row>
    <row r="19" spans="1:33" s="76" customFormat="1" ht="34.5">
      <c r="A19" s="444" t="s">
        <v>3831</v>
      </c>
      <c r="B19" s="2555"/>
      <c r="C19" s="207"/>
      <c r="D19" s="3469"/>
      <c r="E19" s="100"/>
      <c r="F19" s="61"/>
      <c r="G19" s="477"/>
      <c r="H19" s="74"/>
      <c r="I19" s="431"/>
      <c r="J19" s="586"/>
      <c r="K19" s="526"/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567"/>
      <c r="AB19" s="567"/>
      <c r="AC19" s="567"/>
      <c r="AD19" s="567"/>
      <c r="AE19" s="567"/>
      <c r="AF19" s="567"/>
      <c r="AG19" s="567"/>
    </row>
    <row r="20" spans="1:33" s="76" customFormat="1" ht="34.5">
      <c r="A20" s="315"/>
      <c r="B20" s="139" t="s">
        <v>3832</v>
      </c>
      <c r="C20" s="207" t="s">
        <v>284</v>
      </c>
      <c r="D20" s="342" t="s">
        <v>353</v>
      </c>
      <c r="E20" s="406" t="s">
        <v>1878</v>
      </c>
      <c r="F20" s="852" t="s">
        <v>359</v>
      </c>
      <c r="G20" s="310" t="s">
        <v>3833</v>
      </c>
      <c r="H20" s="150">
        <v>654.21</v>
      </c>
      <c r="I20" s="74" t="s">
        <v>204</v>
      </c>
      <c r="J20" s="547" t="s">
        <v>3834</v>
      </c>
      <c r="K20" s="369">
        <v>35.75</v>
      </c>
      <c r="L20" s="567"/>
      <c r="M20" s="567"/>
      <c r="N20" s="567"/>
      <c r="O20" s="567"/>
      <c r="P20" s="567"/>
      <c r="Q20" s="567"/>
      <c r="R20" s="567"/>
      <c r="S20" s="567"/>
      <c r="T20" s="567"/>
      <c r="U20" s="567"/>
      <c r="V20" s="567"/>
      <c r="W20" s="567"/>
      <c r="X20" s="567"/>
      <c r="Y20" s="567"/>
      <c r="Z20" s="567"/>
      <c r="AA20" s="567"/>
      <c r="AB20" s="567"/>
      <c r="AC20" s="567"/>
      <c r="AD20" s="567"/>
      <c r="AE20" s="567"/>
      <c r="AF20" s="567"/>
      <c r="AG20" s="567"/>
    </row>
    <row r="21" spans="1:33" s="76" customFormat="1" ht="34.5">
      <c r="A21" s="315"/>
      <c r="B21" s="43"/>
      <c r="C21" s="207"/>
      <c r="D21" s="339"/>
      <c r="E21" s="100"/>
      <c r="F21" s="61"/>
      <c r="G21" s="477"/>
      <c r="H21" s="74"/>
      <c r="I21" s="431"/>
      <c r="J21" s="586"/>
      <c r="K21" s="526"/>
      <c r="L21" s="567"/>
      <c r="M21" s="567"/>
      <c r="N21" s="567"/>
      <c r="O21" s="567"/>
      <c r="P21" s="567"/>
      <c r="Q21" s="567"/>
      <c r="R21" s="567"/>
      <c r="S21" s="567"/>
      <c r="T21" s="567"/>
      <c r="U21" s="567"/>
      <c r="V21" s="567"/>
      <c r="W21" s="567"/>
      <c r="X21" s="567"/>
      <c r="Y21" s="567"/>
      <c r="Z21" s="567"/>
      <c r="AA21" s="567"/>
      <c r="AB21" s="567"/>
      <c r="AC21" s="567"/>
      <c r="AD21" s="567"/>
      <c r="AE21" s="567"/>
      <c r="AF21" s="567"/>
      <c r="AG21" s="567"/>
    </row>
    <row r="22" spans="1:33" s="76" customFormat="1" ht="34.5">
      <c r="A22" s="3447" t="s">
        <v>3835</v>
      </c>
      <c r="B22" s="3448"/>
      <c r="C22" s="207"/>
      <c r="D22" s="339"/>
      <c r="E22" s="142"/>
      <c r="F22" s="61"/>
      <c r="G22" s="477"/>
      <c r="H22" s="311"/>
      <c r="I22" s="431"/>
      <c r="J22" s="586"/>
      <c r="K22" s="526"/>
      <c r="L22" s="567"/>
      <c r="M22" s="567"/>
      <c r="N22" s="567"/>
      <c r="O22" s="567"/>
      <c r="P22" s="567"/>
      <c r="Q22" s="567"/>
      <c r="R22" s="567"/>
      <c r="S22" s="567"/>
      <c r="T22" s="567"/>
      <c r="U22" s="567"/>
      <c r="V22" s="567"/>
      <c r="W22" s="567"/>
      <c r="X22" s="567"/>
      <c r="Y22" s="567"/>
      <c r="Z22" s="567"/>
      <c r="AA22" s="567"/>
      <c r="AB22" s="567"/>
      <c r="AC22" s="567"/>
      <c r="AD22" s="567"/>
      <c r="AE22" s="567"/>
      <c r="AF22" s="567"/>
      <c r="AG22" s="567"/>
    </row>
    <row r="23" spans="1:33" s="76" customFormat="1" ht="34.5">
      <c r="A23" s="315"/>
      <c r="B23" s="383" t="s">
        <v>3836</v>
      </c>
      <c r="C23" s="207" t="s">
        <v>2325</v>
      </c>
      <c r="D23" s="462" t="s">
        <v>353</v>
      </c>
      <c r="E23" s="84">
        <v>47</v>
      </c>
      <c r="F23" s="767" t="s">
        <v>3837</v>
      </c>
      <c r="G23" s="887" t="s">
        <v>3266</v>
      </c>
      <c r="H23" s="311">
        <v>780</v>
      </c>
      <c r="I23" s="431" t="s">
        <v>475</v>
      </c>
      <c r="J23" s="2016" t="s">
        <v>492</v>
      </c>
      <c r="K23" s="311">
        <v>39.5</v>
      </c>
      <c r="L23" s="567"/>
      <c r="M23" s="567"/>
      <c r="N23" s="567"/>
      <c r="O23" s="567"/>
      <c r="P23" s="567"/>
      <c r="Q23" s="567"/>
      <c r="R23" s="567"/>
      <c r="S23" s="567"/>
      <c r="T23" s="567"/>
      <c r="U23" s="567"/>
      <c r="V23" s="567"/>
      <c r="W23" s="567"/>
      <c r="X23" s="567"/>
      <c r="Y23" s="567"/>
      <c r="Z23" s="567"/>
      <c r="AA23" s="567"/>
      <c r="AB23" s="567"/>
      <c r="AC23" s="567"/>
      <c r="AD23" s="567"/>
      <c r="AE23" s="567"/>
      <c r="AF23" s="567"/>
      <c r="AG23" s="567"/>
    </row>
    <row r="24" spans="1:33" s="76" customFormat="1" ht="34.5">
      <c r="A24" s="753"/>
      <c r="B24" s="362" t="s">
        <v>3838</v>
      </c>
      <c r="C24" s="207" t="s">
        <v>2325</v>
      </c>
      <c r="D24" s="462" t="s">
        <v>353</v>
      </c>
      <c r="E24" s="99">
        <v>45</v>
      </c>
      <c r="F24" s="767" t="s">
        <v>690</v>
      </c>
      <c r="G24" s="477" t="s">
        <v>3839</v>
      </c>
      <c r="H24" s="74">
        <v>38</v>
      </c>
      <c r="I24" s="431"/>
      <c r="J24" s="2016" t="s">
        <v>3840</v>
      </c>
      <c r="K24" s="74">
        <v>38</v>
      </c>
      <c r="L24" s="567"/>
      <c r="M24" s="567"/>
      <c r="N24" s="567"/>
      <c r="O24" s="567"/>
      <c r="P24" s="567"/>
      <c r="Q24" s="567"/>
      <c r="R24" s="567"/>
      <c r="S24" s="567"/>
      <c r="T24" s="567"/>
      <c r="U24" s="567"/>
      <c r="V24" s="567"/>
      <c r="W24" s="567"/>
      <c r="X24" s="567"/>
      <c r="Y24" s="567"/>
      <c r="Z24" s="567"/>
      <c r="AA24" s="567"/>
      <c r="AB24" s="567"/>
      <c r="AC24" s="567"/>
      <c r="AD24" s="567"/>
      <c r="AE24" s="567"/>
      <c r="AF24" s="567"/>
      <c r="AG24" s="567"/>
    </row>
    <row r="25" spans="1:33" s="76" customFormat="1" ht="34.5">
      <c r="A25" s="753"/>
      <c r="B25" s="383" t="s">
        <v>3836</v>
      </c>
      <c r="C25" s="207" t="s">
        <v>284</v>
      </c>
      <c r="D25" s="462" t="s">
        <v>3841</v>
      </c>
      <c r="E25" s="84">
        <v>65</v>
      </c>
      <c r="F25" s="767" t="s">
        <v>2431</v>
      </c>
      <c r="G25" s="2726" t="s">
        <v>446</v>
      </c>
      <c r="H25" s="311">
        <v>620</v>
      </c>
      <c r="I25" s="1587" t="s">
        <v>3842</v>
      </c>
      <c r="J25" s="2358" t="s">
        <v>1423</v>
      </c>
      <c r="K25" s="311">
        <v>61</v>
      </c>
      <c r="L25" s="567"/>
      <c r="M25" s="567"/>
      <c r="N25" s="567"/>
      <c r="O25" s="567"/>
      <c r="P25" s="567"/>
      <c r="Q25" s="567"/>
      <c r="R25" s="567"/>
      <c r="S25" s="567"/>
      <c r="T25" s="567"/>
      <c r="U25" s="567"/>
      <c r="V25" s="567"/>
      <c r="W25" s="567"/>
      <c r="X25" s="567"/>
      <c r="Y25" s="567"/>
      <c r="Z25" s="567"/>
      <c r="AA25" s="567"/>
      <c r="AB25" s="567"/>
      <c r="AC25" s="567"/>
      <c r="AD25" s="567"/>
      <c r="AE25" s="567"/>
      <c r="AF25" s="567"/>
      <c r="AG25" s="567"/>
    </row>
    <row r="26" spans="1:33" s="76" customFormat="1" ht="34.5">
      <c r="A26" s="753"/>
      <c r="B26" s="362" t="s">
        <v>3843</v>
      </c>
      <c r="C26" s="207" t="s">
        <v>284</v>
      </c>
      <c r="D26" s="462" t="s">
        <v>709</v>
      </c>
      <c r="E26" s="84">
        <v>65</v>
      </c>
      <c r="F26" s="767" t="s">
        <v>1431</v>
      </c>
      <c r="G26" s="2726" t="s">
        <v>3844</v>
      </c>
      <c r="H26" s="74">
        <v>684</v>
      </c>
      <c r="I26" s="474" t="s">
        <v>3845</v>
      </c>
      <c r="J26" s="2017" t="s">
        <v>3846</v>
      </c>
      <c r="K26" s="74">
        <v>59.31</v>
      </c>
      <c r="L26" s="567"/>
      <c r="M26" s="567"/>
      <c r="N26" s="567"/>
      <c r="O26" s="567"/>
      <c r="P26" s="567"/>
      <c r="Q26" s="567"/>
      <c r="R26" s="567"/>
      <c r="S26" s="567"/>
      <c r="T26" s="567"/>
      <c r="U26" s="567"/>
      <c r="V26" s="567"/>
      <c r="W26" s="567"/>
      <c r="X26" s="567"/>
      <c r="Y26" s="567"/>
      <c r="Z26" s="567"/>
      <c r="AA26" s="567"/>
      <c r="AB26" s="567"/>
      <c r="AC26" s="567"/>
      <c r="AD26" s="567"/>
      <c r="AE26" s="567"/>
      <c r="AF26" s="567"/>
      <c r="AG26" s="567"/>
    </row>
    <row r="27" spans="1:33" s="76" customFormat="1" ht="34.5">
      <c r="A27" s="753"/>
      <c r="B27" s="362" t="s">
        <v>3847</v>
      </c>
      <c r="C27" s="207" t="s">
        <v>2325</v>
      </c>
      <c r="D27" s="462" t="s">
        <v>3841</v>
      </c>
      <c r="E27" s="84" t="s">
        <v>3848</v>
      </c>
      <c r="F27" s="767" t="s">
        <v>3849</v>
      </c>
      <c r="G27" s="887" t="s">
        <v>3850</v>
      </c>
      <c r="H27" s="74" t="s">
        <v>3851</v>
      </c>
      <c r="I27" s="431" t="s">
        <v>942</v>
      </c>
      <c r="J27" s="74" t="s">
        <v>1116</v>
      </c>
      <c r="K27" s="560" t="s">
        <v>3852</v>
      </c>
      <c r="L27" s="567"/>
      <c r="M27" s="567"/>
      <c r="N27" s="567"/>
      <c r="O27" s="567"/>
      <c r="P27" s="567"/>
      <c r="Q27" s="567"/>
      <c r="R27" s="567"/>
      <c r="S27" s="567"/>
      <c r="T27" s="567"/>
      <c r="U27" s="567"/>
      <c r="V27" s="567"/>
      <c r="W27" s="567"/>
      <c r="X27" s="567"/>
      <c r="Y27" s="567"/>
      <c r="Z27" s="567"/>
      <c r="AA27" s="567"/>
      <c r="AB27" s="567"/>
      <c r="AC27" s="567"/>
      <c r="AD27" s="567"/>
      <c r="AE27" s="567"/>
      <c r="AF27" s="567"/>
      <c r="AG27" s="567"/>
    </row>
    <row r="28" spans="1:33" s="76" customFormat="1" ht="34.5">
      <c r="A28" s="753"/>
      <c r="B28" s="362" t="s">
        <v>3853</v>
      </c>
      <c r="C28" s="207" t="s">
        <v>192</v>
      </c>
      <c r="D28" s="462" t="s">
        <v>3841</v>
      </c>
      <c r="E28" s="84" t="s">
        <v>3854</v>
      </c>
      <c r="F28" s="767" t="s">
        <v>3855</v>
      </c>
      <c r="G28" s="2726" t="s">
        <v>3856</v>
      </c>
      <c r="H28" s="74" t="s">
        <v>188</v>
      </c>
      <c r="I28" s="431" t="s">
        <v>578</v>
      </c>
      <c r="J28" s="74" t="s">
        <v>3857</v>
      </c>
      <c r="K28" s="74">
        <v>97.5</v>
      </c>
      <c r="L28" s="567"/>
      <c r="M28" s="567"/>
      <c r="N28" s="567"/>
      <c r="O28" s="567"/>
      <c r="P28" s="567"/>
      <c r="Q28" s="567"/>
      <c r="R28" s="567"/>
      <c r="S28" s="567"/>
      <c r="T28" s="567"/>
      <c r="U28" s="567"/>
      <c r="V28" s="567"/>
      <c r="W28" s="567"/>
      <c r="X28" s="567"/>
      <c r="Y28" s="567"/>
      <c r="Z28" s="567"/>
      <c r="AA28" s="567"/>
      <c r="AB28" s="567"/>
      <c r="AC28" s="567"/>
      <c r="AD28" s="567"/>
      <c r="AE28" s="567"/>
      <c r="AF28" s="567"/>
      <c r="AG28" s="567"/>
    </row>
    <row r="29" spans="1:33" s="76" customFormat="1" ht="34.5">
      <c r="A29" s="315"/>
      <c r="B29" s="43"/>
      <c r="C29" s="207" t="s">
        <v>280</v>
      </c>
      <c r="D29" s="339" t="s">
        <v>3841</v>
      </c>
      <c r="E29" s="84" t="s">
        <v>3858</v>
      </c>
      <c r="F29" s="767" t="s">
        <v>3859</v>
      </c>
      <c r="G29" s="477" t="s">
        <v>3860</v>
      </c>
      <c r="H29" s="74">
        <v>270</v>
      </c>
      <c r="I29" s="431"/>
      <c r="J29" s="2358" t="s">
        <v>1393</v>
      </c>
      <c r="K29" s="2359">
        <v>27</v>
      </c>
      <c r="L29" s="567"/>
      <c r="M29" s="567"/>
      <c r="N29" s="567"/>
      <c r="O29" s="567"/>
      <c r="P29" s="567"/>
      <c r="Q29" s="567"/>
      <c r="R29" s="567"/>
      <c r="S29" s="567"/>
      <c r="T29" s="567"/>
      <c r="U29" s="567"/>
      <c r="V29" s="567"/>
      <c r="W29" s="567"/>
      <c r="X29" s="567"/>
      <c r="Y29" s="567"/>
      <c r="Z29" s="567"/>
      <c r="AA29" s="567"/>
      <c r="AB29" s="567"/>
      <c r="AC29" s="567"/>
      <c r="AD29" s="567"/>
      <c r="AE29" s="567"/>
      <c r="AF29" s="567"/>
      <c r="AG29" s="567"/>
    </row>
    <row r="30" spans="1:33" s="76" customFormat="1" ht="34.5">
      <c r="A30" s="315"/>
      <c r="B30" s="43"/>
      <c r="C30" s="207"/>
      <c r="D30" s="339"/>
      <c r="E30" s="84"/>
      <c r="F30" s="767"/>
      <c r="G30" s="2726"/>
      <c r="H30" s="311"/>
      <c r="I30" s="431"/>
      <c r="J30" s="2016"/>
      <c r="K30" s="2359"/>
      <c r="L30" s="567"/>
      <c r="M30" s="567"/>
      <c r="N30" s="567"/>
      <c r="O30" s="567"/>
      <c r="P30" s="567"/>
      <c r="Q30" s="567"/>
      <c r="R30" s="567"/>
      <c r="S30" s="567"/>
      <c r="T30" s="567"/>
      <c r="U30" s="567"/>
      <c r="V30" s="567"/>
      <c r="W30" s="567"/>
      <c r="X30" s="567"/>
      <c r="Y30" s="567"/>
      <c r="Z30" s="567"/>
      <c r="AA30" s="567"/>
      <c r="AB30" s="567"/>
      <c r="AC30" s="567"/>
      <c r="AD30" s="567"/>
      <c r="AE30" s="567"/>
      <c r="AF30" s="567"/>
      <c r="AG30" s="567"/>
    </row>
    <row r="31" spans="1:33" s="76" customFormat="1" ht="34.5">
      <c r="A31" s="315"/>
      <c r="B31" s="43" t="s">
        <v>3861</v>
      </c>
      <c r="C31" s="207" t="s">
        <v>280</v>
      </c>
      <c r="D31" s="339" t="s">
        <v>3841</v>
      </c>
      <c r="E31" s="84" t="s">
        <v>3862</v>
      </c>
      <c r="F31" s="767" t="s">
        <v>3863</v>
      </c>
      <c r="G31" s="887" t="s">
        <v>3844</v>
      </c>
      <c r="H31" s="74">
        <v>385</v>
      </c>
      <c r="I31" s="431" t="s">
        <v>475</v>
      </c>
      <c r="J31" s="2358" t="s">
        <v>3104</v>
      </c>
      <c r="K31" s="2359">
        <v>39.5</v>
      </c>
      <c r="L31" s="567"/>
      <c r="M31" s="567"/>
      <c r="N31" s="567"/>
      <c r="O31" s="567"/>
      <c r="P31" s="567"/>
      <c r="Q31" s="567"/>
      <c r="R31" s="567"/>
      <c r="S31" s="567"/>
      <c r="T31" s="567"/>
      <c r="U31" s="567"/>
      <c r="V31" s="567"/>
      <c r="W31" s="567"/>
      <c r="X31" s="567"/>
      <c r="Y31" s="567"/>
      <c r="Z31" s="567"/>
      <c r="AA31" s="567"/>
      <c r="AB31" s="567"/>
      <c r="AC31" s="567"/>
      <c r="AD31" s="567"/>
      <c r="AE31" s="567"/>
      <c r="AF31" s="567"/>
      <c r="AG31" s="567"/>
    </row>
    <row r="32" spans="1:33" s="76" customFormat="1" ht="34.5">
      <c r="A32" s="315"/>
      <c r="B32" s="43" t="s">
        <v>3861</v>
      </c>
      <c r="C32" s="207" t="s">
        <v>100</v>
      </c>
      <c r="D32" s="339" t="s">
        <v>3864</v>
      </c>
      <c r="E32" s="84" t="s">
        <v>3865</v>
      </c>
      <c r="F32" s="767" t="s">
        <v>3859</v>
      </c>
      <c r="G32" s="2726" t="s">
        <v>3866</v>
      </c>
      <c r="H32" s="311">
        <v>270</v>
      </c>
      <c r="I32" s="431" t="s">
        <v>475</v>
      </c>
      <c r="J32" s="2016" t="s">
        <v>3867</v>
      </c>
      <c r="K32" s="2359">
        <v>56</v>
      </c>
      <c r="L32" s="567"/>
      <c r="M32" s="567"/>
      <c r="N32" s="567"/>
      <c r="O32" s="567"/>
      <c r="P32" s="567"/>
      <c r="Q32" s="567"/>
      <c r="R32" s="567"/>
      <c r="S32" s="567"/>
      <c r="T32" s="567"/>
      <c r="U32" s="567"/>
      <c r="V32" s="567"/>
      <c r="W32" s="567"/>
      <c r="X32" s="567"/>
      <c r="Y32" s="567"/>
      <c r="Z32" s="567"/>
      <c r="AA32" s="567"/>
      <c r="AB32" s="567"/>
      <c r="AC32" s="567"/>
      <c r="AD32" s="567"/>
      <c r="AE32" s="567"/>
      <c r="AF32" s="567"/>
      <c r="AG32" s="567"/>
    </row>
    <row r="33" spans="1:33" s="76" customFormat="1" ht="34.5">
      <c r="A33" s="315"/>
      <c r="B33" s="43" t="s">
        <v>3868</v>
      </c>
      <c r="C33" s="207" t="s">
        <v>280</v>
      </c>
      <c r="D33" s="462" t="s">
        <v>1169</v>
      </c>
      <c r="E33" s="84" t="s">
        <v>3862</v>
      </c>
      <c r="F33" s="767" t="s">
        <v>1316</v>
      </c>
      <c r="G33" s="887" t="s">
        <v>3850</v>
      </c>
      <c r="H33" s="74">
        <v>385</v>
      </c>
      <c r="I33" s="431" t="s">
        <v>475</v>
      </c>
      <c r="J33" s="2358" t="s">
        <v>3104</v>
      </c>
      <c r="K33" s="2359">
        <v>39.5</v>
      </c>
      <c r="L33" s="567"/>
      <c r="M33" s="567"/>
      <c r="N33" s="567"/>
      <c r="O33" s="567"/>
      <c r="P33" s="567"/>
      <c r="Q33" s="567"/>
      <c r="R33" s="567"/>
      <c r="S33" s="567"/>
      <c r="T33" s="567"/>
      <c r="U33" s="567"/>
      <c r="V33" s="567"/>
      <c r="W33" s="567"/>
      <c r="X33" s="567"/>
      <c r="Y33" s="567"/>
      <c r="Z33" s="567"/>
      <c r="AA33" s="567"/>
      <c r="AB33" s="567"/>
      <c r="AC33" s="567"/>
      <c r="AD33" s="567"/>
      <c r="AE33" s="567"/>
      <c r="AF33" s="567"/>
      <c r="AG33" s="567"/>
    </row>
    <row r="34" spans="1:33" s="76" customFormat="1" ht="34.5">
      <c r="A34" s="315"/>
      <c r="B34" s="43" t="s">
        <v>3869</v>
      </c>
      <c r="C34" s="207" t="s">
        <v>280</v>
      </c>
      <c r="D34" s="462" t="s">
        <v>1169</v>
      </c>
      <c r="E34" s="84" t="s">
        <v>3862</v>
      </c>
      <c r="F34" s="767" t="s">
        <v>1316</v>
      </c>
      <c r="G34" s="887" t="s">
        <v>3266</v>
      </c>
      <c r="H34" s="74">
        <v>385</v>
      </c>
      <c r="I34" s="431" t="s">
        <v>475</v>
      </c>
      <c r="J34" s="2358" t="s">
        <v>3104</v>
      </c>
      <c r="K34" s="2359">
        <v>39.5</v>
      </c>
      <c r="L34" s="567"/>
      <c r="M34" s="567"/>
      <c r="N34" s="567"/>
      <c r="O34" s="567"/>
      <c r="P34" s="567"/>
      <c r="Q34" s="567"/>
      <c r="R34" s="567"/>
      <c r="S34" s="567"/>
      <c r="T34" s="567"/>
      <c r="U34" s="567"/>
      <c r="V34" s="567"/>
      <c r="W34" s="567"/>
      <c r="X34" s="567"/>
      <c r="Y34" s="567"/>
      <c r="Z34" s="567"/>
      <c r="AA34" s="567"/>
      <c r="AB34" s="567"/>
      <c r="AC34" s="567"/>
      <c r="AD34" s="567"/>
      <c r="AE34" s="567"/>
      <c r="AF34" s="567"/>
      <c r="AG34" s="567"/>
    </row>
    <row r="35" spans="1:33" s="76" customFormat="1" ht="34.5">
      <c r="A35" s="315"/>
      <c r="B35" s="43" t="s">
        <v>3870</v>
      </c>
      <c r="C35" s="207" t="s">
        <v>1119</v>
      </c>
      <c r="D35" s="339" t="s">
        <v>309</v>
      </c>
      <c r="E35" s="84">
        <v>65</v>
      </c>
      <c r="F35" s="767" t="s">
        <v>125</v>
      </c>
      <c r="G35" s="887" t="s">
        <v>3871</v>
      </c>
      <c r="H35" s="74">
        <v>540</v>
      </c>
      <c r="I35" s="474" t="s">
        <v>301</v>
      </c>
      <c r="J35" s="2017" t="s">
        <v>3872</v>
      </c>
      <c r="K35" s="2359">
        <v>57</v>
      </c>
      <c r="L35" s="567"/>
      <c r="M35" s="567"/>
      <c r="N35" s="567"/>
      <c r="O35" s="567"/>
      <c r="P35" s="567"/>
      <c r="Q35" s="567"/>
      <c r="R35" s="567"/>
      <c r="S35" s="567"/>
      <c r="T35" s="567"/>
      <c r="U35" s="567"/>
      <c r="V35" s="567"/>
      <c r="W35" s="567"/>
      <c r="X35" s="567"/>
      <c r="Y35" s="567"/>
      <c r="Z35" s="567"/>
      <c r="AA35" s="567"/>
      <c r="AB35" s="567"/>
      <c r="AC35" s="567"/>
      <c r="AD35" s="567"/>
      <c r="AE35" s="567"/>
      <c r="AF35" s="567"/>
      <c r="AG35" s="567"/>
    </row>
    <row r="36" spans="1:33" s="76" customFormat="1" ht="34.5">
      <c r="A36" s="44"/>
      <c r="B36" s="43" t="s">
        <v>3873</v>
      </c>
      <c r="C36" s="207" t="s">
        <v>236</v>
      </c>
      <c r="D36" s="462" t="s">
        <v>23</v>
      </c>
      <c r="E36" s="84">
        <v>22</v>
      </c>
      <c r="F36" s="767" t="s">
        <v>3874</v>
      </c>
      <c r="G36" s="887" t="s">
        <v>3871</v>
      </c>
      <c r="H36" s="74">
        <v>204</v>
      </c>
      <c r="I36" s="474" t="s">
        <v>3875</v>
      </c>
      <c r="J36" s="2016" t="s">
        <v>3876</v>
      </c>
      <c r="K36" s="2359">
        <v>18.25</v>
      </c>
      <c r="L36" s="567"/>
      <c r="M36" s="567"/>
      <c r="N36" s="567"/>
      <c r="O36" s="567"/>
      <c r="P36" s="567"/>
      <c r="Q36" s="567"/>
      <c r="R36" s="567"/>
      <c r="S36" s="567"/>
      <c r="T36" s="567"/>
      <c r="U36" s="567"/>
      <c r="V36" s="567"/>
      <c r="W36" s="567"/>
      <c r="X36" s="567"/>
      <c r="Y36" s="567"/>
      <c r="Z36" s="567"/>
      <c r="AA36" s="567"/>
      <c r="AB36" s="567"/>
      <c r="AC36" s="567"/>
      <c r="AD36" s="567"/>
      <c r="AE36" s="567"/>
      <c r="AF36" s="567"/>
      <c r="AG36" s="567"/>
    </row>
    <row r="37" spans="1:33" s="76" customFormat="1" ht="34.5">
      <c r="A37" s="44"/>
      <c r="B37" s="43" t="s">
        <v>2188</v>
      </c>
      <c r="C37" s="207" t="s">
        <v>3198</v>
      </c>
      <c r="D37" s="462" t="s">
        <v>18</v>
      </c>
      <c r="E37" s="142">
        <v>30</v>
      </c>
      <c r="F37" s="61" t="s">
        <v>3877</v>
      </c>
      <c r="G37" s="477" t="s">
        <v>3839</v>
      </c>
      <c r="H37" s="74">
        <v>576</v>
      </c>
      <c r="I37" s="431"/>
      <c r="J37" s="789" t="s">
        <v>3878</v>
      </c>
      <c r="K37" s="526">
        <v>25.68</v>
      </c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567"/>
      <c r="AB37" s="567"/>
      <c r="AC37" s="567"/>
      <c r="AD37" s="567"/>
      <c r="AE37" s="567"/>
      <c r="AF37" s="567"/>
      <c r="AG37" s="567"/>
    </row>
    <row r="38" spans="1:33" s="76" customFormat="1" ht="34.5">
      <c r="A38" s="44" t="s">
        <v>0</v>
      </c>
      <c r="B38" s="127"/>
      <c r="C38" s="167"/>
      <c r="D38" s="125"/>
      <c r="E38" s="45"/>
      <c r="F38" s="68"/>
      <c r="G38" s="353"/>
      <c r="I38" s="497"/>
      <c r="J38" s="540"/>
      <c r="K38" s="171"/>
      <c r="L38" s="567"/>
      <c r="M38" s="567"/>
      <c r="N38" s="567"/>
      <c r="O38" s="567"/>
      <c r="P38" s="567"/>
      <c r="Q38" s="567"/>
      <c r="R38" s="567"/>
      <c r="S38" s="567"/>
      <c r="T38" s="567"/>
      <c r="U38" s="567"/>
      <c r="V38" s="567"/>
      <c r="W38" s="567"/>
      <c r="X38" s="567"/>
      <c r="Y38" s="567"/>
      <c r="Z38" s="567"/>
      <c r="AA38" s="567"/>
      <c r="AB38" s="567"/>
      <c r="AC38" s="567"/>
      <c r="AD38" s="567"/>
      <c r="AE38" s="567"/>
      <c r="AF38" s="567"/>
      <c r="AG38" s="567"/>
    </row>
    <row r="39" spans="1:33" s="76" customFormat="1" ht="35.25" customHeight="1">
      <c r="A39" s="112" t="s">
        <v>3785</v>
      </c>
      <c r="B39" s="112"/>
      <c r="C39" s="204"/>
      <c r="D39" s="109"/>
      <c r="E39" s="45"/>
      <c r="F39" s="68"/>
      <c r="G39" s="353"/>
      <c r="I39" s="497"/>
      <c r="J39" s="540"/>
      <c r="K39" s="171"/>
      <c r="L39" s="567"/>
      <c r="M39" s="567"/>
      <c r="N39" s="567"/>
      <c r="O39" s="567"/>
      <c r="P39" s="567"/>
      <c r="Q39" s="567"/>
      <c r="R39" s="567"/>
      <c r="S39" s="567"/>
      <c r="T39" s="567"/>
      <c r="U39" s="567"/>
      <c r="V39" s="567"/>
      <c r="W39" s="567"/>
      <c r="X39" s="567"/>
      <c r="Y39" s="567"/>
      <c r="Z39" s="567"/>
      <c r="AA39" s="567"/>
      <c r="AB39" s="567"/>
      <c r="AC39" s="567"/>
      <c r="AD39" s="567"/>
      <c r="AE39" s="567"/>
      <c r="AF39" s="567"/>
      <c r="AG39" s="567"/>
    </row>
    <row r="40" spans="1:33" s="76" customFormat="1" ht="16.5" customHeight="1" thickBot="1">
      <c r="A40" s="75"/>
      <c r="B40" s="125"/>
      <c r="C40" s="335"/>
      <c r="D40" s="125"/>
      <c r="E40" s="45"/>
      <c r="F40" s="68"/>
      <c r="G40" s="353"/>
      <c r="I40" s="497"/>
      <c r="J40" s="540"/>
      <c r="K40" s="171"/>
      <c r="L40" s="567"/>
      <c r="M40" s="567"/>
      <c r="N40" s="567"/>
      <c r="O40" s="567"/>
      <c r="P40" s="567"/>
      <c r="Q40" s="567"/>
      <c r="R40" s="567"/>
      <c r="S40" s="567"/>
      <c r="T40" s="567"/>
      <c r="U40" s="567"/>
      <c r="V40" s="567"/>
      <c r="W40" s="567"/>
      <c r="X40" s="567"/>
      <c r="Y40" s="567"/>
      <c r="Z40" s="567"/>
      <c r="AA40" s="567"/>
      <c r="AB40" s="567"/>
      <c r="AC40" s="567"/>
      <c r="AD40" s="567"/>
      <c r="AE40" s="567"/>
      <c r="AF40" s="567"/>
      <c r="AG40" s="567"/>
    </row>
    <row r="41" spans="1:33" s="76" customFormat="1" ht="34.5">
      <c r="A41" s="3493" t="s">
        <v>2</v>
      </c>
      <c r="B41" s="3482"/>
      <c r="C41" s="336" t="s">
        <v>3</v>
      </c>
      <c r="D41" s="3445" t="s">
        <v>4</v>
      </c>
      <c r="E41" s="77" t="s">
        <v>5</v>
      </c>
      <c r="F41" s="78" t="s">
        <v>5</v>
      </c>
      <c r="G41" s="250" t="s">
        <v>6</v>
      </c>
      <c r="H41" s="344" t="s">
        <v>7</v>
      </c>
      <c r="I41" s="592" t="s">
        <v>1511</v>
      </c>
      <c r="J41" s="584" t="s">
        <v>9</v>
      </c>
      <c r="K41" s="346" t="s">
        <v>9</v>
      </c>
      <c r="L41" s="567"/>
      <c r="M41" s="567"/>
      <c r="N41" s="567"/>
      <c r="O41" s="567"/>
      <c r="P41" s="567"/>
      <c r="Q41" s="567"/>
      <c r="R41" s="567"/>
      <c r="S41" s="567"/>
      <c r="T41" s="567"/>
      <c r="U41" s="567"/>
      <c r="V41" s="567"/>
      <c r="W41" s="567"/>
      <c r="X41" s="567"/>
      <c r="Y41" s="567"/>
      <c r="Z41" s="567"/>
      <c r="AA41" s="567"/>
      <c r="AB41" s="567"/>
      <c r="AC41" s="567"/>
      <c r="AD41" s="567"/>
      <c r="AE41" s="567"/>
      <c r="AF41" s="567"/>
      <c r="AG41" s="567"/>
    </row>
    <row r="42" spans="1:33" s="76" customFormat="1" ht="35.25" thickBot="1">
      <c r="A42" s="155"/>
      <c r="B42" s="138"/>
      <c r="C42" s="337"/>
      <c r="D42" s="51" t="s">
        <v>10</v>
      </c>
      <c r="E42" s="79" t="s">
        <v>11</v>
      </c>
      <c r="F42" s="80" t="s">
        <v>12</v>
      </c>
      <c r="G42" s="476"/>
      <c r="H42" s="345" t="s">
        <v>13</v>
      </c>
      <c r="I42" s="593" t="s">
        <v>1512</v>
      </c>
      <c r="J42" s="585" t="s">
        <v>14</v>
      </c>
      <c r="K42" s="347" t="s">
        <v>15</v>
      </c>
      <c r="L42" s="567"/>
      <c r="M42" s="567"/>
      <c r="N42" s="567"/>
      <c r="O42" s="567"/>
      <c r="P42" s="567"/>
      <c r="Q42" s="567"/>
      <c r="R42" s="567"/>
      <c r="S42" s="567"/>
      <c r="T42" s="567"/>
      <c r="U42" s="567"/>
      <c r="V42" s="567"/>
      <c r="W42" s="567"/>
      <c r="X42" s="567"/>
      <c r="Y42" s="567"/>
      <c r="Z42" s="567"/>
      <c r="AA42" s="567"/>
      <c r="AB42" s="567"/>
      <c r="AC42" s="567"/>
      <c r="AD42" s="567"/>
      <c r="AE42" s="567"/>
      <c r="AF42" s="567"/>
      <c r="AG42" s="567"/>
    </row>
    <row r="43" spans="1:33" s="76" customFormat="1" ht="34.5">
      <c r="A43" s="1469" t="s">
        <v>3879</v>
      </c>
      <c r="B43" s="1470"/>
      <c r="C43" s="986"/>
      <c r="D43" s="3469"/>
      <c r="E43" s="100"/>
      <c r="F43" s="61"/>
      <c r="G43" s="477"/>
      <c r="H43" s="74"/>
      <c r="I43" s="431"/>
      <c r="J43" s="586"/>
      <c r="K43" s="526"/>
      <c r="L43" s="567"/>
      <c r="M43" s="567"/>
      <c r="N43" s="567"/>
      <c r="O43" s="567"/>
      <c r="P43" s="567"/>
      <c r="Q43" s="567"/>
      <c r="R43" s="567"/>
      <c r="S43" s="567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</row>
    <row r="44" spans="1:33" s="76" customFormat="1" ht="34.5">
      <c r="A44" s="315"/>
      <c r="B44" s="43" t="s">
        <v>3880</v>
      </c>
      <c r="C44" s="207" t="s">
        <v>284</v>
      </c>
      <c r="D44" s="339" t="s">
        <v>317</v>
      </c>
      <c r="E44" s="142"/>
      <c r="F44" s="61"/>
      <c r="G44" s="477" t="s">
        <v>3881</v>
      </c>
      <c r="H44" s="311">
        <v>420</v>
      </c>
      <c r="I44" s="431"/>
      <c r="J44" s="586">
        <v>449.4</v>
      </c>
      <c r="K44" s="526">
        <v>22.47</v>
      </c>
      <c r="L44" s="567"/>
      <c r="M44" s="567"/>
      <c r="N44" s="567"/>
      <c r="O44" s="567"/>
      <c r="P44" s="567"/>
      <c r="Q44" s="567"/>
      <c r="R44" s="567"/>
      <c r="S44" s="567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</row>
    <row r="45" spans="1:33" s="76" customFormat="1" ht="34.5">
      <c r="A45" s="315"/>
      <c r="B45" s="43" t="s">
        <v>3882</v>
      </c>
      <c r="C45" s="207" t="s">
        <v>280</v>
      </c>
      <c r="D45" s="462" t="s">
        <v>317</v>
      </c>
      <c r="E45" s="84">
        <v>40</v>
      </c>
      <c r="F45" s="767" t="s">
        <v>2056</v>
      </c>
      <c r="G45" s="477" t="s">
        <v>3881</v>
      </c>
      <c r="H45" s="311">
        <v>420</v>
      </c>
      <c r="I45" s="431"/>
      <c r="J45" s="586">
        <v>449.4</v>
      </c>
      <c r="K45" s="526">
        <v>22.47</v>
      </c>
      <c r="L45" s="567"/>
      <c r="M45" s="567"/>
      <c r="N45" s="567"/>
      <c r="O45" s="567"/>
      <c r="P45" s="567"/>
      <c r="Q45" s="567"/>
      <c r="R45" s="567"/>
      <c r="S45" s="567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</row>
    <row r="46" spans="1:33" s="76" customFormat="1" ht="34.5">
      <c r="A46" s="315"/>
      <c r="B46" s="362"/>
      <c r="C46" s="207"/>
      <c r="D46" s="465"/>
      <c r="E46" s="142"/>
      <c r="F46" s="61"/>
      <c r="G46" s="477"/>
      <c r="H46" s="74"/>
      <c r="I46" s="431"/>
      <c r="J46" s="590"/>
      <c r="K46" s="526"/>
      <c r="L46" s="567"/>
      <c r="M46" s="567"/>
      <c r="N46" s="567"/>
      <c r="O46" s="567"/>
      <c r="P46" s="567"/>
      <c r="Q46" s="567"/>
      <c r="R46" s="567"/>
      <c r="S46" s="567"/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</row>
    <row r="47" spans="1:33" s="76" customFormat="1" ht="34.5">
      <c r="A47" s="315"/>
      <c r="B47" s="1780" t="s">
        <v>3883</v>
      </c>
      <c r="C47" s="1413"/>
      <c r="D47" s="465"/>
      <c r="E47" s="142"/>
      <c r="F47" s="61"/>
      <c r="G47" s="477"/>
      <c r="H47" s="74"/>
      <c r="I47" s="431"/>
      <c r="J47" s="586"/>
      <c r="K47" s="526"/>
      <c r="L47" s="567"/>
      <c r="M47" s="567"/>
      <c r="N47" s="567"/>
      <c r="O47" s="567"/>
      <c r="P47" s="567"/>
      <c r="Q47" s="567"/>
      <c r="R47" s="567"/>
      <c r="S47" s="567"/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</row>
    <row r="48" spans="1:33" s="76" customFormat="1" ht="34.5">
      <c r="A48" s="315"/>
      <c r="B48" s="362" t="s">
        <v>3884</v>
      </c>
      <c r="C48" s="207" t="s">
        <v>284</v>
      </c>
      <c r="D48" s="465" t="s">
        <v>353</v>
      </c>
      <c r="E48" s="84">
        <v>35</v>
      </c>
      <c r="F48" s="767" t="s">
        <v>3885</v>
      </c>
      <c r="G48" s="478" t="s">
        <v>3886</v>
      </c>
      <c r="H48" s="224">
        <v>560.75599999999997</v>
      </c>
      <c r="I48" s="505" t="s">
        <v>204</v>
      </c>
      <c r="J48" s="609" t="s">
        <v>2143</v>
      </c>
      <c r="K48" s="527">
        <v>30.75</v>
      </c>
      <c r="L48" s="567"/>
      <c r="M48" s="567"/>
      <c r="N48" s="567"/>
      <c r="O48" s="567"/>
      <c r="P48" s="567"/>
      <c r="Q48" s="567"/>
      <c r="R48" s="567"/>
      <c r="S48" s="567"/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</row>
    <row r="49" spans="1:33" s="76" customFormat="1" ht="34.5">
      <c r="A49" s="315"/>
      <c r="B49" s="43"/>
      <c r="C49" s="207"/>
      <c r="D49" s="465"/>
      <c r="E49" s="142"/>
      <c r="F49" s="61"/>
      <c r="G49" s="478"/>
      <c r="H49" s="224"/>
      <c r="I49" s="505"/>
      <c r="J49" s="609"/>
      <c r="K49" s="527"/>
      <c r="L49" s="567"/>
      <c r="M49" s="567"/>
      <c r="N49" s="567"/>
      <c r="O49" s="567"/>
      <c r="P49" s="567"/>
      <c r="Q49" s="567"/>
      <c r="R49" s="567"/>
      <c r="S49" s="567"/>
      <c r="T49" s="567"/>
      <c r="U49" s="567"/>
      <c r="V49" s="567"/>
      <c r="W49" s="567"/>
      <c r="X49" s="567"/>
      <c r="Y49" s="567"/>
      <c r="Z49" s="567"/>
      <c r="AA49" s="567"/>
      <c r="AB49" s="567"/>
      <c r="AC49" s="567"/>
      <c r="AD49" s="567"/>
      <c r="AE49" s="567"/>
      <c r="AF49" s="567"/>
      <c r="AG49" s="567"/>
    </row>
    <row r="50" spans="1:33" s="76" customFormat="1" ht="34.5">
      <c r="A50" s="3491" t="s">
        <v>2090</v>
      </c>
      <c r="B50" s="3492"/>
      <c r="C50" s="207"/>
      <c r="D50" s="465"/>
      <c r="E50" s="142"/>
      <c r="F50" s="61"/>
      <c r="G50" s="478"/>
      <c r="H50" s="224"/>
      <c r="I50" s="505"/>
      <c r="J50" s="609"/>
      <c r="K50" s="527"/>
      <c r="L50" s="567"/>
      <c r="M50" s="567"/>
      <c r="N50" s="567"/>
      <c r="O50" s="567"/>
      <c r="P50" s="567"/>
      <c r="Q50" s="567"/>
      <c r="R50" s="567"/>
      <c r="S50" s="567"/>
      <c r="T50" s="567"/>
      <c r="U50" s="567"/>
      <c r="V50" s="567"/>
      <c r="W50" s="567"/>
      <c r="X50" s="567"/>
      <c r="Y50" s="567"/>
      <c r="Z50" s="567"/>
      <c r="AA50" s="567"/>
      <c r="AB50" s="567"/>
      <c r="AC50" s="567"/>
      <c r="AD50" s="567"/>
      <c r="AE50" s="567"/>
      <c r="AF50" s="567"/>
      <c r="AG50" s="567"/>
    </row>
    <row r="51" spans="1:33" s="76" customFormat="1" ht="34.5">
      <c r="A51" s="315"/>
      <c r="B51" s="610" t="s">
        <v>3887</v>
      </c>
      <c r="C51" s="207"/>
      <c r="D51" s="751" t="s">
        <v>3888</v>
      </c>
      <c r="E51" s="84" t="s">
        <v>3889</v>
      </c>
      <c r="F51" s="2386" t="s">
        <v>3890</v>
      </c>
      <c r="G51" s="477" t="s">
        <v>3891</v>
      </c>
      <c r="H51" s="74">
        <v>1037</v>
      </c>
      <c r="I51" s="431" t="s">
        <v>3892</v>
      </c>
      <c r="J51" s="586">
        <v>967.29</v>
      </c>
      <c r="K51" s="526" t="s">
        <v>3893</v>
      </c>
      <c r="L51" s="567"/>
      <c r="M51" s="567"/>
      <c r="N51" s="567"/>
      <c r="O51" s="567"/>
      <c r="P51" s="567"/>
      <c r="Q51" s="567"/>
      <c r="R51" s="567"/>
      <c r="S51" s="567"/>
      <c r="T51" s="567"/>
      <c r="U51" s="567"/>
      <c r="V51" s="567"/>
      <c r="W51" s="567"/>
      <c r="X51" s="567"/>
      <c r="Y51" s="567"/>
      <c r="Z51" s="567"/>
      <c r="AA51" s="567"/>
      <c r="AB51" s="567"/>
      <c r="AC51" s="567"/>
      <c r="AD51" s="567"/>
      <c r="AE51" s="567"/>
      <c r="AF51" s="567"/>
      <c r="AG51" s="567"/>
    </row>
    <row r="52" spans="1:33" s="76" customFormat="1" ht="34.5">
      <c r="A52" s="315"/>
      <c r="B52" s="610" t="s">
        <v>3894</v>
      </c>
      <c r="C52" s="207"/>
      <c r="D52" s="751" t="s">
        <v>3888</v>
      </c>
      <c r="E52" s="84" t="s">
        <v>3889</v>
      </c>
      <c r="F52" s="2386" t="s">
        <v>3890</v>
      </c>
      <c r="G52" s="477" t="s">
        <v>3891</v>
      </c>
      <c r="H52" s="74">
        <v>1037</v>
      </c>
      <c r="I52" s="431" t="s">
        <v>3892</v>
      </c>
      <c r="J52" s="586">
        <v>967.29</v>
      </c>
      <c r="K52" s="526" t="s">
        <v>3893</v>
      </c>
      <c r="L52" s="567"/>
      <c r="M52" s="567"/>
      <c r="N52" s="567"/>
      <c r="O52" s="567"/>
      <c r="P52" s="567"/>
      <c r="Q52" s="567"/>
      <c r="R52" s="567"/>
      <c r="S52" s="567"/>
      <c r="T52" s="567"/>
      <c r="U52" s="567"/>
      <c r="V52" s="567"/>
      <c r="W52" s="567"/>
      <c r="X52" s="567"/>
      <c r="Y52" s="567"/>
      <c r="Z52" s="567"/>
      <c r="AA52" s="567"/>
      <c r="AB52" s="567"/>
      <c r="AC52" s="567"/>
      <c r="AD52" s="567"/>
      <c r="AE52" s="567"/>
      <c r="AF52" s="567"/>
      <c r="AG52" s="567"/>
    </row>
    <row r="53" spans="1:33" s="76" customFormat="1" ht="34.5">
      <c r="A53" s="315"/>
      <c r="B53" s="1948" t="s">
        <v>3895</v>
      </c>
      <c r="C53" s="207"/>
      <c r="D53" s="751" t="s">
        <v>3888</v>
      </c>
      <c r="E53" s="84" t="s">
        <v>3889</v>
      </c>
      <c r="F53" s="2386" t="s">
        <v>3890</v>
      </c>
      <c r="G53" s="477" t="s">
        <v>3891</v>
      </c>
      <c r="H53" s="74">
        <v>1037</v>
      </c>
      <c r="I53" s="431" t="s">
        <v>3892</v>
      </c>
      <c r="J53" s="586">
        <v>967.29</v>
      </c>
      <c r="K53" s="526" t="s">
        <v>3893</v>
      </c>
      <c r="L53" s="567"/>
      <c r="M53" s="567"/>
      <c r="N53" s="567"/>
      <c r="O53" s="567"/>
      <c r="P53" s="567"/>
      <c r="Q53" s="567"/>
      <c r="R53" s="567"/>
      <c r="S53" s="567"/>
      <c r="T53" s="567"/>
      <c r="U53" s="567"/>
      <c r="V53" s="567"/>
      <c r="W53" s="567"/>
      <c r="X53" s="567"/>
      <c r="Y53" s="567"/>
      <c r="Z53" s="567"/>
      <c r="AA53" s="567"/>
      <c r="AB53" s="567"/>
      <c r="AC53" s="567"/>
      <c r="AD53" s="567"/>
      <c r="AE53" s="567"/>
      <c r="AF53" s="567"/>
      <c r="AG53" s="567"/>
    </row>
    <row r="54" spans="1:33" s="76" customFormat="1" ht="34.5">
      <c r="A54" s="315"/>
      <c r="B54" s="610" t="s">
        <v>3887</v>
      </c>
      <c r="C54" s="207" t="s">
        <v>3896</v>
      </c>
      <c r="D54" s="751" t="s">
        <v>3897</v>
      </c>
      <c r="E54" s="84" t="s">
        <v>3898</v>
      </c>
      <c r="F54" s="1409" t="s">
        <v>3133</v>
      </c>
      <c r="G54" s="477" t="s">
        <v>3899</v>
      </c>
      <c r="H54" s="74">
        <v>890</v>
      </c>
      <c r="I54" s="431" t="s">
        <v>3900</v>
      </c>
      <c r="J54" s="586">
        <v>1095</v>
      </c>
      <c r="K54" s="526" t="s">
        <v>3901</v>
      </c>
      <c r="L54" s="567"/>
      <c r="M54" s="567"/>
      <c r="N54" s="567"/>
      <c r="O54" s="567"/>
      <c r="P54" s="567"/>
      <c r="Q54" s="567"/>
      <c r="R54" s="567"/>
      <c r="S54" s="567"/>
      <c r="T54" s="567"/>
      <c r="U54" s="567"/>
      <c r="V54" s="567"/>
      <c r="W54" s="567"/>
      <c r="X54" s="567"/>
      <c r="Y54" s="567"/>
      <c r="Z54" s="567"/>
      <c r="AA54" s="567"/>
      <c r="AB54" s="567"/>
      <c r="AC54" s="567"/>
      <c r="AD54" s="567"/>
      <c r="AE54" s="567"/>
      <c r="AF54" s="567"/>
      <c r="AG54" s="567"/>
    </row>
    <row r="55" spans="1:33" s="76" customFormat="1" ht="34.5">
      <c r="A55" s="315"/>
      <c r="B55" s="610" t="s">
        <v>3902</v>
      </c>
      <c r="C55" s="207"/>
      <c r="D55" s="751" t="s">
        <v>3888</v>
      </c>
      <c r="E55" s="142"/>
      <c r="F55" s="61"/>
      <c r="G55" s="477" t="s">
        <v>3903</v>
      </c>
      <c r="H55" s="74">
        <v>890</v>
      </c>
      <c r="I55" s="431" t="s">
        <v>3904</v>
      </c>
      <c r="J55" s="590" t="s">
        <v>3905</v>
      </c>
      <c r="K55" s="526">
        <v>4.84</v>
      </c>
      <c r="L55" s="567"/>
      <c r="M55" s="567"/>
      <c r="N55" s="567"/>
      <c r="O55" s="567"/>
      <c r="P55" s="567"/>
      <c r="Q55" s="567"/>
      <c r="R55" s="567"/>
      <c r="S55" s="567"/>
      <c r="T55" s="567"/>
      <c r="U55" s="567"/>
      <c r="V55" s="567"/>
      <c r="W55" s="567"/>
      <c r="X55" s="567"/>
      <c r="Y55" s="567"/>
      <c r="Z55" s="567"/>
      <c r="AA55" s="567"/>
      <c r="AB55" s="567"/>
      <c r="AC55" s="567"/>
      <c r="AD55" s="567"/>
      <c r="AE55" s="567"/>
      <c r="AF55" s="567"/>
      <c r="AG55" s="567"/>
    </row>
    <row r="56" spans="1:33" s="76" customFormat="1" ht="34.5">
      <c r="A56" s="315"/>
      <c r="B56" s="610" t="s">
        <v>3902</v>
      </c>
      <c r="C56" s="207"/>
      <c r="D56" s="751" t="s">
        <v>3888</v>
      </c>
      <c r="E56" s="142"/>
      <c r="F56" s="61"/>
      <c r="G56" s="477" t="s">
        <v>3903</v>
      </c>
      <c r="H56" s="74">
        <v>890</v>
      </c>
      <c r="I56" s="431" t="s">
        <v>3904</v>
      </c>
      <c r="J56" s="590" t="s">
        <v>3905</v>
      </c>
      <c r="K56" s="526">
        <v>4.84</v>
      </c>
      <c r="L56" s="567"/>
      <c r="M56" s="567"/>
      <c r="N56" s="567"/>
      <c r="O56" s="567"/>
      <c r="P56" s="567"/>
      <c r="Q56" s="567"/>
      <c r="R56" s="567"/>
      <c r="S56" s="567"/>
      <c r="T56" s="567"/>
      <c r="U56" s="567"/>
      <c r="V56" s="567"/>
      <c r="W56" s="567"/>
      <c r="X56" s="567"/>
      <c r="Y56" s="567"/>
      <c r="Z56" s="567"/>
      <c r="AA56" s="567"/>
      <c r="AB56" s="567"/>
      <c r="AC56" s="567"/>
      <c r="AD56" s="567"/>
      <c r="AE56" s="567"/>
      <c r="AF56" s="567"/>
      <c r="AG56" s="567"/>
    </row>
    <row r="57" spans="1:33" s="76" customFormat="1" ht="34.5">
      <c r="A57" s="315"/>
      <c r="B57" s="610"/>
      <c r="C57" s="207"/>
      <c r="D57" s="751"/>
      <c r="E57" s="142"/>
      <c r="F57" s="61"/>
      <c r="G57" s="477"/>
      <c r="H57" s="74"/>
      <c r="I57" s="431"/>
      <c r="J57" s="590"/>
      <c r="K57" s="526"/>
      <c r="L57" s="567"/>
      <c r="M57" s="567"/>
      <c r="N57" s="567"/>
      <c r="O57" s="567"/>
      <c r="P57" s="567"/>
      <c r="Q57" s="567"/>
      <c r="R57" s="567"/>
      <c r="S57" s="567"/>
      <c r="T57" s="567"/>
      <c r="U57" s="567"/>
      <c r="V57" s="567"/>
      <c r="W57" s="567"/>
      <c r="X57" s="567"/>
      <c r="Y57" s="567"/>
      <c r="Z57" s="567"/>
      <c r="AA57" s="567"/>
      <c r="AB57" s="567"/>
      <c r="AC57" s="567"/>
      <c r="AD57" s="567"/>
      <c r="AE57" s="567"/>
      <c r="AF57" s="567"/>
      <c r="AG57" s="567"/>
    </row>
    <row r="58" spans="1:33" s="76" customFormat="1" ht="34.5">
      <c r="A58" s="3483"/>
      <c r="B58" s="3484"/>
      <c r="C58" s="207"/>
      <c r="D58" s="3469"/>
      <c r="E58" s="100"/>
      <c r="F58" s="61"/>
      <c r="G58" s="477"/>
      <c r="H58" s="74"/>
      <c r="I58" s="431"/>
      <c r="J58" s="586"/>
      <c r="K58" s="526"/>
      <c r="L58" s="567"/>
      <c r="M58" s="567"/>
      <c r="N58" s="567"/>
      <c r="O58" s="567"/>
      <c r="P58" s="567"/>
      <c r="Q58" s="567"/>
      <c r="R58" s="567"/>
      <c r="S58" s="567"/>
      <c r="T58" s="567"/>
      <c r="U58" s="567"/>
      <c r="V58" s="567"/>
      <c r="W58" s="567"/>
      <c r="X58" s="567"/>
      <c r="Y58" s="567"/>
      <c r="Z58" s="567"/>
      <c r="AA58" s="567"/>
      <c r="AB58" s="567"/>
      <c r="AC58" s="567"/>
      <c r="AD58" s="567"/>
      <c r="AE58" s="567"/>
      <c r="AF58" s="567"/>
      <c r="AG58" s="567"/>
    </row>
    <row r="59" spans="1:33" s="76" customFormat="1" ht="34.5">
      <c r="A59" s="3491" t="s">
        <v>1380</v>
      </c>
      <c r="B59" s="3492"/>
      <c r="C59" s="207"/>
      <c r="D59" s="3469"/>
      <c r="E59" s="100"/>
      <c r="F59" s="61"/>
      <c r="G59" s="477"/>
      <c r="H59" s="74"/>
      <c r="I59" s="431"/>
      <c r="J59" s="586"/>
      <c r="K59" s="526"/>
      <c r="L59" s="567"/>
      <c r="M59" s="567"/>
      <c r="N59" s="567"/>
      <c r="O59" s="567"/>
      <c r="P59" s="567"/>
      <c r="Q59" s="567"/>
      <c r="R59" s="567"/>
      <c r="S59" s="567"/>
      <c r="T59" s="567"/>
      <c r="U59" s="567"/>
      <c r="V59" s="567"/>
      <c r="W59" s="567"/>
      <c r="X59" s="567"/>
      <c r="Y59" s="567"/>
      <c r="Z59" s="567"/>
      <c r="AA59" s="567"/>
      <c r="AB59" s="567"/>
      <c r="AC59" s="567"/>
      <c r="AD59" s="567"/>
      <c r="AE59" s="567"/>
      <c r="AF59" s="567"/>
      <c r="AG59" s="567"/>
    </row>
    <row r="60" spans="1:33" s="76" customFormat="1" ht="34.5">
      <c r="A60" s="315"/>
      <c r="B60" s="43" t="s">
        <v>3906</v>
      </c>
      <c r="C60" s="207" t="s">
        <v>1340</v>
      </c>
      <c r="D60" s="3469" t="s">
        <v>3314</v>
      </c>
      <c r="E60" s="100">
        <v>6</v>
      </c>
      <c r="F60" s="61"/>
      <c r="G60" s="477" t="s">
        <v>2148</v>
      </c>
      <c r="H60" s="74"/>
      <c r="I60" s="431" t="s">
        <v>3907</v>
      </c>
      <c r="J60" s="1944" t="s">
        <v>3908</v>
      </c>
      <c r="K60" s="526" t="s">
        <v>3909</v>
      </c>
      <c r="L60" s="567"/>
      <c r="M60" s="567"/>
      <c r="N60" s="567"/>
      <c r="O60" s="567"/>
      <c r="P60" s="567"/>
      <c r="Q60" s="567"/>
      <c r="R60" s="567"/>
      <c r="S60" s="567"/>
      <c r="T60" s="567"/>
      <c r="U60" s="567"/>
      <c r="V60" s="567"/>
      <c r="W60" s="567"/>
      <c r="X60" s="567"/>
      <c r="Y60" s="567"/>
      <c r="Z60" s="567"/>
      <c r="AA60" s="567"/>
      <c r="AB60" s="567"/>
      <c r="AC60" s="567"/>
      <c r="AD60" s="567"/>
      <c r="AE60" s="567"/>
      <c r="AF60" s="567"/>
      <c r="AG60" s="567"/>
    </row>
    <row r="61" spans="1:33" s="76" customFormat="1" ht="34.5">
      <c r="A61" s="315"/>
      <c r="B61" s="43" t="s">
        <v>3910</v>
      </c>
      <c r="C61" s="207" t="s">
        <v>1340</v>
      </c>
      <c r="D61" s="3469" t="s">
        <v>3314</v>
      </c>
      <c r="E61" s="100"/>
      <c r="F61" s="61"/>
      <c r="G61" s="477" t="s">
        <v>2148</v>
      </c>
      <c r="H61" s="74"/>
      <c r="I61" s="431" t="s">
        <v>3907</v>
      </c>
      <c r="J61" s="1944" t="s">
        <v>3908</v>
      </c>
      <c r="K61" s="526" t="s">
        <v>3909</v>
      </c>
      <c r="L61" s="567"/>
      <c r="M61" s="567"/>
      <c r="N61" s="567"/>
      <c r="O61" s="567"/>
      <c r="P61" s="567"/>
      <c r="Q61" s="567"/>
      <c r="R61" s="567"/>
      <c r="S61" s="567"/>
      <c r="T61" s="567"/>
      <c r="U61" s="567"/>
      <c r="V61" s="567"/>
      <c r="W61" s="567"/>
      <c r="X61" s="567"/>
      <c r="Y61" s="567"/>
      <c r="Z61" s="567"/>
      <c r="AA61" s="567"/>
      <c r="AB61" s="567"/>
      <c r="AC61" s="567"/>
      <c r="AD61" s="567"/>
      <c r="AE61" s="567"/>
      <c r="AF61" s="567"/>
      <c r="AG61" s="567"/>
    </row>
    <row r="62" spans="1:33" s="76" customFormat="1" ht="34.5">
      <c r="A62" s="315"/>
      <c r="B62" s="43" t="s">
        <v>3911</v>
      </c>
      <c r="C62" s="207" t="s">
        <v>1340</v>
      </c>
      <c r="D62" s="3469" t="s">
        <v>3314</v>
      </c>
      <c r="E62" s="198"/>
      <c r="F62" s="61"/>
      <c r="G62" s="477" t="s">
        <v>2148</v>
      </c>
      <c r="H62" s="74"/>
      <c r="I62" s="431" t="s">
        <v>3907</v>
      </c>
      <c r="J62" s="1944" t="s">
        <v>3908</v>
      </c>
      <c r="K62" s="526" t="s">
        <v>3909</v>
      </c>
      <c r="L62" s="567"/>
      <c r="M62" s="567"/>
      <c r="N62" s="567"/>
      <c r="O62" s="567"/>
      <c r="P62" s="567"/>
      <c r="Q62" s="567"/>
      <c r="R62" s="567"/>
      <c r="S62" s="567"/>
      <c r="T62" s="567"/>
      <c r="U62" s="567"/>
      <c r="V62" s="567"/>
      <c r="W62" s="567"/>
      <c r="X62" s="567"/>
      <c r="Y62" s="567"/>
      <c r="Z62" s="567"/>
      <c r="AA62" s="567"/>
      <c r="AB62" s="567"/>
      <c r="AC62" s="567"/>
      <c r="AD62" s="567"/>
      <c r="AE62" s="567"/>
      <c r="AF62" s="567"/>
      <c r="AG62" s="567"/>
    </row>
    <row r="63" spans="1:33" s="76" customFormat="1" ht="34.5">
      <c r="A63" s="315"/>
      <c r="B63" s="43" t="s">
        <v>3912</v>
      </c>
      <c r="C63" s="207" t="s">
        <v>3913</v>
      </c>
      <c r="D63" s="339"/>
      <c r="E63" s="84">
        <v>80</v>
      </c>
      <c r="F63" s="767" t="s">
        <v>485</v>
      </c>
      <c r="G63" s="477" t="s">
        <v>3914</v>
      </c>
      <c r="H63" s="74"/>
      <c r="I63" s="431"/>
      <c r="J63" s="586" t="s">
        <v>2465</v>
      </c>
      <c r="K63" s="526">
        <v>68.75</v>
      </c>
      <c r="L63" s="567"/>
      <c r="M63" s="567"/>
      <c r="N63" s="567"/>
      <c r="O63" s="567"/>
      <c r="P63" s="567"/>
      <c r="Q63" s="567"/>
      <c r="R63" s="567"/>
      <c r="S63" s="567"/>
      <c r="T63" s="567"/>
      <c r="U63" s="567"/>
      <c r="V63" s="567"/>
      <c r="W63" s="567"/>
      <c r="X63" s="567"/>
      <c r="Y63" s="567"/>
      <c r="Z63" s="567"/>
      <c r="AA63" s="567"/>
      <c r="AB63" s="567"/>
      <c r="AC63" s="567"/>
      <c r="AD63" s="567"/>
      <c r="AE63" s="567"/>
      <c r="AF63" s="567"/>
      <c r="AG63" s="567"/>
    </row>
    <row r="64" spans="1:33" s="76" customFormat="1" ht="34.5">
      <c r="A64" s="3525" t="s">
        <v>3915</v>
      </c>
      <c r="B64" s="3526"/>
      <c r="C64" s="207"/>
      <c r="D64" s="339"/>
      <c r="E64" s="100"/>
      <c r="F64" s="61"/>
      <c r="G64" s="477" t="s">
        <v>1265</v>
      </c>
      <c r="H64" s="74"/>
      <c r="I64" s="431" t="s">
        <v>3916</v>
      </c>
      <c r="J64" s="586"/>
      <c r="K64" s="526"/>
      <c r="L64" s="567"/>
      <c r="M64" s="567"/>
      <c r="N64" s="567"/>
      <c r="O64" s="567"/>
      <c r="P64" s="567"/>
      <c r="Q64" s="567"/>
      <c r="R64" s="567"/>
      <c r="S64" s="567"/>
      <c r="T64" s="567"/>
      <c r="U64" s="567"/>
      <c r="V64" s="567"/>
      <c r="W64" s="567"/>
      <c r="X64" s="567"/>
      <c r="Y64" s="567"/>
      <c r="Z64" s="567"/>
      <c r="AA64" s="567"/>
      <c r="AB64" s="567"/>
      <c r="AC64" s="567"/>
      <c r="AD64" s="567"/>
      <c r="AE64" s="567"/>
      <c r="AF64" s="567"/>
      <c r="AG64" s="567"/>
    </row>
    <row r="65" spans="1:33" s="76" customFormat="1" ht="34.5">
      <c r="A65" s="315"/>
      <c r="B65" s="43"/>
      <c r="C65" s="207"/>
      <c r="D65" s="339"/>
      <c r="E65" s="142"/>
      <c r="F65" s="61"/>
      <c r="G65" s="477"/>
      <c r="H65" s="74"/>
      <c r="I65" s="431"/>
      <c r="J65" s="586"/>
      <c r="K65" s="526"/>
      <c r="L65" s="567"/>
      <c r="M65" s="567"/>
      <c r="N65" s="567"/>
      <c r="O65" s="567"/>
      <c r="P65" s="567"/>
      <c r="Q65" s="567"/>
      <c r="R65" s="567"/>
      <c r="S65" s="567"/>
      <c r="T65" s="567"/>
      <c r="U65" s="567"/>
      <c r="V65" s="567"/>
      <c r="W65" s="567"/>
      <c r="X65" s="567"/>
      <c r="Y65" s="567"/>
      <c r="Z65" s="567"/>
      <c r="AA65" s="567"/>
      <c r="AB65" s="567"/>
      <c r="AC65" s="567"/>
      <c r="AD65" s="567"/>
      <c r="AE65" s="567"/>
      <c r="AF65" s="567"/>
      <c r="AG65" s="567"/>
    </row>
    <row r="66" spans="1:33" s="76" customFormat="1" ht="34.5">
      <c r="A66" s="315"/>
      <c r="B66" s="3491" t="s">
        <v>3917</v>
      </c>
      <c r="C66" s="3492"/>
      <c r="D66" s="207"/>
      <c r="E66" s="100"/>
      <c r="F66" s="61"/>
      <c r="G66" s="477"/>
      <c r="H66" s="477"/>
      <c r="I66" s="74"/>
      <c r="J66" s="431"/>
      <c r="K66" s="586"/>
      <c r="L66" s="567"/>
      <c r="M66" s="567"/>
      <c r="N66" s="567"/>
      <c r="O66" s="567"/>
      <c r="P66" s="567"/>
      <c r="Q66" s="567"/>
      <c r="R66" s="567"/>
      <c r="S66" s="567"/>
      <c r="T66" s="567"/>
      <c r="U66" s="567"/>
      <c r="V66" s="567"/>
      <c r="W66" s="567"/>
      <c r="X66" s="567"/>
      <c r="Y66" s="567"/>
      <c r="Z66" s="567"/>
      <c r="AA66" s="567"/>
      <c r="AB66" s="567"/>
      <c r="AC66" s="567"/>
      <c r="AD66" s="567"/>
      <c r="AE66" s="567"/>
      <c r="AF66" s="567"/>
      <c r="AG66" s="567"/>
    </row>
    <row r="67" spans="1:33" s="76" customFormat="1" ht="35.25" thickBot="1">
      <c r="A67" s="315"/>
      <c r="B67" s="43" t="s">
        <v>3918</v>
      </c>
      <c r="C67" s="43" t="s">
        <v>2624</v>
      </c>
      <c r="D67" s="207" t="s">
        <v>1546</v>
      </c>
      <c r="E67" s="142"/>
      <c r="F67" s="61"/>
      <c r="G67" s="477" t="s">
        <v>3919</v>
      </c>
      <c r="H67" s="477"/>
      <c r="I67" s="74">
        <v>290</v>
      </c>
      <c r="J67" s="431" t="s">
        <v>3920</v>
      </c>
      <c r="K67" s="586">
        <f>8700/31</f>
        <v>280.64516129032256</v>
      </c>
      <c r="L67" s="567"/>
      <c r="M67" s="567"/>
      <c r="N67" s="567"/>
      <c r="O67" s="567"/>
      <c r="P67" s="567"/>
      <c r="Q67" s="567"/>
      <c r="R67" s="567"/>
      <c r="S67" s="567"/>
      <c r="T67" s="567"/>
      <c r="U67" s="567"/>
      <c r="V67" s="567"/>
      <c r="W67" s="567"/>
      <c r="X67" s="567"/>
      <c r="Y67" s="567"/>
      <c r="Z67" s="567"/>
      <c r="AA67" s="567"/>
      <c r="AB67" s="567"/>
      <c r="AC67" s="567"/>
      <c r="AD67" s="567"/>
      <c r="AE67" s="567"/>
      <c r="AF67" s="567"/>
      <c r="AG67" s="567"/>
    </row>
    <row r="68" spans="1:33" s="76" customFormat="1" ht="34.5">
      <c r="A68" s="2308" t="s">
        <v>3921</v>
      </c>
      <c r="B68" s="2309"/>
      <c r="C68" s="608"/>
      <c r="D68" s="227"/>
      <c r="E68" s="255"/>
      <c r="F68" s="54"/>
      <c r="G68" s="477"/>
      <c r="H68" s="74"/>
      <c r="I68" s="431"/>
      <c r="J68" s="549"/>
      <c r="K68" s="526"/>
      <c r="L68" s="567"/>
      <c r="M68" s="567"/>
      <c r="N68" s="567"/>
      <c r="O68" s="567"/>
      <c r="P68" s="567"/>
      <c r="Q68" s="567"/>
      <c r="R68" s="567"/>
      <c r="S68" s="567"/>
      <c r="T68" s="567"/>
      <c r="U68" s="567"/>
      <c r="V68" s="567"/>
      <c r="W68" s="567"/>
      <c r="X68" s="567"/>
      <c r="Y68" s="567"/>
      <c r="Z68" s="567"/>
      <c r="AA68" s="567"/>
      <c r="AB68" s="567"/>
      <c r="AC68" s="567"/>
      <c r="AD68" s="567"/>
      <c r="AE68" s="567"/>
      <c r="AF68" s="567"/>
      <c r="AG68" s="567"/>
    </row>
    <row r="69" spans="1:33" s="76" customFormat="1" ht="34.5">
      <c r="A69" s="315"/>
      <c r="B69" s="362" t="s">
        <v>3922</v>
      </c>
      <c r="C69" s="207"/>
      <c r="D69" s="1763" t="s">
        <v>3888</v>
      </c>
      <c r="E69" s="2350" t="s">
        <v>3923</v>
      </c>
      <c r="F69" s="1752" t="s">
        <v>3924</v>
      </c>
      <c r="G69" s="887" t="s">
        <v>813</v>
      </c>
      <c r="H69" s="74">
        <v>1090</v>
      </c>
      <c r="I69" s="431" t="s">
        <v>3925</v>
      </c>
      <c r="J69" s="1773" t="s">
        <v>3926</v>
      </c>
      <c r="K69" s="3432" t="s">
        <v>3927</v>
      </c>
      <c r="L69" s="567"/>
      <c r="M69" s="567"/>
      <c r="N69" s="567"/>
      <c r="O69" s="567"/>
      <c r="P69" s="567"/>
      <c r="Q69" s="567"/>
      <c r="R69" s="567"/>
      <c r="S69" s="567"/>
      <c r="T69" s="567"/>
      <c r="U69" s="567"/>
      <c r="V69" s="567"/>
      <c r="W69" s="567"/>
      <c r="X69" s="567"/>
      <c r="Y69" s="567"/>
      <c r="Z69" s="567"/>
      <c r="AA69" s="567"/>
      <c r="AB69" s="567"/>
      <c r="AC69" s="567"/>
      <c r="AD69" s="567"/>
      <c r="AE69" s="567"/>
      <c r="AF69" s="567"/>
      <c r="AG69" s="567"/>
    </row>
    <row r="70" spans="1:33" s="76" customFormat="1" ht="34.5">
      <c r="A70" s="315"/>
      <c r="B70" s="43" t="s">
        <v>3928</v>
      </c>
      <c r="C70" s="207"/>
      <c r="D70" s="1763" t="s">
        <v>3888</v>
      </c>
      <c r="E70" s="2350" t="s">
        <v>3923</v>
      </c>
      <c r="F70" s="1752" t="s">
        <v>3924</v>
      </c>
      <c r="G70" s="887" t="s">
        <v>813</v>
      </c>
      <c r="H70" s="74">
        <v>1090</v>
      </c>
      <c r="I70" s="431" t="s">
        <v>3925</v>
      </c>
      <c r="J70" s="1773" t="s">
        <v>3926</v>
      </c>
      <c r="K70" s="3432" t="s">
        <v>3927</v>
      </c>
      <c r="L70" s="567"/>
      <c r="M70" s="567"/>
      <c r="N70" s="567"/>
      <c r="O70" s="567"/>
      <c r="P70" s="567"/>
      <c r="Q70" s="567"/>
      <c r="R70" s="567"/>
      <c r="S70" s="567"/>
      <c r="T70" s="567"/>
      <c r="U70" s="567"/>
      <c r="V70" s="567"/>
      <c r="W70" s="567"/>
      <c r="X70" s="567"/>
      <c r="Y70" s="567"/>
      <c r="Z70" s="567"/>
      <c r="AA70" s="567"/>
      <c r="AB70" s="567"/>
      <c r="AC70" s="567"/>
      <c r="AD70" s="567"/>
      <c r="AE70" s="567"/>
      <c r="AF70" s="567"/>
      <c r="AG70" s="567"/>
    </row>
    <row r="71" spans="1:33" s="76" customFormat="1" ht="34.5">
      <c r="A71" s="315"/>
      <c r="B71" s="362" t="s">
        <v>3929</v>
      </c>
      <c r="C71" s="207" t="s">
        <v>709</v>
      </c>
      <c r="D71" s="1763" t="s">
        <v>143</v>
      </c>
      <c r="E71" s="1409" t="s">
        <v>3930</v>
      </c>
      <c r="F71" s="1752" t="s">
        <v>3931</v>
      </c>
      <c r="G71" s="887" t="s">
        <v>1417</v>
      </c>
      <c r="H71" s="74">
        <v>720</v>
      </c>
      <c r="I71" s="474" t="s">
        <v>3932</v>
      </c>
      <c r="J71" s="1773" t="s">
        <v>3933</v>
      </c>
      <c r="K71" s="3432" t="s">
        <v>3934</v>
      </c>
      <c r="L71" s="567"/>
      <c r="M71" s="567"/>
      <c r="N71" s="567"/>
      <c r="O71" s="567"/>
      <c r="P71" s="567"/>
      <c r="Q71" s="567"/>
      <c r="R71" s="567"/>
      <c r="S71" s="567"/>
      <c r="T71" s="567"/>
      <c r="U71" s="567"/>
      <c r="V71" s="567"/>
      <c r="W71" s="567"/>
      <c r="X71" s="567"/>
      <c r="Y71" s="567"/>
      <c r="Z71" s="567"/>
      <c r="AA71" s="567"/>
      <c r="AB71" s="567"/>
      <c r="AC71" s="567"/>
      <c r="AD71" s="567"/>
      <c r="AE71" s="567"/>
      <c r="AF71" s="567"/>
      <c r="AG71" s="567"/>
    </row>
    <row r="72" spans="1:33" s="76" customFormat="1" ht="34.5">
      <c r="A72" s="315"/>
      <c r="B72" s="43"/>
      <c r="C72" s="207"/>
      <c r="D72" s="1763"/>
      <c r="E72" s="142"/>
      <c r="F72" s="1752"/>
      <c r="G72" s="477"/>
      <c r="H72" s="74"/>
      <c r="I72" s="431"/>
      <c r="J72" s="1773"/>
      <c r="K72" s="754"/>
      <c r="L72" s="567"/>
      <c r="M72" s="567"/>
      <c r="N72" s="567"/>
      <c r="O72" s="567"/>
      <c r="P72" s="567"/>
      <c r="Q72" s="567"/>
      <c r="R72" s="567"/>
      <c r="S72" s="567"/>
      <c r="T72" s="567"/>
      <c r="U72" s="567"/>
      <c r="V72" s="567"/>
      <c r="W72" s="567"/>
      <c r="X72" s="567"/>
      <c r="Y72" s="567"/>
      <c r="Z72" s="567"/>
      <c r="AA72" s="567"/>
      <c r="AB72" s="567"/>
      <c r="AC72" s="567"/>
      <c r="AD72" s="567"/>
      <c r="AE72" s="567"/>
      <c r="AF72" s="567"/>
      <c r="AG72" s="567"/>
    </row>
    <row r="73" spans="1:33" s="76" customFormat="1" ht="34.5">
      <c r="A73" s="44"/>
      <c r="B73" s="75"/>
      <c r="C73" s="124"/>
      <c r="D73" s="124"/>
      <c r="E73" s="124"/>
      <c r="F73" s="124"/>
      <c r="G73" s="124"/>
      <c r="H73" s="124"/>
      <c r="I73" s="124"/>
      <c r="J73" s="545"/>
      <c r="K73" s="537">
        <v>3</v>
      </c>
      <c r="L73" s="567"/>
      <c r="M73" s="567"/>
      <c r="N73" s="567"/>
      <c r="O73" s="567"/>
      <c r="P73" s="567"/>
      <c r="Q73" s="567"/>
      <c r="R73" s="567"/>
      <c r="S73" s="567"/>
      <c r="T73" s="567"/>
      <c r="U73" s="567"/>
      <c r="V73" s="567"/>
      <c r="W73" s="567"/>
      <c r="X73" s="567"/>
      <c r="Y73" s="567"/>
      <c r="Z73" s="567"/>
      <c r="AA73" s="567"/>
      <c r="AB73" s="567"/>
      <c r="AC73" s="567"/>
      <c r="AD73" s="567"/>
      <c r="AE73" s="567"/>
      <c r="AF73" s="567"/>
      <c r="AG73" s="567"/>
    </row>
    <row r="74" spans="1:33" s="76" customFormat="1" ht="34.5">
      <c r="A74" s="44" t="s">
        <v>0</v>
      </c>
      <c r="B74" s="127"/>
      <c r="C74" s="167"/>
      <c r="D74" s="125"/>
      <c r="E74" s="45"/>
      <c r="F74" s="68"/>
      <c r="G74" s="353"/>
      <c r="I74" s="497"/>
      <c r="J74" s="540"/>
      <c r="K74" s="171"/>
      <c r="L74" s="567"/>
      <c r="M74" s="567"/>
      <c r="N74" s="567"/>
      <c r="O74" s="567"/>
      <c r="P74" s="567"/>
      <c r="Q74" s="567"/>
      <c r="R74" s="567"/>
      <c r="S74" s="567"/>
      <c r="T74" s="567"/>
      <c r="U74" s="567"/>
      <c r="V74" s="567"/>
      <c r="W74" s="567"/>
      <c r="X74" s="567"/>
      <c r="Y74" s="567"/>
      <c r="Z74" s="567"/>
      <c r="AA74" s="567"/>
      <c r="AB74" s="567"/>
      <c r="AC74" s="567"/>
      <c r="AD74" s="567"/>
      <c r="AE74" s="567"/>
      <c r="AF74" s="567"/>
      <c r="AG74" s="567"/>
    </row>
    <row r="75" spans="1:33" s="76" customFormat="1" ht="35.25" customHeight="1">
      <c r="A75" s="112" t="s">
        <v>3935</v>
      </c>
      <c r="B75" s="112"/>
      <c r="C75" s="204"/>
      <c r="D75" s="109"/>
      <c r="E75" s="45"/>
      <c r="F75" s="68"/>
      <c r="G75" s="353"/>
      <c r="I75" s="497"/>
      <c r="J75" s="540"/>
      <c r="K75" s="171"/>
      <c r="L75" s="567"/>
      <c r="M75" s="567"/>
      <c r="N75" s="567"/>
      <c r="O75" s="567"/>
      <c r="P75" s="567"/>
      <c r="Q75" s="567"/>
      <c r="R75" s="567"/>
      <c r="S75" s="567"/>
      <c r="T75" s="567"/>
      <c r="U75" s="567"/>
      <c r="V75" s="567"/>
      <c r="W75" s="567"/>
      <c r="X75" s="567"/>
      <c r="Y75" s="567"/>
      <c r="Z75" s="567"/>
      <c r="AA75" s="567"/>
      <c r="AB75" s="567"/>
      <c r="AC75" s="567"/>
      <c r="AD75" s="567"/>
      <c r="AE75" s="567"/>
      <c r="AF75" s="567"/>
      <c r="AG75" s="567"/>
    </row>
    <row r="76" spans="1:33" s="76" customFormat="1" ht="16.5" customHeight="1" thickBot="1">
      <c r="A76" s="75"/>
      <c r="B76" s="125"/>
      <c r="C76" s="335"/>
      <c r="D76" s="125"/>
      <c r="E76" s="45"/>
      <c r="F76" s="68"/>
      <c r="G76" s="353"/>
      <c r="I76" s="497"/>
      <c r="J76" s="540"/>
      <c r="K76" s="171"/>
      <c r="L76" s="567"/>
      <c r="M76" s="567"/>
      <c r="N76" s="567"/>
      <c r="O76" s="567"/>
      <c r="P76" s="567"/>
      <c r="Q76" s="567"/>
      <c r="R76" s="567"/>
      <c r="S76" s="567"/>
      <c r="T76" s="567"/>
      <c r="U76" s="567"/>
      <c r="V76" s="567"/>
      <c r="W76" s="567"/>
      <c r="X76" s="567"/>
      <c r="Y76" s="567"/>
      <c r="Z76" s="567"/>
      <c r="AA76" s="567"/>
      <c r="AB76" s="567"/>
      <c r="AC76" s="567"/>
      <c r="AD76" s="567"/>
      <c r="AE76" s="567"/>
      <c r="AF76" s="567"/>
      <c r="AG76" s="567"/>
    </row>
    <row r="77" spans="1:33" s="76" customFormat="1" ht="34.5">
      <c r="A77" s="3493" t="s">
        <v>2</v>
      </c>
      <c r="B77" s="3482"/>
      <c r="C77" s="336" t="s">
        <v>3</v>
      </c>
      <c r="D77" s="3445" t="s">
        <v>4</v>
      </c>
      <c r="E77" s="77" t="s">
        <v>5</v>
      </c>
      <c r="F77" s="78" t="s">
        <v>5</v>
      </c>
      <c r="G77" s="250" t="s">
        <v>6</v>
      </c>
      <c r="H77" s="344" t="s">
        <v>7</v>
      </c>
      <c r="I77" s="592" t="s">
        <v>1511</v>
      </c>
      <c r="J77" s="584" t="s">
        <v>9</v>
      </c>
      <c r="K77" s="346" t="s">
        <v>9</v>
      </c>
      <c r="L77" s="567"/>
      <c r="M77" s="567"/>
      <c r="N77" s="567"/>
      <c r="O77" s="567"/>
      <c r="P77" s="567"/>
      <c r="Q77" s="567"/>
      <c r="R77" s="567"/>
      <c r="S77" s="567"/>
      <c r="T77" s="567"/>
      <c r="U77" s="567"/>
      <c r="V77" s="567"/>
      <c r="W77" s="567"/>
      <c r="X77" s="567"/>
      <c r="Y77" s="567"/>
      <c r="Z77" s="567"/>
      <c r="AA77" s="567"/>
      <c r="AB77" s="567"/>
      <c r="AC77" s="567"/>
      <c r="AD77" s="567"/>
      <c r="AE77" s="567"/>
      <c r="AF77" s="567"/>
      <c r="AG77" s="567"/>
    </row>
    <row r="78" spans="1:33" s="76" customFormat="1" ht="35.25" thickBot="1">
      <c r="A78" s="155"/>
      <c r="B78" s="138"/>
      <c r="C78" s="337"/>
      <c r="D78" s="51" t="s">
        <v>10</v>
      </c>
      <c r="E78" s="79" t="s">
        <v>11</v>
      </c>
      <c r="F78" s="80" t="s">
        <v>12</v>
      </c>
      <c r="G78" s="476"/>
      <c r="H78" s="345" t="s">
        <v>13</v>
      </c>
      <c r="I78" s="593" t="s">
        <v>1512</v>
      </c>
      <c r="J78" s="585" t="s">
        <v>14</v>
      </c>
      <c r="K78" s="347" t="s">
        <v>15</v>
      </c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  <c r="Y78" s="567"/>
      <c r="Z78" s="567"/>
      <c r="AA78" s="567"/>
      <c r="AB78" s="567"/>
      <c r="AC78" s="567"/>
      <c r="AD78" s="567"/>
      <c r="AE78" s="567"/>
      <c r="AF78" s="567"/>
      <c r="AG78" s="567"/>
    </row>
    <row r="79" spans="1:33" s="76" customFormat="1" ht="40.5">
      <c r="A79" s="1591" t="s">
        <v>3936</v>
      </c>
      <c r="B79" s="1728" t="s">
        <v>3762</v>
      </c>
      <c r="C79" s="1520"/>
      <c r="D79" s="1521"/>
      <c r="E79" s="1522"/>
      <c r="F79" s="1102"/>
      <c r="G79" s="1523" t="s">
        <v>3763</v>
      </c>
      <c r="H79" s="1524"/>
      <c r="I79" s="1525"/>
      <c r="J79" s="1526"/>
      <c r="K79" s="1527"/>
      <c r="L79" s="567"/>
      <c r="M79" s="567"/>
      <c r="N79" s="567"/>
      <c r="O79" s="567"/>
      <c r="P79" s="567"/>
      <c r="Q79" s="567"/>
      <c r="R79" s="567"/>
      <c r="S79" s="567"/>
      <c r="T79" s="567"/>
      <c r="U79" s="567"/>
      <c r="V79" s="567"/>
      <c r="W79" s="567"/>
      <c r="X79" s="567"/>
      <c r="Y79" s="567"/>
      <c r="Z79" s="567"/>
      <c r="AA79" s="567"/>
      <c r="AB79" s="567"/>
      <c r="AC79" s="567"/>
      <c r="AD79" s="567"/>
      <c r="AE79" s="567"/>
      <c r="AF79" s="567"/>
      <c r="AG79" s="567"/>
    </row>
    <row r="80" spans="1:33" s="76" customFormat="1" ht="34.5">
      <c r="A80" s="438"/>
      <c r="B80" s="1006" t="s">
        <v>3782</v>
      </c>
      <c r="C80" s="1459"/>
      <c r="D80" s="413" t="s">
        <v>2618</v>
      </c>
      <c r="E80" s="1014"/>
      <c r="F80" s="981"/>
      <c r="G80" s="223" t="s">
        <v>3771</v>
      </c>
      <c r="H80" s="925"/>
      <c r="I80" s="1535" t="s">
        <v>3937</v>
      </c>
      <c r="J80" s="686" t="s">
        <v>1003</v>
      </c>
      <c r="K80" s="378" t="s">
        <v>3938</v>
      </c>
      <c r="L80" s="567"/>
      <c r="M80" s="567"/>
      <c r="N80" s="567"/>
      <c r="O80" s="567"/>
      <c r="P80" s="567"/>
      <c r="Q80" s="567"/>
      <c r="R80" s="567"/>
      <c r="S80" s="567"/>
      <c r="T80" s="567"/>
      <c r="U80" s="567"/>
      <c r="V80" s="567"/>
      <c r="W80" s="567"/>
      <c r="X80" s="567"/>
      <c r="Y80" s="567"/>
      <c r="Z80" s="567"/>
      <c r="AA80" s="567"/>
      <c r="AB80" s="567"/>
      <c r="AC80" s="567"/>
      <c r="AD80" s="567"/>
      <c r="AE80" s="567"/>
      <c r="AF80" s="567"/>
      <c r="AG80" s="567"/>
    </row>
    <row r="81" spans="1:33" s="76" customFormat="1" ht="34.5">
      <c r="A81" s="438"/>
      <c r="B81" s="406"/>
      <c r="C81" s="1514"/>
      <c r="D81" s="413"/>
      <c r="E81" s="1014"/>
      <c r="F81" s="981"/>
      <c r="G81" s="223"/>
      <c r="H81" s="925"/>
      <c r="I81" s="1535"/>
      <c r="J81" s="686"/>
      <c r="K81" s="378"/>
      <c r="L81" s="567"/>
      <c r="M81" s="567"/>
      <c r="N81" s="567"/>
      <c r="O81" s="567"/>
      <c r="P81" s="567"/>
      <c r="Q81" s="567"/>
      <c r="R81" s="567"/>
      <c r="S81" s="567"/>
      <c r="T81" s="567"/>
      <c r="U81" s="567"/>
      <c r="V81" s="567"/>
      <c r="W81" s="567"/>
      <c r="X81" s="567"/>
      <c r="Y81" s="567"/>
      <c r="Z81" s="567"/>
      <c r="AA81" s="567"/>
      <c r="AB81" s="567"/>
      <c r="AC81" s="567"/>
      <c r="AD81" s="567"/>
      <c r="AE81" s="567"/>
      <c r="AF81" s="567"/>
      <c r="AG81" s="567"/>
    </row>
    <row r="82" spans="1:33" s="76" customFormat="1" ht="34.5">
      <c r="A82" s="438"/>
      <c r="B82" s="406"/>
      <c r="C82" s="1459"/>
      <c r="D82" s="422"/>
      <c r="E82" s="1573"/>
      <c r="F82" s="936"/>
      <c r="G82" s="223"/>
      <c r="H82" s="224"/>
      <c r="I82" s="620"/>
      <c r="J82" s="686"/>
      <c r="K82" s="1364"/>
      <c r="L82" s="567"/>
      <c r="M82" s="567"/>
      <c r="N82" s="567"/>
      <c r="O82" s="567"/>
      <c r="P82" s="567"/>
      <c r="Q82" s="567"/>
      <c r="R82" s="567"/>
      <c r="S82" s="567"/>
      <c r="T82" s="567"/>
      <c r="U82" s="567"/>
      <c r="V82" s="567"/>
      <c r="W82" s="567"/>
      <c r="X82" s="567"/>
      <c r="Y82" s="567"/>
      <c r="Z82" s="567"/>
      <c r="AA82" s="567"/>
      <c r="AB82" s="567"/>
      <c r="AC82" s="567"/>
      <c r="AD82" s="567"/>
      <c r="AE82" s="567"/>
      <c r="AF82" s="567"/>
      <c r="AG82" s="567"/>
    </row>
    <row r="83" spans="1:33" s="76" customFormat="1" ht="34.5">
      <c r="A83" s="438"/>
      <c r="B83" s="996" t="s">
        <v>3939</v>
      </c>
      <c r="C83" s="320"/>
      <c r="D83" s="321"/>
      <c r="E83" s="221"/>
      <c r="F83" s="968"/>
      <c r="G83" s="478"/>
      <c r="H83" s="224"/>
      <c r="I83" s="505"/>
      <c r="J83" s="604"/>
      <c r="K83" s="378"/>
      <c r="L83" s="567"/>
      <c r="M83" s="567"/>
      <c r="N83" s="567"/>
      <c r="O83" s="567"/>
      <c r="P83" s="567"/>
      <c r="Q83" s="567"/>
      <c r="R83" s="567"/>
      <c r="S83" s="567"/>
      <c r="T83" s="567"/>
      <c r="U83" s="567"/>
      <c r="V83" s="567"/>
      <c r="W83" s="567"/>
      <c r="X83" s="567"/>
      <c r="Y83" s="567"/>
      <c r="Z83" s="567"/>
      <c r="AA83" s="567"/>
      <c r="AB83" s="567"/>
      <c r="AC83" s="567"/>
      <c r="AD83" s="567"/>
      <c r="AE83" s="567"/>
      <c r="AF83" s="567"/>
      <c r="AG83" s="567"/>
    </row>
    <row r="84" spans="1:33" s="76" customFormat="1" ht="34.5">
      <c r="A84" s="438"/>
      <c r="B84" s="770" t="s">
        <v>3940</v>
      </c>
      <c r="C84" s="515" t="s">
        <v>3941</v>
      </c>
      <c r="D84" s="339" t="s">
        <v>3942</v>
      </c>
      <c r="E84" s="142">
        <v>28</v>
      </c>
      <c r="F84" s="381"/>
      <c r="G84" s="477" t="s">
        <v>3943</v>
      </c>
      <c r="H84" s="74"/>
      <c r="I84" s="431"/>
      <c r="J84" s="590">
        <v>7500</v>
      </c>
      <c r="K84" s="526">
        <v>25</v>
      </c>
      <c r="L84" s="567"/>
      <c r="M84" s="567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  <c r="AA84" s="567"/>
      <c r="AB84" s="567"/>
      <c r="AC84" s="567"/>
      <c r="AD84" s="567"/>
      <c r="AE84" s="567"/>
      <c r="AF84" s="567"/>
      <c r="AG84" s="567"/>
    </row>
    <row r="85" spans="1:33" s="76" customFormat="1" ht="34.5">
      <c r="A85" s="438"/>
      <c r="B85" s="770" t="s">
        <v>3944</v>
      </c>
      <c r="C85" s="515" t="s">
        <v>3941</v>
      </c>
      <c r="D85" s="339" t="s">
        <v>3942</v>
      </c>
      <c r="E85" s="142"/>
      <c r="F85" s="381"/>
      <c r="G85" s="477" t="s">
        <v>3013</v>
      </c>
      <c r="H85" s="74"/>
      <c r="I85" s="431"/>
      <c r="J85" s="590">
        <v>6100</v>
      </c>
      <c r="K85" s="526">
        <v>20.329999999999998</v>
      </c>
      <c r="L85" s="567"/>
      <c r="M85" s="567"/>
      <c r="N85" s="567"/>
      <c r="O85" s="567"/>
      <c r="P85" s="567"/>
      <c r="Q85" s="567"/>
      <c r="R85" s="567"/>
      <c r="S85" s="567"/>
      <c r="T85" s="567"/>
      <c r="U85" s="567"/>
      <c r="V85" s="567"/>
      <c r="W85" s="567"/>
      <c r="X85" s="567"/>
      <c r="Y85" s="567"/>
      <c r="Z85" s="567"/>
      <c r="AA85" s="567"/>
      <c r="AB85" s="567"/>
      <c r="AC85" s="567"/>
      <c r="AD85" s="567"/>
      <c r="AE85" s="567"/>
      <c r="AF85" s="567"/>
      <c r="AG85" s="567"/>
    </row>
    <row r="86" spans="1:33" s="76" customFormat="1" ht="34.5">
      <c r="A86" s="438"/>
      <c r="B86" s="1516"/>
      <c r="C86" s="1517"/>
      <c r="D86" s="416"/>
      <c r="E86" s="1401"/>
      <c r="F86" s="936"/>
      <c r="G86" s="982"/>
      <c r="H86" s="1479"/>
      <c r="I86" s="1518"/>
      <c r="J86" s="1519"/>
      <c r="K86" s="983"/>
      <c r="L86" s="567"/>
      <c r="M86" s="567"/>
      <c r="N86" s="567"/>
      <c r="O86" s="567"/>
      <c r="P86" s="567"/>
      <c r="Q86" s="567"/>
      <c r="R86" s="567"/>
      <c r="S86" s="567"/>
      <c r="T86" s="567"/>
      <c r="U86" s="567"/>
      <c r="V86" s="567"/>
      <c r="W86" s="567"/>
      <c r="X86" s="567"/>
      <c r="Y86" s="567"/>
      <c r="Z86" s="567"/>
      <c r="AA86" s="567"/>
      <c r="AB86" s="567"/>
      <c r="AC86" s="567"/>
      <c r="AD86" s="567"/>
      <c r="AE86" s="567"/>
      <c r="AF86" s="567"/>
      <c r="AG86" s="567"/>
    </row>
    <row r="87" spans="1:33" s="76" customFormat="1" ht="38.25">
      <c r="A87" s="438"/>
      <c r="B87" s="781" t="s">
        <v>1605</v>
      </c>
      <c r="C87" s="1459"/>
      <c r="D87" s="413"/>
      <c r="E87" s="221"/>
      <c r="F87" s="777"/>
      <c r="G87" s="223"/>
      <c r="H87" s="224"/>
      <c r="I87" s="620"/>
      <c r="J87" s="686"/>
      <c r="K87" s="1570"/>
      <c r="L87" s="567"/>
      <c r="M87" s="567"/>
      <c r="N87" s="567"/>
      <c r="O87" s="567"/>
      <c r="P87" s="567"/>
      <c r="Q87" s="567"/>
      <c r="R87" s="567"/>
      <c r="S87" s="567"/>
      <c r="T87" s="567"/>
      <c r="U87" s="567"/>
      <c r="V87" s="567"/>
      <c r="W87" s="567"/>
      <c r="X87" s="567"/>
      <c r="Y87" s="567"/>
      <c r="Z87" s="567"/>
      <c r="AA87" s="567"/>
      <c r="AB87" s="567"/>
      <c r="AC87" s="567"/>
      <c r="AD87" s="567"/>
      <c r="AE87" s="567"/>
      <c r="AF87" s="567"/>
      <c r="AG87" s="567"/>
    </row>
    <row r="88" spans="1:33" s="76" customFormat="1" ht="34.5">
      <c r="A88" s="315"/>
      <c r="B88" s="1516" t="s">
        <v>3510</v>
      </c>
      <c r="C88" s="1517" t="s">
        <v>1809</v>
      </c>
      <c r="D88" s="416" t="s">
        <v>3511</v>
      </c>
      <c r="E88" s="1145">
        <v>28</v>
      </c>
      <c r="F88" s="1510" t="s">
        <v>3512</v>
      </c>
      <c r="G88" s="982" t="s">
        <v>3513</v>
      </c>
      <c r="H88" s="2069" t="s">
        <v>3514</v>
      </c>
      <c r="I88" s="620" t="s">
        <v>361</v>
      </c>
      <c r="J88" s="1519" t="s">
        <v>3515</v>
      </c>
      <c r="K88" s="983">
        <v>23.07</v>
      </c>
      <c r="L88" s="567"/>
      <c r="M88" s="567"/>
      <c r="N88" s="567"/>
      <c r="O88" s="567"/>
      <c r="P88" s="567"/>
      <c r="Q88" s="567"/>
      <c r="R88" s="567"/>
      <c r="S88" s="567"/>
      <c r="T88" s="567"/>
      <c r="U88" s="567"/>
      <c r="V88" s="567"/>
      <c r="W88" s="567"/>
      <c r="X88" s="567"/>
      <c r="Y88" s="567"/>
      <c r="Z88" s="567"/>
      <c r="AA88" s="567"/>
      <c r="AB88" s="567"/>
      <c r="AC88" s="567"/>
      <c r="AD88" s="567"/>
      <c r="AE88" s="567"/>
      <c r="AF88" s="567"/>
      <c r="AG88" s="567"/>
    </row>
    <row r="89" spans="1:33" s="76" customFormat="1" ht="35.25" thickBot="1">
      <c r="A89" s="315"/>
      <c r="B89" s="406" t="s">
        <v>3945</v>
      </c>
      <c r="C89" s="3056" t="s">
        <v>3946</v>
      </c>
      <c r="D89" s="882" t="s">
        <v>3947</v>
      </c>
      <c r="E89" s="1007">
        <v>33</v>
      </c>
      <c r="F89" s="624" t="s">
        <v>3948</v>
      </c>
      <c r="G89" s="2737" t="s">
        <v>3949</v>
      </c>
      <c r="H89" s="1826" t="s">
        <v>3950</v>
      </c>
      <c r="I89" s="554" t="s">
        <v>3951</v>
      </c>
      <c r="J89" s="3057" t="s">
        <v>3952</v>
      </c>
      <c r="K89" s="3058" t="s">
        <v>3953</v>
      </c>
      <c r="L89" s="567"/>
      <c r="M89" s="567"/>
      <c r="N89" s="567"/>
      <c r="O89" s="567"/>
      <c r="P89" s="567"/>
      <c r="Q89" s="567"/>
      <c r="R89" s="567"/>
      <c r="S89" s="567"/>
      <c r="T89" s="567"/>
      <c r="U89" s="567"/>
      <c r="V89" s="567"/>
      <c r="W89" s="567"/>
      <c r="X89" s="567"/>
      <c r="Y89" s="567"/>
      <c r="Z89" s="567"/>
      <c r="AA89" s="567"/>
      <c r="AB89" s="567"/>
      <c r="AC89" s="567"/>
      <c r="AD89" s="567"/>
      <c r="AE89" s="567"/>
      <c r="AF89" s="567"/>
      <c r="AG89" s="567"/>
    </row>
    <row r="90" spans="1:33" s="76" customFormat="1" ht="34.5">
      <c r="A90" s="1820" t="s">
        <v>3954</v>
      </c>
      <c r="B90" s="1589" t="s">
        <v>3521</v>
      </c>
      <c r="C90" s="1590"/>
      <c r="D90" s="413" t="s">
        <v>3522</v>
      </c>
      <c r="E90" s="1756"/>
      <c r="F90" s="1323"/>
      <c r="G90" s="223" t="s">
        <v>1732</v>
      </c>
      <c r="H90" s="778" t="s">
        <v>3559</v>
      </c>
      <c r="I90" s="620" t="s">
        <v>393</v>
      </c>
      <c r="J90" s="686" t="s">
        <v>3955</v>
      </c>
      <c r="K90" s="2317" t="s">
        <v>3956</v>
      </c>
      <c r="L90" s="567"/>
      <c r="M90" s="567"/>
      <c r="N90" s="567"/>
      <c r="O90" s="567"/>
      <c r="P90" s="567"/>
      <c r="Q90" s="567"/>
      <c r="R90" s="567"/>
      <c r="S90" s="567"/>
      <c r="T90" s="567"/>
      <c r="U90" s="567"/>
      <c r="V90" s="567"/>
      <c r="W90" s="567"/>
      <c r="X90" s="567"/>
      <c r="Y90" s="567"/>
      <c r="Z90" s="567"/>
      <c r="AA90" s="567"/>
      <c r="AB90" s="567"/>
      <c r="AC90" s="567"/>
      <c r="AD90" s="567"/>
      <c r="AE90" s="567"/>
      <c r="AF90" s="567"/>
      <c r="AG90" s="567"/>
    </row>
    <row r="91" spans="1:33" s="76" customFormat="1" ht="34.5">
      <c r="A91" s="315"/>
      <c r="B91" s="1337" t="s">
        <v>3957</v>
      </c>
      <c r="C91" s="341" t="s">
        <v>353</v>
      </c>
      <c r="D91" s="413" t="s">
        <v>3528</v>
      </c>
      <c r="E91" s="1757">
        <v>32</v>
      </c>
      <c r="F91" s="1758" t="s">
        <v>3958</v>
      </c>
      <c r="G91" s="2737" t="s">
        <v>3332</v>
      </c>
      <c r="H91" s="472" t="s">
        <v>3959</v>
      </c>
      <c r="I91" s="472" t="s">
        <v>3960</v>
      </c>
      <c r="J91" s="1595" t="s">
        <v>3961</v>
      </c>
      <c r="K91" s="646" t="s">
        <v>3962</v>
      </c>
      <c r="L91" s="567"/>
      <c r="M91" s="567"/>
      <c r="N91" s="567"/>
      <c r="O91" s="567"/>
      <c r="P91" s="567"/>
      <c r="Q91" s="567"/>
      <c r="R91" s="567"/>
      <c r="S91" s="567"/>
      <c r="T91" s="567"/>
      <c r="U91" s="567"/>
      <c r="V91" s="567"/>
      <c r="W91" s="567"/>
      <c r="X91" s="567"/>
      <c r="Y91" s="567"/>
      <c r="Z91" s="567"/>
      <c r="AA91" s="567"/>
      <c r="AB91" s="567"/>
      <c r="AC91" s="567"/>
      <c r="AD91" s="567"/>
      <c r="AE91" s="567"/>
      <c r="AF91" s="567"/>
      <c r="AG91" s="567"/>
    </row>
    <row r="92" spans="1:33" s="76" customFormat="1" ht="34.5">
      <c r="A92" s="315"/>
      <c r="B92" s="1337" t="s">
        <v>3963</v>
      </c>
      <c r="C92" s="341" t="s">
        <v>3841</v>
      </c>
      <c r="D92" s="413"/>
      <c r="E92" s="1757">
        <v>120</v>
      </c>
      <c r="F92" s="1758"/>
      <c r="G92" s="2737" t="s">
        <v>1609</v>
      </c>
      <c r="H92" s="472" t="s">
        <v>1187</v>
      </c>
      <c r="I92" s="472" t="s">
        <v>301</v>
      </c>
      <c r="J92" s="1595" t="s">
        <v>1195</v>
      </c>
      <c r="K92" s="646" t="s">
        <v>3964</v>
      </c>
      <c r="L92" s="567"/>
      <c r="M92" s="567"/>
      <c r="N92" s="567"/>
      <c r="O92" s="567"/>
      <c r="P92" s="567"/>
      <c r="Q92" s="567"/>
      <c r="R92" s="567"/>
      <c r="S92" s="567"/>
      <c r="T92" s="567"/>
      <c r="U92" s="567"/>
      <c r="V92" s="567"/>
      <c r="W92" s="567"/>
      <c r="X92" s="567"/>
      <c r="Y92" s="567"/>
      <c r="Z92" s="567"/>
      <c r="AA92" s="567"/>
      <c r="AB92" s="567"/>
      <c r="AC92" s="567"/>
      <c r="AD92" s="567"/>
      <c r="AE92" s="567"/>
      <c r="AF92" s="567"/>
      <c r="AG92" s="567"/>
    </row>
    <row r="93" spans="1:33" s="76" customFormat="1" ht="34.5">
      <c r="A93" s="315"/>
      <c r="B93" s="224" t="s">
        <v>3535</v>
      </c>
      <c r="C93" s="341" t="s">
        <v>3536</v>
      </c>
      <c r="D93" s="341" t="s">
        <v>317</v>
      </c>
      <c r="E93" s="3063">
        <v>75</v>
      </c>
      <c r="F93" s="3064" t="s">
        <v>3537</v>
      </c>
      <c r="G93" s="1535" t="s">
        <v>2202</v>
      </c>
      <c r="H93" s="224"/>
      <c r="I93" s="620" t="s">
        <v>3538</v>
      </c>
      <c r="J93" s="686" t="s">
        <v>3539</v>
      </c>
      <c r="K93" s="1116" t="s">
        <v>3540</v>
      </c>
      <c r="L93" s="567"/>
      <c r="M93" s="567"/>
      <c r="N93" s="567"/>
      <c r="O93" s="567"/>
      <c r="P93" s="567"/>
      <c r="Q93" s="567"/>
      <c r="R93" s="567"/>
      <c r="S93" s="567"/>
      <c r="T93" s="567"/>
      <c r="U93" s="567"/>
      <c r="V93" s="567"/>
      <c r="W93" s="567"/>
      <c r="X93" s="567"/>
      <c r="Y93" s="567"/>
      <c r="Z93" s="567"/>
      <c r="AA93" s="567"/>
      <c r="AB93" s="567"/>
      <c r="AC93" s="567"/>
      <c r="AD93" s="567"/>
      <c r="AE93" s="567"/>
      <c r="AF93" s="567"/>
      <c r="AG93" s="567"/>
    </row>
    <row r="94" spans="1:33" s="76" customFormat="1" ht="34.5">
      <c r="A94" s="315"/>
      <c r="B94" s="224" t="s">
        <v>3535</v>
      </c>
      <c r="C94" s="341" t="s">
        <v>3541</v>
      </c>
      <c r="D94" s="341" t="s">
        <v>317</v>
      </c>
      <c r="E94" s="3063">
        <v>75</v>
      </c>
      <c r="F94" s="3064" t="s">
        <v>3537</v>
      </c>
      <c r="G94" s="1535" t="s">
        <v>2202</v>
      </c>
      <c r="H94" s="224"/>
      <c r="I94" s="620" t="s">
        <v>3538</v>
      </c>
      <c r="J94" s="686" t="s">
        <v>3539</v>
      </c>
      <c r="K94" s="1116" t="s">
        <v>3540</v>
      </c>
      <c r="L94" s="567"/>
      <c r="M94" s="567"/>
      <c r="N94" s="567"/>
      <c r="O94" s="567"/>
      <c r="P94" s="567"/>
      <c r="Q94" s="567"/>
      <c r="R94" s="567"/>
      <c r="S94" s="567"/>
      <c r="T94" s="567"/>
      <c r="U94" s="567"/>
      <c r="V94" s="567"/>
      <c r="W94" s="567"/>
      <c r="X94" s="567"/>
      <c r="Y94" s="567"/>
      <c r="Z94" s="567"/>
      <c r="AA94" s="567"/>
      <c r="AB94" s="567"/>
      <c r="AC94" s="567"/>
      <c r="AD94" s="567"/>
      <c r="AE94" s="567"/>
      <c r="AF94" s="567"/>
      <c r="AG94" s="567"/>
    </row>
    <row r="95" spans="1:33" s="76" customFormat="1" ht="34.5">
      <c r="A95" s="315"/>
      <c r="B95" s="224" t="s">
        <v>3535</v>
      </c>
      <c r="C95" s="341" t="s">
        <v>3536</v>
      </c>
      <c r="D95" s="341" t="s">
        <v>317</v>
      </c>
      <c r="E95" s="3063">
        <v>75</v>
      </c>
      <c r="F95" s="3064" t="s">
        <v>3537</v>
      </c>
      <c r="G95" s="1535" t="s">
        <v>2202</v>
      </c>
      <c r="H95" s="224"/>
      <c r="I95" s="620" t="s">
        <v>3538</v>
      </c>
      <c r="J95" s="686" t="s">
        <v>3539</v>
      </c>
      <c r="K95" s="1116" t="s">
        <v>3540</v>
      </c>
      <c r="L95" s="567"/>
      <c r="M95" s="567"/>
      <c r="N95" s="567"/>
      <c r="O95" s="567"/>
      <c r="P95" s="567"/>
      <c r="Q95" s="567"/>
      <c r="R95" s="567"/>
      <c r="S95" s="567"/>
      <c r="T95" s="567"/>
      <c r="U95" s="567"/>
      <c r="V95" s="567"/>
      <c r="W95" s="567"/>
      <c r="X95" s="567"/>
      <c r="Y95" s="567"/>
      <c r="Z95" s="567"/>
      <c r="AA95" s="567"/>
      <c r="AB95" s="567"/>
      <c r="AC95" s="567"/>
      <c r="AD95" s="567"/>
      <c r="AE95" s="567"/>
      <c r="AF95" s="567"/>
      <c r="AG95" s="567"/>
    </row>
    <row r="96" spans="1:33" s="76" customFormat="1" ht="34.5">
      <c r="A96" s="315"/>
      <c r="B96" s="224" t="s">
        <v>3535</v>
      </c>
      <c r="C96" s="341" t="s">
        <v>3541</v>
      </c>
      <c r="D96" s="341" t="s">
        <v>317</v>
      </c>
      <c r="E96" s="3063">
        <v>75</v>
      </c>
      <c r="F96" s="3064" t="s">
        <v>3537</v>
      </c>
      <c r="G96" s="1535" t="s">
        <v>2202</v>
      </c>
      <c r="H96" s="224"/>
      <c r="I96" s="620" t="s">
        <v>3538</v>
      </c>
      <c r="J96" s="686" t="s">
        <v>3539</v>
      </c>
      <c r="K96" s="1116" t="s">
        <v>3540</v>
      </c>
      <c r="L96" s="567"/>
      <c r="M96" s="567"/>
      <c r="N96" s="567"/>
      <c r="O96" s="567"/>
      <c r="P96" s="567"/>
      <c r="Q96" s="567"/>
      <c r="R96" s="567"/>
      <c r="S96" s="567"/>
      <c r="T96" s="567"/>
      <c r="U96" s="567"/>
      <c r="V96" s="567"/>
      <c r="W96" s="567"/>
      <c r="X96" s="567"/>
      <c r="Y96" s="567"/>
      <c r="Z96" s="567"/>
      <c r="AA96" s="567"/>
      <c r="AB96" s="567"/>
      <c r="AC96" s="567"/>
      <c r="AD96" s="567"/>
      <c r="AE96" s="567"/>
      <c r="AF96" s="567"/>
      <c r="AG96" s="567"/>
    </row>
    <row r="97" spans="1:33" s="76" customFormat="1" ht="34.5">
      <c r="A97" s="315"/>
      <c r="B97" s="224" t="s">
        <v>3542</v>
      </c>
      <c r="C97" s="341" t="s">
        <v>3543</v>
      </c>
      <c r="D97" s="341" t="s">
        <v>2798</v>
      </c>
      <c r="E97" s="3063" t="s">
        <v>3965</v>
      </c>
      <c r="F97" s="3065" t="s">
        <v>3544</v>
      </c>
      <c r="G97" s="3036" t="s">
        <v>3362</v>
      </c>
      <c r="H97" s="925" t="s">
        <v>3966</v>
      </c>
      <c r="I97" s="620" t="s">
        <v>393</v>
      </c>
      <c r="J97" s="686" t="s">
        <v>3967</v>
      </c>
      <c r="K97" s="1116" t="s">
        <v>3968</v>
      </c>
      <c r="L97" s="567"/>
      <c r="M97" s="567"/>
      <c r="N97" s="567"/>
      <c r="O97" s="567"/>
      <c r="P97" s="567"/>
      <c r="Q97" s="567"/>
      <c r="R97" s="567"/>
      <c r="S97" s="567"/>
      <c r="T97" s="567"/>
      <c r="U97" s="567"/>
      <c r="V97" s="567"/>
      <c r="W97" s="567"/>
      <c r="X97" s="567"/>
      <c r="Y97" s="567"/>
      <c r="Z97" s="567"/>
      <c r="AA97" s="567"/>
      <c r="AB97" s="567"/>
      <c r="AC97" s="567"/>
      <c r="AD97" s="567"/>
      <c r="AE97" s="567"/>
      <c r="AF97" s="567"/>
      <c r="AG97" s="567"/>
    </row>
    <row r="98" spans="1:33" s="76" customFormat="1" ht="34.5">
      <c r="A98" s="315"/>
      <c r="B98" s="224" t="s">
        <v>3547</v>
      </c>
      <c r="C98" s="341" t="s">
        <v>3543</v>
      </c>
      <c r="D98" s="341" t="s">
        <v>2805</v>
      </c>
      <c r="E98" s="3063">
        <v>150</v>
      </c>
      <c r="F98" s="3065" t="s">
        <v>3544</v>
      </c>
      <c r="G98" s="1535" t="s">
        <v>2775</v>
      </c>
      <c r="H98" s="224"/>
      <c r="I98" s="620" t="s">
        <v>3545</v>
      </c>
      <c r="J98" s="686" t="s">
        <v>2792</v>
      </c>
      <c r="K98" s="1116" t="s">
        <v>3546</v>
      </c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  <c r="AA98" s="567"/>
      <c r="AB98" s="567"/>
      <c r="AC98" s="567"/>
      <c r="AD98" s="567"/>
      <c r="AE98" s="567"/>
      <c r="AF98" s="567"/>
      <c r="AG98" s="567"/>
    </row>
    <row r="99" spans="1:33" s="76" customFormat="1" ht="34.5">
      <c r="A99" s="315"/>
      <c r="B99" s="224" t="s">
        <v>3548</v>
      </c>
      <c r="C99" s="341" t="s">
        <v>3543</v>
      </c>
      <c r="D99" s="341" t="s">
        <v>1169</v>
      </c>
      <c r="E99" s="3063">
        <v>150</v>
      </c>
      <c r="F99" s="3065" t="s">
        <v>3544</v>
      </c>
      <c r="G99" s="1535" t="s">
        <v>2775</v>
      </c>
      <c r="H99" s="224"/>
      <c r="I99" s="620" t="s">
        <v>3545</v>
      </c>
      <c r="J99" s="686" t="s">
        <v>2792</v>
      </c>
      <c r="K99" s="1116" t="s">
        <v>3546</v>
      </c>
      <c r="L99" s="567"/>
      <c r="M99" s="567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  <c r="AA99" s="567"/>
      <c r="AB99" s="567"/>
      <c r="AC99" s="567"/>
      <c r="AD99" s="567"/>
      <c r="AE99" s="567"/>
      <c r="AF99" s="567"/>
      <c r="AG99" s="567"/>
    </row>
    <row r="100" spans="1:33" s="76" customFormat="1" ht="34.5">
      <c r="A100" s="315"/>
      <c r="B100" s="224" t="s">
        <v>3549</v>
      </c>
      <c r="C100" s="341" t="s">
        <v>3550</v>
      </c>
      <c r="D100" s="341" t="s">
        <v>2805</v>
      </c>
      <c r="E100" s="3063">
        <v>250</v>
      </c>
      <c r="F100" s="3065" t="s">
        <v>3969</v>
      </c>
      <c r="G100" s="3036" t="s">
        <v>3362</v>
      </c>
      <c r="H100" s="224" t="s">
        <v>3970</v>
      </c>
      <c r="I100" s="620" t="s">
        <v>393</v>
      </c>
      <c r="J100" s="686" t="s">
        <v>3971</v>
      </c>
      <c r="K100" s="1116" t="s">
        <v>3972</v>
      </c>
      <c r="L100" s="567"/>
      <c r="M100" s="567"/>
      <c r="N100" s="567"/>
      <c r="O100" s="567"/>
      <c r="P100" s="567"/>
      <c r="Q100" s="567"/>
      <c r="R100" s="567"/>
      <c r="S100" s="567"/>
      <c r="T100" s="567"/>
      <c r="U100" s="567"/>
      <c r="V100" s="567"/>
      <c r="W100" s="567"/>
      <c r="X100" s="567"/>
      <c r="Y100" s="567"/>
      <c r="Z100" s="567"/>
      <c r="AA100" s="567"/>
      <c r="AB100" s="567"/>
      <c r="AC100" s="567"/>
      <c r="AD100" s="567"/>
      <c r="AE100" s="567"/>
      <c r="AF100" s="567"/>
      <c r="AG100" s="567"/>
    </row>
    <row r="101" spans="1:33" s="76" customFormat="1" ht="34.5">
      <c r="A101" s="315"/>
      <c r="B101" s="224" t="s">
        <v>3555</v>
      </c>
      <c r="C101" s="341"/>
      <c r="D101" s="341" t="s">
        <v>1051</v>
      </c>
      <c r="E101" s="3063" t="s">
        <v>3556</v>
      </c>
      <c r="F101" s="3064"/>
      <c r="G101" s="1535" t="s">
        <v>2206</v>
      </c>
      <c r="H101" s="224"/>
      <c r="I101" s="620" t="s">
        <v>3557</v>
      </c>
      <c r="J101" s="686">
        <v>1600</v>
      </c>
      <c r="K101" s="1116">
        <v>64</v>
      </c>
      <c r="L101" s="567"/>
      <c r="M101" s="567"/>
      <c r="N101" s="567"/>
      <c r="O101" s="567"/>
      <c r="P101" s="567"/>
      <c r="Q101" s="567"/>
      <c r="R101" s="567"/>
      <c r="S101" s="567"/>
      <c r="T101" s="567"/>
      <c r="U101" s="567"/>
      <c r="V101" s="567"/>
      <c r="W101" s="567"/>
      <c r="X101" s="567"/>
      <c r="Y101" s="567"/>
      <c r="Z101" s="567"/>
      <c r="AA101" s="567"/>
      <c r="AB101" s="567"/>
      <c r="AC101" s="567"/>
      <c r="AD101" s="567"/>
      <c r="AE101" s="567"/>
      <c r="AF101" s="567"/>
      <c r="AG101" s="567"/>
    </row>
    <row r="102" spans="1:33" s="76" customFormat="1" ht="34.5">
      <c r="A102" s="315"/>
      <c r="B102" s="224" t="s">
        <v>3558</v>
      </c>
      <c r="C102" s="341"/>
      <c r="D102" s="341" t="s">
        <v>1908</v>
      </c>
      <c r="E102" s="3063" t="s">
        <v>3973</v>
      </c>
      <c r="F102" s="3064" t="s">
        <v>2465</v>
      </c>
      <c r="G102" s="3036" t="s">
        <v>2772</v>
      </c>
      <c r="H102" s="224" t="s">
        <v>3560</v>
      </c>
      <c r="I102" s="620" t="s">
        <v>393</v>
      </c>
      <c r="J102" s="686" t="s">
        <v>3561</v>
      </c>
      <c r="K102" s="3066">
        <v>40.4</v>
      </c>
      <c r="L102" s="567"/>
      <c r="M102" s="567"/>
      <c r="N102" s="567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7"/>
    </row>
    <row r="103" spans="1:33" s="76" customFormat="1" ht="34.5">
      <c r="A103" s="315"/>
      <c r="B103" s="406"/>
      <c r="C103" s="1459"/>
      <c r="D103" s="422"/>
      <c r="E103" s="795"/>
      <c r="F103" s="777"/>
      <c r="G103" s="223"/>
      <c r="H103" s="224"/>
      <c r="I103" s="620"/>
      <c r="J103" s="686"/>
      <c r="K103" s="378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  <c r="AB103" s="567"/>
      <c r="AC103" s="567"/>
      <c r="AD103" s="567"/>
      <c r="AE103" s="567"/>
      <c r="AF103" s="567"/>
      <c r="AG103" s="567"/>
    </row>
    <row r="104" spans="1:33" s="76" customFormat="1" ht="34.5">
      <c r="A104" s="315"/>
      <c r="B104" s="406" t="s">
        <v>3251</v>
      </c>
      <c r="C104" s="1459"/>
      <c r="D104" s="422"/>
      <c r="E104" s="795"/>
      <c r="F104" s="777"/>
      <c r="G104" s="223"/>
      <c r="H104" s="224"/>
      <c r="I104" s="620"/>
      <c r="J104" s="686"/>
      <c r="K104" s="378"/>
      <c r="L104" s="567"/>
      <c r="M104" s="567"/>
      <c r="N104" s="567"/>
      <c r="O104" s="567"/>
      <c r="P104" s="567"/>
      <c r="Q104" s="567"/>
      <c r="R104" s="567"/>
      <c r="S104" s="567"/>
      <c r="T104" s="567"/>
      <c r="U104" s="567"/>
      <c r="V104" s="567"/>
      <c r="W104" s="567"/>
      <c r="X104" s="567"/>
      <c r="Y104" s="567"/>
      <c r="Z104" s="567"/>
      <c r="AA104" s="567"/>
      <c r="AB104" s="567"/>
      <c r="AC104" s="567"/>
      <c r="AD104" s="567"/>
      <c r="AE104" s="567"/>
      <c r="AF104" s="567"/>
      <c r="AG104" s="567"/>
    </row>
    <row r="105" spans="1:33" s="76" customFormat="1" ht="34.5">
      <c r="A105" s="315"/>
      <c r="B105" s="406"/>
      <c r="C105" s="1459"/>
      <c r="D105" s="422"/>
      <c r="E105" s="795"/>
      <c r="F105" s="777"/>
      <c r="G105" s="223"/>
      <c r="H105" s="224"/>
      <c r="I105" s="620"/>
      <c r="J105" s="686"/>
      <c r="K105" s="686"/>
      <c r="L105" s="567"/>
      <c r="M105" s="567"/>
      <c r="N105" s="567"/>
      <c r="O105" s="567"/>
      <c r="P105" s="567"/>
      <c r="Q105" s="567"/>
      <c r="R105" s="567"/>
      <c r="S105" s="567"/>
      <c r="T105" s="567"/>
      <c r="U105" s="567"/>
      <c r="V105" s="567"/>
      <c r="W105" s="567"/>
      <c r="X105" s="567"/>
      <c r="Y105" s="567"/>
      <c r="Z105" s="567"/>
      <c r="AA105" s="567"/>
      <c r="AB105" s="567"/>
      <c r="AC105" s="567"/>
      <c r="AD105" s="567"/>
      <c r="AE105" s="567"/>
      <c r="AF105" s="567"/>
      <c r="AG105" s="567"/>
    </row>
    <row r="106" spans="1:33" s="76" customFormat="1" ht="34.5">
      <c r="A106" s="315"/>
      <c r="B106" s="406"/>
      <c r="C106" s="1459"/>
      <c r="D106" s="422"/>
      <c r="E106" s="795"/>
      <c r="F106" s="777"/>
      <c r="G106" s="223"/>
      <c r="H106" s="224"/>
      <c r="I106" s="620"/>
      <c r="J106" s="686"/>
      <c r="K106" s="378"/>
      <c r="L106" s="567"/>
      <c r="M106" s="567"/>
      <c r="N106" s="567"/>
      <c r="O106" s="567"/>
      <c r="P106" s="567"/>
      <c r="Q106" s="567"/>
      <c r="R106" s="567"/>
      <c r="S106" s="567"/>
      <c r="T106" s="567"/>
      <c r="U106" s="567"/>
      <c r="V106" s="567"/>
      <c r="W106" s="567"/>
      <c r="X106" s="567"/>
      <c r="Y106" s="567"/>
      <c r="Z106" s="567"/>
      <c r="AA106" s="567"/>
      <c r="AB106" s="567"/>
      <c r="AC106" s="567"/>
      <c r="AD106" s="567"/>
      <c r="AE106" s="567"/>
      <c r="AF106" s="567"/>
      <c r="AG106" s="567"/>
    </row>
    <row r="107" spans="1:33" s="76" customFormat="1" ht="34.5">
      <c r="A107" s="315"/>
      <c r="B107" s="406"/>
      <c r="C107" s="1459"/>
      <c r="D107" s="422"/>
      <c r="E107" s="795"/>
      <c r="F107" s="777"/>
      <c r="G107" s="223"/>
      <c r="H107" s="224"/>
      <c r="I107" s="620"/>
      <c r="J107" s="686"/>
      <c r="K107" s="378"/>
      <c r="L107" s="567"/>
      <c r="M107" s="567"/>
      <c r="N107" s="567"/>
      <c r="O107" s="567"/>
      <c r="P107" s="567"/>
      <c r="Q107" s="567"/>
      <c r="R107" s="567"/>
      <c r="S107" s="567"/>
      <c r="T107" s="567"/>
      <c r="U107" s="567"/>
      <c r="V107" s="567"/>
      <c r="W107" s="567"/>
      <c r="X107" s="567"/>
      <c r="Y107" s="567"/>
      <c r="Z107" s="567"/>
      <c r="AA107" s="567"/>
      <c r="AB107" s="567"/>
      <c r="AC107" s="567"/>
      <c r="AD107" s="567"/>
      <c r="AE107" s="567"/>
      <c r="AF107" s="567"/>
      <c r="AG107" s="567"/>
    </row>
    <row r="108" spans="1:33" s="76" customFormat="1" ht="34.5">
      <c r="A108" s="157"/>
      <c r="B108" s="406"/>
      <c r="C108" s="1459"/>
      <c r="D108" s="422"/>
      <c r="E108" s="766"/>
      <c r="F108" s="777"/>
      <c r="G108" s="223"/>
      <c r="H108" s="224"/>
      <c r="I108" s="620"/>
      <c r="J108" s="686"/>
      <c r="K108" s="378"/>
      <c r="L108" s="567"/>
      <c r="M108" s="567"/>
      <c r="N108" s="567"/>
      <c r="O108" s="567"/>
      <c r="P108" s="567"/>
      <c r="Q108" s="567"/>
      <c r="R108" s="567"/>
      <c r="S108" s="567"/>
      <c r="T108" s="567"/>
      <c r="U108" s="567"/>
      <c r="V108" s="567"/>
      <c r="W108" s="567"/>
      <c r="X108" s="567"/>
      <c r="Y108" s="567"/>
      <c r="Z108" s="567"/>
      <c r="AA108" s="567"/>
      <c r="AB108" s="567"/>
      <c r="AC108" s="567"/>
      <c r="AD108" s="567"/>
      <c r="AE108" s="567"/>
      <c r="AF108" s="567"/>
      <c r="AG108" s="567"/>
    </row>
    <row r="109" spans="1:33" s="76" customFormat="1" ht="34.5">
      <c r="A109" s="44"/>
      <c r="B109" s="75"/>
      <c r="C109" s="124"/>
      <c r="D109" s="124"/>
      <c r="E109" s="124"/>
      <c r="F109" s="124"/>
      <c r="G109" s="124"/>
      <c r="H109" s="124"/>
      <c r="I109" s="124"/>
      <c r="J109" s="545"/>
      <c r="K109" s="171"/>
      <c r="L109" s="567"/>
      <c r="M109" s="567"/>
      <c r="N109" s="567"/>
      <c r="O109" s="567"/>
      <c r="P109" s="567"/>
      <c r="Q109" s="567"/>
      <c r="R109" s="567"/>
      <c r="S109" s="567"/>
      <c r="T109" s="567"/>
      <c r="U109" s="567"/>
      <c r="V109" s="567"/>
      <c r="W109" s="567"/>
      <c r="X109" s="567"/>
      <c r="Y109" s="567"/>
      <c r="Z109" s="567"/>
      <c r="AA109" s="567"/>
      <c r="AB109" s="567"/>
      <c r="AC109" s="567"/>
      <c r="AD109" s="567"/>
      <c r="AE109" s="567"/>
      <c r="AF109" s="567"/>
      <c r="AG109" s="567"/>
    </row>
    <row r="110" spans="1:33" s="76" customFormat="1" ht="34.5">
      <c r="A110" s="44" t="s">
        <v>0</v>
      </c>
      <c r="B110" s="127"/>
      <c r="C110" s="167"/>
      <c r="D110" s="125"/>
      <c r="E110" s="45"/>
      <c r="F110" s="68"/>
      <c r="G110" s="353"/>
      <c r="I110" s="497"/>
      <c r="J110" s="540"/>
      <c r="K110" s="171"/>
      <c r="L110" s="567"/>
      <c r="M110" s="567"/>
      <c r="N110" s="567"/>
      <c r="O110" s="567"/>
      <c r="P110" s="567"/>
      <c r="Q110" s="567"/>
      <c r="R110" s="567"/>
      <c r="S110" s="567"/>
      <c r="T110" s="567"/>
      <c r="U110" s="567"/>
      <c r="V110" s="567"/>
      <c r="W110" s="567"/>
      <c r="X110" s="567"/>
      <c r="Y110" s="567"/>
      <c r="Z110" s="567"/>
      <c r="AA110" s="567"/>
      <c r="AB110" s="567"/>
      <c r="AC110" s="567"/>
      <c r="AD110" s="567"/>
      <c r="AE110" s="567"/>
      <c r="AF110" s="567"/>
      <c r="AG110" s="567"/>
    </row>
    <row r="111" spans="1:33" s="76" customFormat="1" ht="35.25" customHeight="1">
      <c r="A111" s="112" t="s">
        <v>3785</v>
      </c>
      <c r="B111" s="112"/>
      <c r="C111" s="204"/>
      <c r="D111" s="109"/>
      <c r="E111" s="45"/>
      <c r="F111" s="68"/>
      <c r="G111" s="353"/>
      <c r="I111" s="497"/>
      <c r="J111" s="540"/>
      <c r="K111" s="171"/>
      <c r="L111" s="567"/>
      <c r="M111" s="567"/>
      <c r="N111" s="567"/>
      <c r="O111" s="567"/>
      <c r="P111" s="567"/>
      <c r="Q111" s="567"/>
      <c r="R111" s="567"/>
      <c r="S111" s="567"/>
      <c r="T111" s="567"/>
      <c r="U111" s="567"/>
      <c r="V111" s="567"/>
      <c r="W111" s="567"/>
      <c r="X111" s="567"/>
      <c r="Y111" s="567"/>
      <c r="Z111" s="567"/>
      <c r="AA111" s="567"/>
      <c r="AB111" s="567"/>
      <c r="AC111" s="567"/>
      <c r="AD111" s="567"/>
      <c r="AE111" s="567"/>
      <c r="AF111" s="567"/>
      <c r="AG111" s="567"/>
    </row>
    <row r="112" spans="1:33" s="76" customFormat="1" ht="16.5" customHeight="1" thickBot="1">
      <c r="A112" s="75"/>
      <c r="B112" s="125"/>
      <c r="C112" s="335"/>
      <c r="D112" s="125"/>
      <c r="E112" s="45"/>
      <c r="F112" s="68"/>
      <c r="G112" s="353"/>
      <c r="I112" s="497"/>
      <c r="J112" s="540"/>
      <c r="K112" s="171"/>
      <c r="L112" s="567"/>
      <c r="M112" s="567"/>
      <c r="N112" s="567"/>
      <c r="O112" s="567"/>
      <c r="P112" s="567"/>
      <c r="Q112" s="567"/>
      <c r="R112" s="567"/>
      <c r="S112" s="567"/>
      <c r="T112" s="567"/>
      <c r="U112" s="567"/>
      <c r="V112" s="567"/>
      <c r="W112" s="567"/>
      <c r="X112" s="567"/>
      <c r="Y112" s="567"/>
      <c r="Z112" s="567"/>
      <c r="AA112" s="567"/>
      <c r="AB112" s="567"/>
      <c r="AC112" s="567"/>
      <c r="AD112" s="567"/>
      <c r="AE112" s="567"/>
      <c r="AF112" s="567"/>
      <c r="AG112" s="567"/>
    </row>
    <row r="113" spans="1:33" s="76" customFormat="1" ht="34.5">
      <c r="A113" s="3493" t="s">
        <v>2</v>
      </c>
      <c r="B113" s="3482"/>
      <c r="C113" s="336" t="s">
        <v>3</v>
      </c>
      <c r="D113" s="3445" t="s">
        <v>4</v>
      </c>
      <c r="E113" s="77" t="s">
        <v>5</v>
      </c>
      <c r="F113" s="78" t="s">
        <v>5</v>
      </c>
      <c r="G113" s="250" t="s">
        <v>6</v>
      </c>
      <c r="H113" s="344" t="s">
        <v>7</v>
      </c>
      <c r="I113" s="592" t="s">
        <v>1511</v>
      </c>
      <c r="J113" s="584" t="s">
        <v>9</v>
      </c>
      <c r="K113" s="346" t="s">
        <v>9</v>
      </c>
      <c r="L113" s="567"/>
      <c r="M113" s="567"/>
      <c r="N113" s="567"/>
      <c r="O113" s="567"/>
      <c r="P113" s="567"/>
      <c r="Q113" s="567"/>
      <c r="R113" s="567"/>
      <c r="S113" s="567"/>
      <c r="T113" s="567"/>
      <c r="U113" s="567"/>
      <c r="V113" s="567"/>
      <c r="W113" s="567"/>
      <c r="X113" s="567"/>
      <c r="Y113" s="567"/>
      <c r="Z113" s="567"/>
      <c r="AA113" s="567"/>
      <c r="AB113" s="567"/>
      <c r="AC113" s="567"/>
      <c r="AD113" s="567"/>
      <c r="AE113" s="567"/>
      <c r="AF113" s="567"/>
      <c r="AG113" s="567"/>
    </row>
    <row r="114" spans="1:33" s="76" customFormat="1" ht="35.25" thickBot="1">
      <c r="A114" s="155"/>
      <c r="B114" s="138"/>
      <c r="C114" s="337"/>
      <c r="D114" s="51" t="s">
        <v>10</v>
      </c>
      <c r="E114" s="79" t="s">
        <v>11</v>
      </c>
      <c r="F114" s="80" t="s">
        <v>12</v>
      </c>
      <c r="G114" s="476"/>
      <c r="H114" s="345" t="s">
        <v>13</v>
      </c>
      <c r="I114" s="593" t="s">
        <v>1512</v>
      </c>
      <c r="J114" s="585" t="s">
        <v>14</v>
      </c>
      <c r="K114" s="347" t="s">
        <v>15</v>
      </c>
      <c r="L114" s="567"/>
      <c r="M114" s="567"/>
      <c r="N114" s="567"/>
      <c r="O114" s="567"/>
      <c r="P114" s="567"/>
      <c r="Q114" s="567"/>
      <c r="R114" s="567"/>
      <c r="S114" s="567"/>
      <c r="T114" s="567"/>
      <c r="U114" s="567"/>
      <c r="V114" s="567"/>
      <c r="W114" s="567"/>
      <c r="X114" s="567"/>
      <c r="Y114" s="567"/>
      <c r="Z114" s="567"/>
      <c r="AA114" s="567"/>
      <c r="AB114" s="567"/>
      <c r="AC114" s="567"/>
      <c r="AD114" s="567"/>
      <c r="AE114" s="567"/>
      <c r="AF114" s="567"/>
      <c r="AG114" s="567"/>
    </row>
    <row r="115" spans="1:33" s="76" customFormat="1" ht="34.5">
      <c r="A115" s="438"/>
      <c r="B115" s="781" t="s">
        <v>1605</v>
      </c>
      <c r="C115" s="207"/>
      <c r="D115" s="465"/>
      <c r="E115" s="142"/>
      <c r="F115" s="61"/>
      <c r="G115" s="477"/>
      <c r="H115" s="74"/>
      <c r="I115" s="431"/>
      <c r="J115" s="590"/>
      <c r="K115" s="1585"/>
      <c r="L115" s="567"/>
      <c r="M115" s="567"/>
      <c r="N115" s="567"/>
      <c r="O115" s="567"/>
      <c r="P115" s="567"/>
      <c r="Q115" s="567"/>
      <c r="R115" s="567"/>
      <c r="S115" s="567"/>
      <c r="T115" s="567"/>
      <c r="U115" s="567"/>
      <c r="V115" s="567"/>
      <c r="W115" s="567"/>
      <c r="X115" s="567"/>
      <c r="Y115" s="567"/>
      <c r="Z115" s="567"/>
      <c r="AA115" s="567"/>
      <c r="AB115" s="567"/>
      <c r="AC115" s="567"/>
      <c r="AD115" s="567"/>
      <c r="AE115" s="567"/>
      <c r="AF115" s="567"/>
      <c r="AG115" s="567"/>
    </row>
    <row r="116" spans="1:33" s="76" customFormat="1" ht="34.5">
      <c r="A116" s="315"/>
      <c r="B116" s="43" t="s">
        <v>3574</v>
      </c>
      <c r="C116" s="207" t="s">
        <v>284</v>
      </c>
      <c r="D116" s="465" t="s">
        <v>193</v>
      </c>
      <c r="E116" s="142" t="s">
        <v>3575</v>
      </c>
      <c r="F116" s="61" t="s">
        <v>3576</v>
      </c>
      <c r="G116" s="2765" t="s">
        <v>1638</v>
      </c>
      <c r="H116" s="115" t="s">
        <v>3578</v>
      </c>
      <c r="I116" s="182" t="s">
        <v>368</v>
      </c>
      <c r="J116" s="590" t="s">
        <v>3579</v>
      </c>
      <c r="K116" s="1585" t="s">
        <v>3580</v>
      </c>
      <c r="L116" s="567"/>
      <c r="M116" s="567"/>
      <c r="N116" s="567"/>
      <c r="O116" s="567"/>
      <c r="P116" s="567"/>
      <c r="Q116" s="567"/>
      <c r="R116" s="567"/>
      <c r="S116" s="567"/>
      <c r="T116" s="567"/>
      <c r="U116" s="567"/>
      <c r="V116" s="567"/>
      <c r="W116" s="567"/>
      <c r="X116" s="567"/>
      <c r="Y116" s="567"/>
      <c r="Z116" s="567"/>
      <c r="AA116" s="567"/>
      <c r="AB116" s="567"/>
      <c r="AC116" s="567"/>
      <c r="AD116" s="567"/>
      <c r="AE116" s="567"/>
      <c r="AF116" s="567"/>
      <c r="AG116" s="567"/>
    </row>
    <row r="117" spans="1:33" s="76" customFormat="1" ht="34.5">
      <c r="A117" s="315"/>
      <c r="B117" s="43" t="s">
        <v>3581</v>
      </c>
      <c r="C117" s="207" t="s">
        <v>284</v>
      </c>
      <c r="D117" s="465" t="s">
        <v>193</v>
      </c>
      <c r="E117" s="142" t="s">
        <v>3575</v>
      </c>
      <c r="F117" s="61" t="s">
        <v>3576</v>
      </c>
      <c r="G117" s="2765" t="s">
        <v>1638</v>
      </c>
      <c r="H117" s="115" t="s">
        <v>3578</v>
      </c>
      <c r="I117" s="182" t="s">
        <v>368</v>
      </c>
      <c r="J117" s="590" t="s">
        <v>3579</v>
      </c>
      <c r="K117" s="1585" t="s">
        <v>3580</v>
      </c>
      <c r="L117" s="567"/>
      <c r="M117" s="567"/>
      <c r="N117" s="567"/>
      <c r="O117" s="567"/>
      <c r="P117" s="567"/>
      <c r="Q117" s="567"/>
      <c r="R117" s="567"/>
      <c r="S117" s="567"/>
      <c r="T117" s="567"/>
      <c r="U117" s="567"/>
      <c r="V117" s="567"/>
      <c r="W117" s="567"/>
      <c r="X117" s="567"/>
      <c r="Y117" s="567"/>
      <c r="Z117" s="567"/>
      <c r="AA117" s="567"/>
      <c r="AB117" s="567"/>
      <c r="AC117" s="567"/>
      <c r="AD117" s="567"/>
      <c r="AE117" s="567"/>
      <c r="AF117" s="567"/>
      <c r="AG117" s="567"/>
    </row>
    <row r="118" spans="1:33" s="76" customFormat="1" ht="34.5">
      <c r="A118" s="438"/>
      <c r="B118" s="383" t="s">
        <v>3582</v>
      </c>
      <c r="C118" s="207" t="s">
        <v>284</v>
      </c>
      <c r="D118" s="465" t="s">
        <v>193</v>
      </c>
      <c r="E118" s="142" t="s">
        <v>3583</v>
      </c>
      <c r="F118" s="61" t="s">
        <v>3584</v>
      </c>
      <c r="G118" s="2765" t="s">
        <v>760</v>
      </c>
      <c r="H118" s="115" t="s">
        <v>3585</v>
      </c>
      <c r="I118" s="182" t="s">
        <v>368</v>
      </c>
      <c r="J118" s="590" t="s">
        <v>2136</v>
      </c>
      <c r="K118" s="1585" t="s">
        <v>3586</v>
      </c>
      <c r="L118" s="567"/>
      <c r="M118" s="567"/>
      <c r="N118" s="567"/>
      <c r="O118" s="567"/>
      <c r="P118" s="567"/>
      <c r="Q118" s="567"/>
      <c r="R118" s="567"/>
      <c r="S118" s="567"/>
      <c r="T118" s="567"/>
      <c r="U118" s="567"/>
      <c r="V118" s="567"/>
      <c r="W118" s="567"/>
      <c r="X118" s="567"/>
      <c r="Y118" s="567"/>
      <c r="Z118" s="567"/>
      <c r="AA118" s="567"/>
      <c r="AB118" s="567"/>
      <c r="AC118" s="567"/>
      <c r="AD118" s="567"/>
      <c r="AE118" s="567"/>
      <c r="AF118" s="567"/>
      <c r="AG118" s="567"/>
    </row>
    <row r="119" spans="1:33" s="76" customFormat="1" ht="34.5">
      <c r="A119" s="438"/>
      <c r="B119" s="383" t="s">
        <v>3587</v>
      </c>
      <c r="C119" s="207" t="s">
        <v>284</v>
      </c>
      <c r="D119" s="465" t="s">
        <v>193</v>
      </c>
      <c r="E119" s="142" t="s">
        <v>3583</v>
      </c>
      <c r="F119" s="61" t="s">
        <v>3523</v>
      </c>
      <c r="G119" s="2765" t="s">
        <v>2772</v>
      </c>
      <c r="H119" s="115" t="s">
        <v>3326</v>
      </c>
      <c r="I119" s="182" t="s">
        <v>368</v>
      </c>
      <c r="J119" s="590" t="s">
        <v>710</v>
      </c>
      <c r="K119" s="1585" t="s">
        <v>3588</v>
      </c>
      <c r="L119" s="567"/>
      <c r="M119" s="567"/>
      <c r="N119" s="567"/>
      <c r="O119" s="567"/>
      <c r="P119" s="567"/>
      <c r="Q119" s="567"/>
      <c r="R119" s="567"/>
      <c r="S119" s="567"/>
      <c r="T119" s="567"/>
      <c r="U119" s="567"/>
      <c r="V119" s="567"/>
      <c r="W119" s="567"/>
      <c r="X119" s="567"/>
      <c r="Y119" s="567"/>
      <c r="Z119" s="567"/>
      <c r="AA119" s="567"/>
      <c r="AB119" s="567"/>
      <c r="AC119" s="567"/>
      <c r="AD119" s="567"/>
      <c r="AE119" s="567"/>
      <c r="AF119" s="567"/>
      <c r="AG119" s="567"/>
    </row>
    <row r="120" spans="1:33" s="76" customFormat="1" ht="34.5">
      <c r="A120" s="438"/>
      <c r="B120" s="383" t="s">
        <v>3589</v>
      </c>
      <c r="C120" s="207" t="s">
        <v>284</v>
      </c>
      <c r="D120" s="465" t="s">
        <v>193</v>
      </c>
      <c r="E120" s="142" t="s">
        <v>3583</v>
      </c>
      <c r="F120" s="61" t="s">
        <v>3523</v>
      </c>
      <c r="G120" s="2765" t="s">
        <v>2772</v>
      </c>
      <c r="H120" s="115" t="s">
        <v>3326</v>
      </c>
      <c r="I120" s="182" t="s">
        <v>368</v>
      </c>
      <c r="J120" s="590" t="s">
        <v>710</v>
      </c>
      <c r="K120" s="1585" t="s">
        <v>3588</v>
      </c>
      <c r="L120" s="567"/>
      <c r="M120" s="567"/>
      <c r="N120" s="567"/>
      <c r="O120" s="567"/>
      <c r="P120" s="567"/>
      <c r="Q120" s="567"/>
      <c r="R120" s="567"/>
      <c r="S120" s="567"/>
      <c r="T120" s="567"/>
      <c r="U120" s="567"/>
      <c r="V120" s="567"/>
      <c r="W120" s="567"/>
      <c r="X120" s="567"/>
      <c r="Y120" s="567"/>
      <c r="Z120" s="567"/>
      <c r="AA120" s="567"/>
      <c r="AB120" s="567"/>
      <c r="AC120" s="567"/>
      <c r="AD120" s="567"/>
      <c r="AE120" s="567"/>
      <c r="AF120" s="567"/>
      <c r="AG120" s="567"/>
    </row>
    <row r="121" spans="1:33" s="76" customFormat="1" ht="34.5">
      <c r="A121" s="438"/>
      <c r="B121" s="481" t="s">
        <v>3590</v>
      </c>
      <c r="C121" s="1440" t="s">
        <v>3550</v>
      </c>
      <c r="D121" s="1417"/>
      <c r="E121" s="1420"/>
      <c r="F121" s="1441" t="s">
        <v>3591</v>
      </c>
      <c r="G121" s="717" t="s">
        <v>2206</v>
      </c>
      <c r="H121" s="765"/>
      <c r="I121" s="1418" t="s">
        <v>3592</v>
      </c>
      <c r="J121" s="1419" t="s">
        <v>3593</v>
      </c>
      <c r="K121" s="720" t="s">
        <v>3594</v>
      </c>
      <c r="L121" s="567"/>
      <c r="M121" s="567"/>
      <c r="N121" s="567"/>
      <c r="O121" s="567"/>
      <c r="P121" s="567"/>
      <c r="Q121" s="567"/>
      <c r="R121" s="567"/>
      <c r="S121" s="567"/>
      <c r="T121" s="567"/>
      <c r="U121" s="567"/>
      <c r="V121" s="567"/>
      <c r="W121" s="567"/>
      <c r="X121" s="567"/>
      <c r="Y121" s="567"/>
      <c r="Z121" s="567"/>
      <c r="AA121" s="567"/>
      <c r="AB121" s="567"/>
      <c r="AC121" s="567"/>
      <c r="AD121" s="567"/>
      <c r="AE121" s="567"/>
      <c r="AF121" s="567"/>
      <c r="AG121" s="567"/>
    </row>
    <row r="122" spans="1:33" s="76" customFormat="1" ht="34.5">
      <c r="A122" s="438"/>
      <c r="B122" s="811" t="s">
        <v>3595</v>
      </c>
      <c r="C122" s="1440"/>
      <c r="D122" s="1417"/>
      <c r="E122" s="1420"/>
      <c r="F122" s="716"/>
      <c r="G122" s="717" t="s">
        <v>3596</v>
      </c>
      <c r="H122" s="765"/>
      <c r="I122" s="1418"/>
      <c r="J122" s="1419">
        <v>700</v>
      </c>
      <c r="K122" s="720"/>
      <c r="L122" s="567"/>
      <c r="M122" s="567"/>
      <c r="N122" s="567"/>
      <c r="O122" s="567"/>
      <c r="P122" s="567"/>
      <c r="Q122" s="567"/>
      <c r="R122" s="567"/>
      <c r="S122" s="567"/>
      <c r="T122" s="567"/>
      <c r="U122" s="567"/>
      <c r="V122" s="567"/>
      <c r="W122" s="567"/>
      <c r="X122" s="567"/>
      <c r="Y122" s="567"/>
      <c r="Z122" s="567"/>
      <c r="AA122" s="567"/>
      <c r="AB122" s="567"/>
      <c r="AC122" s="567"/>
      <c r="AD122" s="567"/>
      <c r="AE122" s="567"/>
      <c r="AF122" s="567"/>
      <c r="AG122" s="567"/>
    </row>
    <row r="123" spans="1:33" s="76" customFormat="1" ht="34.5">
      <c r="A123" s="438"/>
      <c r="B123" s="811" t="s">
        <v>3597</v>
      </c>
      <c r="C123" s="1440" t="s">
        <v>3598</v>
      </c>
      <c r="D123" s="1417"/>
      <c r="E123" s="3068" t="s">
        <v>3974</v>
      </c>
      <c r="F123" s="716" t="s">
        <v>3975</v>
      </c>
      <c r="G123" s="717" t="s">
        <v>1609</v>
      </c>
      <c r="H123" s="3067" t="s">
        <v>3976</v>
      </c>
      <c r="I123" s="1418" t="s">
        <v>393</v>
      </c>
      <c r="J123" s="1419" t="s">
        <v>3977</v>
      </c>
      <c r="K123" s="3069" t="s">
        <v>3978</v>
      </c>
      <c r="L123" s="567"/>
      <c r="M123" s="567"/>
      <c r="N123" s="567"/>
      <c r="O123" s="567"/>
      <c r="P123" s="567"/>
      <c r="Q123" s="567"/>
      <c r="R123" s="567"/>
      <c r="S123" s="567"/>
      <c r="T123" s="567"/>
      <c r="U123" s="567"/>
      <c r="V123" s="567"/>
      <c r="W123" s="567"/>
      <c r="X123" s="567"/>
      <c r="Y123" s="567"/>
      <c r="Z123" s="567"/>
      <c r="AA123" s="567"/>
      <c r="AB123" s="567"/>
      <c r="AC123" s="567"/>
      <c r="AD123" s="567"/>
      <c r="AE123" s="567"/>
      <c r="AF123" s="567"/>
      <c r="AG123" s="567"/>
    </row>
    <row r="124" spans="1:33" s="76" customFormat="1" ht="34.5">
      <c r="A124" s="438"/>
      <c r="B124" s="481" t="s">
        <v>3603</v>
      </c>
      <c r="C124" s="1440"/>
      <c r="D124" s="1417"/>
      <c r="E124" s="1420"/>
      <c r="F124" s="716"/>
      <c r="G124" s="717" t="s">
        <v>3596</v>
      </c>
      <c r="H124" s="765"/>
      <c r="I124" s="1418"/>
      <c r="J124" s="1419">
        <v>320</v>
      </c>
      <c r="K124" s="720"/>
      <c r="L124" s="567"/>
      <c r="M124" s="567"/>
      <c r="N124" s="567"/>
      <c r="O124" s="567"/>
      <c r="P124" s="567"/>
      <c r="Q124" s="567"/>
      <c r="R124" s="567"/>
      <c r="S124" s="567"/>
      <c r="T124" s="567"/>
      <c r="U124" s="567"/>
      <c r="V124" s="567"/>
      <c r="W124" s="567"/>
      <c r="X124" s="567"/>
      <c r="Y124" s="567"/>
      <c r="Z124" s="567"/>
      <c r="AA124" s="567"/>
      <c r="AB124" s="567"/>
      <c r="AC124" s="567"/>
      <c r="AD124" s="567"/>
      <c r="AE124" s="567"/>
      <c r="AF124" s="567"/>
      <c r="AG124" s="567"/>
    </row>
    <row r="125" spans="1:33" s="76" customFormat="1" ht="34.5">
      <c r="A125" s="221"/>
      <c r="B125" s="481" t="s">
        <v>3604</v>
      </c>
      <c r="C125" s="1440" t="s">
        <v>3605</v>
      </c>
      <c r="D125" s="1417"/>
      <c r="E125" s="1420" t="s">
        <v>3606</v>
      </c>
      <c r="F125" s="716"/>
      <c r="G125" s="717" t="s">
        <v>3600</v>
      </c>
      <c r="H125" s="765"/>
      <c r="I125" s="1418"/>
      <c r="J125" s="1419" t="s">
        <v>3607</v>
      </c>
      <c r="K125" s="720" t="s">
        <v>3608</v>
      </c>
      <c r="L125" s="567"/>
      <c r="M125" s="567"/>
      <c r="N125" s="567"/>
      <c r="O125" s="567"/>
      <c r="P125" s="567"/>
      <c r="Q125" s="567"/>
      <c r="R125" s="567"/>
      <c r="S125" s="567"/>
      <c r="T125" s="567"/>
      <c r="U125" s="567"/>
      <c r="V125" s="567"/>
      <c r="W125" s="567"/>
      <c r="X125" s="567"/>
      <c r="Y125" s="567"/>
      <c r="Z125" s="567"/>
      <c r="AA125" s="567"/>
      <c r="AB125" s="567"/>
      <c r="AC125" s="567"/>
      <c r="AD125" s="567"/>
      <c r="AE125" s="567"/>
      <c r="AF125" s="567"/>
      <c r="AG125" s="567"/>
    </row>
    <row r="126" spans="1:33" s="76" customFormat="1" ht="34.5">
      <c r="A126" s="157"/>
      <c r="B126" s="481" t="s">
        <v>3609</v>
      </c>
      <c r="C126" s="1440"/>
      <c r="D126" s="1417"/>
      <c r="E126" s="1420"/>
      <c r="F126" s="716"/>
      <c r="G126" s="717"/>
      <c r="H126" s="765"/>
      <c r="I126" s="1418"/>
      <c r="J126" s="1419"/>
      <c r="K126" s="720"/>
      <c r="L126" s="567"/>
      <c r="M126" s="567"/>
      <c r="N126" s="567"/>
      <c r="O126" s="567"/>
      <c r="P126" s="567"/>
      <c r="Q126" s="567"/>
      <c r="R126" s="567"/>
      <c r="S126" s="567"/>
      <c r="T126" s="567"/>
      <c r="U126" s="567"/>
      <c r="V126" s="567"/>
      <c r="W126" s="567"/>
      <c r="X126" s="567"/>
      <c r="Y126" s="567"/>
      <c r="Z126" s="567"/>
      <c r="AA126" s="567"/>
      <c r="AB126" s="567"/>
      <c r="AC126" s="567"/>
      <c r="AD126" s="567"/>
      <c r="AE126" s="567"/>
      <c r="AF126" s="567"/>
      <c r="AG126" s="567"/>
    </row>
    <row r="127" spans="1:33" s="76" customFormat="1" ht="35.25" thickBot="1">
      <c r="A127" s="221" t="s">
        <v>3979</v>
      </c>
      <c r="B127" s="481" t="s">
        <v>3610</v>
      </c>
      <c r="C127" s="1440"/>
      <c r="D127" s="1417"/>
      <c r="E127" s="1442"/>
      <c r="F127" s="716"/>
      <c r="G127" s="717" t="s">
        <v>3596</v>
      </c>
      <c r="H127" s="765"/>
      <c r="I127" s="1418" t="s">
        <v>3611</v>
      </c>
      <c r="J127" s="1419">
        <v>220</v>
      </c>
      <c r="K127" s="720"/>
      <c r="L127" s="567"/>
      <c r="M127" s="567"/>
      <c r="N127" s="567"/>
      <c r="O127" s="567"/>
      <c r="P127" s="567"/>
      <c r="Q127" s="567"/>
      <c r="R127" s="567"/>
      <c r="S127" s="567"/>
      <c r="T127" s="567"/>
      <c r="U127" s="567"/>
      <c r="V127" s="567"/>
      <c r="W127" s="567"/>
      <c r="X127" s="567"/>
      <c r="Y127" s="567"/>
      <c r="Z127" s="567"/>
      <c r="AA127" s="567"/>
      <c r="AB127" s="567"/>
      <c r="AC127" s="567"/>
      <c r="AD127" s="567"/>
      <c r="AE127" s="567"/>
      <c r="AF127" s="567"/>
      <c r="AG127" s="567"/>
    </row>
    <row r="128" spans="1:33" s="76" customFormat="1" ht="34.5">
      <c r="A128" s="157"/>
      <c r="B128" s="985"/>
      <c r="C128" s="692"/>
      <c r="D128" s="421" t="s">
        <v>3741</v>
      </c>
      <c r="E128" s="143"/>
      <c r="F128" s="69"/>
      <c r="G128" s="206"/>
      <c r="H128" s="74"/>
      <c r="I128" s="182"/>
      <c r="J128" s="685"/>
      <c r="K128" s="367"/>
      <c r="L128" s="567"/>
      <c r="M128" s="567"/>
      <c r="N128" s="567"/>
      <c r="O128" s="567"/>
      <c r="P128" s="567"/>
      <c r="Q128" s="567"/>
      <c r="R128" s="567"/>
      <c r="S128" s="567"/>
      <c r="T128" s="567"/>
      <c r="U128" s="567"/>
      <c r="V128" s="567"/>
      <c r="W128" s="567"/>
      <c r="X128" s="567"/>
      <c r="Y128" s="567"/>
      <c r="Z128" s="567"/>
      <c r="AA128" s="567"/>
      <c r="AB128" s="567"/>
      <c r="AC128" s="567"/>
      <c r="AD128" s="567"/>
      <c r="AE128" s="567"/>
      <c r="AF128" s="567"/>
      <c r="AG128" s="567"/>
    </row>
    <row r="129" spans="1:33" s="76" customFormat="1" ht="34.5">
      <c r="A129" s="157"/>
      <c r="B129" s="383" t="s">
        <v>3980</v>
      </c>
      <c r="C129" s="207" t="s">
        <v>3712</v>
      </c>
      <c r="D129" s="421"/>
      <c r="E129" s="145" t="s">
        <v>3981</v>
      </c>
      <c r="F129" s="61"/>
      <c r="G129" s="206" t="s">
        <v>3982</v>
      </c>
      <c r="H129" s="74"/>
      <c r="I129" s="182"/>
      <c r="J129" s="685" t="s">
        <v>3983</v>
      </c>
      <c r="K129" s="365" t="s">
        <v>3984</v>
      </c>
      <c r="L129" s="567"/>
      <c r="M129" s="567"/>
      <c r="N129" s="567"/>
      <c r="O129" s="567"/>
      <c r="P129" s="567"/>
      <c r="Q129" s="567"/>
      <c r="R129" s="567"/>
      <c r="S129" s="567"/>
      <c r="T129" s="567"/>
      <c r="U129" s="567"/>
      <c r="V129" s="567"/>
      <c r="W129" s="567"/>
      <c r="X129" s="567"/>
      <c r="Y129" s="567"/>
      <c r="Z129" s="567"/>
      <c r="AA129" s="567"/>
      <c r="AB129" s="567"/>
      <c r="AC129" s="567"/>
      <c r="AD129" s="567"/>
      <c r="AE129" s="567"/>
      <c r="AF129" s="567"/>
      <c r="AG129" s="567"/>
    </row>
    <row r="130" spans="1:33" s="76" customFormat="1" ht="34.5">
      <c r="A130" s="157"/>
      <c r="B130" s="362" t="s">
        <v>3742</v>
      </c>
      <c r="C130" s="207" t="s">
        <v>3712</v>
      </c>
      <c r="D130" s="421"/>
      <c r="E130" s="145" t="s">
        <v>3985</v>
      </c>
      <c r="F130" s="61"/>
      <c r="G130" s="206" t="s">
        <v>3986</v>
      </c>
      <c r="H130" s="74"/>
      <c r="I130" s="182"/>
      <c r="J130" s="685" t="s">
        <v>3987</v>
      </c>
      <c r="K130" s="365" t="s">
        <v>2854</v>
      </c>
      <c r="L130" s="567"/>
      <c r="M130" s="567"/>
      <c r="N130" s="567"/>
      <c r="O130" s="567"/>
      <c r="P130" s="567"/>
      <c r="Q130" s="567"/>
      <c r="R130" s="567"/>
      <c r="S130" s="567"/>
      <c r="T130" s="567"/>
      <c r="U130" s="567"/>
      <c r="V130" s="567"/>
      <c r="W130" s="567"/>
      <c r="X130" s="567"/>
      <c r="Y130" s="567"/>
      <c r="Z130" s="567"/>
      <c r="AA130" s="567"/>
      <c r="AB130" s="567"/>
      <c r="AC130" s="567"/>
      <c r="AD130" s="567"/>
      <c r="AE130" s="567"/>
      <c r="AF130" s="567"/>
      <c r="AG130" s="567"/>
    </row>
    <row r="131" spans="1:33" s="76" customFormat="1" ht="34.5">
      <c r="A131" s="157"/>
      <c r="B131" s="362" t="s">
        <v>3746</v>
      </c>
      <c r="C131" s="207" t="s">
        <v>3712</v>
      </c>
      <c r="D131" s="421"/>
      <c r="E131" s="145" t="s">
        <v>3985</v>
      </c>
      <c r="F131" s="61"/>
      <c r="G131" s="206" t="s">
        <v>3986</v>
      </c>
      <c r="H131" s="74"/>
      <c r="I131" s="182"/>
      <c r="J131" s="685" t="s">
        <v>3987</v>
      </c>
      <c r="K131" s="365" t="s">
        <v>2854</v>
      </c>
      <c r="L131" s="567"/>
      <c r="M131" s="567"/>
      <c r="N131" s="567"/>
      <c r="O131" s="567"/>
      <c r="P131" s="567"/>
      <c r="Q131" s="567"/>
      <c r="R131" s="567"/>
      <c r="S131" s="567"/>
      <c r="T131" s="567"/>
      <c r="U131" s="567"/>
      <c r="V131" s="567"/>
      <c r="W131" s="567"/>
      <c r="X131" s="567"/>
      <c r="Y131" s="567"/>
      <c r="Z131" s="567"/>
      <c r="AA131" s="567"/>
      <c r="AB131" s="567"/>
      <c r="AC131" s="567"/>
      <c r="AD131" s="567"/>
      <c r="AE131" s="567"/>
      <c r="AF131" s="567"/>
      <c r="AG131" s="567"/>
    </row>
    <row r="132" spans="1:33" s="76" customFormat="1" ht="34.5">
      <c r="A132" s="157"/>
      <c r="B132" s="43" t="s">
        <v>3747</v>
      </c>
      <c r="C132" s="207" t="s">
        <v>3748</v>
      </c>
      <c r="D132" s="421"/>
      <c r="E132" s="145" t="s">
        <v>3749</v>
      </c>
      <c r="F132" s="61"/>
      <c r="G132" s="206" t="s">
        <v>2097</v>
      </c>
      <c r="H132" s="74"/>
      <c r="I132" s="182"/>
      <c r="J132" s="685" t="s">
        <v>3750</v>
      </c>
      <c r="K132" s="365" t="s">
        <v>3751</v>
      </c>
      <c r="L132" s="567"/>
      <c r="M132" s="567"/>
      <c r="N132" s="567"/>
      <c r="O132" s="567"/>
      <c r="P132" s="567"/>
      <c r="Q132" s="567"/>
      <c r="R132" s="567"/>
      <c r="S132" s="567"/>
      <c r="T132" s="567"/>
      <c r="U132" s="567"/>
      <c r="V132" s="567"/>
      <c r="W132" s="567"/>
      <c r="X132" s="567"/>
      <c r="Y132" s="567"/>
      <c r="Z132" s="567"/>
      <c r="AA132" s="567"/>
      <c r="AB132" s="567"/>
      <c r="AC132" s="567"/>
      <c r="AD132" s="567"/>
      <c r="AE132" s="567"/>
      <c r="AF132" s="567"/>
      <c r="AG132" s="567"/>
    </row>
    <row r="133" spans="1:33" s="76" customFormat="1" ht="34.5">
      <c r="A133" s="157"/>
      <c r="B133" s="43" t="s">
        <v>3752</v>
      </c>
      <c r="C133" s="207" t="s">
        <v>3988</v>
      </c>
      <c r="D133" s="421"/>
      <c r="E133" s="145" t="s">
        <v>3989</v>
      </c>
      <c r="F133" s="61" t="s">
        <v>2848</v>
      </c>
      <c r="G133" s="206" t="s">
        <v>3990</v>
      </c>
      <c r="H133" s="74"/>
      <c r="I133" s="182"/>
      <c r="J133" s="685" t="s">
        <v>3991</v>
      </c>
      <c r="K133" s="365" t="s">
        <v>3992</v>
      </c>
      <c r="L133" s="567"/>
      <c r="M133" s="567"/>
      <c r="N133" s="567"/>
      <c r="O133" s="567"/>
      <c r="P133" s="567"/>
      <c r="Q133" s="567"/>
      <c r="R133" s="567"/>
      <c r="S133" s="567"/>
      <c r="T133" s="567"/>
      <c r="U133" s="567"/>
      <c r="V133" s="567"/>
      <c r="W133" s="567"/>
      <c r="X133" s="567"/>
      <c r="Y133" s="567"/>
      <c r="Z133" s="567"/>
      <c r="AA133" s="567"/>
      <c r="AB133" s="567"/>
      <c r="AC133" s="567"/>
      <c r="AD133" s="567"/>
      <c r="AE133" s="567"/>
      <c r="AF133" s="567"/>
      <c r="AG133" s="567"/>
    </row>
    <row r="134" spans="1:33" s="76" customFormat="1" ht="34.5">
      <c r="A134" s="157"/>
      <c r="B134" s="43" t="s">
        <v>3753</v>
      </c>
      <c r="C134" s="207"/>
      <c r="D134" s="421"/>
      <c r="E134" s="145"/>
      <c r="F134" s="61"/>
      <c r="G134" s="206"/>
      <c r="H134" s="74"/>
      <c r="I134" s="182"/>
      <c r="J134" s="685">
        <v>300</v>
      </c>
      <c r="K134" s="365"/>
      <c r="L134" s="567"/>
      <c r="M134" s="567"/>
      <c r="N134" s="567"/>
      <c r="O134" s="567"/>
      <c r="P134" s="567"/>
      <c r="Q134" s="567"/>
      <c r="R134" s="567"/>
      <c r="S134" s="567"/>
      <c r="T134" s="567"/>
      <c r="U134" s="567"/>
      <c r="V134" s="567"/>
      <c r="W134" s="567"/>
      <c r="X134" s="567"/>
      <c r="Y134" s="567"/>
      <c r="Z134" s="567"/>
      <c r="AA134" s="567"/>
      <c r="AB134" s="567"/>
      <c r="AC134" s="567"/>
      <c r="AD134" s="567"/>
      <c r="AE134" s="567"/>
      <c r="AF134" s="567"/>
      <c r="AG134" s="567"/>
    </row>
    <row r="135" spans="1:33" s="76" customFormat="1" ht="34.5">
      <c r="A135" s="157"/>
      <c r="B135" s="43" t="s">
        <v>3754</v>
      </c>
      <c r="C135" s="207" t="s">
        <v>3438</v>
      </c>
      <c r="D135" s="421"/>
      <c r="E135" s="145"/>
      <c r="F135" s="61"/>
      <c r="G135" s="206" t="s">
        <v>3755</v>
      </c>
      <c r="H135" s="74"/>
      <c r="I135" s="182"/>
      <c r="J135" s="685">
        <v>310</v>
      </c>
      <c r="K135" s="365"/>
      <c r="L135" s="567"/>
      <c r="M135" s="567"/>
      <c r="N135" s="567"/>
      <c r="O135" s="567"/>
      <c r="P135" s="567"/>
      <c r="Q135" s="567"/>
      <c r="R135" s="567"/>
      <c r="S135" s="567"/>
      <c r="T135" s="567"/>
      <c r="U135" s="567"/>
      <c r="V135" s="567"/>
      <c r="W135" s="567"/>
      <c r="X135" s="567"/>
      <c r="Y135" s="567"/>
      <c r="Z135" s="567"/>
      <c r="AA135" s="567"/>
      <c r="AB135" s="567"/>
      <c r="AC135" s="567"/>
      <c r="AD135" s="567"/>
      <c r="AE135" s="567"/>
      <c r="AF135" s="567"/>
      <c r="AG135" s="567"/>
    </row>
    <row r="136" spans="1:33" s="76" customFormat="1" ht="34.5">
      <c r="A136" s="157"/>
      <c r="B136" s="43" t="s">
        <v>3756</v>
      </c>
      <c r="C136" s="207"/>
      <c r="D136" s="421"/>
      <c r="E136" s="145"/>
      <c r="F136" s="61"/>
      <c r="G136" s="206" t="s">
        <v>3757</v>
      </c>
      <c r="H136" s="74"/>
      <c r="I136" s="182"/>
      <c r="J136" s="685">
        <v>1500</v>
      </c>
      <c r="K136" s="365"/>
      <c r="L136" s="567"/>
      <c r="M136" s="567"/>
      <c r="N136" s="567"/>
      <c r="O136" s="567"/>
      <c r="P136" s="567"/>
      <c r="Q136" s="567"/>
      <c r="R136" s="567"/>
      <c r="S136" s="567"/>
      <c r="T136" s="567"/>
      <c r="U136" s="567"/>
      <c r="V136" s="567"/>
      <c r="W136" s="567"/>
      <c r="X136" s="567"/>
      <c r="Y136" s="567"/>
      <c r="Z136" s="567"/>
      <c r="AA136" s="567"/>
      <c r="AB136" s="567"/>
      <c r="AC136" s="567"/>
      <c r="AD136" s="567"/>
      <c r="AE136" s="567"/>
      <c r="AF136" s="567"/>
      <c r="AG136" s="567"/>
    </row>
    <row r="137" spans="1:33" s="76" customFormat="1" ht="34.5">
      <c r="A137" s="157"/>
      <c r="B137" s="43" t="s">
        <v>3758</v>
      </c>
      <c r="C137" s="207"/>
      <c r="D137" s="421"/>
      <c r="E137" s="145"/>
      <c r="F137" s="61"/>
      <c r="G137" s="206" t="s">
        <v>3759</v>
      </c>
      <c r="H137" s="74"/>
      <c r="I137" s="182" t="s">
        <v>3760</v>
      </c>
      <c r="J137" s="685">
        <v>310</v>
      </c>
      <c r="K137" s="365"/>
      <c r="L137" s="567"/>
      <c r="M137" s="567"/>
      <c r="N137" s="567"/>
      <c r="O137" s="567"/>
      <c r="P137" s="567"/>
      <c r="Q137" s="567"/>
      <c r="R137" s="567"/>
      <c r="S137" s="567"/>
      <c r="T137" s="567"/>
      <c r="U137" s="567"/>
      <c r="V137" s="567"/>
      <c r="W137" s="567"/>
      <c r="X137" s="567"/>
      <c r="Y137" s="567"/>
      <c r="Z137" s="567"/>
      <c r="AA137" s="567"/>
      <c r="AB137" s="567"/>
      <c r="AC137" s="567"/>
      <c r="AD137" s="567"/>
      <c r="AE137" s="567"/>
      <c r="AF137" s="567"/>
      <c r="AG137" s="567"/>
    </row>
    <row r="138" spans="1:33" s="76" customFormat="1" ht="34.5">
      <c r="A138" s="438"/>
      <c r="B138" s="43" t="s">
        <v>3761</v>
      </c>
      <c r="C138" s="207" t="s">
        <v>3712</v>
      </c>
      <c r="D138" s="421"/>
      <c r="E138" s="145"/>
      <c r="F138" s="61"/>
      <c r="G138" s="206" t="s">
        <v>2397</v>
      </c>
      <c r="H138" s="74"/>
      <c r="I138" s="182"/>
      <c r="J138" s="685">
        <v>350</v>
      </c>
      <c r="K138" s="365"/>
      <c r="L138" s="567"/>
      <c r="M138" s="567"/>
      <c r="N138" s="567"/>
      <c r="O138" s="567"/>
      <c r="P138" s="567"/>
      <c r="Q138" s="567"/>
      <c r="R138" s="567"/>
      <c r="S138" s="567"/>
      <c r="T138" s="567"/>
      <c r="U138" s="567"/>
      <c r="V138" s="567"/>
      <c r="W138" s="567"/>
      <c r="X138" s="567"/>
      <c r="Y138" s="567"/>
      <c r="Z138" s="567"/>
      <c r="AA138" s="567"/>
      <c r="AB138" s="567"/>
      <c r="AC138" s="567"/>
      <c r="AD138" s="567"/>
      <c r="AE138" s="567"/>
      <c r="AF138" s="567"/>
      <c r="AG138" s="567"/>
    </row>
    <row r="139" spans="1:33" s="76" customFormat="1" ht="34.5">
      <c r="A139" s="438"/>
      <c r="B139" s="43" t="s">
        <v>3733</v>
      </c>
      <c r="C139" s="207" t="s">
        <v>3712</v>
      </c>
      <c r="D139" s="421"/>
      <c r="E139" s="145"/>
      <c r="F139" s="61"/>
      <c r="G139" s="206"/>
      <c r="H139" s="74"/>
      <c r="I139" s="182"/>
      <c r="J139" s="685">
        <v>195</v>
      </c>
      <c r="K139" s="365"/>
      <c r="L139" s="567"/>
      <c r="M139" s="567"/>
      <c r="N139" s="567"/>
      <c r="O139" s="567"/>
      <c r="P139" s="567"/>
      <c r="Q139" s="567"/>
      <c r="R139" s="567"/>
      <c r="S139" s="567"/>
      <c r="T139" s="567"/>
      <c r="U139" s="567"/>
      <c r="V139" s="567"/>
      <c r="W139" s="567"/>
      <c r="X139" s="567"/>
      <c r="Y139" s="567"/>
      <c r="Z139" s="567"/>
      <c r="AA139" s="567"/>
      <c r="AB139" s="567"/>
      <c r="AC139" s="567"/>
      <c r="AD139" s="567"/>
      <c r="AE139" s="567"/>
      <c r="AF139" s="567"/>
      <c r="AG139" s="567"/>
    </row>
    <row r="140" spans="1:33" s="76" customFormat="1" ht="35.25" thickBot="1">
      <c r="A140" s="438"/>
      <c r="B140" s="406"/>
      <c r="C140" s="341"/>
      <c r="D140" s="3469"/>
      <c r="E140" s="221"/>
      <c r="F140" s="777"/>
      <c r="G140" s="478"/>
      <c r="H140" s="974"/>
      <c r="I140" s="505"/>
      <c r="J140" s="604"/>
      <c r="K140" s="589"/>
      <c r="L140" s="567"/>
      <c r="M140" s="567"/>
      <c r="N140" s="567"/>
      <c r="O140" s="567"/>
      <c r="P140" s="567"/>
      <c r="Q140" s="567"/>
      <c r="R140" s="567"/>
      <c r="S140" s="567"/>
      <c r="T140" s="567"/>
      <c r="U140" s="567"/>
      <c r="V140" s="567"/>
      <c r="W140" s="567"/>
      <c r="X140" s="567"/>
      <c r="Y140" s="567"/>
      <c r="Z140" s="567"/>
      <c r="AA140" s="567"/>
      <c r="AB140" s="567"/>
      <c r="AC140" s="567"/>
      <c r="AD140" s="567"/>
      <c r="AE140" s="567"/>
      <c r="AF140" s="567"/>
      <c r="AG140" s="567"/>
    </row>
    <row r="141" spans="1:33" s="76" customFormat="1" ht="35.25" thickBot="1">
      <c r="A141" s="438"/>
      <c r="B141" s="3715" t="s">
        <v>3993</v>
      </c>
      <c r="C141" s="608"/>
      <c r="D141" s="3463"/>
      <c r="E141" s="1588"/>
      <c r="F141" s="1102"/>
      <c r="G141" s="478" t="s">
        <v>3994</v>
      </c>
      <c r="H141" s="224"/>
      <c r="I141" s="505"/>
      <c r="J141" s="1371"/>
      <c r="K141" s="527"/>
      <c r="L141" s="567"/>
      <c r="M141" s="567"/>
      <c r="N141" s="567"/>
      <c r="O141" s="567"/>
      <c r="P141" s="567"/>
      <c r="Q141" s="567"/>
      <c r="R141" s="567"/>
      <c r="S141" s="567"/>
      <c r="T141" s="567"/>
      <c r="U141" s="567"/>
      <c r="V141" s="567"/>
      <c r="W141" s="567"/>
      <c r="X141" s="567"/>
      <c r="Y141" s="567"/>
      <c r="Z141" s="567"/>
      <c r="AA141" s="567"/>
      <c r="AB141" s="567"/>
      <c r="AC141" s="567"/>
      <c r="AD141" s="567"/>
      <c r="AE141" s="567"/>
      <c r="AF141" s="567"/>
      <c r="AG141" s="567"/>
    </row>
    <row r="142" spans="1:33" s="76" customFormat="1" ht="34.5">
      <c r="A142" s="315"/>
      <c r="B142" s="1589" t="s">
        <v>3995</v>
      </c>
      <c r="C142" s="1590" t="s">
        <v>3996</v>
      </c>
      <c r="D142" s="413" t="s">
        <v>3401</v>
      </c>
      <c r="E142" s="221" t="s">
        <v>3711</v>
      </c>
      <c r="F142" s="1754" t="s">
        <v>3997</v>
      </c>
      <c r="G142" s="223" t="s">
        <v>3998</v>
      </c>
      <c r="H142" s="224">
        <v>690</v>
      </c>
      <c r="I142" s="620"/>
      <c r="J142" s="686">
        <v>690</v>
      </c>
      <c r="K142" s="1527" t="s">
        <v>3999</v>
      </c>
      <c r="L142" s="567"/>
      <c r="M142" s="567"/>
      <c r="N142" s="567"/>
      <c r="O142" s="567"/>
      <c r="P142" s="567"/>
      <c r="Q142" s="567"/>
      <c r="R142" s="567"/>
      <c r="S142" s="567"/>
      <c r="T142" s="567"/>
      <c r="U142" s="567"/>
      <c r="V142" s="567"/>
      <c r="W142" s="567"/>
      <c r="X142" s="567"/>
      <c r="Y142" s="567"/>
      <c r="Z142" s="567"/>
      <c r="AA142" s="567"/>
      <c r="AB142" s="567"/>
      <c r="AC142" s="567"/>
      <c r="AD142" s="567"/>
      <c r="AE142" s="567"/>
      <c r="AF142" s="567"/>
      <c r="AG142" s="567"/>
    </row>
    <row r="143" spans="1:33" s="76" customFormat="1" ht="34.5">
      <c r="A143" s="315"/>
      <c r="B143" s="43"/>
      <c r="C143" s="515"/>
      <c r="D143" s="196"/>
      <c r="E143" s="142"/>
      <c r="F143" s="61"/>
      <c r="G143" s="477"/>
      <c r="H143" s="74"/>
      <c r="I143" s="431"/>
      <c r="J143" s="586"/>
      <c r="K143" s="526"/>
      <c r="L143" s="567"/>
      <c r="M143" s="567"/>
      <c r="N143" s="567"/>
      <c r="O143" s="567"/>
      <c r="P143" s="567"/>
      <c r="Q143" s="567"/>
      <c r="R143" s="567"/>
      <c r="S143" s="567"/>
      <c r="T143" s="567"/>
      <c r="U143" s="567"/>
      <c r="V143" s="567"/>
      <c r="W143" s="567"/>
      <c r="X143" s="567"/>
      <c r="Y143" s="567"/>
      <c r="Z143" s="567"/>
      <c r="AA143" s="567"/>
      <c r="AB143" s="567"/>
      <c r="AC143" s="567"/>
      <c r="AD143" s="567"/>
      <c r="AE143" s="567"/>
      <c r="AF143" s="567"/>
      <c r="AG143" s="567"/>
    </row>
    <row r="144" spans="1:33" s="76" customFormat="1" ht="34.5">
      <c r="A144" s="315"/>
      <c r="B144" s="43"/>
      <c r="C144" s="515"/>
      <c r="D144" s="196"/>
      <c r="E144" s="142"/>
      <c r="F144" s="61"/>
      <c r="G144" s="477"/>
      <c r="H144" s="74"/>
      <c r="I144" s="431"/>
      <c r="J144" s="586"/>
      <c r="K144" s="526"/>
      <c r="L144" s="567"/>
      <c r="M144" s="567"/>
      <c r="N144" s="567"/>
      <c r="O144" s="567"/>
      <c r="P144" s="567"/>
      <c r="Q144" s="567"/>
      <c r="R144" s="567"/>
      <c r="S144" s="567"/>
      <c r="T144" s="567"/>
      <c r="U144" s="567"/>
      <c r="V144" s="567"/>
      <c r="W144" s="567"/>
      <c r="X144" s="567"/>
      <c r="Y144" s="567"/>
      <c r="Z144" s="567"/>
      <c r="AA144" s="567"/>
      <c r="AB144" s="567"/>
      <c r="AC144" s="567"/>
      <c r="AD144" s="567"/>
      <c r="AE144" s="567"/>
      <c r="AF144" s="567"/>
      <c r="AG144" s="567"/>
    </row>
    <row r="145" spans="1:13" ht="34.5" customHeight="1"/>
    <row r="146" spans="1:13" ht="34.5">
      <c r="A146" s="44"/>
      <c r="B146" s="75"/>
      <c r="C146" s="124"/>
      <c r="D146" s="124"/>
      <c r="E146" s="124"/>
      <c r="F146" s="124"/>
      <c r="G146" s="124"/>
      <c r="H146" s="124"/>
      <c r="I146" s="124"/>
      <c r="J146" s="545"/>
      <c r="K146" s="537">
        <v>3</v>
      </c>
    </row>
    <row r="147" spans="1:13" ht="34.5">
      <c r="A147" s="44" t="s">
        <v>0</v>
      </c>
      <c r="B147" s="127"/>
      <c r="C147" s="167"/>
      <c r="D147" s="125"/>
      <c r="E147" s="45"/>
      <c r="F147" s="68"/>
      <c r="G147" s="353"/>
      <c r="H147" s="76"/>
      <c r="I147" s="497"/>
      <c r="J147" s="540"/>
      <c r="K147" s="171"/>
    </row>
    <row r="148" spans="1:13" ht="34.5">
      <c r="A148" s="112" t="s">
        <v>3935</v>
      </c>
      <c r="B148" s="112"/>
      <c r="C148" s="204"/>
      <c r="D148" s="109"/>
      <c r="E148" s="45"/>
      <c r="F148" s="68"/>
      <c r="G148" s="353"/>
      <c r="H148" s="76"/>
      <c r="I148" s="497"/>
      <c r="J148" s="540"/>
      <c r="K148" s="171"/>
    </row>
    <row r="149" spans="1:13" ht="35.25" thickBot="1">
      <c r="A149" s="75"/>
      <c r="B149" s="125"/>
      <c r="C149" s="335"/>
      <c r="D149" s="125"/>
      <c r="E149" s="45"/>
      <c r="F149" s="68"/>
      <c r="G149" s="353"/>
      <c r="H149" s="76"/>
      <c r="I149" s="497"/>
      <c r="J149" s="540"/>
      <c r="K149" s="171"/>
    </row>
    <row r="150" spans="1:13" ht="34.5">
      <c r="A150" s="3493" t="s">
        <v>2</v>
      </c>
      <c r="B150" s="3482"/>
      <c r="C150" s="336" t="s">
        <v>3</v>
      </c>
      <c r="D150" s="3445" t="s">
        <v>4</v>
      </c>
      <c r="E150" s="77" t="s">
        <v>5</v>
      </c>
      <c r="F150" s="78" t="s">
        <v>5</v>
      </c>
      <c r="G150" s="250" t="s">
        <v>6</v>
      </c>
      <c r="H150" s="344" t="s">
        <v>7</v>
      </c>
      <c r="I150" s="592" t="s">
        <v>1511</v>
      </c>
      <c r="J150" s="584" t="s">
        <v>9</v>
      </c>
      <c r="K150" s="346" t="s">
        <v>9</v>
      </c>
    </row>
    <row r="151" spans="1:13" ht="35.25" thickBot="1">
      <c r="A151" s="1502"/>
      <c r="B151" s="1503"/>
      <c r="C151" s="337"/>
      <c r="D151" s="51" t="s">
        <v>10</v>
      </c>
      <c r="E151" s="79" t="s">
        <v>11</v>
      </c>
      <c r="F151" s="80" t="s">
        <v>12</v>
      </c>
      <c r="G151" s="476"/>
      <c r="H151" s="345" t="s">
        <v>13</v>
      </c>
      <c r="I151" s="593" t="s">
        <v>1512</v>
      </c>
      <c r="J151" s="585" t="s">
        <v>14</v>
      </c>
      <c r="K151" s="347" t="s">
        <v>15</v>
      </c>
    </row>
    <row r="152" spans="1:13" ht="34.5">
      <c r="A152" s="3523" t="s">
        <v>4000</v>
      </c>
      <c r="B152" s="3524"/>
      <c r="C152" s="608"/>
      <c r="D152" s="227"/>
      <c r="E152" s="255"/>
      <c r="F152" s="54"/>
      <c r="G152" s="477"/>
      <c r="H152" s="74"/>
      <c r="I152" s="431"/>
      <c r="J152" s="549"/>
      <c r="K152" s="526"/>
    </row>
    <row r="153" spans="1:13" ht="34.5">
      <c r="A153" s="315"/>
      <c r="B153" s="43" t="s">
        <v>4001</v>
      </c>
      <c r="C153" s="207" t="s">
        <v>1691</v>
      </c>
      <c r="D153" s="465" t="s">
        <v>298</v>
      </c>
      <c r="E153" s="142">
        <v>55</v>
      </c>
      <c r="F153" s="61"/>
      <c r="G153" s="477" t="s">
        <v>4002</v>
      </c>
      <c r="H153" s="74">
        <v>1110.28</v>
      </c>
      <c r="I153" s="764" t="s">
        <v>4003</v>
      </c>
      <c r="J153" s="547">
        <v>1152.3599999999999</v>
      </c>
      <c r="K153" s="588">
        <v>48</v>
      </c>
    </row>
    <row r="154" spans="1:13" ht="34.5">
      <c r="A154" s="315"/>
      <c r="B154" s="43" t="s">
        <v>4001</v>
      </c>
      <c r="C154" s="207" t="s">
        <v>419</v>
      </c>
      <c r="D154" s="465" t="s">
        <v>248</v>
      </c>
      <c r="E154" s="142">
        <v>110</v>
      </c>
      <c r="F154" s="61"/>
      <c r="G154" s="478" t="s">
        <v>1417</v>
      </c>
      <c r="H154" s="224">
        <v>1831.78</v>
      </c>
      <c r="I154" s="505" t="s">
        <v>4004</v>
      </c>
      <c r="J154" s="609">
        <v>1910.56</v>
      </c>
      <c r="K154" s="589">
        <v>95.53</v>
      </c>
    </row>
    <row r="155" spans="1:13" ht="34.5">
      <c r="A155" s="315"/>
      <c r="B155" s="43" t="s">
        <v>4005</v>
      </c>
      <c r="C155" s="207" t="s">
        <v>1804</v>
      </c>
      <c r="D155" s="465" t="s">
        <v>1340</v>
      </c>
      <c r="E155" s="142">
        <v>80</v>
      </c>
      <c r="F155" s="61"/>
      <c r="G155" s="477" t="s">
        <v>4002</v>
      </c>
      <c r="H155" s="74">
        <v>2018.69</v>
      </c>
      <c r="I155" s="764" t="s">
        <v>4006</v>
      </c>
      <c r="J155" s="547">
        <v>2095</v>
      </c>
      <c r="K155" s="588">
        <v>69.84</v>
      </c>
      <c r="M155" s="567"/>
    </row>
    <row r="156" spans="1:13" ht="34.5">
      <c r="A156" s="315"/>
      <c r="B156" s="43" t="s">
        <v>4007</v>
      </c>
      <c r="C156" s="207" t="s">
        <v>330</v>
      </c>
      <c r="D156" s="465" t="s">
        <v>484</v>
      </c>
      <c r="E156" s="142">
        <v>125</v>
      </c>
      <c r="F156" s="61"/>
      <c r="G156" s="477" t="s">
        <v>4002</v>
      </c>
      <c r="H156" s="74">
        <v>1256.07</v>
      </c>
      <c r="I156" s="431"/>
      <c r="J156" s="590">
        <v>1303.68</v>
      </c>
      <c r="K156" s="588">
        <v>108.64</v>
      </c>
    </row>
    <row r="157" spans="1:13" ht="34.5">
      <c r="A157" s="315"/>
      <c r="B157" s="43" t="s">
        <v>4008</v>
      </c>
      <c r="C157" s="207" t="s">
        <v>1542</v>
      </c>
      <c r="D157" s="465" t="s">
        <v>812</v>
      </c>
      <c r="E157" s="142">
        <v>54</v>
      </c>
      <c r="F157" s="61"/>
      <c r="G157" s="477" t="s">
        <v>4002</v>
      </c>
      <c r="H157" s="74">
        <v>1317.76</v>
      </c>
      <c r="I157" s="764" t="s">
        <v>4009</v>
      </c>
      <c r="J157" s="547">
        <v>1367.71</v>
      </c>
      <c r="K157" s="588">
        <v>45.59</v>
      </c>
    </row>
    <row r="158" spans="1:13" ht="34.5">
      <c r="A158" s="315"/>
      <c r="B158" s="43" t="s">
        <v>4010</v>
      </c>
      <c r="C158" s="207" t="s">
        <v>17</v>
      </c>
      <c r="D158" s="465" t="s">
        <v>309</v>
      </c>
      <c r="E158" s="142">
        <v>110</v>
      </c>
      <c r="F158" s="61"/>
      <c r="G158" s="477" t="s">
        <v>1417</v>
      </c>
      <c r="H158" s="74">
        <v>925.23</v>
      </c>
      <c r="I158" s="764" t="s">
        <v>4011</v>
      </c>
      <c r="J158" s="547">
        <v>965.03</v>
      </c>
      <c r="K158" s="588">
        <v>96.5</v>
      </c>
    </row>
    <row r="159" spans="1:13" ht="34.5">
      <c r="A159" s="315"/>
      <c r="B159" s="362" t="s">
        <v>4012</v>
      </c>
      <c r="C159" s="207" t="s">
        <v>17</v>
      </c>
      <c r="D159" s="465" t="s">
        <v>309</v>
      </c>
      <c r="E159" s="142">
        <v>110</v>
      </c>
      <c r="F159" s="61"/>
      <c r="G159" s="477" t="s">
        <v>1417</v>
      </c>
      <c r="H159" s="74">
        <v>925.23</v>
      </c>
      <c r="I159" s="764" t="s">
        <v>4011</v>
      </c>
      <c r="J159" s="547">
        <v>965.03</v>
      </c>
      <c r="K159" s="588">
        <v>96.5</v>
      </c>
    </row>
    <row r="160" spans="1:13" ht="34.5">
      <c r="A160" s="315"/>
      <c r="B160" s="43" t="s">
        <v>4013</v>
      </c>
      <c r="C160" s="207" t="s">
        <v>4014</v>
      </c>
      <c r="D160" s="465" t="s">
        <v>23</v>
      </c>
      <c r="E160" s="142">
        <v>99</v>
      </c>
      <c r="F160" s="61"/>
      <c r="G160" s="477" t="s">
        <v>4002</v>
      </c>
      <c r="H160" s="74">
        <v>998.13</v>
      </c>
      <c r="I160" s="764"/>
      <c r="J160" s="547">
        <v>1035.96</v>
      </c>
      <c r="K160" s="588">
        <v>86.33</v>
      </c>
    </row>
    <row r="161" spans="1:11" ht="34.5">
      <c r="A161" s="315"/>
      <c r="B161" s="362"/>
      <c r="C161" s="207"/>
      <c r="D161" s="465"/>
      <c r="E161" s="142"/>
      <c r="F161" s="61"/>
      <c r="G161" s="477"/>
      <c r="H161" s="74"/>
      <c r="I161" s="764"/>
      <c r="J161" s="547"/>
      <c r="K161" s="588"/>
    </row>
    <row r="162" spans="1:11" ht="34.5">
      <c r="A162" s="315"/>
      <c r="B162" s="43"/>
      <c r="C162" s="207"/>
      <c r="D162" s="465"/>
      <c r="E162" s="142"/>
      <c r="F162" s="61"/>
      <c r="G162" s="477"/>
      <c r="H162" s="74"/>
      <c r="I162" s="431"/>
      <c r="J162" s="590"/>
      <c r="K162" s="588"/>
    </row>
    <row r="163" spans="1:11" ht="34.5">
      <c r="A163" s="315"/>
      <c r="B163" s="43" t="s">
        <v>4015</v>
      </c>
      <c r="C163" s="207" t="s">
        <v>236</v>
      </c>
      <c r="D163" s="3469" t="s">
        <v>812</v>
      </c>
      <c r="E163" s="142">
        <v>35</v>
      </c>
      <c r="F163" s="61"/>
      <c r="G163" s="478" t="s">
        <v>4016</v>
      </c>
      <c r="H163" s="224"/>
      <c r="I163" s="505"/>
      <c r="J163" s="591">
        <v>1620</v>
      </c>
      <c r="K163" s="589">
        <v>27</v>
      </c>
    </row>
    <row r="164" spans="1:11" ht="34.5">
      <c r="A164" s="315"/>
      <c r="B164" s="43" t="s">
        <v>4017</v>
      </c>
      <c r="C164" s="207" t="s">
        <v>1546</v>
      </c>
      <c r="D164" s="3469" t="s">
        <v>812</v>
      </c>
      <c r="E164" s="100">
        <v>35</v>
      </c>
      <c r="F164" s="61"/>
      <c r="G164" s="477" t="s">
        <v>4016</v>
      </c>
      <c r="H164" s="74"/>
      <c r="I164" s="431"/>
      <c r="J164" s="590">
        <v>885</v>
      </c>
      <c r="K164" s="526">
        <v>29.5</v>
      </c>
    </row>
    <row r="165" spans="1:11" ht="34.5">
      <c r="A165" s="315"/>
      <c r="B165" s="43" t="s">
        <v>4018</v>
      </c>
      <c r="C165" s="207" t="s">
        <v>1546</v>
      </c>
      <c r="D165" s="3469" t="s">
        <v>812</v>
      </c>
      <c r="E165" s="142">
        <v>35</v>
      </c>
      <c r="F165" s="61"/>
      <c r="G165" s="477" t="s">
        <v>4016</v>
      </c>
      <c r="H165" s="74"/>
      <c r="I165" s="431"/>
      <c r="J165" s="590">
        <v>885</v>
      </c>
      <c r="K165" s="526">
        <v>29.5</v>
      </c>
    </row>
    <row r="166" spans="1:11" ht="34.5">
      <c r="A166" s="315"/>
      <c r="B166" s="43" t="s">
        <v>4019</v>
      </c>
      <c r="C166" s="207" t="s">
        <v>4020</v>
      </c>
      <c r="D166" s="3469" t="s">
        <v>812</v>
      </c>
      <c r="E166" s="142">
        <v>35</v>
      </c>
      <c r="F166" s="61"/>
      <c r="G166" s="477" t="s">
        <v>4021</v>
      </c>
      <c r="H166" s="74"/>
      <c r="I166" s="431"/>
      <c r="J166" s="590">
        <v>870</v>
      </c>
      <c r="K166" s="526">
        <v>29</v>
      </c>
    </row>
    <row r="167" spans="1:11" ht="34.5">
      <c r="A167" s="315"/>
      <c r="B167" s="43" t="s">
        <v>4022</v>
      </c>
      <c r="C167" s="207" t="s">
        <v>1691</v>
      </c>
      <c r="D167" s="3469" t="s">
        <v>812</v>
      </c>
      <c r="E167" s="100">
        <v>35</v>
      </c>
      <c r="F167" s="61"/>
      <c r="G167" s="477" t="s">
        <v>4023</v>
      </c>
      <c r="H167" s="74"/>
      <c r="I167" s="431"/>
      <c r="J167" s="586">
        <v>840</v>
      </c>
      <c r="K167" s="526">
        <v>28</v>
      </c>
    </row>
    <row r="168" spans="1:11" ht="34.5">
      <c r="A168" s="438"/>
      <c r="B168" s="406"/>
      <c r="C168" s="341"/>
      <c r="D168" s="3469"/>
      <c r="E168" s="275"/>
      <c r="F168" s="777"/>
      <c r="G168" s="478"/>
      <c r="H168" s="224"/>
      <c r="I168" s="505"/>
      <c r="J168" s="604"/>
      <c r="K168" s="527"/>
    </row>
    <row r="169" spans="1:11" ht="34.5">
      <c r="A169" s="438"/>
      <c r="B169" s="406"/>
      <c r="C169" s="341"/>
      <c r="D169" s="3469"/>
      <c r="E169" s="275"/>
      <c r="F169" s="777"/>
      <c r="G169" s="478"/>
      <c r="H169" s="224"/>
      <c r="I169" s="505"/>
      <c r="J169" s="604"/>
      <c r="K169" s="527"/>
    </row>
    <row r="170" spans="1:11" ht="34.5">
      <c r="A170" s="59"/>
      <c r="B170" s="43"/>
      <c r="C170" s="207"/>
      <c r="D170" s="339"/>
      <c r="E170" s="298"/>
      <c r="F170" s="61"/>
      <c r="G170" s="477"/>
      <c r="H170" s="74"/>
      <c r="I170" s="431"/>
      <c r="J170" s="586"/>
      <c r="K170" s="526"/>
    </row>
    <row r="171" spans="1:11" ht="34.5">
      <c r="A171" s="315"/>
      <c r="B171" s="43"/>
      <c r="C171" s="207"/>
      <c r="D171" s="339"/>
      <c r="E171" s="198"/>
      <c r="F171" s="61"/>
      <c r="G171" s="477"/>
      <c r="H171" s="88"/>
      <c r="I171" s="456"/>
      <c r="J171" s="605"/>
      <c r="K171" s="528"/>
    </row>
    <row r="172" spans="1:11" ht="34.5">
      <c r="A172" s="315"/>
      <c r="B172" s="43"/>
      <c r="C172" s="207"/>
      <c r="D172" s="339"/>
      <c r="E172" s="198"/>
      <c r="F172" s="61"/>
      <c r="G172" s="477"/>
      <c r="H172" s="74"/>
      <c r="I172" s="431"/>
      <c r="J172" s="586"/>
      <c r="K172" s="526"/>
    </row>
    <row r="173" spans="1:11" ht="34.5">
      <c r="A173" s="315"/>
      <c r="B173" s="43"/>
      <c r="C173" s="207"/>
      <c r="D173" s="339"/>
      <c r="E173" s="142"/>
      <c r="F173" s="61"/>
      <c r="G173" s="477"/>
      <c r="H173" s="74"/>
      <c r="I173" s="431"/>
      <c r="J173" s="586"/>
      <c r="K173" s="526"/>
    </row>
    <row r="174" spans="1:11" ht="34.5">
      <c r="A174" s="389"/>
      <c r="B174" s="382" t="s">
        <v>4024</v>
      </c>
      <c r="C174" s="207"/>
      <c r="D174" s="339"/>
      <c r="E174" s="142"/>
      <c r="F174" s="61"/>
      <c r="G174" s="477"/>
      <c r="H174" s="74"/>
      <c r="I174" s="431"/>
      <c r="J174" s="586"/>
      <c r="K174" s="526"/>
    </row>
    <row r="175" spans="1:11" ht="34.5">
      <c r="A175" s="315"/>
      <c r="B175" s="43" t="s">
        <v>4007</v>
      </c>
      <c r="C175" s="207"/>
      <c r="D175" s="339"/>
      <c r="E175" s="142">
        <v>80</v>
      </c>
      <c r="F175" s="61"/>
      <c r="G175" s="477" t="s">
        <v>4025</v>
      </c>
      <c r="H175" s="74"/>
      <c r="I175" s="431"/>
      <c r="J175" s="586"/>
      <c r="K175" s="588">
        <v>65</v>
      </c>
    </row>
    <row r="176" spans="1:11" ht="34.5">
      <c r="A176" s="315"/>
      <c r="B176" s="43" t="s">
        <v>4001</v>
      </c>
      <c r="C176" s="207" t="s">
        <v>4026</v>
      </c>
      <c r="D176" s="339"/>
      <c r="E176" s="142">
        <v>90</v>
      </c>
      <c r="F176" s="61"/>
      <c r="G176" s="477" t="s">
        <v>4027</v>
      </c>
      <c r="H176" s="311"/>
      <c r="I176" s="431"/>
      <c r="J176" s="586"/>
      <c r="K176" s="588">
        <v>65</v>
      </c>
    </row>
    <row r="177" spans="1:11" ht="34.5">
      <c r="A177" s="315"/>
      <c r="B177" s="43"/>
      <c r="C177" s="207" t="s">
        <v>236</v>
      </c>
      <c r="D177" s="339"/>
      <c r="E177" s="142">
        <v>45</v>
      </c>
      <c r="F177" s="61"/>
      <c r="G177" s="477" t="s">
        <v>4025</v>
      </c>
      <c r="H177" s="311"/>
      <c r="I177" s="431"/>
      <c r="J177" s="586"/>
      <c r="K177" s="588">
        <v>30</v>
      </c>
    </row>
    <row r="178" spans="1:11" ht="34.5">
      <c r="A178" s="315"/>
      <c r="B178" s="43" t="s">
        <v>4028</v>
      </c>
      <c r="C178" s="207" t="s">
        <v>280</v>
      </c>
      <c r="D178" s="462"/>
      <c r="E178" s="142">
        <v>85</v>
      </c>
      <c r="F178" s="61"/>
      <c r="G178" s="477" t="s">
        <v>4025</v>
      </c>
      <c r="H178" s="74"/>
      <c r="I178" s="431"/>
      <c r="J178" s="586"/>
      <c r="K178" s="526">
        <v>67.5</v>
      </c>
    </row>
    <row r="179" spans="1:11" ht="34.5">
      <c r="A179" s="315"/>
      <c r="B179" s="43"/>
      <c r="C179" s="515"/>
      <c r="D179" s="196"/>
      <c r="E179" s="142"/>
      <c r="F179" s="61"/>
      <c r="G179" s="477"/>
      <c r="H179" s="74"/>
      <c r="I179" s="431"/>
      <c r="J179" s="586"/>
      <c r="K179" s="526"/>
    </row>
    <row r="180" spans="1:11" ht="34.5">
      <c r="A180" s="315"/>
      <c r="B180" s="43"/>
      <c r="C180" s="515"/>
      <c r="D180" s="196"/>
      <c r="E180" s="142"/>
      <c r="F180" s="61"/>
      <c r="G180" s="477"/>
      <c r="H180" s="74"/>
      <c r="I180" s="431"/>
      <c r="J180" s="586"/>
      <c r="K180" s="526"/>
    </row>
    <row r="181" spans="1:11" ht="34.5">
      <c r="A181" s="44"/>
      <c r="B181" s="75"/>
      <c r="C181" s="124"/>
      <c r="D181" s="124"/>
      <c r="E181" s="124"/>
      <c r="F181" s="124"/>
      <c r="G181" s="124"/>
      <c r="H181" s="124"/>
      <c r="I181" s="124"/>
      <c r="J181" s="545"/>
      <c r="K181" s="171"/>
    </row>
    <row r="182" spans="1:11" ht="34.5">
      <c r="A182" s="44"/>
      <c r="B182" s="75"/>
      <c r="C182" s="124"/>
      <c r="D182" s="124"/>
      <c r="E182" s="124"/>
      <c r="F182" s="124"/>
      <c r="G182" s="124"/>
      <c r="H182" s="124"/>
      <c r="I182" s="124"/>
      <c r="J182" s="545"/>
      <c r="K182" s="537">
        <v>3</v>
      </c>
    </row>
    <row r="183" spans="1:11" ht="34.5">
      <c r="A183" s="44" t="s">
        <v>0</v>
      </c>
      <c r="B183" s="127"/>
      <c r="C183" s="167"/>
      <c r="D183" s="125"/>
      <c r="E183" s="45"/>
      <c r="F183" s="68"/>
      <c r="G183" s="353"/>
      <c r="H183" s="76"/>
      <c r="I183" s="497"/>
      <c r="J183" s="540"/>
      <c r="K183" s="171"/>
    </row>
    <row r="184" spans="1:11" ht="34.5">
      <c r="A184" s="112" t="s">
        <v>3935</v>
      </c>
      <c r="B184" s="112"/>
      <c r="C184" s="204"/>
      <c r="D184" s="109"/>
      <c r="E184" s="45"/>
      <c r="F184" s="68"/>
      <c r="G184" s="353"/>
      <c r="H184" s="76"/>
      <c r="I184" s="497"/>
      <c r="J184" s="540"/>
      <c r="K184" s="171"/>
    </row>
    <row r="185" spans="1:11" ht="35.25" thickBot="1">
      <c r="A185" s="75"/>
      <c r="B185" s="125"/>
      <c r="C185" s="335"/>
      <c r="D185" s="125"/>
      <c r="E185" s="45"/>
      <c r="F185" s="68"/>
      <c r="G185" s="353"/>
      <c r="H185" s="76"/>
      <c r="I185" s="497"/>
      <c r="J185" s="540"/>
      <c r="K185" s="171"/>
    </row>
    <row r="186" spans="1:11" ht="34.5">
      <c r="A186" s="3493" t="s">
        <v>2</v>
      </c>
      <c r="B186" s="3482"/>
      <c r="C186" s="336" t="s">
        <v>3</v>
      </c>
      <c r="D186" s="3445" t="s">
        <v>4</v>
      </c>
      <c r="E186" s="77" t="s">
        <v>5</v>
      </c>
      <c r="F186" s="78" t="s">
        <v>5</v>
      </c>
      <c r="G186" s="250" t="s">
        <v>6</v>
      </c>
      <c r="H186" s="344" t="s">
        <v>7</v>
      </c>
      <c r="I186" s="592" t="s">
        <v>1511</v>
      </c>
      <c r="J186" s="584" t="s">
        <v>9</v>
      </c>
      <c r="K186" s="346" t="s">
        <v>9</v>
      </c>
    </row>
    <row r="187" spans="1:11" ht="35.25" thickBot="1">
      <c r="A187" s="155"/>
      <c r="B187" s="138"/>
      <c r="C187" s="337"/>
      <c r="D187" s="51" t="s">
        <v>10</v>
      </c>
      <c r="E187" s="79" t="s">
        <v>11</v>
      </c>
      <c r="F187" s="80" t="s">
        <v>12</v>
      </c>
      <c r="G187" s="476"/>
      <c r="H187" s="345" t="s">
        <v>13</v>
      </c>
      <c r="I187" s="593" t="s">
        <v>1512</v>
      </c>
      <c r="J187" s="585" t="s">
        <v>14</v>
      </c>
      <c r="K187" s="347" t="s">
        <v>15</v>
      </c>
    </row>
    <row r="188" spans="1:11" ht="35.25" thickBot="1">
      <c r="A188" s="3523"/>
      <c r="B188" s="3524"/>
      <c r="C188" s="608"/>
      <c r="D188" s="227"/>
      <c r="E188" s="255"/>
      <c r="F188" s="54"/>
      <c r="G188" s="477"/>
      <c r="H188" s="74"/>
      <c r="I188" s="431"/>
      <c r="J188" s="549"/>
      <c r="K188" s="526"/>
    </row>
    <row r="189" spans="1:11" ht="34.5">
      <c r="A189" s="315"/>
      <c r="B189" s="1589"/>
      <c r="C189" s="1590"/>
      <c r="D189" s="413"/>
      <c r="E189" s="1756"/>
      <c r="F189" s="1323"/>
      <c r="G189" s="223"/>
      <c r="H189" s="224"/>
      <c r="I189" s="620"/>
      <c r="J189" s="686"/>
      <c r="K189" s="1527"/>
    </row>
    <row r="190" spans="1:11" ht="34.5">
      <c r="A190" s="315"/>
      <c r="B190" s="406"/>
      <c r="C190" s="341"/>
      <c r="D190" s="413"/>
      <c r="E190" s="1757"/>
      <c r="F190" s="1758"/>
      <c r="G190" s="223"/>
      <c r="H190" s="925"/>
      <c r="I190" s="1535"/>
      <c r="J190" s="686"/>
      <c r="K190" s="378"/>
    </row>
    <row r="191" spans="1:11" ht="34.5">
      <c r="A191" s="315"/>
      <c r="B191" s="406"/>
      <c r="C191" s="1459"/>
      <c r="D191" s="422"/>
      <c r="E191" s="1759"/>
      <c r="F191" s="1760"/>
      <c r="G191" s="223"/>
      <c r="H191" s="224"/>
      <c r="I191" s="620"/>
      <c r="J191" s="686"/>
      <c r="K191" s="1364"/>
    </row>
    <row r="192" spans="1:11" ht="34.5">
      <c r="A192" s="315"/>
      <c r="B192" s="406"/>
      <c r="C192" s="1459"/>
      <c r="D192" s="422"/>
      <c r="E192" s="1759"/>
      <c r="F192" s="1760"/>
      <c r="G192" s="223"/>
      <c r="H192" s="224"/>
      <c r="I192" s="620"/>
      <c r="J192" s="686"/>
      <c r="K192" s="1364"/>
    </row>
    <row r="193" spans="1:11" ht="34.5">
      <c r="A193" s="315"/>
      <c r="B193" s="406"/>
      <c r="C193" s="1459"/>
      <c r="D193" s="422"/>
      <c r="E193" s="1761"/>
      <c r="F193" s="1762"/>
      <c r="G193" s="223"/>
      <c r="H193" s="224"/>
      <c r="I193" s="620"/>
      <c r="J193" s="686"/>
      <c r="K193" s="378"/>
    </row>
    <row r="194" spans="1:11" ht="34.5">
      <c r="A194" s="315"/>
      <c r="B194" s="406"/>
      <c r="C194" s="1459"/>
      <c r="D194" s="422"/>
      <c r="E194" s="1761"/>
      <c r="F194" s="1762"/>
      <c r="G194" s="223"/>
      <c r="H194" s="224"/>
      <c r="I194" s="620"/>
      <c r="J194" s="686"/>
      <c r="K194" s="378"/>
    </row>
    <row r="195" spans="1:11" ht="34.5">
      <c r="A195" s="315"/>
      <c r="B195" s="406"/>
      <c r="C195" s="1459"/>
      <c r="D195" s="422"/>
      <c r="E195" s="1761"/>
      <c r="F195" s="1762"/>
      <c r="G195" s="223"/>
      <c r="H195" s="224"/>
      <c r="I195" s="620"/>
      <c r="J195" s="686"/>
      <c r="K195" s="378"/>
    </row>
    <row r="196" spans="1:11" ht="34.5">
      <c r="A196" s="315"/>
      <c r="B196" s="406"/>
      <c r="C196" s="1459"/>
      <c r="D196" s="422"/>
      <c r="E196" s="1761"/>
      <c r="F196" s="1762"/>
      <c r="G196" s="223"/>
      <c r="H196" s="224"/>
      <c r="I196" s="620"/>
      <c r="J196" s="686"/>
      <c r="K196" s="378"/>
    </row>
    <row r="197" spans="1:11" ht="34.5">
      <c r="A197" s="315"/>
      <c r="B197" s="1727"/>
      <c r="C197" s="341"/>
      <c r="D197" s="624"/>
      <c r="E197" s="1759"/>
      <c r="F197" s="1760"/>
      <c r="G197" s="223"/>
      <c r="H197" s="224"/>
      <c r="I197" s="620"/>
      <c r="J197" s="686"/>
      <c r="K197" s="378"/>
    </row>
    <row r="198" spans="1:11" ht="34.5">
      <c r="A198" s="315"/>
      <c r="B198" s="770"/>
      <c r="C198" s="1517"/>
      <c r="D198" s="413"/>
      <c r="E198" s="1756"/>
      <c r="F198" s="1323"/>
      <c r="G198" s="223"/>
      <c r="H198" s="224"/>
      <c r="I198" s="620"/>
      <c r="J198" s="686"/>
      <c r="K198" s="1755"/>
    </row>
    <row r="199" spans="1:11" ht="34.5">
      <c r="A199" s="315"/>
      <c r="B199" s="406"/>
      <c r="C199" s="1459"/>
      <c r="D199" s="422"/>
      <c r="E199" s="1759"/>
      <c r="F199" s="1760"/>
      <c r="G199" s="223"/>
      <c r="H199" s="224"/>
      <c r="I199" s="620"/>
      <c r="J199" s="686"/>
      <c r="K199" s="1364"/>
    </row>
    <row r="200" spans="1:11" ht="34.5">
      <c r="A200" s="315"/>
      <c r="B200" s="481" t="s">
        <v>3590</v>
      </c>
      <c r="C200" s="1440" t="s">
        <v>3550</v>
      </c>
      <c r="D200" s="1417"/>
      <c r="E200" s="1420"/>
      <c r="F200" s="1441" t="s">
        <v>3591</v>
      </c>
      <c r="G200" s="717" t="s">
        <v>2206</v>
      </c>
      <c r="H200" s="765"/>
      <c r="I200" s="1418" t="s">
        <v>3592</v>
      </c>
      <c r="J200" s="1419" t="s">
        <v>3593</v>
      </c>
      <c r="K200" s="720" t="s">
        <v>3594</v>
      </c>
    </row>
    <row r="201" spans="1:11" ht="34.5">
      <c r="A201" s="315"/>
      <c r="B201" s="811" t="s">
        <v>3595</v>
      </c>
      <c r="C201" s="1440"/>
      <c r="D201" s="1417"/>
      <c r="E201" s="1420"/>
      <c r="F201" s="716"/>
      <c r="G201" s="717" t="s">
        <v>3596</v>
      </c>
      <c r="H201" s="765"/>
      <c r="I201" s="1418"/>
      <c r="J201" s="1419">
        <v>700</v>
      </c>
      <c r="K201" s="720"/>
    </row>
    <row r="202" spans="1:11" ht="34.5">
      <c r="A202" s="315"/>
      <c r="B202" s="481" t="s">
        <v>3597</v>
      </c>
      <c r="C202" s="1440" t="s">
        <v>3598</v>
      </c>
      <c r="D202" s="1417"/>
      <c r="E202" s="1420" t="s">
        <v>3599</v>
      </c>
      <c r="F202" s="716"/>
      <c r="G202" s="717" t="s">
        <v>3600</v>
      </c>
      <c r="H202" s="765"/>
      <c r="I202" s="1418"/>
      <c r="J202" s="1419" t="s">
        <v>3601</v>
      </c>
      <c r="K202" s="720" t="s">
        <v>3602</v>
      </c>
    </row>
    <row r="203" spans="1:11" ht="34.5">
      <c r="A203" s="315"/>
      <c r="B203" s="481" t="s">
        <v>3603</v>
      </c>
      <c r="C203" s="1440"/>
      <c r="D203" s="1417"/>
      <c r="E203" s="1420"/>
      <c r="F203" s="716"/>
      <c r="G203" s="717" t="s">
        <v>3596</v>
      </c>
      <c r="H203" s="765"/>
      <c r="I203" s="1418"/>
      <c r="J203" s="1419">
        <v>320</v>
      </c>
      <c r="K203" s="720"/>
    </row>
    <row r="204" spans="1:11" ht="34.5">
      <c r="A204" s="315"/>
      <c r="B204" s="481" t="s">
        <v>3604</v>
      </c>
      <c r="C204" s="1440" t="s">
        <v>3605</v>
      </c>
      <c r="D204" s="1417"/>
      <c r="E204" s="1420" t="s">
        <v>3606</v>
      </c>
      <c r="F204" s="716"/>
      <c r="G204" s="717" t="s">
        <v>3600</v>
      </c>
      <c r="H204" s="765"/>
      <c r="I204" s="1418"/>
      <c r="J204" s="1419" t="s">
        <v>3607</v>
      </c>
      <c r="K204" s="720" t="s">
        <v>3608</v>
      </c>
    </row>
    <row r="205" spans="1:11" ht="34.5">
      <c r="A205" s="315"/>
      <c r="B205" s="481" t="s">
        <v>3609</v>
      </c>
      <c r="C205" s="1440"/>
      <c r="D205" s="1417"/>
      <c r="E205" s="1420"/>
      <c r="F205" s="716"/>
      <c r="G205" s="717"/>
      <c r="H205" s="765"/>
      <c r="I205" s="1418"/>
      <c r="J205" s="1419"/>
      <c r="K205" s="720"/>
    </row>
    <row r="206" spans="1:11" ht="34.5">
      <c r="A206" s="315"/>
      <c r="B206" s="481" t="s">
        <v>3610</v>
      </c>
      <c r="C206" s="1440"/>
      <c r="D206" s="1417"/>
      <c r="E206" s="1442"/>
      <c r="F206" s="716"/>
      <c r="G206" s="717" t="s">
        <v>3596</v>
      </c>
      <c r="H206" s="765"/>
      <c r="I206" s="1418" t="s">
        <v>3611</v>
      </c>
      <c r="J206" s="1419">
        <v>220</v>
      </c>
      <c r="K206" s="720"/>
    </row>
    <row r="207" spans="1:11" ht="34.5">
      <c r="A207" s="315"/>
      <c r="B207" s="43"/>
      <c r="C207" s="207"/>
      <c r="D207" s="339"/>
      <c r="E207" s="142"/>
      <c r="F207" s="61"/>
      <c r="G207" s="477"/>
      <c r="H207" s="74"/>
      <c r="I207" s="431"/>
      <c r="J207" s="586"/>
      <c r="K207" s="526"/>
    </row>
    <row r="208" spans="1:11" ht="34.5">
      <c r="A208" s="389"/>
      <c r="B208" s="382"/>
      <c r="C208" s="207"/>
      <c r="D208" s="339"/>
      <c r="E208" s="142"/>
      <c r="F208" s="61"/>
      <c r="G208" s="477"/>
      <c r="H208" s="74"/>
      <c r="I208" s="431"/>
      <c r="J208" s="586"/>
      <c r="K208" s="526"/>
    </row>
    <row r="209" spans="1:11" ht="34.5">
      <c r="A209" s="315"/>
      <c r="B209" s="43"/>
      <c r="C209" s="207"/>
      <c r="D209" s="339"/>
      <c r="E209" s="142"/>
      <c r="F209" s="61"/>
      <c r="G209" s="477"/>
      <c r="H209" s="74"/>
      <c r="I209" s="431"/>
      <c r="J209" s="586"/>
      <c r="K209" s="588"/>
    </row>
    <row r="210" spans="1:11" ht="34.5">
      <c r="A210" s="315"/>
      <c r="B210" s="43"/>
      <c r="C210" s="207"/>
      <c r="D210" s="339"/>
      <c r="E210" s="142"/>
      <c r="F210" s="61"/>
      <c r="G210" s="477"/>
      <c r="H210" s="311"/>
      <c r="I210" s="431"/>
      <c r="J210" s="586"/>
      <c r="K210" s="588"/>
    </row>
    <row r="211" spans="1:11" ht="34.5">
      <c r="A211" s="315"/>
      <c r="B211" s="43"/>
      <c r="C211" s="207"/>
      <c r="D211" s="339"/>
      <c r="E211" s="142"/>
      <c r="F211" s="61"/>
      <c r="G211" s="477"/>
      <c r="H211" s="311"/>
      <c r="I211" s="431"/>
      <c r="J211" s="586"/>
      <c r="K211" s="588"/>
    </row>
    <row r="212" spans="1:11" ht="34.5">
      <c r="A212" s="315"/>
      <c r="B212" s="43"/>
      <c r="C212" s="207"/>
      <c r="D212" s="462"/>
      <c r="E212" s="142"/>
      <c r="F212" s="61"/>
      <c r="G212" s="477"/>
      <c r="H212" s="74"/>
      <c r="I212" s="431"/>
      <c r="J212" s="586"/>
      <c r="K212" s="526"/>
    </row>
    <row r="213" spans="1:11" ht="34.5">
      <c r="A213" s="315"/>
      <c r="B213" s="43"/>
      <c r="C213" s="207"/>
      <c r="D213" s="462"/>
      <c r="E213" s="142"/>
      <c r="F213" s="61"/>
      <c r="G213" s="477"/>
      <c r="H213" s="74"/>
      <c r="I213" s="431"/>
      <c r="J213" s="586"/>
      <c r="K213" s="526"/>
    </row>
    <row r="214" spans="1:11" ht="34.5">
      <c r="A214" s="315"/>
      <c r="B214" s="43"/>
      <c r="C214" s="207"/>
      <c r="D214" s="339"/>
      <c r="E214" s="142"/>
      <c r="F214" s="61"/>
      <c r="G214" s="477"/>
      <c r="H214" s="74"/>
      <c r="I214" s="431"/>
      <c r="J214" s="586"/>
      <c r="K214" s="526"/>
    </row>
    <row r="215" spans="1:11" ht="34.5">
      <c r="A215" s="315"/>
      <c r="B215" s="43"/>
      <c r="C215" s="515"/>
      <c r="D215" s="196"/>
      <c r="E215" s="142"/>
      <c r="F215" s="61"/>
      <c r="G215" s="477"/>
      <c r="H215" s="74"/>
      <c r="I215" s="431"/>
      <c r="J215" s="586"/>
      <c r="K215" s="526"/>
    </row>
    <row r="216" spans="1:11" ht="34.5">
      <c r="A216" s="315"/>
      <c r="B216" s="43"/>
      <c r="C216" s="515"/>
      <c r="D216" s="196"/>
      <c r="E216" s="142"/>
      <c r="F216" s="61"/>
      <c r="G216" s="477"/>
      <c r="H216" s="74"/>
      <c r="I216" s="431"/>
      <c r="J216" s="586"/>
      <c r="K216" s="526"/>
    </row>
    <row r="217" spans="1:11" ht="34.5">
      <c r="A217" s="44"/>
      <c r="B217" s="75"/>
      <c r="C217" s="124"/>
      <c r="D217" s="124"/>
      <c r="E217" s="124"/>
      <c r="F217" s="124"/>
      <c r="G217" s="124"/>
      <c r="H217" s="124"/>
      <c r="I217" s="124"/>
      <c r="J217" s="545"/>
      <c r="K217" s="171"/>
    </row>
    <row r="218" spans="1:11" ht="34.5">
      <c r="A218" s="44"/>
      <c r="B218" s="75"/>
      <c r="C218" s="124"/>
      <c r="D218" s="124"/>
      <c r="E218" s="124"/>
      <c r="F218" s="124"/>
      <c r="G218" s="124"/>
      <c r="H218" s="124"/>
      <c r="I218" s="124"/>
      <c r="J218" s="545"/>
      <c r="K218" s="537">
        <v>3</v>
      </c>
    </row>
    <row r="219" spans="1:11" ht="34.5">
      <c r="A219" s="44" t="s">
        <v>0</v>
      </c>
      <c r="B219" s="127"/>
      <c r="C219" s="167"/>
      <c r="D219" s="125"/>
      <c r="E219" s="45"/>
      <c r="F219" s="68"/>
      <c r="G219" s="353"/>
      <c r="H219" s="76"/>
      <c r="I219" s="497"/>
      <c r="J219" s="540"/>
      <c r="K219" s="171"/>
    </row>
    <row r="220" spans="1:11" ht="34.5">
      <c r="A220" s="112" t="s">
        <v>3935</v>
      </c>
      <c r="B220" s="112"/>
      <c r="C220" s="204"/>
      <c r="D220" s="109"/>
      <c r="E220" s="45"/>
      <c r="F220" s="68"/>
      <c r="G220" s="353"/>
      <c r="H220" s="76"/>
      <c r="I220" s="497"/>
      <c r="J220" s="540"/>
      <c r="K220" s="171"/>
    </row>
    <row r="221" spans="1:11" ht="35.25" thickBot="1">
      <c r="A221" s="75"/>
      <c r="B221" s="125"/>
      <c r="C221" s="335"/>
      <c r="D221" s="125"/>
      <c r="E221" s="45"/>
      <c r="F221" s="68"/>
      <c r="G221" s="353"/>
      <c r="H221" s="76"/>
      <c r="I221" s="497"/>
      <c r="J221" s="540"/>
      <c r="K221" s="171"/>
    </row>
    <row r="222" spans="1:11" ht="34.5">
      <c r="A222" s="3493" t="s">
        <v>2</v>
      </c>
      <c r="B222" s="3482"/>
      <c r="C222" s="336" t="s">
        <v>3</v>
      </c>
      <c r="D222" s="3445" t="s">
        <v>4</v>
      </c>
      <c r="E222" s="77" t="s">
        <v>5</v>
      </c>
      <c r="F222" s="78" t="s">
        <v>5</v>
      </c>
      <c r="G222" s="250" t="s">
        <v>6</v>
      </c>
      <c r="H222" s="344" t="s">
        <v>7</v>
      </c>
      <c r="I222" s="592" t="s">
        <v>1511</v>
      </c>
      <c r="J222" s="584" t="s">
        <v>9</v>
      </c>
      <c r="K222" s="346" t="s">
        <v>9</v>
      </c>
    </row>
    <row r="223" spans="1:11" ht="35.25" thickBot="1">
      <c r="A223" s="155"/>
      <c r="B223" s="138"/>
      <c r="C223" s="337"/>
      <c r="D223" s="51" t="s">
        <v>10</v>
      </c>
      <c r="E223" s="79" t="s">
        <v>11</v>
      </c>
      <c r="F223" s="80" t="s">
        <v>12</v>
      </c>
      <c r="G223" s="476"/>
      <c r="H223" s="345" t="s">
        <v>13</v>
      </c>
      <c r="I223" s="593" t="s">
        <v>1512</v>
      </c>
      <c r="J223" s="585" t="s">
        <v>14</v>
      </c>
      <c r="K223" s="347" t="s">
        <v>15</v>
      </c>
    </row>
    <row r="224" spans="1:11" ht="34.5">
      <c r="A224" s="3523"/>
      <c r="B224" s="3524"/>
      <c r="C224" s="608"/>
      <c r="D224" s="227"/>
      <c r="E224" s="255"/>
      <c r="F224" s="54"/>
      <c r="G224" s="477"/>
      <c r="H224" s="74"/>
      <c r="I224" s="431"/>
      <c r="J224" s="549"/>
      <c r="K224" s="526"/>
    </row>
    <row r="225" spans="1:11" ht="34.5">
      <c r="A225" s="315"/>
      <c r="B225" s="43"/>
      <c r="C225" s="207"/>
      <c r="D225" s="465"/>
      <c r="E225" s="142"/>
      <c r="F225" s="61"/>
      <c r="G225" s="477"/>
      <c r="H225" s="74"/>
      <c r="I225" s="431"/>
      <c r="J225" s="547"/>
      <c r="K225" s="588"/>
    </row>
    <row r="226" spans="1:11" ht="34.5">
      <c r="A226" s="315"/>
      <c r="B226" s="43"/>
      <c r="C226" s="207"/>
      <c r="D226" s="465"/>
      <c r="E226" s="142"/>
      <c r="F226" s="61"/>
      <c r="G226" s="477"/>
      <c r="H226" s="74"/>
      <c r="I226" s="431"/>
      <c r="J226" s="590"/>
      <c r="K226" s="588"/>
    </row>
    <row r="227" spans="1:11" ht="34.5">
      <c r="A227" s="315"/>
      <c r="B227" s="43"/>
      <c r="C227" s="207"/>
      <c r="D227" s="465"/>
      <c r="E227" s="142"/>
      <c r="F227" s="61"/>
      <c r="G227" s="477"/>
      <c r="H227" s="477"/>
      <c r="I227" s="431"/>
      <c r="J227" s="590"/>
      <c r="K227" s="588"/>
    </row>
    <row r="228" spans="1:11" ht="34.5">
      <c r="A228" s="315"/>
      <c r="B228" s="43"/>
      <c r="C228" s="207"/>
      <c r="D228" s="465"/>
      <c r="E228" s="142"/>
      <c r="F228" s="61"/>
      <c r="G228" s="477"/>
      <c r="H228" s="74"/>
      <c r="I228" s="431"/>
      <c r="J228" s="590"/>
      <c r="K228" s="588"/>
    </row>
    <row r="229" spans="1:11" ht="34.5">
      <c r="A229" s="315"/>
      <c r="B229" s="43"/>
      <c r="C229" s="207"/>
      <c r="D229" s="465"/>
      <c r="E229" s="142"/>
      <c r="F229" s="61"/>
      <c r="G229" s="478"/>
      <c r="H229" s="224"/>
      <c r="I229" s="505"/>
      <c r="J229" s="609"/>
      <c r="K229" s="589"/>
    </row>
    <row r="230" spans="1:11" ht="34.5">
      <c r="A230" s="315"/>
      <c r="B230" s="43"/>
      <c r="C230" s="207"/>
      <c r="D230" s="465"/>
      <c r="E230" s="142"/>
      <c r="F230" s="61"/>
      <c r="G230" s="478"/>
      <c r="H230" s="224"/>
      <c r="I230" s="505"/>
      <c r="J230" s="609"/>
      <c r="K230" s="589"/>
    </row>
    <row r="231" spans="1:11" ht="34.5">
      <c r="A231" s="315"/>
      <c r="B231" s="43"/>
      <c r="C231" s="207"/>
      <c r="D231" s="465"/>
      <c r="E231" s="142"/>
      <c r="F231" s="61"/>
      <c r="G231" s="477"/>
      <c r="H231" s="224"/>
      <c r="I231" s="505"/>
      <c r="J231" s="609"/>
      <c r="K231" s="589"/>
    </row>
    <row r="232" spans="1:11" ht="34.5">
      <c r="A232" s="315"/>
      <c r="B232" s="43"/>
      <c r="C232" s="207"/>
      <c r="D232" s="465"/>
      <c r="E232" s="142"/>
      <c r="F232" s="61"/>
      <c r="G232" s="477"/>
      <c r="H232" s="74"/>
      <c r="I232" s="431"/>
      <c r="J232" s="590"/>
      <c r="K232" s="588"/>
    </row>
    <row r="233" spans="1:11" ht="34.5">
      <c r="A233" s="315"/>
      <c r="B233" s="43"/>
      <c r="C233" s="207"/>
      <c r="D233" s="465"/>
      <c r="E233" s="142"/>
      <c r="F233" s="61"/>
      <c r="G233" s="477"/>
      <c r="H233" s="74"/>
      <c r="I233" s="431"/>
      <c r="J233" s="590"/>
      <c r="K233" s="588"/>
    </row>
    <row r="234" spans="1:11" ht="34.5">
      <c r="A234" s="315"/>
      <c r="B234" s="43"/>
      <c r="C234" s="207"/>
      <c r="D234" s="465"/>
      <c r="E234" s="142"/>
      <c r="F234" s="61"/>
      <c r="G234" s="477"/>
      <c r="H234" s="74"/>
      <c r="I234" s="431"/>
      <c r="J234" s="590"/>
      <c r="K234" s="588"/>
    </row>
    <row r="235" spans="1:11" ht="34.5">
      <c r="A235" s="315"/>
      <c r="B235" s="43"/>
      <c r="C235" s="207"/>
      <c r="D235" s="3469"/>
      <c r="E235" s="142"/>
      <c r="F235" s="61"/>
      <c r="G235" s="478"/>
      <c r="H235" s="224"/>
      <c r="I235" s="505"/>
      <c r="J235" s="591"/>
      <c r="K235" s="589"/>
    </row>
    <row r="236" spans="1:11" ht="34.5">
      <c r="A236" s="315"/>
      <c r="B236" s="43"/>
      <c r="C236" s="207"/>
      <c r="D236" s="3469"/>
      <c r="E236" s="100"/>
      <c r="F236" s="61"/>
      <c r="G236" s="477"/>
      <c r="H236" s="74"/>
      <c r="I236" s="431"/>
      <c r="J236" s="590"/>
      <c r="K236" s="526"/>
    </row>
    <row r="237" spans="1:11" ht="34.5">
      <c r="A237" s="315"/>
      <c r="B237" s="43"/>
      <c r="C237" s="207"/>
      <c r="D237" s="3469"/>
      <c r="E237" s="142"/>
      <c r="F237" s="61"/>
      <c r="G237" s="477"/>
      <c r="H237" s="74"/>
      <c r="I237" s="431"/>
      <c r="J237" s="590"/>
      <c r="K237" s="526"/>
    </row>
    <row r="238" spans="1:11" ht="34.5">
      <c r="A238" s="315"/>
      <c r="B238" s="43"/>
      <c r="C238" s="207"/>
      <c r="D238" s="3469"/>
      <c r="E238" s="142"/>
      <c r="F238" s="61"/>
      <c r="G238" s="477"/>
      <c r="H238" s="74"/>
      <c r="I238" s="431"/>
      <c r="J238" s="590"/>
      <c r="K238" s="526"/>
    </row>
    <row r="239" spans="1:11" ht="34.5">
      <c r="A239" s="315"/>
      <c r="B239" s="43"/>
      <c r="C239" s="207"/>
      <c r="D239" s="3469"/>
      <c r="E239" s="100"/>
      <c r="F239" s="61"/>
      <c r="G239" s="477"/>
      <c r="H239" s="74"/>
      <c r="I239" s="431"/>
      <c r="J239" s="586"/>
      <c r="K239" s="526"/>
    </row>
    <row r="240" spans="1:11" ht="34.5">
      <c r="A240" s="315"/>
      <c r="B240" s="43"/>
      <c r="C240" s="207"/>
      <c r="D240" s="339"/>
      <c r="E240" s="100"/>
      <c r="F240" s="61"/>
      <c r="G240" s="477"/>
      <c r="H240" s="74"/>
      <c r="I240" s="431"/>
      <c r="J240" s="586"/>
      <c r="K240" s="526"/>
    </row>
    <row r="241" spans="1:11" ht="34.5">
      <c r="A241" s="315"/>
      <c r="B241" s="43"/>
      <c r="C241" s="207"/>
      <c r="D241" s="339"/>
      <c r="E241" s="198"/>
      <c r="F241" s="61"/>
      <c r="G241" s="477"/>
      <c r="H241" s="88"/>
      <c r="I241" s="456"/>
      <c r="J241" s="605"/>
      <c r="K241" s="528"/>
    </row>
    <row r="242" spans="1:11" ht="34.5">
      <c r="A242" s="315"/>
      <c r="B242" s="43"/>
      <c r="C242" s="207"/>
      <c r="D242" s="339"/>
      <c r="E242" s="198"/>
      <c r="F242" s="61"/>
      <c r="G242" s="477"/>
      <c r="H242" s="74"/>
      <c r="I242" s="431"/>
      <c r="J242" s="586"/>
      <c r="K242" s="526"/>
    </row>
    <row r="243" spans="1:11" ht="34.5">
      <c r="A243" s="315"/>
      <c r="B243" s="43"/>
      <c r="C243" s="207"/>
      <c r="D243" s="339"/>
      <c r="E243" s="142"/>
      <c r="F243" s="61"/>
      <c r="G243" s="477"/>
      <c r="H243" s="74"/>
      <c r="I243" s="431"/>
      <c r="J243" s="586"/>
      <c r="K243" s="526"/>
    </row>
    <row r="244" spans="1:11" ht="34.5">
      <c r="A244" s="389"/>
      <c r="B244" s="382"/>
      <c r="C244" s="207"/>
      <c r="D244" s="339"/>
      <c r="E244" s="142"/>
      <c r="F244" s="61"/>
      <c r="G244" s="477"/>
      <c r="H244" s="74"/>
      <c r="I244" s="431"/>
      <c r="J244" s="586"/>
      <c r="K244" s="526"/>
    </row>
    <row r="245" spans="1:11" ht="34.5">
      <c r="A245" s="315"/>
      <c r="B245" s="43"/>
      <c r="C245" s="207"/>
      <c r="D245" s="339"/>
      <c r="E245" s="142"/>
      <c r="F245" s="61"/>
      <c r="G245" s="477"/>
      <c r="H245" s="74"/>
      <c r="I245" s="431"/>
      <c r="J245" s="586"/>
      <c r="K245" s="588"/>
    </row>
    <row r="246" spans="1:11" ht="34.5">
      <c r="A246" s="315"/>
      <c r="B246" s="43"/>
      <c r="C246" s="207"/>
      <c r="D246" s="339"/>
      <c r="E246" s="142"/>
      <c r="F246" s="61"/>
      <c r="G246" s="477"/>
      <c r="H246" s="311"/>
      <c r="I246" s="431"/>
      <c r="J246" s="586"/>
      <c r="K246" s="588"/>
    </row>
    <row r="247" spans="1:11" ht="34.5">
      <c r="A247" s="315"/>
      <c r="B247" s="43"/>
      <c r="C247" s="207"/>
      <c r="D247" s="339"/>
      <c r="E247" s="142"/>
      <c r="F247" s="61"/>
      <c r="G247" s="477"/>
      <c r="H247" s="311"/>
      <c r="I247" s="431"/>
      <c r="J247" s="586"/>
      <c r="K247" s="588"/>
    </row>
    <row r="248" spans="1:11" ht="34.5">
      <c r="A248" s="315"/>
      <c r="B248" s="43"/>
      <c r="C248" s="207"/>
      <c r="D248" s="462"/>
      <c r="E248" s="142"/>
      <c r="F248" s="61"/>
      <c r="G248" s="477"/>
      <c r="H248" s="74"/>
      <c r="I248" s="431"/>
      <c r="J248" s="586"/>
      <c r="K248" s="526"/>
    </row>
    <row r="249" spans="1:11" ht="34.5">
      <c r="A249" s="315"/>
      <c r="B249" s="43"/>
      <c r="C249" s="207"/>
      <c r="D249" s="462"/>
      <c r="E249" s="142"/>
      <c r="F249" s="61"/>
      <c r="G249" s="477"/>
      <c r="H249" s="74"/>
      <c r="I249" s="431"/>
      <c r="J249" s="586"/>
      <c r="K249" s="526"/>
    </row>
    <row r="250" spans="1:11" ht="34.5">
      <c r="A250" s="315"/>
      <c r="B250" s="43"/>
      <c r="C250" s="207"/>
      <c r="D250" s="339"/>
      <c r="E250" s="142"/>
      <c r="F250" s="61"/>
      <c r="G250" s="477"/>
      <c r="H250" s="74"/>
      <c r="I250" s="431"/>
      <c r="J250" s="586"/>
      <c r="K250" s="526"/>
    </row>
    <row r="251" spans="1:11" ht="34.5">
      <c r="A251" s="315"/>
      <c r="B251" s="43"/>
      <c r="C251" s="515"/>
      <c r="D251" s="196"/>
      <c r="E251" s="142"/>
      <c r="F251" s="61"/>
      <c r="G251" s="477"/>
      <c r="H251" s="74"/>
      <c r="I251" s="431"/>
      <c r="J251" s="586"/>
      <c r="K251" s="526"/>
    </row>
    <row r="252" spans="1:11" ht="34.5">
      <c r="A252" s="315"/>
      <c r="B252" s="43"/>
      <c r="C252" s="515"/>
      <c r="D252" s="196"/>
      <c r="E252" s="142"/>
      <c r="F252" s="61"/>
      <c r="G252" s="477"/>
      <c r="H252" s="74"/>
      <c r="I252" s="431"/>
      <c r="J252" s="586"/>
      <c r="K252" s="526"/>
    </row>
    <row r="253" spans="1:11" ht="34.5">
      <c r="A253" s="44"/>
      <c r="B253" s="75"/>
      <c r="C253" s="124"/>
      <c r="D253" s="124"/>
      <c r="E253" s="124"/>
      <c r="F253" s="124"/>
      <c r="G253" s="124"/>
      <c r="H253" s="124"/>
      <c r="I253" s="124"/>
      <c r="J253" s="545"/>
      <c r="K253" s="171"/>
    </row>
    <row r="254" spans="1:11" ht="34.5">
      <c r="A254" s="44"/>
      <c r="B254" s="75"/>
      <c r="C254" s="124"/>
      <c r="D254" s="124"/>
      <c r="E254" s="124"/>
      <c r="F254" s="124"/>
      <c r="G254" s="124"/>
      <c r="H254" s="124"/>
      <c r="I254" s="124"/>
      <c r="J254" s="545"/>
      <c r="K254" s="537">
        <v>3</v>
      </c>
    </row>
    <row r="255" spans="1:11" ht="34.5">
      <c r="A255" s="44" t="s">
        <v>0</v>
      </c>
      <c r="B255" s="127"/>
      <c r="C255" s="167"/>
      <c r="D255" s="125"/>
      <c r="E255" s="45"/>
      <c r="F255" s="68"/>
      <c r="G255" s="353"/>
      <c r="H255" s="76"/>
      <c r="I255" s="497"/>
      <c r="J255" s="540"/>
      <c r="K255" s="171"/>
    </row>
    <row r="256" spans="1:11" ht="34.5">
      <c r="A256" s="112" t="s">
        <v>3935</v>
      </c>
      <c r="B256" s="112"/>
      <c r="C256" s="204"/>
      <c r="D256" s="109"/>
      <c r="E256" s="45"/>
      <c r="F256" s="68"/>
      <c r="G256" s="353"/>
      <c r="H256" s="76"/>
      <c r="I256" s="497"/>
      <c r="J256" s="540"/>
      <c r="K256" s="171"/>
    </row>
    <row r="257" spans="1:11" ht="35.25" thickBot="1">
      <c r="A257" s="75"/>
      <c r="B257" s="125"/>
      <c r="C257" s="335"/>
      <c r="D257" s="125"/>
      <c r="E257" s="45"/>
      <c r="F257" s="68"/>
      <c r="G257" s="353"/>
      <c r="H257" s="76"/>
      <c r="I257" s="497"/>
      <c r="J257" s="540"/>
      <c r="K257" s="171"/>
    </row>
    <row r="258" spans="1:11" ht="34.5">
      <c r="A258" s="3493" t="s">
        <v>2</v>
      </c>
      <c r="B258" s="3482"/>
      <c r="C258" s="336" t="s">
        <v>3</v>
      </c>
      <c r="D258" s="3445" t="s">
        <v>4</v>
      </c>
      <c r="E258" s="77" t="s">
        <v>5</v>
      </c>
      <c r="F258" s="78" t="s">
        <v>5</v>
      </c>
      <c r="G258" s="250" t="s">
        <v>6</v>
      </c>
      <c r="H258" s="344" t="s">
        <v>7</v>
      </c>
      <c r="I258" s="592" t="s">
        <v>1511</v>
      </c>
      <c r="J258" s="584" t="s">
        <v>9</v>
      </c>
      <c r="K258" s="346" t="s">
        <v>9</v>
      </c>
    </row>
    <row r="259" spans="1:11" ht="35.25" thickBot="1">
      <c r="A259" s="155"/>
      <c r="B259" s="138"/>
      <c r="C259" s="337"/>
      <c r="D259" s="51" t="s">
        <v>10</v>
      </c>
      <c r="E259" s="79" t="s">
        <v>11</v>
      </c>
      <c r="F259" s="80" t="s">
        <v>12</v>
      </c>
      <c r="G259" s="476"/>
      <c r="H259" s="345" t="s">
        <v>13</v>
      </c>
      <c r="I259" s="593" t="s">
        <v>1512</v>
      </c>
      <c r="J259" s="585" t="s">
        <v>14</v>
      </c>
      <c r="K259" s="347" t="s">
        <v>15</v>
      </c>
    </row>
    <row r="260" spans="1:11" ht="34.5">
      <c r="A260" s="3523"/>
      <c r="B260" s="3524"/>
      <c r="C260" s="608"/>
      <c r="D260" s="227"/>
      <c r="E260" s="255"/>
      <c r="F260" s="54"/>
      <c r="G260" s="477"/>
      <c r="H260" s="74"/>
      <c r="I260" s="431"/>
      <c r="J260" s="549"/>
      <c r="K260" s="526"/>
    </row>
    <row r="261" spans="1:11" ht="34.5">
      <c r="A261" s="315"/>
      <c r="B261" s="43"/>
      <c r="C261" s="207"/>
      <c r="D261" s="465"/>
      <c r="E261" s="142"/>
      <c r="F261" s="61"/>
      <c r="G261" s="477"/>
      <c r="H261" s="74"/>
      <c r="I261" s="431"/>
      <c r="J261" s="547"/>
      <c r="K261" s="588"/>
    </row>
    <row r="262" spans="1:11" ht="34.5">
      <c r="A262" s="315"/>
      <c r="B262" s="43"/>
      <c r="C262" s="207"/>
      <c r="D262" s="465"/>
      <c r="E262" s="142"/>
      <c r="F262" s="61"/>
      <c r="G262" s="477"/>
      <c r="H262" s="74"/>
      <c r="I262" s="431"/>
      <c r="J262" s="590"/>
      <c r="K262" s="588"/>
    </row>
    <row r="263" spans="1:11" ht="34.5">
      <c r="A263" s="315"/>
      <c r="B263" s="43"/>
      <c r="C263" s="207"/>
      <c r="D263" s="465"/>
      <c r="E263" s="142"/>
      <c r="F263" s="61"/>
      <c r="G263" s="477"/>
      <c r="H263" s="477"/>
      <c r="I263" s="431"/>
      <c r="J263" s="590"/>
      <c r="K263" s="588"/>
    </row>
    <row r="264" spans="1:11" ht="34.5">
      <c r="A264" s="315"/>
      <c r="B264" s="43"/>
      <c r="C264" s="207"/>
      <c r="D264" s="465"/>
      <c r="E264" s="142"/>
      <c r="F264" s="61"/>
      <c r="G264" s="477"/>
      <c r="H264" s="74"/>
      <c r="I264" s="431"/>
      <c r="J264" s="590"/>
      <c r="K264" s="588"/>
    </row>
    <row r="265" spans="1:11" ht="34.5">
      <c r="A265" s="315"/>
      <c r="B265" s="43"/>
      <c r="C265" s="207"/>
      <c r="D265" s="465"/>
      <c r="E265" s="142"/>
      <c r="F265" s="61"/>
      <c r="G265" s="478"/>
      <c r="H265" s="224"/>
      <c r="I265" s="505"/>
      <c r="J265" s="609"/>
      <c r="K265" s="589"/>
    </row>
    <row r="266" spans="1:11" ht="34.5">
      <c r="A266" s="315"/>
      <c r="B266" s="43"/>
      <c r="C266" s="207"/>
      <c r="D266" s="465"/>
      <c r="E266" s="142"/>
      <c r="F266" s="61"/>
      <c r="G266" s="478"/>
      <c r="H266" s="224"/>
      <c r="I266" s="505"/>
      <c r="J266" s="609"/>
      <c r="K266" s="589"/>
    </row>
    <row r="267" spans="1:11" ht="34.5">
      <c r="A267" s="315"/>
      <c r="B267" s="43"/>
      <c r="C267" s="207"/>
      <c r="D267" s="465"/>
      <c r="E267" s="142"/>
      <c r="F267" s="61"/>
      <c r="G267" s="477"/>
      <c r="H267" s="224"/>
      <c r="I267" s="505"/>
      <c r="J267" s="609"/>
      <c r="K267" s="589"/>
    </row>
    <row r="268" spans="1:11" ht="34.5">
      <c r="A268" s="315"/>
      <c r="B268" s="43"/>
      <c r="C268" s="207"/>
      <c r="D268" s="465"/>
      <c r="E268" s="142"/>
      <c r="F268" s="61"/>
      <c r="G268" s="477"/>
      <c r="H268" s="74"/>
      <c r="I268" s="431"/>
      <c r="J268" s="590"/>
      <c r="K268" s="588"/>
    </row>
    <row r="269" spans="1:11" ht="34.5">
      <c r="A269" s="315"/>
      <c r="B269" s="43"/>
      <c r="C269" s="207"/>
      <c r="D269" s="465"/>
      <c r="E269" s="142"/>
      <c r="F269" s="61"/>
      <c r="G269" s="477"/>
      <c r="H269" s="74"/>
      <c r="I269" s="431"/>
      <c r="J269" s="590"/>
      <c r="K269" s="588"/>
    </row>
    <row r="270" spans="1:11" ht="34.5">
      <c r="A270" s="315"/>
      <c r="B270" s="43"/>
      <c r="C270" s="207"/>
      <c r="D270" s="465"/>
      <c r="E270" s="142"/>
      <c r="F270" s="61"/>
      <c r="G270" s="477"/>
      <c r="H270" s="74"/>
      <c r="I270" s="431"/>
      <c r="J270" s="590"/>
      <c r="K270" s="588"/>
    </row>
    <row r="271" spans="1:11" ht="34.5">
      <c r="A271" s="315"/>
      <c r="B271" s="43"/>
      <c r="C271" s="207"/>
      <c r="D271" s="3469"/>
      <c r="E271" s="142"/>
      <c r="F271" s="61"/>
      <c r="G271" s="478"/>
      <c r="H271" s="224"/>
      <c r="I271" s="505"/>
      <c r="J271" s="591"/>
      <c r="K271" s="589"/>
    </row>
    <row r="272" spans="1:11" ht="34.5">
      <c r="A272" s="315"/>
      <c r="B272" s="43"/>
      <c r="C272" s="207"/>
      <c r="D272" s="3469"/>
      <c r="E272" s="100"/>
      <c r="F272" s="61"/>
      <c r="G272" s="477"/>
      <c r="H272" s="74"/>
      <c r="I272" s="431"/>
      <c r="J272" s="590"/>
      <c r="K272" s="526"/>
    </row>
    <row r="273" spans="1:11" ht="34.5">
      <c r="A273" s="315"/>
      <c r="B273" s="43"/>
      <c r="C273" s="207"/>
      <c r="D273" s="3469"/>
      <c r="E273" s="142"/>
      <c r="F273" s="61"/>
      <c r="G273" s="477"/>
      <c r="H273" s="74"/>
      <c r="I273" s="431"/>
      <c r="J273" s="590"/>
      <c r="K273" s="526"/>
    </row>
    <row r="274" spans="1:11" ht="34.5">
      <c r="A274" s="315"/>
      <c r="B274" s="43"/>
      <c r="C274" s="207"/>
      <c r="D274" s="3469"/>
      <c r="E274" s="142"/>
      <c r="F274" s="61"/>
      <c r="G274" s="477"/>
      <c r="H274" s="74"/>
      <c r="I274" s="431"/>
      <c r="J274" s="590"/>
      <c r="K274" s="526"/>
    </row>
    <row r="275" spans="1:11" ht="34.5">
      <c r="A275" s="315"/>
      <c r="B275" s="43"/>
      <c r="C275" s="207"/>
      <c r="D275" s="3469"/>
      <c r="E275" s="100"/>
      <c r="F275" s="61"/>
      <c r="G275" s="477"/>
      <c r="H275" s="74"/>
      <c r="I275" s="431"/>
      <c r="J275" s="586"/>
      <c r="K275" s="526"/>
    </row>
    <row r="276" spans="1:11" ht="34.5">
      <c r="A276" s="315"/>
      <c r="B276" s="43"/>
      <c r="C276" s="207"/>
      <c r="D276" s="339"/>
      <c r="E276" s="100"/>
      <c r="F276" s="61"/>
      <c r="G276" s="477"/>
      <c r="H276" s="74"/>
      <c r="I276" s="431"/>
      <c r="J276" s="586"/>
      <c r="K276" s="526"/>
    </row>
    <row r="277" spans="1:11" ht="34.5">
      <c r="A277" s="315"/>
      <c r="B277" s="43"/>
      <c r="C277" s="207"/>
      <c r="D277" s="339"/>
      <c r="E277" s="198"/>
      <c r="F277" s="61"/>
      <c r="G277" s="477"/>
      <c r="H277" s="88"/>
      <c r="I277" s="456"/>
      <c r="J277" s="605"/>
      <c r="K277" s="528"/>
    </row>
    <row r="278" spans="1:11" ht="34.5">
      <c r="A278" s="315"/>
      <c r="B278" s="43"/>
      <c r="C278" s="207"/>
      <c r="D278" s="339"/>
      <c r="E278" s="198"/>
      <c r="F278" s="61"/>
      <c r="G278" s="477"/>
      <c r="H278" s="74"/>
      <c r="I278" s="431"/>
      <c r="J278" s="586"/>
      <c r="K278" s="526"/>
    </row>
    <row r="279" spans="1:11" ht="34.5">
      <c r="A279" s="315"/>
      <c r="B279" s="43"/>
      <c r="C279" s="207"/>
      <c r="D279" s="339"/>
      <c r="E279" s="142"/>
      <c r="F279" s="61"/>
      <c r="G279" s="477"/>
      <c r="H279" s="74"/>
      <c r="I279" s="431"/>
      <c r="J279" s="586"/>
      <c r="K279" s="526"/>
    </row>
    <row r="280" spans="1:11" ht="34.5">
      <c r="A280" s="389"/>
      <c r="B280" s="382"/>
      <c r="C280" s="207"/>
      <c r="D280" s="339"/>
      <c r="E280" s="142"/>
      <c r="F280" s="61"/>
      <c r="G280" s="477"/>
      <c r="H280" s="74"/>
      <c r="I280" s="431"/>
      <c r="J280" s="586"/>
      <c r="K280" s="526"/>
    </row>
    <row r="281" spans="1:11" ht="34.5">
      <c r="A281" s="315"/>
      <c r="B281" s="43"/>
      <c r="C281" s="207"/>
      <c r="D281" s="339"/>
      <c r="E281" s="142"/>
      <c r="F281" s="61"/>
      <c r="G281" s="477"/>
      <c r="H281" s="74"/>
      <c r="I281" s="431"/>
      <c r="J281" s="586"/>
      <c r="K281" s="588"/>
    </row>
    <row r="282" spans="1:11" ht="34.5">
      <c r="A282" s="315"/>
      <c r="B282" s="43"/>
      <c r="C282" s="207"/>
      <c r="D282" s="339"/>
      <c r="E282" s="142"/>
      <c r="F282" s="61"/>
      <c r="G282" s="477"/>
      <c r="H282" s="311"/>
      <c r="I282" s="431"/>
      <c r="J282" s="586"/>
      <c r="K282" s="588"/>
    </row>
    <row r="283" spans="1:11" ht="34.5">
      <c r="A283" s="315"/>
      <c r="B283" s="43"/>
      <c r="C283" s="207"/>
      <c r="D283" s="339"/>
      <c r="E283" s="142"/>
      <c r="F283" s="61"/>
      <c r="G283" s="477"/>
      <c r="H283" s="311"/>
      <c r="I283" s="431"/>
      <c r="J283" s="586"/>
      <c r="K283" s="588"/>
    </row>
    <row r="284" spans="1:11" ht="34.5">
      <c r="A284" s="315"/>
      <c r="B284" s="43"/>
      <c r="C284" s="207"/>
      <c r="D284" s="462"/>
      <c r="E284" s="142"/>
      <c r="F284" s="61"/>
      <c r="G284" s="477"/>
      <c r="H284" s="74"/>
      <c r="I284" s="431"/>
      <c r="J284" s="586"/>
      <c r="K284" s="526"/>
    </row>
    <row r="285" spans="1:11" ht="34.5">
      <c r="A285" s="315"/>
      <c r="B285" s="43"/>
      <c r="C285" s="207"/>
      <c r="D285" s="462"/>
      <c r="E285" s="142"/>
      <c r="F285" s="61"/>
      <c r="G285" s="477"/>
      <c r="H285" s="74"/>
      <c r="I285" s="431"/>
      <c r="J285" s="586"/>
      <c r="K285" s="526"/>
    </row>
    <row r="286" spans="1:11" ht="34.5">
      <c r="A286" s="315"/>
      <c r="B286" s="43"/>
      <c r="C286" s="207"/>
      <c r="D286" s="339"/>
      <c r="E286" s="142"/>
      <c r="F286" s="61"/>
      <c r="G286" s="477"/>
      <c r="H286" s="74"/>
      <c r="I286" s="431"/>
      <c r="J286" s="586"/>
      <c r="K286" s="526"/>
    </row>
    <row r="287" spans="1:11" ht="34.5">
      <c r="A287" s="315"/>
      <c r="B287" s="43"/>
      <c r="C287" s="515"/>
      <c r="D287" s="196"/>
      <c r="E287" s="142"/>
      <c r="F287" s="61"/>
      <c r="G287" s="477"/>
      <c r="H287" s="74"/>
      <c r="I287" s="431"/>
      <c r="J287" s="586"/>
      <c r="K287" s="526"/>
    </row>
    <row r="288" spans="1:11" ht="34.5">
      <c r="A288" s="315"/>
      <c r="B288" s="43"/>
      <c r="C288" s="515"/>
      <c r="D288" s="196"/>
      <c r="E288" s="142"/>
      <c r="F288" s="61"/>
      <c r="G288" s="477"/>
      <c r="H288" s="74"/>
      <c r="I288" s="431"/>
      <c r="J288" s="586"/>
      <c r="K288" s="526"/>
    </row>
    <row r="289" spans="1:11" ht="34.5">
      <c r="A289" s="44"/>
      <c r="B289" s="75"/>
      <c r="C289" s="124"/>
      <c r="D289" s="124"/>
      <c r="E289" s="124"/>
      <c r="F289" s="124"/>
      <c r="G289" s="124"/>
      <c r="H289" s="124"/>
      <c r="I289" s="124"/>
      <c r="J289" s="545"/>
      <c r="K289" s="171"/>
    </row>
  </sheetData>
  <mergeCells count="18">
    <mergeCell ref="A64:B64"/>
    <mergeCell ref="A50:B50"/>
    <mergeCell ref="A5:B5"/>
    <mergeCell ref="A7:B7"/>
    <mergeCell ref="A77:B77"/>
    <mergeCell ref="A59:B59"/>
    <mergeCell ref="A41:B41"/>
    <mergeCell ref="B66:C66"/>
    <mergeCell ref="A58:B58"/>
    <mergeCell ref="A113:B113"/>
    <mergeCell ref="A260:B260"/>
    <mergeCell ref="A150:B150"/>
    <mergeCell ref="A152:B152"/>
    <mergeCell ref="A186:B186"/>
    <mergeCell ref="A188:B188"/>
    <mergeCell ref="A258:B258"/>
    <mergeCell ref="A222:B222"/>
    <mergeCell ref="A224:B224"/>
  </mergeCells>
  <phoneticPr fontId="6" type="noConversion"/>
  <hyperlinks>
    <hyperlink ref="K16" r:id="rId1" xr:uid="{5C246D32-99F5-4BA5-B57F-AD642C07B58B}"/>
    <hyperlink ref="I158" r:id="rId2" display="ปกติ990@99" xr:uid="{A2C60ECD-8CA1-428F-AB83-68B702CAD3B5}"/>
    <hyperlink ref="I159" r:id="rId3" display="ปกติ990@99" xr:uid="{1E4F7227-F697-4BE0-91BD-88929AB7D725}"/>
  </hyperlinks>
  <pageMargins left="0.41" right="0.14000000000000001" top="0.14000000000000001" bottom="0.13" header="0.14000000000000001" footer="0.13"/>
  <pageSetup paperSize="9" scale="67" orientation="portrait" r:id="rId4"/>
  <headerFooter alignWithMargins="0"/>
  <rowBreaks count="3" manualBreakCount="3">
    <brk id="36" max="16383" man="1"/>
    <brk id="72" max="32" man="1"/>
    <brk id="108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0D1F-7501-46BB-BDDD-9A78A6F94D10}">
  <sheetPr>
    <tabColor indexed="38"/>
  </sheetPr>
  <dimension ref="A1:Q614"/>
  <sheetViews>
    <sheetView view="pageBreakPreview" topLeftCell="B77" zoomScale="115" zoomScaleNormal="100" workbookViewId="0">
      <selection activeCell="F84" sqref="F84"/>
    </sheetView>
  </sheetViews>
  <sheetFormatPr defaultColWidth="12.140625" defaultRowHeight="34.5"/>
  <cols>
    <col min="1" max="1" width="2.7109375" style="75" customWidth="1"/>
    <col min="2" max="2" width="29.7109375" style="125" customWidth="1"/>
    <col min="3" max="3" width="12.85546875" style="102" customWidth="1"/>
    <col min="4" max="4" width="12.85546875" style="125" customWidth="1"/>
    <col min="5" max="5" width="12.85546875" style="45" customWidth="1"/>
    <col min="6" max="6" width="12.85546875" style="152" customWidth="1"/>
    <col min="7" max="7" width="12.85546875" style="210" customWidth="1"/>
    <col min="8" max="8" width="11.5703125" style="76" customWidth="1"/>
    <col min="9" max="9" width="20.28515625" style="178" customWidth="1"/>
    <col min="10" max="10" width="12.7109375" style="170" customWidth="1"/>
    <col min="11" max="11" width="12.7109375" style="164" customWidth="1"/>
    <col min="12" max="12" width="16.140625" style="169" customWidth="1"/>
    <col min="13" max="13" width="14.85546875" style="188" customWidth="1"/>
    <col min="14" max="14" width="13.85546875" style="188" customWidth="1"/>
    <col min="15" max="15" width="12.28515625" style="189" customWidth="1"/>
    <col min="16" max="16" width="18.140625" style="170" customWidth="1"/>
    <col min="17" max="16384" width="12.140625" style="76"/>
  </cols>
  <sheetData>
    <row r="1" spans="1:16" ht="34.5" customHeight="1">
      <c r="F1" s="68"/>
    </row>
    <row r="2" spans="1:16">
      <c r="A2" s="44" t="s">
        <v>0</v>
      </c>
      <c r="C2" s="104"/>
      <c r="F2" s="68"/>
      <c r="I2" s="179"/>
      <c r="K2" s="163"/>
      <c r="L2" s="168"/>
    </row>
    <row r="3" spans="1:16">
      <c r="A3" s="3480" t="s">
        <v>2494</v>
      </c>
      <c r="B3" s="3480"/>
      <c r="C3" s="44"/>
      <c r="D3" s="109"/>
      <c r="F3" s="68"/>
      <c r="I3" s="179"/>
      <c r="K3" s="163"/>
      <c r="L3" s="168"/>
    </row>
    <row r="4" spans="1:16" ht="34.5" customHeight="1" thickBot="1">
      <c r="F4" s="68"/>
    </row>
    <row r="5" spans="1:16">
      <c r="A5" s="3493" t="s">
        <v>2</v>
      </c>
      <c r="B5" s="3482"/>
      <c r="C5" s="48" t="s">
        <v>3</v>
      </c>
      <c r="D5" s="128" t="s">
        <v>4</v>
      </c>
      <c r="E5" s="77" t="s">
        <v>5</v>
      </c>
      <c r="F5" s="78" t="s">
        <v>5</v>
      </c>
      <c r="G5" s="211" t="s">
        <v>6</v>
      </c>
      <c r="H5" s="140" t="s">
        <v>7</v>
      </c>
      <c r="I5" s="180" t="s">
        <v>1511</v>
      </c>
      <c r="J5" s="186" t="s">
        <v>9</v>
      </c>
      <c r="K5" s="186" t="s">
        <v>9</v>
      </c>
      <c r="L5" s="246" t="s">
        <v>2495</v>
      </c>
      <c r="M5" s="190"/>
    </row>
    <row r="6" spans="1:16" ht="35.25" thickBot="1">
      <c r="A6" s="1502"/>
      <c r="B6" s="1112"/>
      <c r="C6" s="50"/>
      <c r="D6" s="129" t="s">
        <v>10</v>
      </c>
      <c r="E6" s="79" t="s">
        <v>11</v>
      </c>
      <c r="F6" s="80" t="s">
        <v>12</v>
      </c>
      <c r="G6" s="212"/>
      <c r="H6" s="141" t="s">
        <v>13</v>
      </c>
      <c r="I6" s="181" t="s">
        <v>1512</v>
      </c>
      <c r="J6" s="187" t="s">
        <v>14</v>
      </c>
      <c r="K6" s="187" t="s">
        <v>15</v>
      </c>
      <c r="L6" s="247" t="s">
        <v>2496</v>
      </c>
      <c r="M6" s="190"/>
    </row>
    <row r="7" spans="1:16">
      <c r="A7" s="297" t="s">
        <v>4029</v>
      </c>
      <c r="B7" s="2240"/>
      <c r="C7" s="63"/>
      <c r="D7" s="83"/>
      <c r="E7" s="99"/>
      <c r="F7" s="69"/>
      <c r="G7" s="206"/>
      <c r="H7" s="74"/>
      <c r="I7" s="183"/>
      <c r="J7" s="175"/>
      <c r="K7" s="172"/>
      <c r="L7" s="281"/>
      <c r="M7" s="188">
        <v>3552</v>
      </c>
      <c r="N7" s="188">
        <f t="shared" ref="N7:N23" si="0">M7-(M7*0.03)</f>
        <v>3445.44</v>
      </c>
      <c r="O7" s="189">
        <v>7.0000000000000007E-2</v>
      </c>
      <c r="P7" s="170">
        <f t="shared" ref="P7:P23" si="1">(N7*O7)+N7</f>
        <v>3686.6208000000001</v>
      </c>
    </row>
    <row r="8" spans="1:16">
      <c r="A8" s="157"/>
      <c r="B8" s="74" t="s">
        <v>4030</v>
      </c>
      <c r="C8" s="63" t="s">
        <v>4031</v>
      </c>
      <c r="D8" s="83"/>
      <c r="E8" s="99" t="s">
        <v>4032</v>
      </c>
      <c r="F8" s="61" t="s">
        <v>4033</v>
      </c>
      <c r="G8" s="206" t="s">
        <v>3403</v>
      </c>
      <c r="H8" s="175" t="s">
        <v>4034</v>
      </c>
      <c r="I8" s="183" t="s">
        <v>2753</v>
      </c>
      <c r="J8" s="175" t="s">
        <v>4035</v>
      </c>
      <c r="K8" s="176" t="s">
        <v>4036</v>
      </c>
      <c r="L8" s="281"/>
      <c r="N8" s="188">
        <f t="shared" si="0"/>
        <v>0</v>
      </c>
      <c r="O8" s="189">
        <v>7.0000000000000007E-2</v>
      </c>
      <c r="P8" s="170">
        <f t="shared" si="1"/>
        <v>0</v>
      </c>
    </row>
    <row r="9" spans="1:16">
      <c r="A9" s="157"/>
      <c r="B9" s="74" t="s">
        <v>4037</v>
      </c>
      <c r="C9" s="63" t="s">
        <v>4031</v>
      </c>
      <c r="D9" s="83"/>
      <c r="E9" s="99" t="s">
        <v>4038</v>
      </c>
      <c r="F9" s="61" t="s">
        <v>4039</v>
      </c>
      <c r="G9" s="206" t="s">
        <v>4040</v>
      </c>
      <c r="H9" s="74"/>
      <c r="I9" s="183"/>
      <c r="J9" s="175" t="s">
        <v>4041</v>
      </c>
      <c r="K9" s="245" t="s">
        <v>4042</v>
      </c>
      <c r="L9" s="281"/>
      <c r="M9" s="188">
        <v>9498.06</v>
      </c>
      <c r="N9" s="188">
        <f t="shared" si="0"/>
        <v>9213.118199999999</v>
      </c>
      <c r="O9" s="189">
        <v>7.0000000000000007E-2</v>
      </c>
      <c r="P9" s="170">
        <f t="shared" si="1"/>
        <v>9858.0364739999986</v>
      </c>
    </row>
    <row r="10" spans="1:16">
      <c r="A10" s="157"/>
      <c r="B10" s="74" t="s">
        <v>4043</v>
      </c>
      <c r="C10" s="63" t="s">
        <v>4031</v>
      </c>
      <c r="D10" s="83"/>
      <c r="E10" s="99"/>
      <c r="F10" s="61"/>
      <c r="G10" s="206"/>
      <c r="H10" s="74"/>
      <c r="I10" s="183"/>
      <c r="J10" s="175"/>
      <c r="K10" s="197"/>
      <c r="L10" s="281"/>
      <c r="M10" s="188">
        <v>15305.4</v>
      </c>
      <c r="N10" s="188">
        <f t="shared" si="0"/>
        <v>14846.237999999999</v>
      </c>
      <c r="O10" s="189">
        <v>7.0000000000000007E-2</v>
      </c>
      <c r="P10" s="170">
        <f t="shared" si="1"/>
        <v>15885.47466</v>
      </c>
    </row>
    <row r="11" spans="1:16">
      <c r="A11" s="157"/>
      <c r="B11" s="74" t="s">
        <v>4044</v>
      </c>
      <c r="C11" s="63" t="s">
        <v>4031</v>
      </c>
      <c r="D11" s="83"/>
      <c r="E11" s="99" t="s">
        <v>4045</v>
      </c>
      <c r="F11" s="61" t="s">
        <v>4046</v>
      </c>
      <c r="G11" s="206" t="s">
        <v>4047</v>
      </c>
      <c r="H11" s="74"/>
      <c r="I11" s="183"/>
      <c r="J11" s="175" t="s">
        <v>4048</v>
      </c>
      <c r="K11" s="197" t="s">
        <v>4049</v>
      </c>
      <c r="L11" s="281"/>
      <c r="N11" s="188">
        <f t="shared" si="0"/>
        <v>0</v>
      </c>
      <c r="O11" s="189">
        <v>7.0000000000000007E-2</v>
      </c>
      <c r="P11" s="170">
        <f t="shared" si="1"/>
        <v>0</v>
      </c>
    </row>
    <row r="12" spans="1:16">
      <c r="A12" s="157"/>
      <c r="B12" s="74" t="s">
        <v>4050</v>
      </c>
      <c r="C12" s="63" t="s">
        <v>4051</v>
      </c>
      <c r="D12" s="227" t="s">
        <v>4052</v>
      </c>
      <c r="E12" s="99" t="s">
        <v>4053</v>
      </c>
      <c r="F12" s="61"/>
      <c r="G12" s="206" t="s">
        <v>315</v>
      </c>
      <c r="H12" s="74"/>
      <c r="I12" s="183"/>
      <c r="J12" s="175" t="s">
        <v>4054</v>
      </c>
      <c r="K12" s="197" t="s">
        <v>4055</v>
      </c>
      <c r="L12" s="281"/>
      <c r="N12" s="188">
        <f t="shared" si="0"/>
        <v>0</v>
      </c>
      <c r="O12" s="189">
        <v>7.0000000000000007E-2</v>
      </c>
      <c r="P12" s="170">
        <f t="shared" si="1"/>
        <v>0</v>
      </c>
    </row>
    <row r="13" spans="1:16">
      <c r="A13" s="157"/>
      <c r="B13" s="74" t="s">
        <v>4056</v>
      </c>
      <c r="C13" s="63" t="s">
        <v>4057</v>
      </c>
      <c r="D13" s="83" t="s">
        <v>4058</v>
      </c>
      <c r="E13" s="99" t="s">
        <v>4059</v>
      </c>
      <c r="F13" s="121" t="s">
        <v>4060</v>
      </c>
      <c r="G13" s="206" t="s">
        <v>1924</v>
      </c>
      <c r="H13" s="74"/>
      <c r="I13" s="1753"/>
      <c r="J13" s="175" t="s">
        <v>4061</v>
      </c>
      <c r="K13" s="197" t="s">
        <v>4062</v>
      </c>
      <c r="L13" s="281"/>
      <c r="N13" s="188">
        <f t="shared" si="0"/>
        <v>0</v>
      </c>
      <c r="O13" s="189">
        <v>7.0000000000000007E-2</v>
      </c>
      <c r="P13" s="170">
        <f t="shared" si="1"/>
        <v>0</v>
      </c>
    </row>
    <row r="14" spans="1:16">
      <c r="A14" s="157"/>
      <c r="B14" s="74" t="s">
        <v>4050</v>
      </c>
      <c r="C14" s="63" t="s">
        <v>4051</v>
      </c>
      <c r="D14" s="227" t="s">
        <v>4052</v>
      </c>
      <c r="E14" s="99" t="s">
        <v>4063</v>
      </c>
      <c r="F14" s="61" t="s">
        <v>4064</v>
      </c>
      <c r="G14" s="223" t="s">
        <v>1924</v>
      </c>
      <c r="H14" s="224"/>
      <c r="I14" s="225"/>
      <c r="J14" s="209" t="s">
        <v>4065</v>
      </c>
      <c r="K14" s="244" t="s">
        <v>4066</v>
      </c>
      <c r="L14" s="282"/>
      <c r="M14" s="188">
        <v>14244.12</v>
      </c>
      <c r="N14" s="188">
        <f t="shared" si="0"/>
        <v>13816.796400000001</v>
      </c>
      <c r="O14" s="189">
        <v>7.0000000000000007E-2</v>
      </c>
      <c r="P14" s="170">
        <f t="shared" si="1"/>
        <v>14783.972148000001</v>
      </c>
    </row>
    <row r="15" spans="1:16">
      <c r="A15" s="157"/>
      <c r="B15" s="74" t="s">
        <v>4067</v>
      </c>
      <c r="C15" s="63" t="s">
        <v>4051</v>
      </c>
      <c r="D15" s="227" t="s">
        <v>4052</v>
      </c>
      <c r="E15" s="99" t="s">
        <v>4068</v>
      </c>
      <c r="F15" s="61" t="s">
        <v>4069</v>
      </c>
      <c r="G15" s="206" t="s">
        <v>4070</v>
      </c>
      <c r="H15" s="74">
        <v>480</v>
      </c>
      <c r="I15" s="183" t="s">
        <v>475</v>
      </c>
      <c r="J15" s="175" t="s">
        <v>4071</v>
      </c>
      <c r="K15" s="197" t="s">
        <v>4072</v>
      </c>
      <c r="L15" s="281"/>
      <c r="M15" s="188">
        <v>3240</v>
      </c>
      <c r="N15" s="188">
        <f t="shared" si="0"/>
        <v>3142.8</v>
      </c>
      <c r="O15" s="189">
        <v>7.0000000000000007E-2</v>
      </c>
      <c r="P15" s="170">
        <f t="shared" si="1"/>
        <v>3362.7960000000003</v>
      </c>
    </row>
    <row r="16" spans="1:16">
      <c r="A16" s="157"/>
      <c r="B16" s="74" t="s">
        <v>4073</v>
      </c>
      <c r="C16" s="63" t="s">
        <v>4051</v>
      </c>
      <c r="D16" s="465" t="s">
        <v>4052</v>
      </c>
      <c r="E16" s="99" t="s">
        <v>4068</v>
      </c>
      <c r="F16" s="61" t="s">
        <v>4074</v>
      </c>
      <c r="G16" s="206" t="s">
        <v>1924</v>
      </c>
      <c r="H16" s="74"/>
      <c r="I16" s="183"/>
      <c r="J16" s="175" t="s">
        <v>4075</v>
      </c>
      <c r="K16" s="195" t="s">
        <v>4076</v>
      </c>
      <c r="L16" s="281"/>
      <c r="M16" s="188">
        <v>14700</v>
      </c>
      <c r="N16" s="188">
        <f t="shared" si="0"/>
        <v>14259</v>
      </c>
      <c r="O16" s="189">
        <v>7.0000000000000007E-2</v>
      </c>
      <c r="P16" s="170">
        <f t="shared" si="1"/>
        <v>15257.130000000001</v>
      </c>
    </row>
    <row r="17" spans="1:16">
      <c r="A17" s="157"/>
      <c r="B17" s="74" t="s">
        <v>4077</v>
      </c>
      <c r="C17" s="63" t="s">
        <v>4051</v>
      </c>
      <c r="D17" s="465" t="s">
        <v>4052</v>
      </c>
      <c r="E17" s="99" t="s">
        <v>4078</v>
      </c>
      <c r="F17" s="238" t="s">
        <v>4079</v>
      </c>
      <c r="G17" s="223" t="s">
        <v>4070</v>
      </c>
      <c r="H17" s="224">
        <v>760</v>
      </c>
      <c r="I17" s="620" t="s">
        <v>965</v>
      </c>
      <c r="J17" s="209" t="s">
        <v>4080</v>
      </c>
      <c r="K17" s="226" t="s">
        <v>4081</v>
      </c>
      <c r="L17" s="283"/>
      <c r="M17" s="188">
        <v>14582.7</v>
      </c>
      <c r="N17" s="188">
        <f t="shared" si="0"/>
        <v>14145.219000000001</v>
      </c>
      <c r="O17" s="189">
        <v>7.0000000000000007E-2</v>
      </c>
      <c r="P17" s="170">
        <f t="shared" si="1"/>
        <v>15135.384330000001</v>
      </c>
    </row>
    <row r="18" spans="1:16">
      <c r="A18" s="157"/>
      <c r="B18" s="74" t="s">
        <v>4082</v>
      </c>
      <c r="C18" s="63" t="s">
        <v>280</v>
      </c>
      <c r="D18" s="465" t="s">
        <v>4052</v>
      </c>
      <c r="E18" s="99" t="s">
        <v>4083</v>
      </c>
      <c r="F18" s="238"/>
      <c r="G18" s="223" t="s">
        <v>4084</v>
      </c>
      <c r="H18" s="224"/>
      <c r="I18" s="225"/>
      <c r="J18" s="209" t="s">
        <v>4085</v>
      </c>
      <c r="K18" s="226" t="s">
        <v>4086</v>
      </c>
      <c r="L18" s="283"/>
      <c r="M18" s="188">
        <v>13483.8</v>
      </c>
      <c r="N18" s="188">
        <f t="shared" si="0"/>
        <v>13079.286</v>
      </c>
      <c r="O18" s="189">
        <v>7.0000000000000007E-2</v>
      </c>
      <c r="P18" s="170">
        <f t="shared" si="1"/>
        <v>13994.836020000001</v>
      </c>
    </row>
    <row r="19" spans="1:16">
      <c r="A19" s="157"/>
      <c r="B19" s="74" t="s">
        <v>4087</v>
      </c>
      <c r="C19" s="63" t="s">
        <v>280</v>
      </c>
      <c r="D19" s="465" t="s">
        <v>4052</v>
      </c>
      <c r="E19" s="84" t="s">
        <v>3575</v>
      </c>
      <c r="F19" s="61" t="s">
        <v>4088</v>
      </c>
      <c r="G19" s="223" t="s">
        <v>4070</v>
      </c>
      <c r="H19" s="224">
        <v>1650</v>
      </c>
      <c r="I19" s="225" t="s">
        <v>965</v>
      </c>
      <c r="J19" s="209" t="s">
        <v>4089</v>
      </c>
      <c r="K19" s="226" t="s">
        <v>4090</v>
      </c>
      <c r="L19" s="283"/>
      <c r="M19" s="188">
        <v>2669.52</v>
      </c>
      <c r="N19" s="188">
        <f t="shared" si="0"/>
        <v>2589.4344000000001</v>
      </c>
      <c r="O19" s="189">
        <v>7.0000000000000007E-2</v>
      </c>
      <c r="P19" s="170">
        <f t="shared" si="1"/>
        <v>2770.6948080000002</v>
      </c>
    </row>
    <row r="20" spans="1:16">
      <c r="A20" s="157"/>
      <c r="B20" s="74" t="s">
        <v>920</v>
      </c>
      <c r="C20" s="63" t="s">
        <v>4051</v>
      </c>
      <c r="D20" s="465" t="s">
        <v>4052</v>
      </c>
      <c r="E20" s="142" t="s">
        <v>4091</v>
      </c>
      <c r="F20" s="61" t="s">
        <v>4092</v>
      </c>
      <c r="G20" s="223" t="s">
        <v>4070</v>
      </c>
      <c r="H20" s="224">
        <v>620</v>
      </c>
      <c r="I20" s="225" t="s">
        <v>475</v>
      </c>
      <c r="J20" s="209" t="s">
        <v>4093</v>
      </c>
      <c r="K20" s="226" t="s">
        <v>2946</v>
      </c>
      <c r="L20" s="283"/>
      <c r="N20" s="188">
        <f t="shared" si="0"/>
        <v>0</v>
      </c>
      <c r="O20" s="189">
        <v>7.0000000000000007E-2</v>
      </c>
      <c r="P20" s="170">
        <f t="shared" si="1"/>
        <v>0</v>
      </c>
    </row>
    <row r="21" spans="1:16">
      <c r="A21" s="221"/>
      <c r="B21" s="74" t="s">
        <v>4094</v>
      </c>
      <c r="C21" s="63" t="s">
        <v>4051</v>
      </c>
      <c r="D21" s="465" t="s">
        <v>4052</v>
      </c>
      <c r="E21" s="99" t="s">
        <v>4095</v>
      </c>
      <c r="F21" s="61" t="s">
        <v>4096</v>
      </c>
      <c r="G21" s="979" t="s">
        <v>4097</v>
      </c>
      <c r="H21" s="74">
        <v>330</v>
      </c>
      <c r="I21" s="183" t="s">
        <v>475</v>
      </c>
      <c r="J21" s="175" t="s">
        <v>4098</v>
      </c>
      <c r="K21" s="197" t="s">
        <v>4055</v>
      </c>
      <c r="L21" s="283"/>
      <c r="M21" s="188">
        <v>12972.96</v>
      </c>
      <c r="N21" s="188">
        <f t="shared" si="0"/>
        <v>12583.771199999999</v>
      </c>
      <c r="O21" s="189">
        <v>7.0000000000000007E-2</v>
      </c>
      <c r="P21" s="170">
        <f t="shared" si="1"/>
        <v>13464.635183999999</v>
      </c>
    </row>
    <row r="22" spans="1:16">
      <c r="A22" s="157"/>
      <c r="B22" s="74" t="s">
        <v>3509</v>
      </c>
      <c r="C22" s="63" t="s">
        <v>4051</v>
      </c>
      <c r="D22" s="465" t="s">
        <v>4052</v>
      </c>
      <c r="E22" s="60"/>
      <c r="F22" s="61"/>
      <c r="G22" s="206"/>
      <c r="H22" s="74"/>
      <c r="I22" s="183"/>
      <c r="J22" s="175"/>
      <c r="K22" s="197"/>
      <c r="L22" s="283"/>
      <c r="M22" s="188">
        <v>12687.84</v>
      </c>
      <c r="N22" s="188">
        <f t="shared" si="0"/>
        <v>12307.2048</v>
      </c>
      <c r="O22" s="189">
        <v>7.0000000000000007E-2</v>
      </c>
      <c r="P22" s="170">
        <f t="shared" si="1"/>
        <v>13168.709135999999</v>
      </c>
    </row>
    <row r="23" spans="1:16">
      <c r="A23" s="157"/>
      <c r="B23" s="74" t="s">
        <v>4099</v>
      </c>
      <c r="C23" s="63" t="s">
        <v>280</v>
      </c>
      <c r="D23" s="465" t="s">
        <v>4052</v>
      </c>
      <c r="E23" s="99"/>
      <c r="F23" s="61"/>
      <c r="G23" s="979" t="s">
        <v>4097</v>
      </c>
      <c r="H23" s="74">
        <v>500</v>
      </c>
      <c r="I23" s="183" t="s">
        <v>475</v>
      </c>
      <c r="J23" s="175" t="s">
        <v>4100</v>
      </c>
      <c r="K23" s="197" t="s">
        <v>4101</v>
      </c>
      <c r="L23" s="281"/>
      <c r="M23" s="188">
        <v>16572.599999999999</v>
      </c>
      <c r="N23" s="188">
        <f t="shared" si="0"/>
        <v>16075.421999999999</v>
      </c>
      <c r="O23" s="189">
        <v>7.0000000000000007E-2</v>
      </c>
      <c r="P23" s="170">
        <f t="shared" si="1"/>
        <v>17200.701539999998</v>
      </c>
    </row>
    <row r="24" spans="1:16">
      <c r="A24" s="157"/>
      <c r="B24" s="105" t="s">
        <v>4102</v>
      </c>
      <c r="C24" s="63" t="s">
        <v>4103</v>
      </c>
      <c r="D24" s="227"/>
      <c r="E24" s="60"/>
      <c r="F24" s="61"/>
      <c r="G24" s="206" t="s">
        <v>3026</v>
      </c>
      <c r="H24" s="74"/>
      <c r="I24" s="183"/>
      <c r="J24" s="175" t="s">
        <v>4104</v>
      </c>
      <c r="K24" s="197" t="s">
        <v>4105</v>
      </c>
      <c r="L24" s="281"/>
      <c r="M24" s="188">
        <v>6021.12</v>
      </c>
      <c r="N24" s="188">
        <f>M24-(M24*0.03)</f>
        <v>5840.4863999999998</v>
      </c>
      <c r="O24" s="189">
        <v>7.0000000000000007E-2</v>
      </c>
      <c r="P24" s="170">
        <f>(N24*O24)+N24</f>
        <v>6249.3204479999995</v>
      </c>
    </row>
    <row r="25" spans="1:16">
      <c r="A25" s="157"/>
      <c r="B25" s="74" t="s">
        <v>3458</v>
      </c>
      <c r="C25" s="63" t="s">
        <v>4106</v>
      </c>
      <c r="D25" s="227"/>
      <c r="E25" s="142"/>
      <c r="F25" s="61"/>
      <c r="G25" s="206"/>
      <c r="H25" s="74"/>
      <c r="I25" s="183"/>
      <c r="J25" s="175"/>
      <c r="K25" s="197"/>
      <c r="L25" s="281"/>
      <c r="M25" s="188">
        <v>8714.16</v>
      </c>
      <c r="N25" s="188">
        <f>M25-(M25*0.03)</f>
        <v>8452.7351999999992</v>
      </c>
      <c r="O25" s="189">
        <v>7.0000000000000007E-2</v>
      </c>
      <c r="P25" s="170">
        <f>(N25*O25)+N25</f>
        <v>9044.4266639999987</v>
      </c>
    </row>
    <row r="26" spans="1:16">
      <c r="A26" s="157"/>
      <c r="B26" s="74" t="s">
        <v>4107</v>
      </c>
      <c r="C26" s="63" t="s">
        <v>4108</v>
      </c>
      <c r="D26" s="227"/>
      <c r="E26" s="100"/>
      <c r="F26" s="61"/>
      <c r="G26" s="206"/>
      <c r="H26" s="74"/>
      <c r="I26" s="203"/>
      <c r="J26" s="175"/>
      <c r="K26" s="197"/>
      <c r="L26" s="281"/>
      <c r="M26" s="188">
        <v>0</v>
      </c>
      <c r="N26" s="188">
        <f>M26-(M26*0.03)</f>
        <v>0</v>
      </c>
      <c r="O26" s="189">
        <v>7.0000000000000007E-2</v>
      </c>
      <c r="P26" s="170">
        <f t="shared" ref="P26:P32" si="2">(N26*O26)+N26</f>
        <v>0</v>
      </c>
    </row>
    <row r="27" spans="1:16">
      <c r="A27" s="157"/>
      <c r="B27" s="74" t="s">
        <v>4109</v>
      </c>
      <c r="C27" s="63"/>
      <c r="D27" s="227"/>
      <c r="E27" s="100"/>
      <c r="F27" s="61"/>
      <c r="G27" s="206" t="s">
        <v>2509</v>
      </c>
      <c r="H27" s="74"/>
      <c r="I27" s="183"/>
      <c r="J27" s="175" t="s">
        <v>4110</v>
      </c>
      <c r="K27" s="197"/>
      <c r="L27" s="281"/>
      <c r="M27" s="188">
        <v>18537.7</v>
      </c>
      <c r="N27" s="188">
        <f>M27-(M27*0.03)</f>
        <v>17981.569</v>
      </c>
      <c r="O27" s="189">
        <v>7.0000000000000007E-2</v>
      </c>
      <c r="P27" s="170">
        <f t="shared" si="2"/>
        <v>19240.278829999999</v>
      </c>
    </row>
    <row r="28" spans="1:16">
      <c r="A28" s="158"/>
      <c r="B28" s="74" t="s">
        <v>3433</v>
      </c>
      <c r="C28" s="63"/>
      <c r="D28" s="227"/>
      <c r="E28" s="60"/>
      <c r="F28" s="61"/>
      <c r="G28" s="206"/>
      <c r="H28" s="74"/>
      <c r="I28" s="183"/>
      <c r="J28" s="175"/>
      <c r="K28" s="197"/>
      <c r="L28" s="281"/>
      <c r="M28" s="188">
        <v>9031.68</v>
      </c>
      <c r="N28" s="188">
        <f t="shared" ref="N28:N37" si="3">M28-(M28*0.03)</f>
        <v>8760.7296000000006</v>
      </c>
      <c r="O28" s="189">
        <v>7.0000000000000007E-2</v>
      </c>
      <c r="P28" s="170">
        <f t="shared" si="2"/>
        <v>9373.9806720000015</v>
      </c>
    </row>
    <row r="29" spans="1:16">
      <c r="A29" s="200"/>
      <c r="B29" s="74" t="s">
        <v>4111</v>
      </c>
      <c r="C29" s="63"/>
      <c r="D29" s="227"/>
      <c r="E29" s="198"/>
      <c r="F29" s="61"/>
      <c r="G29" s="206"/>
      <c r="H29" s="88"/>
      <c r="I29" s="184"/>
      <c r="J29" s="201"/>
      <c r="K29" s="202"/>
      <c r="L29" s="281"/>
      <c r="N29" s="188">
        <f t="shared" si="3"/>
        <v>0</v>
      </c>
      <c r="O29" s="189">
        <v>7.0000000000000007E-2</v>
      </c>
      <c r="P29" s="170">
        <f t="shared" si="2"/>
        <v>0</v>
      </c>
    </row>
    <row r="30" spans="1:16">
      <c r="A30" s="157"/>
      <c r="B30" s="74" t="s">
        <v>4112</v>
      </c>
      <c r="C30" s="63"/>
      <c r="D30" s="227"/>
      <c r="E30" s="198"/>
      <c r="F30" s="61"/>
      <c r="G30" s="206" t="s">
        <v>4113</v>
      </c>
      <c r="H30" s="74">
        <v>920</v>
      </c>
      <c r="I30" s="183" t="s">
        <v>4114</v>
      </c>
      <c r="J30" s="175">
        <v>945</v>
      </c>
      <c r="K30" s="197"/>
      <c r="L30" s="281"/>
      <c r="M30" s="188">
        <v>8478.9599999999991</v>
      </c>
      <c r="N30" s="188">
        <f t="shared" si="3"/>
        <v>8224.5911999999989</v>
      </c>
      <c r="O30" s="189">
        <v>7.0000000000000007E-2</v>
      </c>
      <c r="P30" s="170">
        <f t="shared" si="2"/>
        <v>8800.3125839999993</v>
      </c>
    </row>
    <row r="31" spans="1:16">
      <c r="A31" s="157"/>
      <c r="B31" s="74" t="s">
        <v>4115</v>
      </c>
      <c r="C31" s="63" t="s">
        <v>236</v>
      </c>
      <c r="D31" s="227"/>
      <c r="E31" s="142"/>
      <c r="F31" s="61"/>
      <c r="G31" s="206"/>
      <c r="H31" s="74"/>
      <c r="I31" s="183"/>
      <c r="J31" s="175"/>
      <c r="K31" s="197"/>
      <c r="L31" s="281"/>
      <c r="M31" s="188">
        <v>11122.62</v>
      </c>
      <c r="N31" s="188">
        <f t="shared" si="3"/>
        <v>10788.941400000002</v>
      </c>
      <c r="O31" s="189">
        <v>7.0000000000000007E-2</v>
      </c>
      <c r="P31" s="170">
        <f t="shared" si="2"/>
        <v>11544.167298000002</v>
      </c>
    </row>
    <row r="32" spans="1:16">
      <c r="A32" s="157"/>
      <c r="B32" s="74" t="s">
        <v>2891</v>
      </c>
      <c r="C32" s="63" t="s">
        <v>4031</v>
      </c>
      <c r="D32" s="196"/>
      <c r="E32" s="120"/>
      <c r="F32" s="121"/>
      <c r="G32" s="206" t="s">
        <v>315</v>
      </c>
      <c r="H32" s="115"/>
      <c r="I32" s="185"/>
      <c r="J32" s="175" t="s">
        <v>4116</v>
      </c>
      <c r="K32" s="197" t="s">
        <v>4117</v>
      </c>
      <c r="L32" s="281"/>
      <c r="M32" s="188">
        <v>3813.12</v>
      </c>
      <c r="N32" s="188">
        <f t="shared" si="3"/>
        <v>3698.7264</v>
      </c>
      <c r="O32" s="189">
        <v>7.0000000000000007E-2</v>
      </c>
      <c r="P32" s="170">
        <f t="shared" si="2"/>
        <v>3957.637248</v>
      </c>
    </row>
    <row r="33" spans="1:16">
      <c r="A33" s="157"/>
      <c r="B33" s="74" t="s">
        <v>2885</v>
      </c>
      <c r="C33" s="63" t="s">
        <v>4031</v>
      </c>
      <c r="D33" s="196"/>
      <c r="E33" s="249"/>
      <c r="F33" s="121"/>
      <c r="G33" s="206" t="s">
        <v>1710</v>
      </c>
      <c r="H33" s="115"/>
      <c r="I33" s="185"/>
      <c r="J33" s="175" t="s">
        <v>4118</v>
      </c>
      <c r="K33" s="197" t="s">
        <v>4119</v>
      </c>
      <c r="L33" s="281"/>
    </row>
    <row r="34" spans="1:16">
      <c r="A34" s="157"/>
      <c r="B34" s="105" t="s">
        <v>4120</v>
      </c>
      <c r="C34" s="63" t="s">
        <v>4121</v>
      </c>
      <c r="D34" s="196" t="s">
        <v>4122</v>
      </c>
      <c r="E34" s="249"/>
      <c r="F34" s="121"/>
      <c r="G34" s="206" t="s">
        <v>4123</v>
      </c>
      <c r="H34" s="115"/>
      <c r="I34" s="185"/>
      <c r="J34" s="175" t="s">
        <v>4124</v>
      </c>
      <c r="K34" s="197" t="s">
        <v>4125</v>
      </c>
      <c r="L34" s="281"/>
    </row>
    <row r="35" spans="1:16">
      <c r="A35" s="157"/>
      <c r="B35" s="105" t="s">
        <v>4126</v>
      </c>
      <c r="C35" s="63" t="s">
        <v>4127</v>
      </c>
      <c r="D35" s="196"/>
      <c r="E35" s="249"/>
      <c r="F35" s="121"/>
      <c r="G35" s="206"/>
      <c r="H35" s="115"/>
      <c r="I35" s="185"/>
      <c r="J35" s="175"/>
      <c r="K35" s="197"/>
      <c r="L35" s="281"/>
    </row>
    <row r="36" spans="1:16">
      <c r="A36" s="157"/>
      <c r="B36" s="74"/>
      <c r="C36" s="63"/>
      <c r="D36" s="196"/>
      <c r="E36" s="249"/>
      <c r="F36" s="121"/>
      <c r="G36" s="206"/>
      <c r="H36" s="115"/>
      <c r="I36" s="185"/>
      <c r="J36" s="175"/>
      <c r="K36" s="197"/>
      <c r="L36" s="281"/>
    </row>
    <row r="37" spans="1:16">
      <c r="A37" s="157"/>
      <c r="B37" s="105"/>
      <c r="C37" s="63"/>
      <c r="D37" s="196"/>
      <c r="E37" s="142"/>
      <c r="F37" s="61"/>
      <c r="G37" s="206"/>
      <c r="H37" s="74"/>
      <c r="I37" s="183"/>
      <c r="J37" s="175"/>
      <c r="K37" s="197"/>
      <c r="L37" s="281"/>
      <c r="M37" s="188">
        <v>8640</v>
      </c>
      <c r="N37" s="188">
        <f t="shared" si="3"/>
        <v>8380.7999999999993</v>
      </c>
      <c r="O37" s="189">
        <v>7.0000000000000007E-2</v>
      </c>
      <c r="P37" s="170">
        <f>(N37*O37)+N37</f>
        <v>8967.4559999999983</v>
      </c>
    </row>
    <row r="38" spans="1:16">
      <c r="A38" s="160"/>
      <c r="B38" s="105"/>
      <c r="C38" s="63"/>
      <c r="D38" s="196"/>
      <c r="E38" s="120"/>
      <c r="F38" s="121"/>
      <c r="G38" s="206"/>
      <c r="H38" s="115"/>
      <c r="I38" s="185"/>
      <c r="J38" s="174"/>
      <c r="K38" s="195"/>
      <c r="L38" s="281"/>
    </row>
    <row r="39" spans="1:16">
      <c r="A39" s="539"/>
      <c r="B39" s="105"/>
      <c r="C39" s="63"/>
      <c r="D39" s="196"/>
      <c r="E39" s="249"/>
      <c r="F39" s="121"/>
      <c r="G39" s="206"/>
      <c r="H39" s="115"/>
      <c r="I39" s="185"/>
      <c r="J39" s="174"/>
      <c r="K39" s="195"/>
      <c r="L39" s="281"/>
    </row>
    <row r="40" spans="1:16">
      <c r="A40" s="539"/>
      <c r="B40" s="74"/>
      <c r="C40" s="63"/>
      <c r="D40" s="196"/>
      <c r="E40" s="142"/>
      <c r="F40" s="61"/>
      <c r="G40" s="206"/>
      <c r="H40" s="74"/>
      <c r="I40" s="183"/>
      <c r="J40" s="175"/>
      <c r="K40" s="197"/>
      <c r="L40" s="281"/>
      <c r="M40" s="3444"/>
    </row>
    <row r="41" spans="1:16" ht="35.25" thickBot="1">
      <c r="A41" s="74"/>
      <c r="B41" s="627"/>
      <c r="C41" s="67"/>
      <c r="D41" s="287"/>
      <c r="E41" s="257"/>
      <c r="F41" s="258"/>
      <c r="G41" s="220"/>
      <c r="H41" s="288"/>
      <c r="I41" s="289"/>
      <c r="J41" s="290"/>
      <c r="K41" s="291"/>
      <c r="L41" s="292"/>
    </row>
    <row r="42" spans="1:16" ht="35.25" customHeight="1">
      <c r="B42" s="93"/>
      <c r="C42" s="68"/>
      <c r="D42" s="3444"/>
      <c r="E42" s="273"/>
      <c r="F42" s="274"/>
      <c r="G42" s="269"/>
      <c r="H42" s="270"/>
      <c r="I42" s="271"/>
      <c r="J42" s="272"/>
      <c r="K42" s="165"/>
      <c r="L42" s="168"/>
    </row>
    <row r="43" spans="1:16">
      <c r="A43" s="44" t="s">
        <v>0</v>
      </c>
      <c r="C43" s="104"/>
      <c r="F43" s="68"/>
      <c r="I43" s="179"/>
      <c r="K43" s="163"/>
      <c r="L43" s="168"/>
    </row>
    <row r="44" spans="1:16" ht="35.25" customHeight="1">
      <c r="A44" s="3480" t="s">
        <v>2512</v>
      </c>
      <c r="B44" s="3480"/>
      <c r="C44" s="44"/>
      <c r="D44" s="109"/>
      <c r="F44" s="68"/>
      <c r="I44" s="179"/>
      <c r="K44" s="163"/>
      <c r="L44" s="168"/>
    </row>
    <row r="45" spans="1:16" ht="35.25" customHeight="1" thickBot="1">
      <c r="F45" s="68"/>
    </row>
    <row r="46" spans="1:16">
      <c r="A46" s="3493" t="s">
        <v>2</v>
      </c>
      <c r="B46" s="3482"/>
      <c r="C46" s="48" t="s">
        <v>3</v>
      </c>
      <c r="D46" s="128" t="s">
        <v>4</v>
      </c>
      <c r="E46" s="77" t="s">
        <v>5</v>
      </c>
      <c r="F46" s="78" t="s">
        <v>5</v>
      </c>
      <c r="G46" s="211" t="s">
        <v>6</v>
      </c>
      <c r="H46" s="140" t="s">
        <v>7</v>
      </c>
      <c r="I46" s="180" t="s">
        <v>1511</v>
      </c>
      <c r="J46" s="186" t="s">
        <v>9</v>
      </c>
      <c r="K46" s="186" t="s">
        <v>9</v>
      </c>
      <c r="L46" s="192" t="s">
        <v>2495</v>
      </c>
      <c r="M46" s="190"/>
    </row>
    <row r="47" spans="1:16" ht="35.25" thickBot="1">
      <c r="A47" s="155"/>
      <c r="B47" s="494"/>
      <c r="C47" s="50"/>
      <c r="D47" s="129" t="s">
        <v>10</v>
      </c>
      <c r="E47" s="79" t="s">
        <v>11</v>
      </c>
      <c r="F47" s="80" t="s">
        <v>12</v>
      </c>
      <c r="G47" s="212"/>
      <c r="H47" s="141" t="s">
        <v>13</v>
      </c>
      <c r="I47" s="181" t="s">
        <v>1512</v>
      </c>
      <c r="J47" s="187" t="s">
        <v>14</v>
      </c>
      <c r="K47" s="187" t="s">
        <v>15</v>
      </c>
      <c r="L47" s="193" t="s">
        <v>2496</v>
      </c>
      <c r="M47" s="190"/>
    </row>
    <row r="48" spans="1:16">
      <c r="A48" s="3528" t="s">
        <v>2049</v>
      </c>
      <c r="B48" s="3529"/>
      <c r="C48" s="63"/>
      <c r="D48" s="227"/>
      <c r="E48" s="255"/>
      <c r="F48" s="54"/>
      <c r="G48" s="206"/>
      <c r="H48" s="74"/>
      <c r="I48" s="183"/>
      <c r="J48" s="175"/>
      <c r="K48" s="172"/>
      <c r="L48" s="194"/>
      <c r="M48" s="188">
        <v>3552</v>
      </c>
      <c r="N48" s="188">
        <f t="shared" ref="N48:N73" si="4">M48-(M48*0.03)</f>
        <v>3445.44</v>
      </c>
      <c r="O48" s="189">
        <v>7.0000000000000007E-2</v>
      </c>
      <c r="P48" s="170">
        <f t="shared" ref="P48:P64" si="5">(N48*O48)+N48</f>
        <v>3686.6208000000001</v>
      </c>
    </row>
    <row r="49" spans="1:16">
      <c r="A49" s="157"/>
      <c r="B49" s="74" t="s">
        <v>4128</v>
      </c>
      <c r="C49" s="63" t="s">
        <v>4031</v>
      </c>
      <c r="D49" s="227"/>
      <c r="E49" s="142"/>
      <c r="F49" s="61"/>
      <c r="G49" s="206" t="s">
        <v>4129</v>
      </c>
      <c r="H49" s="74" t="s">
        <v>4130</v>
      </c>
      <c r="I49" s="225" t="s">
        <v>301</v>
      </c>
      <c r="J49" s="2299" t="s">
        <v>4131</v>
      </c>
      <c r="K49" s="245" t="s">
        <v>4132</v>
      </c>
      <c r="L49" s="194"/>
      <c r="N49" s="188">
        <f t="shared" si="4"/>
        <v>0</v>
      </c>
      <c r="O49" s="189">
        <v>7.0000000000000007E-2</v>
      </c>
      <c r="P49" s="170">
        <f t="shared" si="5"/>
        <v>0</v>
      </c>
    </row>
    <row r="50" spans="1:16">
      <c r="A50" s="58"/>
      <c r="B50" s="74" t="s">
        <v>4133</v>
      </c>
      <c r="C50" s="63" t="s">
        <v>4031</v>
      </c>
      <c r="D50" s="227"/>
      <c r="E50" s="142"/>
      <c r="F50" s="61"/>
      <c r="G50" s="206" t="s">
        <v>4129</v>
      </c>
      <c r="H50" s="74" t="s">
        <v>4134</v>
      </c>
      <c r="I50" s="225" t="s">
        <v>301</v>
      </c>
      <c r="J50" s="2299" t="s">
        <v>4135</v>
      </c>
      <c r="K50" s="245" t="s">
        <v>4136</v>
      </c>
      <c r="L50" s="194"/>
      <c r="M50" s="188">
        <v>9498.06</v>
      </c>
      <c r="N50" s="188">
        <f t="shared" si="4"/>
        <v>9213.118199999999</v>
      </c>
      <c r="O50" s="189">
        <v>7.0000000000000007E-2</v>
      </c>
      <c r="P50" s="170">
        <f t="shared" si="5"/>
        <v>9858.0364739999986</v>
      </c>
    </row>
    <row r="51" spans="1:16">
      <c r="A51" s="58"/>
      <c r="B51" s="74"/>
      <c r="C51" s="63" t="s">
        <v>4137</v>
      </c>
      <c r="D51" s="196"/>
      <c r="E51" s="142"/>
      <c r="F51" s="61"/>
      <c r="G51" s="206" t="s">
        <v>2613</v>
      </c>
      <c r="H51" s="74"/>
      <c r="I51" s="183"/>
      <c r="J51" s="2299" t="s">
        <v>4138</v>
      </c>
      <c r="K51" s="245" t="s">
        <v>4139</v>
      </c>
      <c r="L51" s="194"/>
      <c r="M51" s="188">
        <v>15305.4</v>
      </c>
      <c r="N51" s="188">
        <f t="shared" si="4"/>
        <v>14846.237999999999</v>
      </c>
      <c r="O51" s="189">
        <v>7.0000000000000007E-2</v>
      </c>
      <c r="P51" s="170">
        <f t="shared" si="5"/>
        <v>15885.47466</v>
      </c>
    </row>
    <row r="52" spans="1:16">
      <c r="A52" s="58"/>
      <c r="B52" s="74" t="s">
        <v>4140</v>
      </c>
      <c r="C52" s="63" t="s">
        <v>4031</v>
      </c>
      <c r="D52" s="196"/>
      <c r="E52" s="142"/>
      <c r="F52" s="61"/>
      <c r="G52" s="206"/>
      <c r="H52" s="74"/>
      <c r="I52" s="225" t="s">
        <v>301</v>
      </c>
      <c r="J52" s="2299"/>
      <c r="K52" s="197"/>
      <c r="L52" s="194"/>
      <c r="N52" s="188">
        <f t="shared" si="4"/>
        <v>0</v>
      </c>
      <c r="O52" s="189">
        <v>7.0000000000000007E-2</v>
      </c>
      <c r="P52" s="170">
        <f t="shared" si="5"/>
        <v>0</v>
      </c>
    </row>
    <row r="53" spans="1:16">
      <c r="A53" s="58"/>
      <c r="B53" s="74" t="s">
        <v>4141</v>
      </c>
      <c r="C53" s="63" t="s">
        <v>4031</v>
      </c>
      <c r="D53" s="196"/>
      <c r="E53" s="142"/>
      <c r="F53" s="61"/>
      <c r="G53" s="206"/>
      <c r="H53" s="74"/>
      <c r="I53" s="183"/>
      <c r="J53" s="2299"/>
      <c r="K53" s="197"/>
      <c r="L53" s="194"/>
      <c r="N53" s="188">
        <f t="shared" si="4"/>
        <v>0</v>
      </c>
      <c r="O53" s="189">
        <v>7.0000000000000007E-2</v>
      </c>
      <c r="P53" s="170">
        <f t="shared" si="5"/>
        <v>0</v>
      </c>
    </row>
    <row r="54" spans="1:16">
      <c r="A54" s="58"/>
      <c r="B54" s="74" t="s">
        <v>4050</v>
      </c>
      <c r="C54" s="63" t="s">
        <v>280</v>
      </c>
      <c r="D54" s="196"/>
      <c r="E54" s="142"/>
      <c r="F54" s="61"/>
      <c r="G54" s="206"/>
      <c r="H54" s="74"/>
      <c r="I54" s="183"/>
      <c r="J54" s="2299"/>
      <c r="K54" s="197"/>
      <c r="L54" s="194"/>
      <c r="N54" s="188">
        <f t="shared" si="4"/>
        <v>0</v>
      </c>
      <c r="O54" s="189">
        <v>7.0000000000000007E-2</v>
      </c>
      <c r="P54" s="170">
        <f t="shared" si="5"/>
        <v>0</v>
      </c>
    </row>
    <row r="55" spans="1:16">
      <c r="A55" s="58"/>
      <c r="B55" s="74" t="s">
        <v>4142</v>
      </c>
      <c r="C55" s="63" t="s">
        <v>4031</v>
      </c>
      <c r="D55" s="254"/>
      <c r="E55" s="142"/>
      <c r="F55" s="61"/>
      <c r="G55" s="223"/>
      <c r="H55" s="224"/>
      <c r="I55" s="183"/>
      <c r="J55" s="2300"/>
      <c r="K55" s="244"/>
      <c r="M55" s="188">
        <v>14244.12</v>
      </c>
      <c r="N55" s="188">
        <f t="shared" si="4"/>
        <v>13816.796400000001</v>
      </c>
      <c r="O55" s="189">
        <v>7.0000000000000007E-2</v>
      </c>
      <c r="P55" s="170">
        <f t="shared" si="5"/>
        <v>14783.972148000001</v>
      </c>
    </row>
    <row r="56" spans="1:16">
      <c r="A56" s="58"/>
      <c r="B56" s="74" t="s">
        <v>4056</v>
      </c>
      <c r="C56" s="63" t="s">
        <v>4137</v>
      </c>
      <c r="D56" s="196"/>
      <c r="E56" s="142"/>
      <c r="F56" s="61"/>
      <c r="G56" s="206"/>
      <c r="H56" s="74"/>
      <c r="J56" s="2299"/>
      <c r="K56" s="197"/>
      <c r="L56" s="194"/>
      <c r="M56" s="188">
        <v>3240</v>
      </c>
      <c r="N56" s="188">
        <f t="shared" si="4"/>
        <v>3142.8</v>
      </c>
      <c r="O56" s="189">
        <v>7.0000000000000007E-2</v>
      </c>
      <c r="P56" s="170">
        <f t="shared" si="5"/>
        <v>3362.7960000000003</v>
      </c>
    </row>
    <row r="57" spans="1:16">
      <c r="A57" s="58"/>
      <c r="B57" s="74" t="s">
        <v>4143</v>
      </c>
      <c r="C57" s="63" t="s">
        <v>4108</v>
      </c>
      <c r="D57" s="196"/>
      <c r="E57" s="142" t="s">
        <v>4144</v>
      </c>
      <c r="F57" s="61"/>
      <c r="G57" s="206" t="s">
        <v>4145</v>
      </c>
      <c r="H57" s="74" t="s">
        <v>4146</v>
      </c>
      <c r="I57" s="183"/>
      <c r="J57" s="2299" t="s">
        <v>4147</v>
      </c>
      <c r="K57" s="197" t="s">
        <v>4148</v>
      </c>
      <c r="L57" s="194"/>
      <c r="M57" s="188">
        <v>14700</v>
      </c>
      <c r="N57" s="188">
        <f t="shared" si="4"/>
        <v>14259</v>
      </c>
      <c r="O57" s="189">
        <v>7.0000000000000007E-2</v>
      </c>
      <c r="P57" s="170">
        <f t="shared" si="5"/>
        <v>15257.130000000001</v>
      </c>
    </row>
    <row r="58" spans="1:16">
      <c r="A58" s="58"/>
      <c r="B58" s="74" t="s">
        <v>4149</v>
      </c>
      <c r="C58" s="63" t="s">
        <v>4108</v>
      </c>
      <c r="D58" s="254"/>
      <c r="E58" s="256"/>
      <c r="F58" s="238"/>
      <c r="G58" s="223"/>
      <c r="H58" s="224"/>
      <c r="I58" s="225"/>
      <c r="J58" s="2300"/>
      <c r="K58" s="226"/>
      <c r="L58" s="229"/>
      <c r="M58" s="188">
        <v>14582.7</v>
      </c>
      <c r="N58" s="188">
        <f t="shared" si="4"/>
        <v>14145.219000000001</v>
      </c>
      <c r="O58" s="189">
        <v>7.0000000000000007E-2</v>
      </c>
      <c r="P58" s="170">
        <f t="shared" si="5"/>
        <v>15135.384330000001</v>
      </c>
    </row>
    <row r="59" spans="1:16">
      <c r="A59" s="58"/>
      <c r="B59" s="74" t="s">
        <v>4150</v>
      </c>
      <c r="C59" s="63"/>
      <c r="D59" s="196"/>
      <c r="E59" s="142"/>
      <c r="F59" s="61"/>
      <c r="G59" s="206"/>
      <c r="H59" s="74"/>
      <c r="I59" s="183"/>
      <c r="J59" s="2299"/>
      <c r="K59" s="197"/>
      <c r="L59" s="229"/>
      <c r="M59" s="188">
        <v>13483.8</v>
      </c>
      <c r="N59" s="188">
        <f t="shared" si="4"/>
        <v>13079.286</v>
      </c>
      <c r="O59" s="189">
        <v>7.0000000000000007E-2</v>
      </c>
      <c r="P59" s="170">
        <f t="shared" si="5"/>
        <v>13994.836020000001</v>
      </c>
    </row>
    <row r="60" spans="1:16">
      <c r="A60" s="58"/>
      <c r="B60" s="74" t="s">
        <v>4151</v>
      </c>
      <c r="C60" s="63" t="s">
        <v>1119</v>
      </c>
      <c r="D60" s="254"/>
      <c r="E60" s="142"/>
      <c r="F60" s="61"/>
      <c r="G60" s="223" t="s">
        <v>4152</v>
      </c>
      <c r="H60" s="224"/>
      <c r="I60" s="225"/>
      <c r="J60" s="2300" t="s">
        <v>4153</v>
      </c>
      <c r="K60" s="226" t="s">
        <v>4042</v>
      </c>
      <c r="L60" s="229"/>
      <c r="M60" s="188">
        <v>2669.52</v>
      </c>
      <c r="N60" s="188">
        <f t="shared" si="4"/>
        <v>2589.4344000000001</v>
      </c>
      <c r="O60" s="189">
        <v>7.0000000000000007E-2</v>
      </c>
      <c r="P60" s="170">
        <f t="shared" si="5"/>
        <v>2770.6948080000002</v>
      </c>
    </row>
    <row r="61" spans="1:16">
      <c r="A61" s="58"/>
      <c r="B61" s="74" t="s">
        <v>4115</v>
      </c>
      <c r="C61" s="63" t="s">
        <v>236</v>
      </c>
      <c r="D61" s="254"/>
      <c r="E61" s="142"/>
      <c r="F61" s="61"/>
      <c r="G61" s="223"/>
      <c r="H61" s="224"/>
      <c r="I61" s="225"/>
      <c r="J61" s="2300"/>
      <c r="K61" s="226"/>
      <c r="L61" s="229"/>
      <c r="N61" s="188">
        <f t="shared" si="4"/>
        <v>0</v>
      </c>
      <c r="O61" s="189">
        <v>7.0000000000000007E-2</v>
      </c>
      <c r="P61" s="170">
        <f t="shared" si="5"/>
        <v>0</v>
      </c>
    </row>
    <row r="62" spans="1:16">
      <c r="A62" s="253"/>
      <c r="B62" s="74" t="s">
        <v>4154</v>
      </c>
      <c r="C62" s="63" t="s">
        <v>4155</v>
      </c>
      <c r="D62" s="254"/>
      <c r="E62" s="142" t="s">
        <v>1076</v>
      </c>
      <c r="F62" s="61" t="s">
        <v>4156</v>
      </c>
      <c r="G62" s="223" t="s">
        <v>4129</v>
      </c>
      <c r="H62" s="209" t="s">
        <v>4157</v>
      </c>
      <c r="I62" s="225" t="s">
        <v>301</v>
      </c>
      <c r="J62" s="2300" t="s">
        <v>4158</v>
      </c>
      <c r="K62" s="226" t="s">
        <v>4159</v>
      </c>
      <c r="L62" s="229"/>
      <c r="M62" s="188">
        <v>12972.96</v>
      </c>
      <c r="N62" s="188">
        <f t="shared" si="4"/>
        <v>12583.771199999999</v>
      </c>
      <c r="O62" s="189">
        <v>7.0000000000000007E-2</v>
      </c>
      <c r="P62" s="170">
        <f t="shared" si="5"/>
        <v>13464.635183999999</v>
      </c>
    </row>
    <row r="63" spans="1:16">
      <c r="A63" s="58"/>
      <c r="B63" s="74" t="s">
        <v>2050</v>
      </c>
      <c r="C63" s="63"/>
      <c r="D63" s="196"/>
      <c r="E63" s="142"/>
      <c r="F63" s="61"/>
      <c r="G63" s="206"/>
      <c r="H63" s="74"/>
      <c r="I63" s="183"/>
      <c r="J63" s="2300"/>
      <c r="K63" s="197"/>
      <c r="L63" s="229"/>
      <c r="M63" s="188">
        <v>12687.84</v>
      </c>
      <c r="N63" s="188">
        <f t="shared" si="4"/>
        <v>12307.2048</v>
      </c>
      <c r="O63" s="189">
        <v>7.0000000000000007E-2</v>
      </c>
      <c r="P63" s="170">
        <f t="shared" si="5"/>
        <v>13168.709135999999</v>
      </c>
    </row>
    <row r="64" spans="1:16">
      <c r="A64" s="58"/>
      <c r="B64" s="74" t="s">
        <v>4160</v>
      </c>
      <c r="C64" s="63"/>
      <c r="D64" s="196"/>
      <c r="E64" s="142"/>
      <c r="F64" s="61"/>
      <c r="G64" s="206"/>
      <c r="H64" s="74"/>
      <c r="I64" s="183"/>
      <c r="J64" s="2299"/>
      <c r="K64" s="197"/>
      <c r="L64" s="194"/>
      <c r="M64" s="188">
        <v>16572.599999999999</v>
      </c>
      <c r="N64" s="188">
        <f t="shared" si="4"/>
        <v>16075.421999999999</v>
      </c>
      <c r="O64" s="189">
        <v>7.0000000000000007E-2</v>
      </c>
      <c r="P64" s="170">
        <f t="shared" si="5"/>
        <v>17200.701539999998</v>
      </c>
    </row>
    <row r="65" spans="1:16">
      <c r="A65" s="58"/>
      <c r="B65" s="74" t="s">
        <v>4161</v>
      </c>
      <c r="C65" s="63"/>
      <c r="D65" s="196"/>
      <c r="E65" s="100"/>
      <c r="F65" s="61"/>
      <c r="G65" s="206"/>
      <c r="H65" s="74"/>
      <c r="I65" s="203"/>
      <c r="J65" s="2299"/>
      <c r="K65" s="197"/>
      <c r="L65" s="194"/>
      <c r="M65" s="188">
        <v>6021.12</v>
      </c>
      <c r="N65" s="188">
        <f t="shared" si="4"/>
        <v>5840.4863999999998</v>
      </c>
      <c r="O65" s="189">
        <v>7.0000000000000007E-2</v>
      </c>
      <c r="P65" s="170">
        <f>(N65*O65)+N65</f>
        <v>6249.3204479999995</v>
      </c>
    </row>
    <row r="66" spans="1:16">
      <c r="A66" s="58"/>
      <c r="B66" s="74" t="s">
        <v>4162</v>
      </c>
      <c r="C66" s="63"/>
      <c r="D66" s="196"/>
      <c r="E66" s="100"/>
      <c r="F66" s="61"/>
      <c r="G66" s="206"/>
      <c r="H66" s="74"/>
      <c r="I66" s="183"/>
      <c r="J66" s="2299"/>
      <c r="K66" s="197"/>
      <c r="L66" s="194"/>
      <c r="M66" s="188">
        <v>8714.16</v>
      </c>
      <c r="N66" s="188">
        <f t="shared" si="4"/>
        <v>8452.7351999999992</v>
      </c>
      <c r="O66" s="189">
        <v>7.0000000000000007E-2</v>
      </c>
      <c r="P66" s="170">
        <f>(N66*O66)+N66</f>
        <v>9044.4266639999987</v>
      </c>
    </row>
    <row r="67" spans="1:16">
      <c r="A67" s="58"/>
      <c r="B67" s="74" t="s">
        <v>4163</v>
      </c>
      <c r="C67" s="63"/>
      <c r="D67" s="196"/>
      <c r="E67" s="100"/>
      <c r="F67" s="61"/>
      <c r="G67" s="206"/>
      <c r="H67" s="74"/>
      <c r="I67" s="183"/>
      <c r="J67" s="2299"/>
      <c r="K67" s="197"/>
      <c r="L67" s="194"/>
      <c r="M67" s="188">
        <v>0</v>
      </c>
      <c r="N67" s="188">
        <f t="shared" si="4"/>
        <v>0</v>
      </c>
      <c r="O67" s="189">
        <v>7.0000000000000007E-2</v>
      </c>
      <c r="P67" s="170">
        <f t="shared" ref="P67:P73" si="6">(N67*O67)+N67</f>
        <v>0</v>
      </c>
    </row>
    <row r="68" spans="1:16" ht="38.25">
      <c r="A68" s="58"/>
      <c r="B68" s="1973" t="s">
        <v>4164</v>
      </c>
      <c r="C68" s="63"/>
      <c r="D68" s="196"/>
      <c r="E68" s="60"/>
      <c r="F68" s="61"/>
      <c r="G68" s="206"/>
      <c r="H68" s="74"/>
      <c r="I68" s="183"/>
      <c r="J68" s="2299"/>
      <c r="K68" s="197"/>
      <c r="L68" s="194"/>
      <c r="M68" s="188">
        <v>18537.7</v>
      </c>
      <c r="N68" s="188">
        <f t="shared" si="4"/>
        <v>17981.569</v>
      </c>
      <c r="O68" s="189">
        <v>7.0000000000000007E-2</v>
      </c>
      <c r="P68" s="170">
        <f t="shared" si="6"/>
        <v>19240.278829999999</v>
      </c>
    </row>
    <row r="69" spans="1:16">
      <c r="A69" s="63"/>
      <c r="B69" s="74" t="s">
        <v>4165</v>
      </c>
      <c r="C69" s="63" t="s">
        <v>2536</v>
      </c>
      <c r="D69" s="83"/>
      <c r="E69" s="1979">
        <v>32</v>
      </c>
      <c r="F69" s="61"/>
      <c r="G69" s="206"/>
      <c r="H69" s="88"/>
      <c r="I69" s="622"/>
      <c r="J69" s="331"/>
      <c r="K69" s="1978"/>
      <c r="L69" s="194"/>
      <c r="M69" s="188">
        <v>9031.68</v>
      </c>
      <c r="N69" s="188">
        <f t="shared" si="4"/>
        <v>8760.7296000000006</v>
      </c>
      <c r="O69" s="189">
        <v>7.0000000000000007E-2</v>
      </c>
      <c r="P69" s="170">
        <f t="shared" si="6"/>
        <v>9373.9806720000015</v>
      </c>
    </row>
    <row r="70" spans="1:16">
      <c r="A70" s="58"/>
      <c r="B70" s="74" t="s">
        <v>4165</v>
      </c>
      <c r="C70" s="63" t="s">
        <v>1119</v>
      </c>
      <c r="D70" s="2255" t="s">
        <v>1042</v>
      </c>
      <c r="E70" s="1979" t="s">
        <v>4166</v>
      </c>
      <c r="F70" s="767" t="s">
        <v>4167</v>
      </c>
      <c r="G70" s="2737" t="s">
        <v>2653</v>
      </c>
      <c r="H70" s="88" t="s">
        <v>4168</v>
      </c>
      <c r="I70" s="2243" t="s">
        <v>4169</v>
      </c>
      <c r="J70" s="2327" t="s">
        <v>4170</v>
      </c>
      <c r="K70" s="1978" t="s">
        <v>4171</v>
      </c>
      <c r="L70" s="194"/>
      <c r="N70" s="188">
        <f t="shared" si="4"/>
        <v>0</v>
      </c>
      <c r="O70" s="189">
        <v>7.0000000000000007E-2</v>
      </c>
      <c r="P70" s="170">
        <f t="shared" si="6"/>
        <v>0</v>
      </c>
    </row>
    <row r="71" spans="1:16">
      <c r="A71" s="315"/>
      <c r="B71" s="74" t="s">
        <v>4043</v>
      </c>
      <c r="C71" s="63" t="s">
        <v>4051</v>
      </c>
      <c r="D71" s="83" t="s">
        <v>4122</v>
      </c>
      <c r="E71" s="1979" t="s">
        <v>4172</v>
      </c>
      <c r="F71" s="767" t="s">
        <v>4173</v>
      </c>
      <c r="G71" s="2737" t="s">
        <v>2653</v>
      </c>
      <c r="H71" s="74" t="s">
        <v>4174</v>
      </c>
      <c r="I71" s="2243" t="s">
        <v>4175</v>
      </c>
      <c r="J71" s="2327" t="s">
        <v>4176</v>
      </c>
      <c r="K71" s="1408" t="s">
        <v>4177</v>
      </c>
      <c r="L71" s="194"/>
      <c r="M71" s="188">
        <v>8478.9599999999991</v>
      </c>
      <c r="N71" s="188">
        <f t="shared" si="4"/>
        <v>8224.5911999999989</v>
      </c>
      <c r="O71" s="189">
        <v>7.0000000000000007E-2</v>
      </c>
      <c r="P71" s="170">
        <f t="shared" si="6"/>
        <v>8800.3125839999993</v>
      </c>
    </row>
    <row r="72" spans="1:16">
      <c r="A72" s="315"/>
      <c r="B72" s="74" t="s">
        <v>4056</v>
      </c>
      <c r="C72" s="63" t="s">
        <v>4057</v>
      </c>
      <c r="D72" s="514" t="s">
        <v>4178</v>
      </c>
      <c r="E72" s="84" t="s">
        <v>4179</v>
      </c>
      <c r="F72" s="2325" t="s">
        <v>4180</v>
      </c>
      <c r="G72" s="206" t="s">
        <v>4181</v>
      </c>
      <c r="H72" s="74" t="s">
        <v>4182</v>
      </c>
      <c r="I72" s="182" t="s">
        <v>4183</v>
      </c>
      <c r="J72" s="2326" t="s">
        <v>4184</v>
      </c>
      <c r="K72" s="1408" t="s">
        <v>4185</v>
      </c>
      <c r="L72" s="194"/>
      <c r="M72" s="188">
        <v>11122.62</v>
      </c>
      <c r="N72" s="188">
        <f t="shared" si="4"/>
        <v>10788.941400000002</v>
      </c>
      <c r="O72" s="189">
        <v>7.0000000000000007E-2</v>
      </c>
      <c r="P72" s="170">
        <f t="shared" si="6"/>
        <v>11544.167298000002</v>
      </c>
    </row>
    <row r="73" spans="1:16">
      <c r="A73" s="315"/>
      <c r="B73" s="74" t="s">
        <v>4186</v>
      </c>
      <c r="C73" s="63" t="s">
        <v>4051</v>
      </c>
      <c r="D73" s="1976" t="s">
        <v>4187</v>
      </c>
      <c r="E73" s="84" t="s">
        <v>4188</v>
      </c>
      <c r="F73" s="2325" t="s">
        <v>4189</v>
      </c>
      <c r="G73" s="907" t="s">
        <v>4190</v>
      </c>
      <c r="H73" s="74" t="s">
        <v>4191</v>
      </c>
      <c r="I73" s="182" t="s">
        <v>4192</v>
      </c>
      <c r="J73" s="2326" t="s">
        <v>4193</v>
      </c>
      <c r="K73" s="1408" t="s">
        <v>4194</v>
      </c>
      <c r="L73" s="194"/>
      <c r="M73" s="188">
        <v>3813.12</v>
      </c>
      <c r="N73" s="188">
        <f t="shared" si="4"/>
        <v>3698.7264</v>
      </c>
      <c r="O73" s="189">
        <v>7.0000000000000007E-2</v>
      </c>
      <c r="P73" s="170">
        <f t="shared" si="6"/>
        <v>3957.637248</v>
      </c>
    </row>
    <row r="74" spans="1:16">
      <c r="A74" s="315"/>
      <c r="B74" s="74" t="s">
        <v>4186</v>
      </c>
      <c r="C74" s="63" t="s">
        <v>247</v>
      </c>
      <c r="D74" s="1976" t="s">
        <v>4195</v>
      </c>
      <c r="E74" s="84" t="s">
        <v>2013</v>
      </c>
      <c r="F74" s="767" t="s">
        <v>4085</v>
      </c>
      <c r="G74" s="206" t="s">
        <v>4196</v>
      </c>
      <c r="H74" s="74" t="s">
        <v>4197</v>
      </c>
      <c r="I74" s="182"/>
      <c r="J74" s="74" t="s">
        <v>4197</v>
      </c>
      <c r="K74" s="1408" t="s">
        <v>4198</v>
      </c>
      <c r="L74" s="194"/>
    </row>
    <row r="75" spans="1:16">
      <c r="A75" s="315"/>
      <c r="B75" s="74" t="s">
        <v>4199</v>
      </c>
      <c r="C75" s="63" t="s">
        <v>280</v>
      </c>
      <c r="D75" s="1976" t="s">
        <v>4187</v>
      </c>
      <c r="E75" s="1980" t="s">
        <v>4200</v>
      </c>
      <c r="F75" s="2325" t="s">
        <v>4201</v>
      </c>
      <c r="G75" s="2737" t="s">
        <v>2653</v>
      </c>
      <c r="H75" s="115" t="s">
        <v>4202</v>
      </c>
      <c r="I75" s="217" t="s">
        <v>4203</v>
      </c>
      <c r="J75" s="2326" t="s">
        <v>4204</v>
      </c>
      <c r="K75" s="1408" t="s">
        <v>4205</v>
      </c>
      <c r="L75" s="194"/>
    </row>
    <row r="76" spans="1:16">
      <c r="A76" s="315"/>
      <c r="B76" s="74" t="s">
        <v>4087</v>
      </c>
      <c r="C76" s="63" t="s">
        <v>280</v>
      </c>
      <c r="D76" s="1976" t="s">
        <v>4052</v>
      </c>
      <c r="E76" s="249"/>
      <c r="F76" s="121"/>
      <c r="G76" s="206"/>
      <c r="H76" s="115"/>
      <c r="I76" s="185"/>
      <c r="J76" s="2299"/>
      <c r="K76" s="197"/>
      <c r="L76" s="194"/>
    </row>
    <row r="77" spans="1:16">
      <c r="A77" s="315"/>
      <c r="B77" s="74" t="s">
        <v>4050</v>
      </c>
      <c r="C77" s="63" t="s">
        <v>4051</v>
      </c>
      <c r="D77" s="1976" t="s">
        <v>4052</v>
      </c>
      <c r="E77" s="1409" t="s">
        <v>4206</v>
      </c>
      <c r="F77" s="2325" t="s">
        <v>4207</v>
      </c>
      <c r="G77" s="907" t="s">
        <v>4208</v>
      </c>
      <c r="H77" s="115" t="s">
        <v>4209</v>
      </c>
      <c r="I77" s="217"/>
      <c r="J77" s="2326" t="s">
        <v>4210</v>
      </c>
      <c r="K77" s="1408" t="s">
        <v>4211</v>
      </c>
      <c r="L77" s="194"/>
    </row>
    <row r="78" spans="1:16">
      <c r="A78" s="315"/>
      <c r="B78" s="74" t="s">
        <v>4067</v>
      </c>
      <c r="C78" s="63" t="s">
        <v>4051</v>
      </c>
      <c r="D78" s="1977" t="s">
        <v>4187</v>
      </c>
      <c r="E78" s="1409" t="s">
        <v>4081</v>
      </c>
      <c r="F78" s="861" t="s">
        <v>4212</v>
      </c>
      <c r="G78" s="2737" t="s">
        <v>2653</v>
      </c>
      <c r="H78" s="115" t="s">
        <v>4213</v>
      </c>
      <c r="I78" s="185" t="s">
        <v>4214</v>
      </c>
      <c r="J78" s="311" t="s">
        <v>4215</v>
      </c>
      <c r="K78" s="1408" t="s">
        <v>4216</v>
      </c>
      <c r="L78" s="194"/>
    </row>
    <row r="79" spans="1:16" s="75" customFormat="1" ht="27.75" customHeight="1">
      <c r="A79" s="315"/>
      <c r="B79" s="74" t="s">
        <v>4073</v>
      </c>
      <c r="C79" s="63" t="s">
        <v>4051</v>
      </c>
      <c r="D79" s="1977" t="s">
        <v>4187</v>
      </c>
      <c r="E79" s="1409" t="s">
        <v>4068</v>
      </c>
      <c r="F79" s="2302" t="s">
        <v>4217</v>
      </c>
      <c r="G79" s="907" t="s">
        <v>4190</v>
      </c>
      <c r="H79" s="115" t="s">
        <v>4218</v>
      </c>
      <c r="I79" s="217" t="s">
        <v>4219</v>
      </c>
      <c r="J79" s="2301" t="s">
        <v>4220</v>
      </c>
      <c r="K79" s="1408" t="s">
        <v>3817</v>
      </c>
      <c r="L79" s="194"/>
      <c r="M79" s="3444"/>
      <c r="N79" s="188"/>
      <c r="O79" s="189"/>
      <c r="P79" s="170"/>
    </row>
    <row r="80" spans="1:16">
      <c r="A80" s="315"/>
      <c r="B80" s="74" t="s">
        <v>920</v>
      </c>
      <c r="C80" s="63" t="s">
        <v>4051</v>
      </c>
      <c r="D80" s="1977" t="s">
        <v>4187</v>
      </c>
      <c r="E80" s="1409" t="s">
        <v>4063</v>
      </c>
      <c r="F80" s="861" t="s">
        <v>4064</v>
      </c>
      <c r="G80" s="206" t="s">
        <v>4221</v>
      </c>
      <c r="H80" s="115">
        <v>500</v>
      </c>
      <c r="I80" s="217" t="s">
        <v>4222</v>
      </c>
      <c r="J80" s="2299">
        <v>515</v>
      </c>
      <c r="K80" s="1408" t="s">
        <v>4223</v>
      </c>
      <c r="L80" s="194"/>
    </row>
    <row r="81" spans="1:16">
      <c r="A81" s="315"/>
      <c r="B81" s="74" t="s">
        <v>4224</v>
      </c>
      <c r="C81" s="63" t="s">
        <v>4051</v>
      </c>
      <c r="D81" s="1977" t="s">
        <v>4187</v>
      </c>
      <c r="E81" s="249"/>
      <c r="F81" s="121"/>
      <c r="G81" s="2737" t="s">
        <v>2653</v>
      </c>
      <c r="H81" s="115" t="s">
        <v>4225</v>
      </c>
      <c r="I81" s="185" t="s">
        <v>4226</v>
      </c>
      <c r="J81" s="2299" t="s">
        <v>4227</v>
      </c>
      <c r="K81" s="197" t="s">
        <v>4228</v>
      </c>
      <c r="L81" s="194"/>
    </row>
    <row r="82" spans="1:16">
      <c r="A82" s="44"/>
      <c r="B82" s="74" t="s">
        <v>4229</v>
      </c>
      <c r="C82" s="63" t="s">
        <v>4051</v>
      </c>
      <c r="D82" s="1977" t="s">
        <v>4187</v>
      </c>
      <c r="E82" s="2350" t="s">
        <v>3848</v>
      </c>
      <c r="F82" s="1497" t="s">
        <v>4230</v>
      </c>
      <c r="G82" s="2737" t="s">
        <v>2653</v>
      </c>
      <c r="H82" s="560" t="s">
        <v>4231</v>
      </c>
      <c r="I82" s="185" t="s">
        <v>4232</v>
      </c>
      <c r="J82" s="2299" t="s">
        <v>4233</v>
      </c>
      <c r="K82" s="197" t="s">
        <v>4234</v>
      </c>
      <c r="L82" s="168"/>
    </row>
    <row r="83" spans="1:16">
      <c r="A83" s="44"/>
      <c r="B83" s="75"/>
      <c r="D83" s="3444"/>
      <c r="E83" s="273"/>
      <c r="F83" s="274"/>
      <c r="G83" s="269"/>
      <c r="H83" s="270"/>
      <c r="I83" s="271"/>
      <c r="J83" s="171"/>
      <c r="K83" s="166"/>
      <c r="L83" s="168"/>
    </row>
    <row r="84" spans="1:16">
      <c r="A84" s="44" t="s">
        <v>0</v>
      </c>
      <c r="C84" s="104"/>
      <c r="F84" s="68"/>
      <c r="I84" s="179"/>
      <c r="K84" s="163"/>
      <c r="L84" s="168"/>
      <c r="N84" s="188">
        <f>180*0.03</f>
        <v>5.3999999999999995</v>
      </c>
      <c r="O84" s="188">
        <f>M84-N84</f>
        <v>-5.3999999999999995</v>
      </c>
    </row>
    <row r="85" spans="1:16" ht="35.25" customHeight="1">
      <c r="A85" s="3480" t="s">
        <v>2494</v>
      </c>
      <c r="B85" s="3480"/>
      <c r="C85" s="44"/>
      <c r="D85" s="109"/>
      <c r="F85" s="68"/>
      <c r="I85" s="179"/>
      <c r="K85" s="163"/>
      <c r="L85" s="168"/>
    </row>
    <row r="86" spans="1:16" ht="35.25" thickBot="1">
      <c r="F86" s="68"/>
    </row>
    <row r="87" spans="1:16">
      <c r="A87" s="3511" t="s">
        <v>2</v>
      </c>
      <c r="B87" s="3512"/>
      <c r="C87" s="65" t="s">
        <v>3</v>
      </c>
      <c r="D87" s="582" t="s">
        <v>4</v>
      </c>
      <c r="E87" s="77" t="s">
        <v>5</v>
      </c>
      <c r="F87" s="78" t="s">
        <v>5</v>
      </c>
      <c r="G87" s="211" t="s">
        <v>6</v>
      </c>
      <c r="H87" s="140" t="s">
        <v>7</v>
      </c>
      <c r="I87" s="180" t="s">
        <v>1511</v>
      </c>
      <c r="J87" s="172" t="s">
        <v>9</v>
      </c>
      <c r="K87" s="186" t="s">
        <v>9</v>
      </c>
      <c r="L87" s="192" t="s">
        <v>2495</v>
      </c>
      <c r="M87" s="190"/>
    </row>
    <row r="88" spans="1:16" ht="35.25" thickBot="1">
      <c r="A88" s="155"/>
      <c r="B88" s="494"/>
      <c r="C88" s="50"/>
      <c r="D88" s="583" t="s">
        <v>10</v>
      </c>
      <c r="E88" s="79" t="s">
        <v>11</v>
      </c>
      <c r="F88" s="80" t="s">
        <v>12</v>
      </c>
      <c r="G88" s="212"/>
      <c r="H88" s="141" t="s">
        <v>13</v>
      </c>
      <c r="I88" s="181" t="s">
        <v>1512</v>
      </c>
      <c r="J88" s="173" t="s">
        <v>14</v>
      </c>
      <c r="K88" s="187" t="s">
        <v>15</v>
      </c>
      <c r="L88" s="193" t="s">
        <v>2496</v>
      </c>
      <c r="M88" s="190"/>
    </row>
    <row r="89" spans="1:16">
      <c r="A89" s="259"/>
      <c r="B89" s="1845" t="s">
        <v>1605</v>
      </c>
      <c r="C89" s="222"/>
      <c r="D89" s="1480"/>
      <c r="E89" s="100"/>
      <c r="F89" s="61"/>
      <c r="G89" s="275"/>
      <c r="H89" s="222"/>
      <c r="I89" s="998"/>
      <c r="J89" s="209"/>
      <c r="K89" s="226"/>
      <c r="L89" s="194"/>
      <c r="M89" s="188">
        <v>3552</v>
      </c>
      <c r="N89" s="188">
        <f t="shared" ref="N89:N105" si="7">M89-(M89*0.03)</f>
        <v>3445.44</v>
      </c>
      <c r="O89" s="189">
        <v>7.0000000000000007E-2</v>
      </c>
      <c r="P89" s="170">
        <f t="shared" ref="P89:P105" si="8">(N89*O89)+N89</f>
        <v>3686.6208000000001</v>
      </c>
    </row>
    <row r="90" spans="1:16">
      <c r="A90" s="157"/>
      <c r="B90" s="43" t="s">
        <v>4235</v>
      </c>
      <c r="C90" s="207" t="s">
        <v>4236</v>
      </c>
      <c r="D90" s="422"/>
      <c r="E90" s="237" t="s">
        <v>4237</v>
      </c>
      <c r="F90" s="238"/>
      <c r="G90" s="223" t="s">
        <v>764</v>
      </c>
      <c r="H90" s="224" t="s">
        <v>4238</v>
      </c>
      <c r="I90" s="182" t="s">
        <v>301</v>
      </c>
      <c r="J90" s="686" t="s">
        <v>4239</v>
      </c>
      <c r="K90" s="378" t="s">
        <v>4240</v>
      </c>
      <c r="L90" s="194"/>
      <c r="N90" s="188">
        <f t="shared" si="7"/>
        <v>0</v>
      </c>
      <c r="O90" s="189">
        <v>7.0000000000000007E-2</v>
      </c>
      <c r="P90" s="170">
        <f t="shared" si="8"/>
        <v>0</v>
      </c>
    </row>
    <row r="91" spans="1:16">
      <c r="A91" s="157"/>
      <c r="B91" s="43" t="s">
        <v>4241</v>
      </c>
      <c r="C91" s="207" t="s">
        <v>2832</v>
      </c>
      <c r="D91" s="421" t="s">
        <v>2798</v>
      </c>
      <c r="E91" s="145" t="s">
        <v>4242</v>
      </c>
      <c r="F91" s="61"/>
      <c r="G91" s="206" t="s">
        <v>764</v>
      </c>
      <c r="H91" s="74" t="s">
        <v>4243</v>
      </c>
      <c r="I91" s="182" t="s">
        <v>301</v>
      </c>
      <c r="J91" s="685" t="s">
        <v>4244</v>
      </c>
      <c r="K91" s="365" t="s">
        <v>4245</v>
      </c>
      <c r="L91" s="194"/>
      <c r="M91" s="188">
        <v>9498.06</v>
      </c>
      <c r="N91" s="188">
        <f t="shared" si="7"/>
        <v>9213.118199999999</v>
      </c>
      <c r="O91" s="189">
        <v>7.0000000000000007E-2</v>
      </c>
      <c r="P91" s="170">
        <f t="shared" si="8"/>
        <v>9858.0364739999986</v>
      </c>
    </row>
    <row r="92" spans="1:16">
      <c r="A92" s="157"/>
      <c r="B92" s="43" t="s">
        <v>4246</v>
      </c>
      <c r="C92" s="207" t="s">
        <v>4247</v>
      </c>
      <c r="D92" s="421" t="s">
        <v>4248</v>
      </c>
      <c r="E92" s="145" t="s">
        <v>4249</v>
      </c>
      <c r="F92" s="61" t="s">
        <v>4250</v>
      </c>
      <c r="G92" s="2737" t="s">
        <v>4251</v>
      </c>
      <c r="H92" s="74" t="s">
        <v>4252</v>
      </c>
      <c r="I92" s="182" t="s">
        <v>301</v>
      </c>
      <c r="J92" s="685" t="s">
        <v>4253</v>
      </c>
      <c r="K92" s="365" t="s">
        <v>4254</v>
      </c>
      <c r="L92" s="194"/>
      <c r="M92" s="188">
        <v>15305.4</v>
      </c>
      <c r="N92" s="188">
        <f t="shared" si="7"/>
        <v>14846.237999999999</v>
      </c>
      <c r="O92" s="189">
        <v>7.0000000000000007E-2</v>
      </c>
      <c r="P92" s="170">
        <f t="shared" si="8"/>
        <v>15885.47466</v>
      </c>
    </row>
    <row r="93" spans="1:16">
      <c r="A93" s="157"/>
      <c r="B93" s="95"/>
      <c r="C93" s="222"/>
      <c r="D93" s="254"/>
      <c r="E93" s="142"/>
      <c r="F93" s="61"/>
      <c r="G93" s="223"/>
      <c r="H93" s="224"/>
      <c r="I93" s="225"/>
      <c r="J93" s="209"/>
      <c r="K93" s="244"/>
      <c r="L93" s="194"/>
      <c r="N93" s="188">
        <f t="shared" si="7"/>
        <v>0</v>
      </c>
      <c r="O93" s="189">
        <v>7.0000000000000007E-2</v>
      </c>
      <c r="P93" s="170">
        <f t="shared" si="8"/>
        <v>0</v>
      </c>
    </row>
    <row r="94" spans="1:16" ht="39.75">
      <c r="A94" s="157"/>
      <c r="B94" s="95"/>
      <c r="C94" s="228"/>
      <c r="D94" s="196"/>
      <c r="E94" s="142"/>
      <c r="F94" s="61"/>
      <c r="G94" s="206"/>
      <c r="H94" s="74"/>
      <c r="I94" s="183"/>
      <c r="J94" s="175"/>
      <c r="K94" s="197"/>
      <c r="L94" s="194"/>
      <c r="N94" s="188">
        <f t="shared" si="7"/>
        <v>0</v>
      </c>
      <c r="O94" s="189">
        <v>7.0000000000000007E-2</v>
      </c>
      <c r="P94" s="170">
        <f t="shared" si="8"/>
        <v>0</v>
      </c>
    </row>
    <row r="95" spans="1:16">
      <c r="A95" s="157"/>
      <c r="B95" s="1477" t="s">
        <v>4255</v>
      </c>
      <c r="C95" s="1444"/>
      <c r="D95" s="1478"/>
      <c r="E95" s="142"/>
      <c r="F95" s="61"/>
      <c r="G95" s="64"/>
      <c r="H95" s="63"/>
      <c r="I95" s="59"/>
      <c r="J95" s="175"/>
      <c r="K95" s="197"/>
      <c r="L95" s="194"/>
      <c r="N95" s="188">
        <f t="shared" si="7"/>
        <v>0</v>
      </c>
      <c r="O95" s="189">
        <v>7.0000000000000007E-2</v>
      </c>
      <c r="P95" s="170">
        <f t="shared" si="8"/>
        <v>0</v>
      </c>
    </row>
    <row r="96" spans="1:16">
      <c r="A96" s="157"/>
      <c r="B96" s="97" t="s">
        <v>4256</v>
      </c>
      <c r="C96" s="63" t="s">
        <v>1054</v>
      </c>
      <c r="D96" s="252"/>
      <c r="E96" s="100"/>
      <c r="F96" s="61"/>
      <c r="G96" s="2278">
        <v>20464</v>
      </c>
      <c r="H96" s="63">
        <v>950</v>
      </c>
      <c r="I96" s="59" t="s">
        <v>4257</v>
      </c>
      <c r="J96" s="175" t="s">
        <v>4258</v>
      </c>
      <c r="K96" s="197"/>
      <c r="M96" s="188">
        <v>14244.12</v>
      </c>
      <c r="N96" s="188">
        <f t="shared" si="7"/>
        <v>13816.796400000001</v>
      </c>
      <c r="O96" s="189">
        <v>7.0000000000000007E-2</v>
      </c>
      <c r="P96" s="170">
        <f t="shared" si="8"/>
        <v>14783.972148000001</v>
      </c>
    </row>
    <row r="97" spans="1:16">
      <c r="A97" s="157"/>
      <c r="B97" s="95"/>
      <c r="C97" s="63"/>
      <c r="D97" s="252"/>
      <c r="E97" s="100"/>
      <c r="F97" s="61"/>
      <c r="G97" s="64"/>
      <c r="H97" s="63"/>
      <c r="I97" s="59" t="s">
        <v>4259</v>
      </c>
      <c r="J97" s="175" t="s">
        <v>4260</v>
      </c>
      <c r="K97" s="197"/>
      <c r="L97" s="194"/>
      <c r="M97" s="188">
        <v>3240</v>
      </c>
      <c r="N97" s="188">
        <f t="shared" si="7"/>
        <v>3142.8</v>
      </c>
      <c r="O97" s="189">
        <v>7.0000000000000007E-2</v>
      </c>
      <c r="P97" s="170">
        <f t="shared" si="8"/>
        <v>3362.7960000000003</v>
      </c>
    </row>
    <row r="98" spans="1:16">
      <c r="A98" s="157"/>
      <c r="B98" s="95" t="s">
        <v>4261</v>
      </c>
      <c r="C98" s="207" t="s">
        <v>4262</v>
      </c>
      <c r="D98" s="196"/>
      <c r="E98" s="100" t="s">
        <v>2841</v>
      </c>
      <c r="F98" s="61" t="s">
        <v>3743</v>
      </c>
      <c r="G98" s="2276">
        <v>23319</v>
      </c>
      <c r="H98" s="63">
        <v>3000</v>
      </c>
      <c r="I98" s="252" t="s">
        <v>4263</v>
      </c>
      <c r="J98" s="175" t="s">
        <v>4264</v>
      </c>
      <c r="K98" s="1408" t="s">
        <v>4265</v>
      </c>
      <c r="L98" s="194"/>
      <c r="M98" s="188">
        <v>14700</v>
      </c>
      <c r="N98" s="188">
        <f t="shared" si="7"/>
        <v>14259</v>
      </c>
      <c r="O98" s="189">
        <v>7.0000000000000007E-2</v>
      </c>
      <c r="P98" s="170">
        <f t="shared" si="8"/>
        <v>15257.130000000001</v>
      </c>
    </row>
    <row r="99" spans="1:16">
      <c r="A99" s="157"/>
      <c r="B99" s="95" t="s">
        <v>4266</v>
      </c>
      <c r="C99" s="63"/>
      <c r="D99" s="252"/>
      <c r="E99" s="256"/>
      <c r="F99" s="238"/>
      <c r="G99" s="52"/>
      <c r="H99" s="63"/>
      <c r="I99" s="59"/>
      <c r="J99" s="209"/>
      <c r="K99" s="226"/>
      <c r="L99" s="229"/>
      <c r="M99" s="188">
        <v>14582.7</v>
      </c>
      <c r="N99" s="188">
        <f t="shared" si="7"/>
        <v>14145.219000000001</v>
      </c>
      <c r="O99" s="189">
        <v>7.0000000000000007E-2</v>
      </c>
      <c r="P99" s="170">
        <f t="shared" si="8"/>
        <v>15135.384330000001</v>
      </c>
    </row>
    <row r="100" spans="1:16">
      <c r="A100" s="157"/>
      <c r="B100" s="95" t="s">
        <v>4267</v>
      </c>
      <c r="C100" s="63"/>
      <c r="D100" s="252"/>
      <c r="E100" s="142"/>
      <c r="F100" s="61"/>
      <c r="G100" s="2429">
        <v>24239</v>
      </c>
      <c r="H100" s="63"/>
      <c r="I100" s="59"/>
      <c r="J100" s="175"/>
      <c r="K100" s="197"/>
      <c r="L100" s="229"/>
      <c r="M100" s="188">
        <v>13483.8</v>
      </c>
      <c r="N100" s="188">
        <f t="shared" si="7"/>
        <v>13079.286</v>
      </c>
      <c r="O100" s="189">
        <v>7.0000000000000007E-2</v>
      </c>
      <c r="P100" s="170">
        <f t="shared" si="8"/>
        <v>13994.836020000001</v>
      </c>
    </row>
    <row r="101" spans="1:16">
      <c r="A101" s="157"/>
      <c r="B101" s="1479" t="s">
        <v>4241</v>
      </c>
      <c r="C101" s="207" t="s">
        <v>4268</v>
      </c>
      <c r="D101" s="252"/>
      <c r="E101" s="142" t="s">
        <v>4269</v>
      </c>
      <c r="F101" s="61"/>
      <c r="G101" s="2277">
        <v>23319</v>
      </c>
      <c r="H101" s="101" t="s">
        <v>4270</v>
      </c>
      <c r="I101" s="3457" t="s">
        <v>4271</v>
      </c>
      <c r="J101" s="209" t="s">
        <v>4272</v>
      </c>
      <c r="K101" s="2279" t="s">
        <v>4273</v>
      </c>
      <c r="L101" s="229"/>
      <c r="M101" s="188">
        <v>2669.52</v>
      </c>
      <c r="N101" s="188">
        <f t="shared" si="7"/>
        <v>2589.4344000000001</v>
      </c>
      <c r="O101" s="189">
        <v>7.0000000000000007E-2</v>
      </c>
      <c r="P101" s="170">
        <f t="shared" si="8"/>
        <v>2770.6948080000002</v>
      </c>
    </row>
    <row r="102" spans="1:16">
      <c r="A102" s="157"/>
      <c r="B102" s="74" t="s">
        <v>4274</v>
      </c>
      <c r="C102" s="63"/>
      <c r="D102" s="264"/>
      <c r="E102" s="142"/>
      <c r="F102" s="61"/>
      <c r="G102" s="1813">
        <v>21533</v>
      </c>
      <c r="H102" s="63"/>
      <c r="I102" s="59"/>
      <c r="J102" s="209" t="s">
        <v>4275</v>
      </c>
      <c r="K102" s="226"/>
      <c r="L102" s="229"/>
      <c r="N102" s="188">
        <f t="shared" si="7"/>
        <v>0</v>
      </c>
      <c r="O102" s="189">
        <v>7.0000000000000007E-2</v>
      </c>
      <c r="P102" s="170">
        <f t="shared" si="8"/>
        <v>0</v>
      </c>
    </row>
    <row r="103" spans="1:16">
      <c r="A103" s="221"/>
      <c r="B103" s="82"/>
      <c r="C103" s="63"/>
      <c r="D103" s="252"/>
      <c r="E103" s="142"/>
      <c r="F103" s="61"/>
      <c r="G103" s="64"/>
      <c r="H103" s="63"/>
      <c r="I103" s="59"/>
      <c r="J103" s="209"/>
      <c r="K103" s="226"/>
      <c r="L103" s="229"/>
      <c r="M103" s="188">
        <v>12972.96</v>
      </c>
      <c r="N103" s="188">
        <f t="shared" si="7"/>
        <v>12583.771199999999</v>
      </c>
      <c r="O103" s="189">
        <v>7.0000000000000007E-2</v>
      </c>
      <c r="P103" s="170">
        <f t="shared" si="8"/>
        <v>13464.635183999999</v>
      </c>
    </row>
    <row r="104" spans="1:16">
      <c r="A104" s="157"/>
      <c r="B104" s="82"/>
      <c r="C104" s="63"/>
      <c r="D104" s="252"/>
      <c r="E104" s="142"/>
      <c r="F104" s="61"/>
      <c r="G104" s="64"/>
      <c r="H104" s="63"/>
      <c r="I104" s="59"/>
      <c r="J104" s="209"/>
      <c r="K104" s="197"/>
      <c r="L104" s="229"/>
      <c r="M104" s="188">
        <v>12687.84</v>
      </c>
      <c r="N104" s="188">
        <f t="shared" si="7"/>
        <v>12307.2048</v>
      </c>
      <c r="O104" s="189">
        <v>7.0000000000000007E-2</v>
      </c>
      <c r="P104" s="170">
        <f t="shared" si="8"/>
        <v>13168.709135999999</v>
      </c>
    </row>
    <row r="105" spans="1:16">
      <c r="A105" s="157"/>
      <c r="B105" s="1845"/>
      <c r="C105" s="222"/>
      <c r="D105" s="1480"/>
      <c r="E105" s="100"/>
      <c r="F105" s="61"/>
      <c r="G105" s="275"/>
      <c r="H105" s="222"/>
      <c r="I105" s="998"/>
      <c r="J105" s="209"/>
      <c r="K105" s="226"/>
      <c r="L105" s="194"/>
      <c r="M105" s="188">
        <v>16572.599999999999</v>
      </c>
      <c r="N105" s="188">
        <f t="shared" si="7"/>
        <v>16075.421999999999</v>
      </c>
      <c r="O105" s="189">
        <v>7.0000000000000007E-2</v>
      </c>
      <c r="P105" s="170">
        <f t="shared" si="8"/>
        <v>17200.701539999998</v>
      </c>
    </row>
    <row r="106" spans="1:16">
      <c r="A106" s="157"/>
      <c r="B106" s="1479"/>
      <c r="C106" s="207"/>
      <c r="D106" s="252"/>
      <c r="E106" s="142"/>
      <c r="F106" s="61"/>
      <c r="G106" s="2277"/>
      <c r="H106" s="101"/>
      <c r="I106" s="3457"/>
      <c r="J106" s="209"/>
      <c r="K106" s="2279"/>
      <c r="L106" s="194"/>
      <c r="M106" s="188">
        <v>6021.12</v>
      </c>
      <c r="N106" s="188">
        <f>M106-(M106*0.03)</f>
        <v>5840.4863999999998</v>
      </c>
      <c r="O106" s="189">
        <v>7.0000000000000007E-2</v>
      </c>
      <c r="P106" s="170">
        <f>(N106*O106)+N106</f>
        <v>6249.3204479999995</v>
      </c>
    </row>
    <row r="107" spans="1:16">
      <c r="A107" s="157"/>
      <c r="B107" s="1479"/>
      <c r="C107" s="222"/>
      <c r="D107" s="1480"/>
      <c r="E107" s="198"/>
      <c r="F107" s="61"/>
      <c r="G107" s="275"/>
      <c r="H107" s="222"/>
      <c r="I107" s="998"/>
      <c r="J107" s="209"/>
      <c r="K107" s="226"/>
      <c r="L107" s="194"/>
      <c r="M107" s="188">
        <v>8714.16</v>
      </c>
      <c r="N107" s="188">
        <f>M107-(M107*0.03)</f>
        <v>8452.7351999999992</v>
      </c>
      <c r="O107" s="189">
        <v>7.0000000000000007E-2</v>
      </c>
      <c r="P107" s="170">
        <f>(N107*O107)+N107</f>
        <v>9044.4266639999987</v>
      </c>
    </row>
    <row r="108" spans="1:16">
      <c r="A108" s="157"/>
      <c r="B108" s="268"/>
      <c r="C108" s="222"/>
      <c r="D108" s="254"/>
      <c r="E108" s="198"/>
      <c r="F108" s="61"/>
      <c r="G108" s="2322"/>
      <c r="H108" s="222"/>
      <c r="I108" s="1480"/>
      <c r="J108" s="209"/>
      <c r="K108" s="226"/>
      <c r="L108" s="194"/>
      <c r="M108" s="188">
        <v>0</v>
      </c>
      <c r="N108" s="188">
        <f>M108-(M108*0.03)</f>
        <v>0</v>
      </c>
      <c r="O108" s="189">
        <v>7.0000000000000007E-2</v>
      </c>
      <c r="P108" s="170">
        <f t="shared" ref="P108:P114" si="9">(N108*O108)+N108</f>
        <v>0</v>
      </c>
    </row>
    <row r="109" spans="1:16">
      <c r="A109" s="157"/>
      <c r="B109" s="95"/>
      <c r="C109" s="63"/>
      <c r="D109" s="196"/>
      <c r="E109" s="142"/>
      <c r="F109" s="61"/>
      <c r="G109" s="206"/>
      <c r="H109" s="74"/>
      <c r="I109" s="183"/>
      <c r="J109" s="175"/>
      <c r="K109" s="197"/>
      <c r="L109" s="194"/>
      <c r="M109" s="188">
        <v>18537.7</v>
      </c>
      <c r="N109" s="188">
        <f>M109-(M109*0.03)</f>
        <v>17981.569</v>
      </c>
      <c r="O109" s="189">
        <v>7.0000000000000007E-2</v>
      </c>
      <c r="P109" s="170">
        <f t="shared" si="9"/>
        <v>19240.278829999999</v>
      </c>
    </row>
    <row r="110" spans="1:16">
      <c r="A110" s="158"/>
      <c r="B110" s="95"/>
      <c r="C110" s="63"/>
      <c r="D110" s="196"/>
      <c r="E110" s="120"/>
      <c r="F110" s="121"/>
      <c r="G110" s="206"/>
      <c r="H110" s="74"/>
      <c r="I110" s="183"/>
      <c r="J110" s="175"/>
      <c r="K110" s="197"/>
      <c r="L110" s="194"/>
      <c r="M110" s="188">
        <v>9031.68</v>
      </c>
      <c r="N110" s="188">
        <f t="shared" ref="N110:N118" si="10">M110-(M110*0.03)</f>
        <v>8760.7296000000006</v>
      </c>
      <c r="O110" s="189">
        <v>7.0000000000000007E-2</v>
      </c>
      <c r="P110" s="170">
        <f t="shared" si="9"/>
        <v>9373.9806720000015</v>
      </c>
    </row>
    <row r="111" spans="1:16">
      <c r="A111" s="200"/>
      <c r="B111" s="95"/>
      <c r="C111" s="63"/>
      <c r="D111" s="196"/>
      <c r="E111" s="198"/>
      <c r="F111" s="61"/>
      <c r="G111" s="206"/>
      <c r="H111" s="88"/>
      <c r="I111" s="184"/>
      <c r="J111" s="201"/>
      <c r="K111" s="202"/>
      <c r="L111" s="194"/>
      <c r="N111" s="188">
        <f t="shared" si="10"/>
        <v>0</v>
      </c>
      <c r="O111" s="189">
        <v>7.0000000000000007E-2</v>
      </c>
      <c r="P111" s="170">
        <f t="shared" si="9"/>
        <v>0</v>
      </c>
    </row>
    <row r="112" spans="1:16">
      <c r="A112" s="157"/>
      <c r="B112" s="267"/>
      <c r="C112" s="63"/>
      <c r="D112" s="196"/>
      <c r="E112" s="198"/>
      <c r="F112" s="61"/>
      <c r="G112" s="206"/>
      <c r="H112" s="74"/>
      <c r="I112" s="183"/>
      <c r="J112" s="175"/>
      <c r="K112" s="197"/>
      <c r="L112" s="194"/>
      <c r="M112" s="188">
        <v>8478.9599999999991</v>
      </c>
      <c r="N112" s="188">
        <f t="shared" si="10"/>
        <v>8224.5911999999989</v>
      </c>
      <c r="O112" s="189">
        <v>7.0000000000000007E-2</v>
      </c>
      <c r="P112" s="170">
        <f t="shared" si="9"/>
        <v>8800.3125839999993</v>
      </c>
    </row>
    <row r="113" spans="1:16">
      <c r="A113" s="157"/>
      <c r="B113" s="267"/>
      <c r="C113" s="63"/>
      <c r="D113" s="196"/>
      <c r="E113" s="142"/>
      <c r="F113" s="61"/>
      <c r="G113" s="206"/>
      <c r="H113" s="74"/>
      <c r="I113" s="183"/>
      <c r="J113" s="175"/>
      <c r="K113" s="197"/>
      <c r="L113" s="194"/>
      <c r="M113" s="188">
        <v>11122.62</v>
      </c>
      <c r="N113" s="188">
        <f t="shared" si="10"/>
        <v>10788.941400000002</v>
      </c>
      <c r="O113" s="189">
        <v>7.0000000000000007E-2</v>
      </c>
      <c r="P113" s="170">
        <f t="shared" si="9"/>
        <v>11544.167298000002</v>
      </c>
    </row>
    <row r="114" spans="1:16">
      <c r="A114" s="157"/>
      <c r="B114" s="96"/>
      <c r="C114" s="63"/>
      <c r="D114" s="196"/>
      <c r="E114" s="120"/>
      <c r="F114" s="121"/>
      <c r="G114" s="206"/>
      <c r="H114" s="115"/>
      <c r="I114" s="185"/>
      <c r="J114" s="175"/>
      <c r="K114" s="197"/>
      <c r="L114" s="194"/>
      <c r="M114" s="188">
        <v>3813.12</v>
      </c>
      <c r="N114" s="188">
        <f t="shared" si="10"/>
        <v>3698.7264</v>
      </c>
      <c r="O114" s="189">
        <v>7.0000000000000007E-2</v>
      </c>
      <c r="P114" s="170">
        <f t="shared" si="9"/>
        <v>3957.637248</v>
      </c>
    </row>
    <row r="115" spans="1:16">
      <c r="A115" s="157"/>
      <c r="B115" s="95"/>
      <c r="C115" s="63"/>
      <c r="D115" s="196"/>
      <c r="E115" s="249"/>
      <c r="F115" s="121"/>
      <c r="G115" s="206"/>
      <c r="H115" s="115"/>
      <c r="I115" s="185"/>
      <c r="J115" s="175"/>
      <c r="K115" s="197"/>
      <c r="L115" s="194"/>
    </row>
    <row r="116" spans="1:16">
      <c r="A116" s="157"/>
      <c r="B116" s="1845" t="s">
        <v>4276</v>
      </c>
      <c r="C116" s="222"/>
      <c r="D116" s="1480"/>
      <c r="E116" s="221"/>
      <c r="F116" s="777"/>
      <c r="G116" s="275"/>
      <c r="H116" s="222"/>
      <c r="I116" s="998"/>
      <c r="J116" s="209"/>
      <c r="K116" s="226"/>
      <c r="L116" s="194"/>
    </row>
    <row r="117" spans="1:16">
      <c r="A117" s="157"/>
      <c r="B117" s="1481" t="s">
        <v>4277</v>
      </c>
      <c r="C117" s="222" t="s">
        <v>4278</v>
      </c>
      <c r="D117" s="1480"/>
      <c r="E117" s="275"/>
      <c r="F117" s="777"/>
      <c r="G117" s="1846">
        <v>22160</v>
      </c>
      <c r="H117" s="222"/>
      <c r="I117" s="998"/>
      <c r="J117" s="209" t="s">
        <v>4279</v>
      </c>
      <c r="K117" s="226" t="s">
        <v>4049</v>
      </c>
      <c r="L117" s="194"/>
    </row>
    <row r="118" spans="1:16">
      <c r="A118" s="157"/>
      <c r="B118" s="130"/>
      <c r="C118" s="63"/>
      <c r="D118" s="196"/>
      <c r="E118" s="142"/>
      <c r="F118" s="61"/>
      <c r="G118" s="206"/>
      <c r="H118" s="74"/>
      <c r="I118" s="183"/>
      <c r="J118" s="175"/>
      <c r="K118" s="197"/>
      <c r="L118" s="194"/>
      <c r="M118" s="188">
        <v>8640</v>
      </c>
      <c r="N118" s="188">
        <f t="shared" si="10"/>
        <v>8380.7999999999993</v>
      </c>
      <c r="O118" s="189">
        <v>7.0000000000000007E-2</v>
      </c>
      <c r="P118" s="170">
        <f>(N118*O118)+N118</f>
        <v>8967.4559999999983</v>
      </c>
    </row>
    <row r="119" spans="1:16" ht="35.25" thickBot="1">
      <c r="A119" s="160"/>
      <c r="B119" s="105"/>
      <c r="C119" s="63"/>
      <c r="D119" s="196"/>
      <c r="E119" s="257"/>
      <c r="F119" s="258"/>
      <c r="G119" s="206"/>
      <c r="H119" s="115"/>
      <c r="I119" s="185"/>
      <c r="J119" s="174"/>
      <c r="K119" s="195"/>
      <c r="L119" s="194"/>
    </row>
    <row r="120" spans="1:16" ht="35.25" customHeight="1">
      <c r="A120" s="157"/>
      <c r="B120" s="130"/>
      <c r="C120" s="63"/>
      <c r="D120" s="196"/>
      <c r="E120" s="142"/>
      <c r="F120" s="61"/>
      <c r="G120" s="206"/>
      <c r="H120" s="74"/>
      <c r="I120" s="183"/>
      <c r="J120" s="175"/>
      <c r="K120" s="197"/>
      <c r="L120" s="194"/>
      <c r="M120" s="3444"/>
    </row>
    <row r="121" spans="1:16" ht="35.25" customHeight="1">
      <c r="A121" s="157"/>
      <c r="B121" s="130"/>
      <c r="C121" s="63"/>
      <c r="D121" s="196"/>
      <c r="E121" s="198"/>
      <c r="F121" s="280"/>
      <c r="G121" s="206"/>
      <c r="H121" s="74"/>
      <c r="I121" s="183"/>
      <c r="J121" s="175"/>
      <c r="K121" s="197"/>
      <c r="L121" s="194"/>
      <c r="M121" s="3444"/>
    </row>
    <row r="122" spans="1:16" ht="35.25" thickBot="1">
      <c r="A122" s="160"/>
      <c r="B122" s="105"/>
      <c r="C122" s="63"/>
      <c r="D122" s="196"/>
      <c r="E122" s="257"/>
      <c r="F122" s="258"/>
      <c r="G122" s="206"/>
      <c r="H122" s="115"/>
      <c r="I122" s="185"/>
      <c r="J122" s="174"/>
      <c r="K122" s="195"/>
      <c r="L122" s="194"/>
    </row>
    <row r="123" spans="1:16">
      <c r="F123" s="68"/>
    </row>
    <row r="124" spans="1:16">
      <c r="A124" s="44" t="s">
        <v>0</v>
      </c>
      <c r="C124" s="104"/>
      <c r="F124" s="68"/>
      <c r="I124" s="179"/>
      <c r="K124" s="163"/>
      <c r="L124" s="168"/>
    </row>
    <row r="125" spans="1:16" ht="35.25" customHeight="1">
      <c r="A125" s="3480" t="s">
        <v>2494</v>
      </c>
      <c r="B125" s="3480"/>
      <c r="C125" s="44"/>
      <c r="D125" s="109"/>
      <c r="F125" s="68"/>
      <c r="I125" s="179"/>
      <c r="K125" s="163"/>
      <c r="L125" s="168"/>
    </row>
    <row r="126" spans="1:16" ht="35.25" thickBot="1">
      <c r="F126" s="68"/>
    </row>
    <row r="127" spans="1:16">
      <c r="A127" s="3493" t="s">
        <v>2</v>
      </c>
      <c r="B127" s="3482"/>
      <c r="C127" s="48" t="s">
        <v>3</v>
      </c>
      <c r="D127" s="128" t="s">
        <v>4</v>
      </c>
      <c r="E127" s="77" t="s">
        <v>5</v>
      </c>
      <c r="F127" s="78" t="s">
        <v>5</v>
      </c>
      <c r="G127" s="211" t="s">
        <v>6</v>
      </c>
      <c r="H127" s="140" t="s">
        <v>7</v>
      </c>
      <c r="I127" s="180" t="s">
        <v>1511</v>
      </c>
      <c r="J127" s="172" t="s">
        <v>9</v>
      </c>
      <c r="K127" s="186" t="s">
        <v>9</v>
      </c>
      <c r="L127" s="192" t="s">
        <v>2495</v>
      </c>
      <c r="M127" s="190"/>
    </row>
    <row r="128" spans="1:16" ht="35.25" thickBot="1">
      <c r="A128" s="155"/>
      <c r="B128" s="494"/>
      <c r="C128" s="50"/>
      <c r="D128" s="129" t="s">
        <v>10</v>
      </c>
      <c r="E128" s="79" t="s">
        <v>11</v>
      </c>
      <c r="F128" s="80" t="s">
        <v>12</v>
      </c>
      <c r="G128" s="212"/>
      <c r="H128" s="141" t="s">
        <v>13</v>
      </c>
      <c r="I128" s="181" t="s">
        <v>1512</v>
      </c>
      <c r="J128" s="173" t="s">
        <v>15</v>
      </c>
      <c r="K128" s="187" t="s">
        <v>14</v>
      </c>
      <c r="L128" s="193" t="s">
        <v>2496</v>
      </c>
      <c r="M128" s="190"/>
    </row>
    <row r="129" spans="1:16">
      <c r="A129" s="156"/>
      <c r="B129" s="268"/>
      <c r="C129" s="63"/>
      <c r="D129" s="199"/>
      <c r="E129" s="143"/>
      <c r="F129" s="69"/>
      <c r="G129" s="206"/>
      <c r="H129" s="74"/>
      <c r="I129" s="183"/>
      <c r="J129" s="175"/>
      <c r="K129" s="172"/>
      <c r="L129" s="194"/>
      <c r="M129" s="188">
        <v>3552</v>
      </c>
      <c r="N129" s="188">
        <f t="shared" ref="N129:N145" si="11">M129-(M129*0.03)</f>
        <v>3445.44</v>
      </c>
      <c r="O129" s="189">
        <v>7.0000000000000007E-2</v>
      </c>
      <c r="P129" s="170">
        <f t="shared" ref="P129:P145" si="12">(N129*O129)+N129</f>
        <v>3686.6208000000001</v>
      </c>
    </row>
    <row r="130" spans="1:16">
      <c r="A130" s="157"/>
      <c r="B130" s="96"/>
      <c r="C130" s="63"/>
      <c r="D130" s="199"/>
      <c r="E130" s="145"/>
      <c r="F130" s="61"/>
      <c r="G130" s="206"/>
      <c r="H130" s="74"/>
      <c r="I130" s="183"/>
      <c r="J130" s="175"/>
      <c r="K130" s="176"/>
      <c r="L130" s="194"/>
      <c r="N130" s="188">
        <f t="shared" si="11"/>
        <v>0</v>
      </c>
      <c r="O130" s="189">
        <v>7.0000000000000007E-2</v>
      </c>
      <c r="P130" s="170">
        <f t="shared" si="12"/>
        <v>0</v>
      </c>
    </row>
    <row r="131" spans="1:16">
      <c r="A131" s="157"/>
      <c r="B131" s="96"/>
      <c r="C131" s="63"/>
      <c r="D131" s="199"/>
      <c r="E131" s="145"/>
      <c r="F131" s="61"/>
      <c r="G131" s="206"/>
      <c r="H131" s="74"/>
      <c r="I131" s="183"/>
      <c r="J131" s="175"/>
      <c r="K131" s="245"/>
      <c r="L131" s="194"/>
      <c r="M131" s="188">
        <v>9498.06</v>
      </c>
      <c r="N131" s="188">
        <f t="shared" si="11"/>
        <v>9213.118199999999</v>
      </c>
      <c r="O131" s="189">
        <v>7.0000000000000007E-2</v>
      </c>
      <c r="P131" s="170">
        <f t="shared" si="12"/>
        <v>9858.0364739999986</v>
      </c>
    </row>
    <row r="132" spans="1:16">
      <c r="A132" s="157"/>
      <c r="B132" s="95"/>
      <c r="C132" s="63"/>
      <c r="D132" s="199"/>
      <c r="E132" s="145"/>
      <c r="F132" s="61"/>
      <c r="G132" s="206"/>
      <c r="H132" s="74"/>
      <c r="I132" s="183"/>
      <c r="J132" s="175"/>
      <c r="K132" s="197"/>
      <c r="L132" s="194"/>
      <c r="M132" s="188">
        <v>15305.4</v>
      </c>
      <c r="N132" s="188">
        <f t="shared" si="11"/>
        <v>14846.237999999999</v>
      </c>
      <c r="O132" s="189">
        <v>7.0000000000000007E-2</v>
      </c>
      <c r="P132" s="170">
        <f t="shared" si="12"/>
        <v>15885.47466</v>
      </c>
    </row>
    <row r="133" spans="1:16">
      <c r="A133" s="157"/>
      <c r="B133" s="74"/>
      <c r="C133" s="63"/>
      <c r="D133" s="199"/>
      <c r="E133" s="145"/>
      <c r="F133" s="61"/>
      <c r="G133" s="206"/>
      <c r="H133" s="74"/>
      <c r="I133" s="183"/>
      <c r="J133" s="175"/>
      <c r="K133" s="197"/>
      <c r="L133" s="194"/>
      <c r="N133" s="188">
        <f t="shared" si="11"/>
        <v>0</v>
      </c>
      <c r="O133" s="189">
        <v>7.0000000000000007E-2</v>
      </c>
      <c r="P133" s="170">
        <f t="shared" si="12"/>
        <v>0</v>
      </c>
    </row>
    <row r="134" spans="1:16">
      <c r="A134" s="157"/>
      <c r="B134" s="74"/>
      <c r="C134" s="63"/>
      <c r="D134" s="199"/>
      <c r="E134" s="145"/>
      <c r="F134" s="61"/>
      <c r="G134" s="206"/>
      <c r="H134" s="74"/>
      <c r="I134" s="183"/>
      <c r="J134" s="175"/>
      <c r="K134" s="197"/>
      <c r="L134" s="194"/>
      <c r="N134" s="188">
        <f t="shared" si="11"/>
        <v>0</v>
      </c>
      <c r="O134" s="189">
        <v>7.0000000000000007E-2</v>
      </c>
      <c r="P134" s="170">
        <f t="shared" si="12"/>
        <v>0</v>
      </c>
    </row>
    <row r="135" spans="1:16">
      <c r="A135" s="157"/>
      <c r="B135" s="96"/>
      <c r="C135" s="63"/>
      <c r="D135" s="199"/>
      <c r="E135" s="145"/>
      <c r="F135" s="61"/>
      <c r="G135" s="206"/>
      <c r="H135" s="74"/>
      <c r="I135" s="183"/>
      <c r="J135" s="175"/>
      <c r="K135" s="197"/>
      <c r="L135" s="194"/>
      <c r="N135" s="188">
        <f t="shared" si="11"/>
        <v>0</v>
      </c>
      <c r="O135" s="189">
        <v>7.0000000000000007E-2</v>
      </c>
      <c r="P135" s="170">
        <f t="shared" si="12"/>
        <v>0</v>
      </c>
    </row>
    <row r="136" spans="1:16">
      <c r="A136" s="157"/>
      <c r="B136" s="95"/>
      <c r="C136" s="222"/>
      <c r="D136" s="3464"/>
      <c r="E136" s="145"/>
      <c r="F136" s="61"/>
      <c r="G136" s="223"/>
      <c r="H136" s="224"/>
      <c r="I136" s="225"/>
      <c r="J136" s="209"/>
      <c r="K136" s="244"/>
      <c r="M136" s="188">
        <v>14244.12</v>
      </c>
      <c r="N136" s="188">
        <f t="shared" si="11"/>
        <v>13816.796400000001</v>
      </c>
      <c r="O136" s="189">
        <v>7.0000000000000007E-2</v>
      </c>
      <c r="P136" s="170">
        <f t="shared" si="12"/>
        <v>14783.972148000001</v>
      </c>
    </row>
    <row r="137" spans="1:16">
      <c r="A137" s="157"/>
      <c r="B137" s="95"/>
      <c r="C137" s="63"/>
      <c r="D137" s="199"/>
      <c r="E137" s="145"/>
      <c r="F137" s="61"/>
      <c r="G137" s="206"/>
      <c r="H137" s="74"/>
      <c r="I137" s="183"/>
      <c r="J137" s="175"/>
      <c r="K137" s="197"/>
      <c r="L137" s="194"/>
      <c r="M137" s="188">
        <v>3240</v>
      </c>
      <c r="N137" s="188">
        <f t="shared" si="11"/>
        <v>3142.8</v>
      </c>
      <c r="O137" s="189">
        <v>7.0000000000000007E-2</v>
      </c>
      <c r="P137" s="170">
        <f t="shared" si="12"/>
        <v>3362.7960000000003</v>
      </c>
    </row>
    <row r="138" spans="1:16">
      <c r="A138" s="157"/>
      <c r="B138" s="268"/>
      <c r="C138" s="63"/>
      <c r="D138" s="199"/>
      <c r="E138" s="145"/>
      <c r="F138" s="61"/>
      <c r="G138" s="206"/>
      <c r="H138" s="74"/>
      <c r="I138" s="183"/>
      <c r="J138" s="175"/>
      <c r="K138" s="197"/>
      <c r="L138" s="194"/>
      <c r="M138" s="188">
        <v>14700</v>
      </c>
      <c r="N138" s="188">
        <f t="shared" si="11"/>
        <v>14259</v>
      </c>
      <c r="O138" s="189">
        <v>7.0000000000000007E-2</v>
      </c>
      <c r="P138" s="170">
        <f t="shared" si="12"/>
        <v>15257.130000000001</v>
      </c>
    </row>
    <row r="139" spans="1:16">
      <c r="A139" s="157"/>
      <c r="B139" s="95"/>
      <c r="C139" s="222"/>
      <c r="D139" s="3464"/>
      <c r="E139" s="237"/>
      <c r="F139" s="238"/>
      <c r="G139" s="223"/>
      <c r="H139" s="224"/>
      <c r="I139" s="225"/>
      <c r="J139" s="209"/>
      <c r="K139" s="226"/>
      <c r="L139" s="229"/>
      <c r="M139" s="188">
        <v>14582.7</v>
      </c>
      <c r="N139" s="188">
        <f t="shared" si="11"/>
        <v>14145.219000000001</v>
      </c>
      <c r="O139" s="189">
        <v>7.0000000000000007E-2</v>
      </c>
      <c r="P139" s="170">
        <f t="shared" si="12"/>
        <v>15135.384330000001</v>
      </c>
    </row>
    <row r="140" spans="1:16">
      <c r="A140" s="157"/>
      <c r="B140" s="95"/>
      <c r="C140" s="63"/>
      <c r="D140" s="199"/>
      <c r="E140" s="145"/>
      <c r="F140" s="61"/>
      <c r="G140" s="206"/>
      <c r="H140" s="74"/>
      <c r="I140" s="183"/>
      <c r="J140" s="175"/>
      <c r="K140" s="197"/>
      <c r="L140" s="229"/>
      <c r="M140" s="188">
        <v>13483.8</v>
      </c>
      <c r="N140" s="188">
        <f t="shared" si="11"/>
        <v>13079.286</v>
      </c>
      <c r="O140" s="189">
        <v>7.0000000000000007E-2</v>
      </c>
      <c r="P140" s="170">
        <f t="shared" si="12"/>
        <v>13994.836020000001</v>
      </c>
    </row>
    <row r="141" spans="1:16">
      <c r="A141" s="157"/>
      <c r="B141" s="95"/>
      <c r="C141" s="222"/>
      <c r="D141" s="3464"/>
      <c r="E141" s="145"/>
      <c r="F141" s="61"/>
      <c r="G141" s="223"/>
      <c r="H141" s="224"/>
      <c r="I141" s="225"/>
      <c r="J141" s="209"/>
      <c r="K141" s="226"/>
      <c r="L141" s="229"/>
      <c r="M141" s="188">
        <v>2669.52</v>
      </c>
      <c r="N141" s="188">
        <f t="shared" si="11"/>
        <v>2589.4344000000001</v>
      </c>
      <c r="O141" s="189">
        <v>7.0000000000000007E-2</v>
      </c>
      <c r="P141" s="170">
        <f t="shared" si="12"/>
        <v>2770.6948080000002</v>
      </c>
    </row>
    <row r="142" spans="1:16">
      <c r="A142" s="157"/>
      <c r="B142" s="95"/>
      <c r="C142" s="222"/>
      <c r="D142" s="3464"/>
      <c r="E142" s="145"/>
      <c r="F142" s="61"/>
      <c r="G142" s="223"/>
      <c r="H142" s="224"/>
      <c r="I142" s="225"/>
      <c r="J142" s="209"/>
      <c r="K142" s="226"/>
      <c r="L142" s="229"/>
      <c r="N142" s="188">
        <f t="shared" si="11"/>
        <v>0</v>
      </c>
      <c r="O142" s="189">
        <v>7.0000000000000007E-2</v>
      </c>
      <c r="P142" s="170">
        <f t="shared" si="12"/>
        <v>0</v>
      </c>
    </row>
    <row r="143" spans="1:16">
      <c r="A143" s="221"/>
      <c r="B143" s="268"/>
      <c r="C143" s="222"/>
      <c r="D143" s="3464"/>
      <c r="E143" s="145"/>
      <c r="F143" s="61"/>
      <c r="G143" s="223"/>
      <c r="H143" s="224"/>
      <c r="I143" s="225"/>
      <c r="J143" s="209"/>
      <c r="K143" s="226"/>
      <c r="L143" s="229"/>
      <c r="M143" s="188">
        <v>12972.96</v>
      </c>
      <c r="N143" s="188">
        <f t="shared" si="11"/>
        <v>12583.771199999999</v>
      </c>
      <c r="O143" s="189">
        <v>7.0000000000000007E-2</v>
      </c>
      <c r="P143" s="170">
        <f t="shared" si="12"/>
        <v>13464.635183999999</v>
      </c>
    </row>
    <row r="144" spans="1:16">
      <c r="A144" s="157"/>
      <c r="B144" s="95"/>
      <c r="C144" s="63"/>
      <c r="D144" s="199"/>
      <c r="E144" s="145"/>
      <c r="F144" s="61"/>
      <c r="G144" s="206"/>
      <c r="H144" s="74"/>
      <c r="I144" s="183"/>
      <c r="J144" s="209"/>
      <c r="K144" s="197"/>
      <c r="L144" s="229"/>
      <c r="M144" s="188">
        <v>12687.84</v>
      </c>
      <c r="N144" s="188">
        <f t="shared" si="11"/>
        <v>12307.2048</v>
      </c>
      <c r="O144" s="189">
        <v>7.0000000000000007E-2</v>
      </c>
      <c r="P144" s="170">
        <f t="shared" si="12"/>
        <v>13168.709135999999</v>
      </c>
    </row>
    <row r="145" spans="1:16">
      <c r="A145" s="157"/>
      <c r="B145" s="95"/>
      <c r="C145" s="63"/>
      <c r="D145" s="199"/>
      <c r="E145" s="145"/>
      <c r="F145" s="61"/>
      <c r="G145" s="206"/>
      <c r="H145" s="74"/>
      <c r="I145" s="183"/>
      <c r="J145" s="175"/>
      <c r="K145" s="197"/>
      <c r="L145" s="194"/>
      <c r="M145" s="188">
        <v>16572.599999999999</v>
      </c>
      <c r="N145" s="188">
        <f t="shared" si="11"/>
        <v>16075.421999999999</v>
      </c>
      <c r="O145" s="189">
        <v>7.0000000000000007E-2</v>
      </c>
      <c r="P145" s="170">
        <f t="shared" si="12"/>
        <v>17200.701539999998</v>
      </c>
    </row>
    <row r="146" spans="1:16">
      <c r="A146" s="157"/>
      <c r="B146" s="95"/>
      <c r="C146" s="63"/>
      <c r="D146" s="199"/>
      <c r="E146" s="90"/>
      <c r="F146" s="61"/>
      <c r="G146" s="206"/>
      <c r="H146" s="74"/>
      <c r="I146" s="203"/>
      <c r="J146" s="175"/>
      <c r="K146" s="197"/>
      <c r="L146" s="194"/>
      <c r="M146" s="188">
        <v>6021.12</v>
      </c>
      <c r="N146" s="188">
        <f>M146-(M146*0.03)</f>
        <v>5840.4863999999998</v>
      </c>
      <c r="O146" s="189">
        <v>7.0000000000000007E-2</v>
      </c>
      <c r="P146" s="170">
        <f>(N146*O146)+N146</f>
        <v>6249.3204479999995</v>
      </c>
    </row>
    <row r="147" spans="1:16">
      <c r="A147" s="157"/>
      <c r="B147" s="95"/>
      <c r="C147" s="63"/>
      <c r="D147" s="199"/>
      <c r="E147" s="90"/>
      <c r="F147" s="61"/>
      <c r="G147" s="206"/>
      <c r="H147" s="74"/>
      <c r="I147" s="183"/>
      <c r="J147" s="175"/>
      <c r="K147" s="197"/>
      <c r="L147" s="194"/>
      <c r="M147" s="188">
        <v>8714.16</v>
      </c>
      <c r="N147" s="188">
        <f>M147-(M147*0.03)</f>
        <v>8452.7351999999992</v>
      </c>
      <c r="O147" s="189">
        <v>7.0000000000000007E-2</v>
      </c>
      <c r="P147" s="170">
        <f>(N147*O147)+N147</f>
        <v>9044.4266639999987</v>
      </c>
    </row>
    <row r="148" spans="1:16">
      <c r="A148" s="157"/>
      <c r="B148" s="95"/>
      <c r="C148" s="63"/>
      <c r="D148" s="199"/>
      <c r="E148" s="90"/>
      <c r="F148" s="61"/>
      <c r="G148" s="206"/>
      <c r="H148" s="74"/>
      <c r="I148" s="183"/>
      <c r="J148" s="175"/>
      <c r="K148" s="197"/>
      <c r="L148" s="194"/>
      <c r="M148" s="188">
        <v>0</v>
      </c>
      <c r="N148" s="188">
        <f>M148-(M148*0.03)</f>
        <v>0</v>
      </c>
      <c r="O148" s="189">
        <v>7.0000000000000007E-2</v>
      </c>
      <c r="P148" s="170">
        <f t="shared" ref="P148:P154" si="13">(N148*O148)+N148</f>
        <v>0</v>
      </c>
    </row>
    <row r="149" spans="1:16">
      <c r="A149" s="157"/>
      <c r="B149" s="268"/>
      <c r="C149" s="63"/>
      <c r="D149" s="199"/>
      <c r="E149" s="90"/>
      <c r="F149" s="61"/>
      <c r="G149" s="206"/>
      <c r="H149" s="74"/>
      <c r="I149" s="183"/>
      <c r="J149" s="175"/>
      <c r="K149" s="197"/>
      <c r="L149" s="194"/>
      <c r="M149" s="188">
        <v>18537.7</v>
      </c>
      <c r="N149" s="188">
        <f>M149-(M149*0.03)</f>
        <v>17981.569</v>
      </c>
      <c r="O149" s="189">
        <v>7.0000000000000007E-2</v>
      </c>
      <c r="P149" s="170">
        <f t="shared" si="13"/>
        <v>19240.278829999999</v>
      </c>
    </row>
    <row r="150" spans="1:16">
      <c r="A150" s="158"/>
      <c r="B150" s="95"/>
      <c r="C150" s="63"/>
      <c r="D150" s="199"/>
      <c r="E150" s="91"/>
      <c r="F150" s="61"/>
      <c r="G150" s="206"/>
      <c r="H150" s="74"/>
      <c r="I150" s="183"/>
      <c r="J150" s="175"/>
      <c r="K150" s="197"/>
      <c r="L150" s="194"/>
      <c r="M150" s="188">
        <v>9031.68</v>
      </c>
      <c r="N150" s="188">
        <f t="shared" ref="N150:N159" si="14">M150-(M150*0.03)</f>
        <v>8760.7296000000006</v>
      </c>
      <c r="O150" s="189">
        <v>7.0000000000000007E-2</v>
      </c>
      <c r="P150" s="170">
        <f t="shared" si="13"/>
        <v>9373.9806720000015</v>
      </c>
    </row>
    <row r="151" spans="1:16">
      <c r="A151" s="200"/>
      <c r="B151" s="95"/>
      <c r="C151" s="63"/>
      <c r="D151" s="199"/>
      <c r="E151" s="153"/>
      <c r="F151" s="61"/>
      <c r="G151" s="206"/>
      <c r="H151" s="88"/>
      <c r="I151" s="184"/>
      <c r="J151" s="201"/>
      <c r="K151" s="202"/>
      <c r="L151" s="194"/>
      <c r="N151" s="188">
        <f t="shared" si="14"/>
        <v>0</v>
      </c>
      <c r="O151" s="189">
        <v>7.0000000000000007E-2</v>
      </c>
      <c r="P151" s="170">
        <f t="shared" si="13"/>
        <v>0</v>
      </c>
    </row>
    <row r="152" spans="1:16">
      <c r="A152" s="157"/>
      <c r="B152" s="95"/>
      <c r="C152" s="63"/>
      <c r="D152" s="199"/>
      <c r="E152" s="198"/>
      <c r="F152" s="61"/>
      <c r="G152" s="206"/>
      <c r="H152" s="74"/>
      <c r="I152" s="183"/>
      <c r="J152" s="175"/>
      <c r="K152" s="197"/>
      <c r="L152" s="194"/>
      <c r="M152" s="188">
        <v>8478.9599999999991</v>
      </c>
      <c r="N152" s="188">
        <f t="shared" si="14"/>
        <v>8224.5911999999989</v>
      </c>
      <c r="O152" s="189">
        <v>7.0000000000000007E-2</v>
      </c>
      <c r="P152" s="170">
        <f t="shared" si="13"/>
        <v>8800.3125839999993</v>
      </c>
    </row>
    <row r="153" spans="1:16">
      <c r="A153" s="157"/>
      <c r="B153" s="95"/>
      <c r="C153" s="63"/>
      <c r="D153" s="199"/>
      <c r="E153" s="142"/>
      <c r="F153" s="61"/>
      <c r="G153" s="206"/>
      <c r="H153" s="74"/>
      <c r="I153" s="183"/>
      <c r="J153" s="175"/>
      <c r="K153" s="197"/>
      <c r="L153" s="194"/>
      <c r="M153" s="188">
        <v>11122.62</v>
      </c>
      <c r="N153" s="188">
        <f t="shared" si="14"/>
        <v>10788.941400000002</v>
      </c>
      <c r="O153" s="189">
        <v>7.0000000000000007E-2</v>
      </c>
      <c r="P153" s="170">
        <f t="shared" si="13"/>
        <v>11544.167298000002</v>
      </c>
    </row>
    <row r="154" spans="1:16">
      <c r="A154" s="157"/>
      <c r="B154" s="105"/>
      <c r="C154" s="63"/>
      <c r="D154" s="196"/>
      <c r="E154" s="120"/>
      <c r="F154" s="121"/>
      <c r="G154" s="206"/>
      <c r="H154" s="115"/>
      <c r="I154" s="185"/>
      <c r="J154" s="175"/>
      <c r="K154" s="197"/>
      <c r="L154" s="194"/>
      <c r="M154" s="188">
        <v>3813.12</v>
      </c>
      <c r="N154" s="188">
        <f t="shared" si="14"/>
        <v>3698.7264</v>
      </c>
      <c r="O154" s="189">
        <v>7.0000000000000007E-2</v>
      </c>
      <c r="P154" s="170">
        <f t="shared" si="13"/>
        <v>3957.637248</v>
      </c>
    </row>
    <row r="155" spans="1:16">
      <c r="A155" s="157"/>
      <c r="B155" s="105"/>
      <c r="C155" s="63"/>
      <c r="D155" s="196"/>
      <c r="E155" s="249"/>
      <c r="F155" s="121"/>
      <c r="G155" s="206"/>
      <c r="H155" s="115"/>
      <c r="I155" s="185"/>
      <c r="J155" s="175"/>
      <c r="K155" s="197"/>
      <c r="L155" s="194"/>
    </row>
    <row r="156" spans="1:16">
      <c r="A156" s="157"/>
      <c r="B156" s="105"/>
      <c r="C156" s="63"/>
      <c r="D156" s="196"/>
      <c r="E156" s="249"/>
      <c r="F156" s="121"/>
      <c r="G156" s="206"/>
      <c r="H156" s="115"/>
      <c r="I156" s="185"/>
      <c r="J156" s="175"/>
      <c r="K156" s="197"/>
      <c r="L156" s="194"/>
    </row>
    <row r="157" spans="1:16">
      <c r="A157" s="157"/>
      <c r="B157" s="105"/>
      <c r="C157" s="63"/>
      <c r="D157" s="196"/>
      <c r="E157" s="249"/>
      <c r="F157" s="121"/>
      <c r="G157" s="206"/>
      <c r="H157" s="115"/>
      <c r="I157" s="185"/>
      <c r="J157" s="175"/>
      <c r="K157" s="197"/>
      <c r="L157" s="194"/>
    </row>
    <row r="158" spans="1:16">
      <c r="A158" s="157"/>
      <c r="B158" s="105"/>
      <c r="C158" s="63"/>
      <c r="D158" s="196"/>
      <c r="E158" s="142"/>
      <c r="F158" s="61"/>
      <c r="G158" s="206"/>
      <c r="H158" s="74"/>
      <c r="I158" s="183"/>
      <c r="J158" s="175"/>
      <c r="K158" s="197"/>
      <c r="L158" s="194"/>
    </row>
    <row r="159" spans="1:16">
      <c r="A159" s="157"/>
      <c r="B159" s="130"/>
      <c r="C159" s="63"/>
      <c r="D159" s="196"/>
      <c r="E159" s="142"/>
      <c r="F159" s="61"/>
      <c r="G159" s="206"/>
      <c r="H159" s="74"/>
      <c r="I159" s="183"/>
      <c r="J159" s="175"/>
      <c r="K159" s="197"/>
      <c r="L159" s="194"/>
      <c r="M159" s="188">
        <v>8640</v>
      </c>
      <c r="N159" s="188">
        <f t="shared" si="14"/>
        <v>8380.7999999999993</v>
      </c>
      <c r="O159" s="189">
        <v>7.0000000000000007E-2</v>
      </c>
      <c r="P159" s="170">
        <f>(N159*O159)+N159</f>
        <v>8967.4559999999983</v>
      </c>
    </row>
    <row r="160" spans="1:16" ht="33.75" customHeight="1">
      <c r="A160" s="160"/>
      <c r="B160" s="105"/>
      <c r="C160" s="63"/>
      <c r="D160" s="196"/>
      <c r="E160" s="120"/>
      <c r="F160" s="121"/>
      <c r="G160" s="206"/>
      <c r="H160" s="115"/>
      <c r="I160" s="185"/>
      <c r="J160" s="174"/>
      <c r="K160" s="195"/>
      <c r="L160" s="194"/>
    </row>
    <row r="161" spans="1:16" ht="33.75" customHeight="1">
      <c r="A161" s="204"/>
      <c r="B161" s="105"/>
      <c r="C161" s="63"/>
      <c r="D161" s="196"/>
      <c r="E161" s="249"/>
      <c r="F161" s="121"/>
      <c r="G161" s="206"/>
      <c r="H161" s="115"/>
      <c r="I161" s="185"/>
      <c r="J161" s="174"/>
      <c r="K161" s="195"/>
      <c r="L161" s="194"/>
    </row>
    <row r="162" spans="1:16">
      <c r="A162" s="204"/>
      <c r="B162" s="105"/>
      <c r="C162" s="63"/>
      <c r="D162" s="196"/>
      <c r="E162" s="142"/>
      <c r="F162" s="61"/>
      <c r="G162" s="206"/>
      <c r="H162" s="74"/>
      <c r="I162" s="183"/>
      <c r="J162" s="175"/>
      <c r="K162" s="197"/>
      <c r="L162" s="194"/>
      <c r="M162" s="3444"/>
    </row>
    <row r="163" spans="1:16">
      <c r="B163" s="130"/>
      <c r="C163" s="63"/>
      <c r="D163" s="196"/>
      <c r="E163" s="142"/>
      <c r="F163" s="61"/>
      <c r="G163" s="206"/>
      <c r="H163" s="74"/>
      <c r="I163" s="183"/>
      <c r="J163" s="175"/>
      <c r="K163" s="197"/>
      <c r="L163" s="194"/>
    </row>
    <row r="164" spans="1:16">
      <c r="B164" s="205"/>
      <c r="C164" s="68"/>
      <c r="D164" s="3444"/>
      <c r="E164" s="279"/>
      <c r="F164" s="266"/>
      <c r="G164" s="269"/>
      <c r="H164" s="75"/>
      <c r="I164" s="278"/>
      <c r="J164" s="171"/>
      <c r="K164" s="166"/>
      <c r="L164" s="168"/>
    </row>
    <row r="165" spans="1:16">
      <c r="A165" s="44" t="s">
        <v>0</v>
      </c>
      <c r="C165" s="104"/>
      <c r="F165" s="68"/>
      <c r="I165" s="179"/>
      <c r="K165" s="163"/>
      <c r="L165" s="168"/>
    </row>
    <row r="166" spans="1:16">
      <c r="A166" s="3480" t="s">
        <v>2494</v>
      </c>
      <c r="B166" s="3480"/>
      <c r="C166" s="44"/>
      <c r="D166" s="109"/>
      <c r="F166" s="68"/>
      <c r="I166" s="179"/>
      <c r="K166" s="163"/>
      <c r="L166" s="168"/>
    </row>
    <row r="167" spans="1:16" ht="35.25" thickBot="1">
      <c r="F167" s="68"/>
    </row>
    <row r="168" spans="1:16">
      <c r="A168" s="3493" t="s">
        <v>2</v>
      </c>
      <c r="B168" s="3482"/>
      <c r="C168" s="48" t="s">
        <v>3</v>
      </c>
      <c r="D168" s="128" t="s">
        <v>4</v>
      </c>
      <c r="E168" s="77" t="s">
        <v>5</v>
      </c>
      <c r="F168" s="78" t="s">
        <v>5</v>
      </c>
      <c r="G168" s="211" t="s">
        <v>6</v>
      </c>
      <c r="H168" s="140" t="s">
        <v>7</v>
      </c>
      <c r="I168" s="180" t="s">
        <v>1511</v>
      </c>
      <c r="J168" s="172" t="s">
        <v>9</v>
      </c>
      <c r="K168" s="186" t="s">
        <v>9</v>
      </c>
      <c r="L168" s="192" t="s">
        <v>2495</v>
      </c>
      <c r="M168" s="190"/>
    </row>
    <row r="169" spans="1:16" ht="35.25" thickBot="1">
      <c r="A169" s="155"/>
      <c r="B169" s="494"/>
      <c r="C169" s="50"/>
      <c r="D169" s="129" t="s">
        <v>10</v>
      </c>
      <c r="E169" s="79" t="s">
        <v>11</v>
      </c>
      <c r="F169" s="80" t="s">
        <v>12</v>
      </c>
      <c r="G169" s="212"/>
      <c r="H169" s="141" t="s">
        <v>13</v>
      </c>
      <c r="I169" s="181" t="s">
        <v>1512</v>
      </c>
      <c r="J169" s="173" t="s">
        <v>15</v>
      </c>
      <c r="K169" s="187" t="s">
        <v>14</v>
      </c>
      <c r="L169" s="193" t="s">
        <v>2496</v>
      </c>
      <c r="M169" s="190"/>
    </row>
    <row r="170" spans="1:16">
      <c r="A170" s="156"/>
      <c r="B170" s="276"/>
      <c r="C170" s="63"/>
      <c r="D170" s="199"/>
      <c r="E170" s="143"/>
      <c r="F170" s="69"/>
      <c r="G170" s="206"/>
      <c r="H170" s="74"/>
      <c r="I170" s="183"/>
      <c r="J170" s="175"/>
      <c r="K170" s="172"/>
      <c r="L170" s="194"/>
      <c r="M170" s="188">
        <v>3552</v>
      </c>
      <c r="N170" s="188">
        <f t="shared" ref="N170:N186" si="15">M170-(M170*0.03)</f>
        <v>3445.44</v>
      </c>
      <c r="O170" s="189">
        <v>7.0000000000000007E-2</v>
      </c>
      <c r="P170" s="170">
        <f t="shared" ref="P170:P186" si="16">(N170*O170)+N170</f>
        <v>3686.6208000000001</v>
      </c>
    </row>
    <row r="171" spans="1:16">
      <c r="A171" s="157"/>
      <c r="B171" s="95"/>
      <c r="C171" s="63"/>
      <c r="D171" s="199"/>
      <c r="E171" s="145"/>
      <c r="F171" s="61"/>
      <c r="G171" s="206"/>
      <c r="H171" s="74"/>
      <c r="I171" s="183"/>
      <c r="J171" s="175"/>
      <c r="K171" s="176"/>
      <c r="L171" s="194"/>
      <c r="N171" s="188">
        <f t="shared" si="15"/>
        <v>0</v>
      </c>
      <c r="O171" s="189">
        <v>7.0000000000000007E-2</v>
      </c>
      <c r="P171" s="170">
        <f t="shared" si="16"/>
        <v>0</v>
      </c>
    </row>
    <row r="172" spans="1:16">
      <c r="A172" s="157"/>
      <c r="B172" s="95"/>
      <c r="C172" s="63"/>
      <c r="D172" s="199"/>
      <c r="E172" s="145"/>
      <c r="F172" s="61"/>
      <c r="G172" s="206"/>
      <c r="H172" s="74"/>
      <c r="I172" s="183"/>
      <c r="J172" s="175"/>
      <c r="K172" s="245"/>
      <c r="L172" s="194"/>
      <c r="M172" s="188">
        <v>9498.06</v>
      </c>
      <c r="N172" s="188">
        <f t="shared" si="15"/>
        <v>9213.118199999999</v>
      </c>
      <c r="O172" s="189">
        <v>7.0000000000000007E-2</v>
      </c>
      <c r="P172" s="170">
        <f t="shared" si="16"/>
        <v>9858.0364739999986</v>
      </c>
    </row>
    <row r="173" spans="1:16">
      <c r="A173" s="157"/>
      <c r="B173" s="95"/>
      <c r="C173" s="63"/>
      <c r="D173" s="199"/>
      <c r="E173" s="145"/>
      <c r="F173" s="61"/>
      <c r="G173" s="206"/>
      <c r="H173" s="74"/>
      <c r="I173" s="183"/>
      <c r="J173" s="175"/>
      <c r="K173" s="197"/>
      <c r="L173" s="194"/>
      <c r="M173" s="188">
        <v>15305.4</v>
      </c>
      <c r="N173" s="188">
        <f t="shared" si="15"/>
        <v>14846.237999999999</v>
      </c>
      <c r="O173" s="189">
        <v>7.0000000000000007E-2</v>
      </c>
      <c r="P173" s="170">
        <f t="shared" si="16"/>
        <v>15885.47466</v>
      </c>
    </row>
    <row r="174" spans="1:16">
      <c r="A174" s="157"/>
      <c r="B174" s="95"/>
      <c r="C174" s="63"/>
      <c r="D174" s="199"/>
      <c r="E174" s="145"/>
      <c r="F174" s="61"/>
      <c r="G174" s="206"/>
      <c r="H174" s="74"/>
      <c r="I174" s="183"/>
      <c r="J174" s="175"/>
      <c r="K174" s="197"/>
      <c r="L174" s="194"/>
      <c r="N174" s="188">
        <f t="shared" si="15"/>
        <v>0</v>
      </c>
      <c r="O174" s="189">
        <v>7.0000000000000007E-2</v>
      </c>
      <c r="P174" s="170">
        <f t="shared" si="16"/>
        <v>0</v>
      </c>
    </row>
    <row r="175" spans="1:16">
      <c r="A175" s="157"/>
      <c r="B175" s="95"/>
      <c r="C175" s="63"/>
      <c r="D175" s="199"/>
      <c r="E175" s="145"/>
      <c r="F175" s="61"/>
      <c r="G175" s="206"/>
      <c r="H175" s="74"/>
      <c r="I175" s="183"/>
      <c r="J175" s="175"/>
      <c r="K175" s="197"/>
      <c r="L175" s="194"/>
      <c r="N175" s="188">
        <f t="shared" si="15"/>
        <v>0</v>
      </c>
      <c r="O175" s="189">
        <v>7.0000000000000007E-2</v>
      </c>
      <c r="P175" s="170">
        <f t="shared" si="16"/>
        <v>0</v>
      </c>
    </row>
    <row r="176" spans="1:16">
      <c r="A176" s="157"/>
      <c r="B176" s="95"/>
      <c r="C176" s="63"/>
      <c r="D176" s="199"/>
      <c r="E176" s="145"/>
      <c r="F176" s="61"/>
      <c r="G176" s="206"/>
      <c r="H176" s="74"/>
      <c r="I176" s="183"/>
      <c r="J176" s="175"/>
      <c r="K176" s="197"/>
      <c r="L176" s="194"/>
      <c r="N176" s="188">
        <f t="shared" si="15"/>
        <v>0</v>
      </c>
      <c r="O176" s="189">
        <v>7.0000000000000007E-2</v>
      </c>
      <c r="P176" s="170">
        <f t="shared" si="16"/>
        <v>0</v>
      </c>
    </row>
    <row r="177" spans="1:17">
      <c r="A177" s="157"/>
      <c r="B177" s="95"/>
      <c r="C177" s="222"/>
      <c r="D177" s="3464"/>
      <c r="E177" s="145"/>
      <c r="F177" s="61"/>
      <c r="G177" s="223"/>
      <c r="H177" s="224"/>
      <c r="I177" s="225"/>
      <c r="J177" s="209"/>
      <c r="K177" s="244"/>
      <c r="M177" s="188">
        <v>14244.12</v>
      </c>
      <c r="N177" s="188">
        <f t="shared" si="15"/>
        <v>13816.796400000001</v>
      </c>
      <c r="O177" s="189">
        <v>7.0000000000000007E-2</v>
      </c>
      <c r="P177" s="170">
        <f t="shared" si="16"/>
        <v>14783.972148000001</v>
      </c>
    </row>
    <row r="178" spans="1:17">
      <c r="A178" s="157"/>
      <c r="B178" s="95"/>
      <c r="C178" s="63"/>
      <c r="D178" s="199"/>
      <c r="E178" s="145"/>
      <c r="F178" s="61"/>
      <c r="G178" s="206"/>
      <c r="H178" s="74"/>
      <c r="I178" s="183"/>
      <c r="J178" s="175"/>
      <c r="K178" s="197"/>
      <c r="L178" s="194"/>
      <c r="M178" s="188">
        <v>3240</v>
      </c>
      <c r="N178" s="188">
        <f t="shared" si="15"/>
        <v>3142.8</v>
      </c>
      <c r="O178" s="189">
        <v>7.0000000000000007E-2</v>
      </c>
      <c r="P178" s="170">
        <f t="shared" si="16"/>
        <v>3362.7960000000003</v>
      </c>
    </row>
    <row r="179" spans="1:17">
      <c r="A179" s="157"/>
      <c r="B179" s="95"/>
      <c r="C179" s="63"/>
      <c r="D179" s="199"/>
      <c r="E179" s="145"/>
      <c r="F179" s="61"/>
      <c r="G179" s="206"/>
      <c r="H179" s="74"/>
      <c r="I179" s="183"/>
      <c r="J179" s="175"/>
      <c r="K179" s="197"/>
      <c r="L179" s="194"/>
      <c r="M179" s="188">
        <v>14700</v>
      </c>
      <c r="N179" s="188">
        <f t="shared" si="15"/>
        <v>14259</v>
      </c>
      <c r="O179" s="189">
        <v>7.0000000000000007E-2</v>
      </c>
      <c r="P179" s="170">
        <f t="shared" si="16"/>
        <v>15257.130000000001</v>
      </c>
    </row>
    <row r="180" spans="1:17">
      <c r="A180" s="157"/>
      <c r="B180" s="268"/>
      <c r="C180" s="222"/>
      <c r="D180" s="3464"/>
      <c r="E180" s="237"/>
      <c r="F180" s="238"/>
      <c r="G180" s="223"/>
      <c r="H180" s="224"/>
      <c r="I180" s="225"/>
      <c r="J180" s="209"/>
      <c r="K180" s="226"/>
      <c r="L180" s="229"/>
      <c r="M180" s="188">
        <v>14582.7</v>
      </c>
      <c r="N180" s="188">
        <f t="shared" si="15"/>
        <v>14145.219000000001</v>
      </c>
      <c r="O180" s="189">
        <v>7.0000000000000007E-2</v>
      </c>
      <c r="P180" s="170">
        <f t="shared" si="16"/>
        <v>15135.384330000001</v>
      </c>
    </row>
    <row r="181" spans="1:17">
      <c r="A181" s="157"/>
      <c r="B181" s="95"/>
      <c r="C181" s="63"/>
      <c r="D181" s="199"/>
      <c r="E181" s="145"/>
      <c r="F181" s="61"/>
      <c r="G181" s="206"/>
      <c r="H181" s="74"/>
      <c r="I181" s="183"/>
      <c r="J181" s="175"/>
      <c r="K181" s="197"/>
      <c r="L181" s="229"/>
      <c r="M181" s="188">
        <v>13483.8</v>
      </c>
      <c r="N181" s="188">
        <f t="shared" si="15"/>
        <v>13079.286</v>
      </c>
      <c r="O181" s="189">
        <v>7.0000000000000007E-2</v>
      </c>
      <c r="P181" s="170">
        <f t="shared" si="16"/>
        <v>13994.836020000001</v>
      </c>
    </row>
    <row r="182" spans="1:17">
      <c r="A182" s="157"/>
      <c r="B182" s="95"/>
      <c r="C182" s="222"/>
      <c r="D182" s="3464"/>
      <c r="E182" s="145"/>
      <c r="F182" s="61"/>
      <c r="G182" s="223"/>
      <c r="H182" s="224"/>
      <c r="I182" s="225"/>
      <c r="J182" s="209"/>
      <c r="K182" s="226"/>
      <c r="L182" s="229"/>
      <c r="M182" s="188">
        <v>2669.52</v>
      </c>
      <c r="N182" s="188">
        <f t="shared" si="15"/>
        <v>2589.4344000000001</v>
      </c>
      <c r="O182" s="189">
        <v>7.0000000000000007E-2</v>
      </c>
      <c r="P182" s="170">
        <f t="shared" si="16"/>
        <v>2770.6948080000002</v>
      </c>
    </row>
    <row r="183" spans="1:17">
      <c r="A183" s="157"/>
      <c r="B183" s="95"/>
      <c r="C183" s="222"/>
      <c r="D183" s="3464"/>
      <c r="E183" s="145"/>
      <c r="F183" s="61"/>
      <c r="G183" s="223"/>
      <c r="H183" s="224"/>
      <c r="I183" s="225"/>
      <c r="J183" s="209"/>
      <c r="K183" s="226"/>
      <c r="L183" s="229"/>
      <c r="N183" s="188">
        <f t="shared" si="15"/>
        <v>0</v>
      </c>
      <c r="O183" s="189">
        <v>7.0000000000000007E-2</v>
      </c>
      <c r="P183" s="170">
        <f t="shared" si="16"/>
        <v>0</v>
      </c>
    </row>
    <row r="184" spans="1:17">
      <c r="A184" s="221"/>
      <c r="B184" s="95"/>
      <c r="C184" s="222"/>
      <c r="D184" s="3464"/>
      <c r="E184" s="145"/>
      <c r="F184" s="61"/>
      <c r="G184" s="223"/>
      <c r="H184" s="224"/>
      <c r="I184" s="225"/>
      <c r="J184" s="209"/>
      <c r="K184" s="226"/>
      <c r="L184" s="229"/>
      <c r="M184" s="188">
        <v>12972.96</v>
      </c>
      <c r="N184" s="188">
        <f t="shared" si="15"/>
        <v>12583.771199999999</v>
      </c>
      <c r="O184" s="189">
        <v>7.0000000000000007E-2</v>
      </c>
      <c r="P184" s="170">
        <f t="shared" si="16"/>
        <v>13464.635183999999</v>
      </c>
      <c r="Q184" s="76">
        <f>598.5/12</f>
        <v>49.875</v>
      </c>
    </row>
    <row r="185" spans="1:17">
      <c r="A185" s="157"/>
      <c r="B185" s="95"/>
      <c r="C185" s="63"/>
      <c r="D185" s="199"/>
      <c r="E185" s="145"/>
      <c r="F185" s="61"/>
      <c r="G185" s="206"/>
      <c r="H185" s="74"/>
      <c r="I185" s="183"/>
      <c r="J185" s="209"/>
      <c r="K185" s="197"/>
      <c r="L185" s="229"/>
      <c r="M185" s="188">
        <v>12687.84</v>
      </c>
      <c r="N185" s="188">
        <f t="shared" si="15"/>
        <v>12307.2048</v>
      </c>
      <c r="O185" s="189">
        <v>7.0000000000000007E-2</v>
      </c>
      <c r="P185" s="170">
        <f t="shared" si="16"/>
        <v>13168.709135999999</v>
      </c>
      <c r="Q185" s="76">
        <f>450/12</f>
        <v>37.5</v>
      </c>
    </row>
    <row r="186" spans="1:17">
      <c r="A186" s="157"/>
      <c r="B186" s="95"/>
      <c r="C186" s="63"/>
      <c r="D186" s="199"/>
      <c r="E186" s="145"/>
      <c r="F186" s="61"/>
      <c r="G186" s="206"/>
      <c r="H186" s="74"/>
      <c r="I186" s="183"/>
      <c r="J186" s="175"/>
      <c r="K186" s="197"/>
      <c r="L186" s="194"/>
      <c r="M186" s="188">
        <v>16572.599999999999</v>
      </c>
      <c r="N186" s="188">
        <f t="shared" si="15"/>
        <v>16075.421999999999</v>
      </c>
      <c r="O186" s="189">
        <v>7.0000000000000007E-2</v>
      </c>
      <c r="P186" s="170">
        <f t="shared" si="16"/>
        <v>17200.701539999998</v>
      </c>
    </row>
    <row r="187" spans="1:17">
      <c r="A187" s="157"/>
      <c r="B187" s="95"/>
      <c r="C187" s="63"/>
      <c r="D187" s="199"/>
      <c r="E187" s="90"/>
      <c r="F187" s="61"/>
      <c r="G187" s="206"/>
      <c r="H187" s="74"/>
      <c r="I187" s="203"/>
      <c r="J187" s="175"/>
      <c r="K187" s="197"/>
      <c r="L187" s="194"/>
      <c r="M187" s="188">
        <v>6021.12</v>
      </c>
      <c r="N187" s="188">
        <f>M187-(M187*0.03)</f>
        <v>5840.4863999999998</v>
      </c>
      <c r="O187" s="189">
        <v>7.0000000000000007E-2</v>
      </c>
      <c r="P187" s="170">
        <f>(N187*O187)+N187</f>
        <v>6249.3204479999995</v>
      </c>
    </row>
    <row r="188" spans="1:17">
      <c r="A188" s="157"/>
      <c r="B188" s="95"/>
      <c r="C188" s="63"/>
      <c r="D188" s="199"/>
      <c r="E188" s="90"/>
      <c r="F188" s="61"/>
      <c r="G188" s="206"/>
      <c r="H188" s="74"/>
      <c r="I188" s="183"/>
      <c r="J188" s="175"/>
      <c r="K188" s="197"/>
      <c r="L188" s="194"/>
      <c r="M188" s="188">
        <v>8714.16</v>
      </c>
      <c r="N188" s="188">
        <f>M188-(M188*0.03)</f>
        <v>8452.7351999999992</v>
      </c>
      <c r="O188" s="189">
        <v>7.0000000000000007E-2</v>
      </c>
      <c r="P188" s="170">
        <f>(N188*O188)+N188</f>
        <v>9044.4266639999987</v>
      </c>
    </row>
    <row r="189" spans="1:17">
      <c r="A189" s="157"/>
      <c r="B189" s="95"/>
      <c r="C189" s="63"/>
      <c r="D189" s="199"/>
      <c r="E189" s="90"/>
      <c r="F189" s="61"/>
      <c r="G189" s="206"/>
      <c r="H189" s="74"/>
      <c r="I189" s="183"/>
      <c r="J189" s="175"/>
      <c r="K189" s="197"/>
      <c r="L189" s="194"/>
      <c r="M189" s="188">
        <v>0</v>
      </c>
      <c r="N189" s="188">
        <f>M189-(M189*0.03)</f>
        <v>0</v>
      </c>
      <c r="O189" s="189">
        <v>7.0000000000000007E-2</v>
      </c>
      <c r="P189" s="170">
        <f t="shared" ref="P189:P195" si="17">(N189*O189)+N189</f>
        <v>0</v>
      </c>
    </row>
    <row r="190" spans="1:17">
      <c r="A190" s="157"/>
      <c r="B190" s="95"/>
      <c r="C190" s="63"/>
      <c r="D190" s="199"/>
      <c r="E190" s="90"/>
      <c r="F190" s="61"/>
      <c r="G190" s="206"/>
      <c r="H190" s="74"/>
      <c r="I190" s="183"/>
      <c r="J190" s="175"/>
      <c r="K190" s="197"/>
      <c r="L190" s="194"/>
      <c r="M190" s="188">
        <v>18537.7</v>
      </c>
      <c r="N190" s="188">
        <f>M190-(M190*0.03)</f>
        <v>17981.569</v>
      </c>
      <c r="O190" s="189">
        <v>7.0000000000000007E-2</v>
      </c>
      <c r="P190" s="170">
        <f t="shared" si="17"/>
        <v>19240.278829999999</v>
      </c>
    </row>
    <row r="191" spans="1:17">
      <c r="A191" s="158"/>
      <c r="B191" s="95"/>
      <c r="C191" s="63"/>
      <c r="D191" s="199"/>
      <c r="E191" s="91"/>
      <c r="F191" s="61"/>
      <c r="G191" s="206"/>
      <c r="H191" s="74"/>
      <c r="I191" s="183"/>
      <c r="J191" s="175"/>
      <c r="K191" s="197"/>
      <c r="L191" s="194"/>
      <c r="M191" s="188">
        <v>9031.68</v>
      </c>
      <c r="N191" s="188">
        <f t="shared" ref="N191:N203" si="18">M191-(M191*0.03)</f>
        <v>8760.7296000000006</v>
      </c>
      <c r="O191" s="189">
        <v>7.0000000000000007E-2</v>
      </c>
      <c r="P191" s="170">
        <f t="shared" si="17"/>
        <v>9373.9806720000015</v>
      </c>
    </row>
    <row r="192" spans="1:17">
      <c r="A192" s="200"/>
      <c r="B192" s="95"/>
      <c r="C192" s="63"/>
      <c r="D192" s="199"/>
      <c r="E192" s="153"/>
      <c r="F192" s="61"/>
      <c r="G192" s="206"/>
      <c r="H192" s="88"/>
      <c r="I192" s="184"/>
      <c r="J192" s="201"/>
      <c r="K192" s="202"/>
      <c r="L192" s="194"/>
      <c r="N192" s="188">
        <f t="shared" si="18"/>
        <v>0</v>
      </c>
      <c r="O192" s="189">
        <v>7.0000000000000007E-2</v>
      </c>
      <c r="P192" s="170">
        <f t="shared" si="17"/>
        <v>0</v>
      </c>
    </row>
    <row r="193" spans="1:16">
      <c r="A193" s="157"/>
      <c r="B193" s="95"/>
      <c r="C193" s="63"/>
      <c r="D193" s="199"/>
      <c r="E193" s="198"/>
      <c r="F193" s="61"/>
      <c r="G193" s="206"/>
      <c r="H193" s="74"/>
      <c r="I193" s="183"/>
      <c r="J193" s="175"/>
      <c r="K193" s="197"/>
      <c r="L193" s="194"/>
      <c r="M193" s="188">
        <v>8478.9599999999991</v>
      </c>
      <c r="N193" s="188">
        <f t="shared" si="18"/>
        <v>8224.5911999999989</v>
      </c>
      <c r="O193" s="189">
        <v>7.0000000000000007E-2</v>
      </c>
      <c r="P193" s="170">
        <f t="shared" si="17"/>
        <v>8800.3125839999993</v>
      </c>
    </row>
    <row r="194" spans="1:16">
      <c r="A194" s="157"/>
      <c r="B194" s="95"/>
      <c r="C194" s="63"/>
      <c r="D194" s="199"/>
      <c r="E194" s="142"/>
      <c r="F194" s="61"/>
      <c r="G194" s="206"/>
      <c r="H194" s="74"/>
      <c r="I194" s="183"/>
      <c r="J194" s="175"/>
      <c r="K194" s="197"/>
      <c r="L194" s="194"/>
      <c r="M194" s="188">
        <v>11122.62</v>
      </c>
      <c r="N194" s="188">
        <f t="shared" si="18"/>
        <v>10788.941400000002</v>
      </c>
      <c r="O194" s="189">
        <v>7.0000000000000007E-2</v>
      </c>
      <c r="P194" s="170">
        <f t="shared" si="17"/>
        <v>11544.167298000002</v>
      </c>
    </row>
    <row r="195" spans="1:16">
      <c r="A195" s="157"/>
      <c r="B195" s="268"/>
      <c r="C195" s="63"/>
      <c r="D195" s="196"/>
      <c r="E195" s="120"/>
      <c r="F195" s="121"/>
      <c r="G195" s="206"/>
      <c r="H195" s="115"/>
      <c r="I195" s="185"/>
      <c r="J195" s="175"/>
      <c r="K195" s="197"/>
      <c r="L195" s="194"/>
      <c r="M195" s="188">
        <v>3813.12</v>
      </c>
      <c r="N195" s="188">
        <f t="shared" si="18"/>
        <v>3698.7264</v>
      </c>
      <c r="O195" s="189">
        <v>7.0000000000000007E-2</v>
      </c>
      <c r="P195" s="170">
        <f t="shared" si="17"/>
        <v>3957.637248</v>
      </c>
    </row>
    <row r="196" spans="1:16">
      <c r="A196" s="157"/>
      <c r="B196" s="95"/>
      <c r="C196" s="63"/>
      <c r="D196" s="196"/>
      <c r="E196" s="249"/>
      <c r="F196" s="121"/>
      <c r="G196" s="206"/>
      <c r="H196" s="115"/>
      <c r="I196" s="185"/>
      <c r="J196" s="175"/>
      <c r="K196" s="197"/>
      <c r="L196" s="194"/>
    </row>
    <row r="197" spans="1:16">
      <c r="A197" s="157"/>
      <c r="B197" s="95"/>
      <c r="C197" s="63"/>
      <c r="D197" s="196"/>
      <c r="E197" s="249"/>
      <c r="F197" s="121"/>
      <c r="G197" s="206"/>
      <c r="H197" s="115"/>
      <c r="I197" s="185"/>
      <c r="J197" s="175"/>
      <c r="K197" s="197"/>
      <c r="L197" s="194"/>
    </row>
    <row r="198" spans="1:16">
      <c r="A198" s="157"/>
      <c r="B198" s="95"/>
      <c r="C198" s="63"/>
      <c r="D198" s="196"/>
      <c r="E198" s="249"/>
      <c r="F198" s="121"/>
      <c r="G198" s="206"/>
      <c r="H198" s="115"/>
      <c r="I198" s="185"/>
      <c r="J198" s="175"/>
      <c r="K198" s="197"/>
      <c r="L198" s="194"/>
    </row>
    <row r="199" spans="1:16">
      <c r="A199" s="157"/>
      <c r="B199" s="95"/>
      <c r="C199" s="63"/>
      <c r="D199" s="196"/>
      <c r="E199" s="249"/>
      <c r="F199" s="121"/>
      <c r="G199" s="206"/>
      <c r="H199" s="115"/>
      <c r="I199" s="185"/>
      <c r="J199" s="175"/>
      <c r="K199" s="197"/>
      <c r="L199" s="194"/>
    </row>
    <row r="200" spans="1:16">
      <c r="A200" s="157"/>
      <c r="B200" s="95"/>
      <c r="C200" s="63"/>
      <c r="D200" s="196"/>
      <c r="E200" s="249"/>
      <c r="F200" s="121"/>
      <c r="G200" s="206"/>
      <c r="H200" s="115"/>
      <c r="I200" s="185"/>
      <c r="J200" s="175"/>
      <c r="K200" s="197"/>
      <c r="L200" s="194"/>
    </row>
    <row r="201" spans="1:16">
      <c r="A201" s="157"/>
      <c r="B201" s="95"/>
      <c r="C201" s="63"/>
      <c r="D201" s="196"/>
      <c r="E201" s="142"/>
      <c r="F201" s="61"/>
      <c r="G201" s="206"/>
      <c r="H201" s="74"/>
      <c r="I201" s="183"/>
      <c r="J201" s="175"/>
      <c r="K201" s="197"/>
      <c r="L201" s="194"/>
    </row>
    <row r="202" spans="1:16">
      <c r="A202" s="157"/>
      <c r="B202" s="95"/>
      <c r="C202" s="63"/>
      <c r="D202" s="196"/>
      <c r="E202" s="142"/>
      <c r="F202" s="61"/>
      <c r="G202" s="206"/>
      <c r="H202" s="74"/>
      <c r="I202" s="183"/>
      <c r="J202" s="175"/>
      <c r="K202" s="197"/>
      <c r="L202" s="194"/>
    </row>
    <row r="203" spans="1:16">
      <c r="A203" s="157"/>
      <c r="B203" s="95"/>
      <c r="C203" s="63"/>
      <c r="D203" s="196"/>
      <c r="E203" s="142"/>
      <c r="F203" s="61"/>
      <c r="G203" s="206"/>
      <c r="H203" s="74"/>
      <c r="I203" s="183"/>
      <c r="J203" s="175"/>
      <c r="K203" s="197"/>
      <c r="L203" s="194"/>
      <c r="M203" s="188">
        <v>8640</v>
      </c>
      <c r="N203" s="188">
        <f t="shared" si="18"/>
        <v>8380.7999999999993</v>
      </c>
      <c r="O203" s="189">
        <v>7.0000000000000007E-2</v>
      </c>
      <c r="P203" s="170">
        <f>(N203*O203)+N203</f>
        <v>8967.4559999999983</v>
      </c>
    </row>
    <row r="204" spans="1:16" ht="34.5" customHeight="1">
      <c r="A204" s="160"/>
      <c r="B204" s="95"/>
      <c r="C204" s="63"/>
      <c r="D204" s="196"/>
      <c r="E204" s="120"/>
      <c r="F204" s="121"/>
      <c r="G204" s="206"/>
      <c r="H204" s="115"/>
      <c r="I204" s="185"/>
      <c r="J204" s="174"/>
      <c r="K204" s="195"/>
      <c r="L204" s="194"/>
    </row>
    <row r="205" spans="1:16">
      <c r="A205" s="204"/>
      <c r="B205" s="109"/>
      <c r="C205" s="3444"/>
      <c r="D205" s="3444"/>
      <c r="E205" s="3444"/>
      <c r="F205" s="3444"/>
      <c r="G205" s="213"/>
      <c r="H205" s="109"/>
      <c r="I205" s="3444"/>
      <c r="J205" s="234"/>
      <c r="K205" s="3444"/>
      <c r="L205" s="235"/>
      <c r="M205" s="3444"/>
    </row>
    <row r="206" spans="1:16">
      <c r="A206" s="44" t="s">
        <v>0</v>
      </c>
      <c r="C206" s="104"/>
      <c r="F206" s="68"/>
      <c r="I206" s="179"/>
      <c r="K206" s="163"/>
      <c r="L206" s="168"/>
    </row>
    <row r="207" spans="1:16">
      <c r="A207" s="3480" t="s">
        <v>2512</v>
      </c>
      <c r="B207" s="3480"/>
      <c r="C207" s="44"/>
      <c r="D207" s="109"/>
      <c r="F207" s="68"/>
      <c r="I207" s="179"/>
      <c r="K207" s="163"/>
      <c r="L207" s="168"/>
    </row>
    <row r="208" spans="1:16" ht="35.25" thickBot="1">
      <c r="F208" s="68"/>
    </row>
    <row r="209" spans="1:16">
      <c r="A209" s="3493" t="s">
        <v>2</v>
      </c>
      <c r="B209" s="3482"/>
      <c r="C209" s="48" t="s">
        <v>3</v>
      </c>
      <c r="D209" s="128" t="s">
        <v>4</v>
      </c>
      <c r="E209" s="77" t="s">
        <v>5</v>
      </c>
      <c r="F209" s="78" t="s">
        <v>5</v>
      </c>
      <c r="G209" s="211" t="s">
        <v>6</v>
      </c>
      <c r="H209" s="140" t="s">
        <v>7</v>
      </c>
      <c r="I209" s="180" t="s">
        <v>1511</v>
      </c>
      <c r="J209" s="172" t="s">
        <v>9</v>
      </c>
      <c r="K209" s="186" t="s">
        <v>9</v>
      </c>
      <c r="L209" s="192" t="s">
        <v>2495</v>
      </c>
      <c r="M209" s="190"/>
    </row>
    <row r="210" spans="1:16" ht="35.25" thickBot="1">
      <c r="A210" s="155"/>
      <c r="B210" s="494"/>
      <c r="C210" s="50"/>
      <c r="D210" s="129" t="s">
        <v>10</v>
      </c>
      <c r="E210" s="79" t="s">
        <v>11</v>
      </c>
      <c r="F210" s="80" t="s">
        <v>12</v>
      </c>
      <c r="G210" s="212"/>
      <c r="H210" s="141" t="s">
        <v>13</v>
      </c>
      <c r="I210" s="181" t="s">
        <v>1512</v>
      </c>
      <c r="J210" s="173" t="s">
        <v>15</v>
      </c>
      <c r="K210" s="187" t="s">
        <v>14</v>
      </c>
      <c r="L210" s="193" t="s">
        <v>2496</v>
      </c>
      <c r="M210" s="190"/>
    </row>
    <row r="211" spans="1:16">
      <c r="A211" s="156"/>
      <c r="B211" s="276"/>
      <c r="C211" s="63"/>
      <c r="D211" s="199"/>
      <c r="E211" s="143"/>
      <c r="F211" s="69"/>
      <c r="G211" s="206"/>
      <c r="H211" s="74"/>
      <c r="I211" s="183"/>
      <c r="J211" s="175"/>
      <c r="K211" s="172"/>
      <c r="L211" s="194"/>
      <c r="M211" s="188">
        <v>3552</v>
      </c>
      <c r="N211" s="188">
        <f t="shared" ref="N211:N227" si="19">M211-(M211*0.03)</f>
        <v>3445.44</v>
      </c>
      <c r="O211" s="189">
        <v>7.0000000000000007E-2</v>
      </c>
      <c r="P211" s="170">
        <f t="shared" ref="P211:P227" si="20">(N211*O211)+N211</f>
        <v>3686.6208000000001</v>
      </c>
    </row>
    <row r="212" spans="1:16">
      <c r="A212" s="157"/>
      <c r="B212" s="95"/>
      <c r="C212" s="63"/>
      <c r="D212" s="199"/>
      <c r="E212" s="145"/>
      <c r="F212" s="61"/>
      <c r="G212" s="206"/>
      <c r="H212" s="74"/>
      <c r="I212" s="183"/>
      <c r="J212" s="175"/>
      <c r="K212" s="176"/>
      <c r="L212" s="194"/>
      <c r="N212" s="188">
        <f t="shared" si="19"/>
        <v>0</v>
      </c>
      <c r="O212" s="189">
        <v>7.0000000000000007E-2</v>
      </c>
      <c r="P212" s="170">
        <f t="shared" si="20"/>
        <v>0</v>
      </c>
    </row>
    <row r="213" spans="1:16">
      <c r="A213" s="157"/>
      <c r="B213" s="95"/>
      <c r="C213" s="63"/>
      <c r="D213" s="199"/>
      <c r="E213" s="145"/>
      <c r="F213" s="61"/>
      <c r="G213" s="206"/>
      <c r="H213" s="74"/>
      <c r="I213" s="183"/>
      <c r="J213" s="175"/>
      <c r="K213" s="245"/>
      <c r="L213" s="194"/>
      <c r="M213" s="188">
        <v>9498.06</v>
      </c>
      <c r="N213" s="188">
        <f t="shared" si="19"/>
        <v>9213.118199999999</v>
      </c>
      <c r="O213" s="189">
        <v>7.0000000000000007E-2</v>
      </c>
      <c r="P213" s="170">
        <f t="shared" si="20"/>
        <v>9858.0364739999986</v>
      </c>
    </row>
    <row r="214" spans="1:16">
      <c r="A214" s="157"/>
      <c r="B214" s="95"/>
      <c r="C214" s="63"/>
      <c r="D214" s="199"/>
      <c r="E214" s="145"/>
      <c r="F214" s="61"/>
      <c r="G214" s="206"/>
      <c r="H214" s="74"/>
      <c r="I214" s="183"/>
      <c r="J214" s="175"/>
      <c r="K214" s="197"/>
      <c r="L214" s="194"/>
      <c r="M214" s="188">
        <v>15305.4</v>
      </c>
      <c r="N214" s="188">
        <f t="shared" si="19"/>
        <v>14846.237999999999</v>
      </c>
      <c r="O214" s="189">
        <v>7.0000000000000007E-2</v>
      </c>
      <c r="P214" s="170">
        <f t="shared" si="20"/>
        <v>15885.47466</v>
      </c>
    </row>
    <row r="215" spans="1:16">
      <c r="A215" s="157"/>
      <c r="B215" s="95"/>
      <c r="C215" s="63"/>
      <c r="D215" s="199"/>
      <c r="E215" s="145"/>
      <c r="F215" s="61"/>
      <c r="G215" s="206"/>
      <c r="H215" s="74"/>
      <c r="I215" s="183"/>
      <c r="J215" s="175"/>
      <c r="K215" s="197"/>
      <c r="L215" s="194"/>
      <c r="N215" s="188">
        <f t="shared" si="19"/>
        <v>0</v>
      </c>
      <c r="O215" s="189">
        <v>7.0000000000000007E-2</v>
      </c>
      <c r="P215" s="170">
        <f t="shared" si="20"/>
        <v>0</v>
      </c>
    </row>
    <row r="216" spans="1:16">
      <c r="A216" s="157"/>
      <c r="B216" s="95"/>
      <c r="C216" s="63"/>
      <c r="D216" s="199"/>
      <c r="E216" s="145"/>
      <c r="F216" s="61"/>
      <c r="G216" s="206"/>
      <c r="H216" s="74"/>
      <c r="I216" s="183"/>
      <c r="J216" s="175"/>
      <c r="K216" s="197"/>
      <c r="L216" s="194"/>
      <c r="N216" s="188">
        <f t="shared" si="19"/>
        <v>0</v>
      </c>
      <c r="O216" s="189">
        <v>7.0000000000000007E-2</v>
      </c>
      <c r="P216" s="170">
        <f t="shared" si="20"/>
        <v>0</v>
      </c>
    </row>
    <row r="217" spans="1:16">
      <c r="A217" s="157"/>
      <c r="B217" s="95"/>
      <c r="C217" s="63"/>
      <c r="D217" s="199"/>
      <c r="E217" s="145"/>
      <c r="F217" s="61"/>
      <c r="G217" s="206"/>
      <c r="H217" s="74"/>
      <c r="I217" s="183"/>
      <c r="J217" s="175"/>
      <c r="K217" s="197"/>
      <c r="L217" s="194"/>
      <c r="N217" s="188">
        <f t="shared" si="19"/>
        <v>0</v>
      </c>
      <c r="O217" s="189">
        <v>7.0000000000000007E-2</v>
      </c>
      <c r="P217" s="170">
        <f t="shared" si="20"/>
        <v>0</v>
      </c>
    </row>
    <row r="218" spans="1:16">
      <c r="A218" s="157"/>
      <c r="B218" s="95"/>
      <c r="C218" s="222"/>
      <c r="D218" s="3464"/>
      <c r="E218" s="145"/>
      <c r="F218" s="61"/>
      <c r="G218" s="223"/>
      <c r="H218" s="224"/>
      <c r="I218" s="225"/>
      <c r="J218" s="209"/>
      <c r="K218" s="244"/>
      <c r="M218" s="188">
        <v>14244.12</v>
      </c>
      <c r="N218" s="188">
        <f t="shared" si="19"/>
        <v>13816.796400000001</v>
      </c>
      <c r="O218" s="189">
        <v>7.0000000000000007E-2</v>
      </c>
      <c r="P218" s="170">
        <f t="shared" si="20"/>
        <v>14783.972148000001</v>
      </c>
    </row>
    <row r="219" spans="1:16">
      <c r="A219" s="157"/>
      <c r="B219" s="95"/>
      <c r="C219" s="63"/>
      <c r="D219" s="199"/>
      <c r="E219" s="145"/>
      <c r="F219" s="61"/>
      <c r="G219" s="206"/>
      <c r="H219" s="74"/>
      <c r="I219" s="183"/>
      <c r="J219" s="175"/>
      <c r="K219" s="197"/>
      <c r="L219" s="194"/>
      <c r="M219" s="188">
        <v>3240</v>
      </c>
      <c r="N219" s="188">
        <f t="shared" si="19"/>
        <v>3142.8</v>
      </c>
      <c r="O219" s="189">
        <v>7.0000000000000007E-2</v>
      </c>
      <c r="P219" s="170">
        <f t="shared" si="20"/>
        <v>3362.7960000000003</v>
      </c>
    </row>
    <row r="220" spans="1:16">
      <c r="A220" s="157"/>
      <c r="B220" s="95"/>
      <c r="C220" s="63"/>
      <c r="D220" s="199"/>
      <c r="E220" s="145"/>
      <c r="F220" s="61"/>
      <c r="G220" s="206"/>
      <c r="H220" s="74"/>
      <c r="I220" s="183"/>
      <c r="J220" s="175"/>
      <c r="K220" s="197"/>
      <c r="L220" s="194"/>
      <c r="M220" s="188">
        <v>14700</v>
      </c>
      <c r="N220" s="188">
        <f t="shared" si="19"/>
        <v>14259</v>
      </c>
      <c r="O220" s="189">
        <v>7.0000000000000007E-2</v>
      </c>
      <c r="P220" s="170">
        <f t="shared" si="20"/>
        <v>15257.130000000001</v>
      </c>
    </row>
    <row r="221" spans="1:16">
      <c r="A221" s="157"/>
      <c r="B221" s="95"/>
      <c r="C221" s="222"/>
      <c r="D221" s="3464"/>
      <c r="E221" s="237"/>
      <c r="F221" s="238"/>
      <c r="G221" s="223"/>
      <c r="H221" s="224"/>
      <c r="I221" s="225"/>
      <c r="J221" s="209"/>
      <c r="K221" s="226"/>
      <c r="L221" s="229"/>
      <c r="M221" s="188">
        <v>14582.7</v>
      </c>
      <c r="N221" s="188">
        <f t="shared" si="19"/>
        <v>14145.219000000001</v>
      </c>
      <c r="O221" s="189">
        <v>7.0000000000000007E-2</v>
      </c>
      <c r="P221" s="170">
        <f t="shared" si="20"/>
        <v>15135.384330000001</v>
      </c>
    </row>
    <row r="222" spans="1:16">
      <c r="A222" s="157"/>
      <c r="B222" s="433"/>
      <c r="C222" s="63"/>
      <c r="D222" s="199"/>
      <c r="E222" s="145"/>
      <c r="F222" s="61"/>
      <c r="G222" s="206"/>
      <c r="H222" s="74"/>
      <c r="I222" s="183"/>
      <c r="J222" s="175"/>
      <c r="K222" s="197"/>
      <c r="L222" s="229"/>
      <c r="M222" s="188">
        <v>13483.8</v>
      </c>
      <c r="N222" s="188">
        <f t="shared" si="19"/>
        <v>13079.286</v>
      </c>
      <c r="O222" s="189">
        <v>7.0000000000000007E-2</v>
      </c>
      <c r="P222" s="170">
        <f t="shared" si="20"/>
        <v>13994.836020000001</v>
      </c>
    </row>
    <row r="223" spans="1:16">
      <c r="A223" s="157"/>
      <c r="B223" s="139"/>
      <c r="C223" s="222"/>
      <c r="D223" s="3464"/>
      <c r="E223" s="145"/>
      <c r="F223" s="61"/>
      <c r="G223" s="223"/>
      <c r="H223" s="224"/>
      <c r="I223" s="225"/>
      <c r="J223" s="209"/>
      <c r="K223" s="226"/>
      <c r="L223" s="229"/>
      <c r="M223" s="188">
        <v>2669.52</v>
      </c>
      <c r="N223" s="188">
        <f t="shared" si="19"/>
        <v>2589.4344000000001</v>
      </c>
      <c r="O223" s="189">
        <v>7.0000000000000007E-2</v>
      </c>
      <c r="P223" s="170">
        <f t="shared" si="20"/>
        <v>2770.6948080000002</v>
      </c>
    </row>
    <row r="224" spans="1:16" ht="35.25" customHeight="1">
      <c r="A224" s="157"/>
      <c r="B224" s="139"/>
      <c r="C224" s="222"/>
      <c r="D224" s="3464"/>
      <c r="E224" s="145"/>
      <c r="F224" s="61"/>
      <c r="G224" s="223"/>
      <c r="H224" s="224"/>
      <c r="I224" s="225"/>
      <c r="J224" s="209"/>
      <c r="K224" s="226"/>
      <c r="L224" s="229"/>
      <c r="N224" s="188">
        <f t="shared" si="19"/>
        <v>0</v>
      </c>
      <c r="O224" s="189">
        <v>7.0000000000000007E-2</v>
      </c>
      <c r="P224" s="170">
        <f t="shared" si="20"/>
        <v>0</v>
      </c>
    </row>
    <row r="225" spans="1:16">
      <c r="A225" s="221"/>
      <c r="B225" s="457"/>
      <c r="C225" s="222"/>
      <c r="D225" s="3464"/>
      <c r="E225" s="145"/>
      <c r="F225" s="61"/>
      <c r="G225" s="223"/>
      <c r="H225" s="224"/>
      <c r="I225" s="225"/>
      <c r="J225" s="209"/>
      <c r="K225" s="226"/>
      <c r="L225" s="229"/>
      <c r="M225" s="188">
        <v>12972.96</v>
      </c>
      <c r="N225" s="188">
        <f t="shared" si="19"/>
        <v>12583.771199999999</v>
      </c>
      <c r="O225" s="189">
        <v>7.0000000000000007E-2</v>
      </c>
      <c r="P225" s="170">
        <f t="shared" si="20"/>
        <v>13464.635183999999</v>
      </c>
    </row>
    <row r="226" spans="1:16">
      <c r="A226" s="157"/>
      <c r="B226" s="139"/>
      <c r="C226" s="63"/>
      <c r="D226" s="199"/>
      <c r="E226" s="145"/>
      <c r="F226" s="61"/>
      <c r="G226" s="206"/>
      <c r="H226" s="74"/>
      <c r="I226" s="183"/>
      <c r="J226" s="209"/>
      <c r="K226" s="197"/>
      <c r="L226" s="229"/>
      <c r="M226" s="188">
        <v>12687.84</v>
      </c>
      <c r="N226" s="188">
        <f t="shared" si="19"/>
        <v>12307.2048</v>
      </c>
      <c r="O226" s="189">
        <v>7.0000000000000007E-2</v>
      </c>
      <c r="P226" s="170">
        <f t="shared" si="20"/>
        <v>13168.709135999999</v>
      </c>
    </row>
    <row r="227" spans="1:16">
      <c r="A227" s="157"/>
      <c r="B227" s="139"/>
      <c r="C227" s="63"/>
      <c r="D227" s="199"/>
      <c r="E227" s="145"/>
      <c r="F227" s="61"/>
      <c r="G227" s="206"/>
      <c r="H227" s="74"/>
      <c r="I227" s="183"/>
      <c r="J227" s="175"/>
      <c r="K227" s="197"/>
      <c r="L227" s="194"/>
      <c r="M227" s="188">
        <v>16572.599999999999</v>
      </c>
      <c r="N227" s="188">
        <f t="shared" si="19"/>
        <v>16075.421999999999</v>
      </c>
      <c r="O227" s="189">
        <v>7.0000000000000007E-2</v>
      </c>
      <c r="P227" s="170">
        <f t="shared" si="20"/>
        <v>17200.701539999998</v>
      </c>
    </row>
    <row r="228" spans="1:16">
      <c r="A228" s="157"/>
      <c r="B228" s="139"/>
      <c r="C228" s="63"/>
      <c r="D228" s="199"/>
      <c r="E228" s="90"/>
      <c r="F228" s="61"/>
      <c r="G228" s="206"/>
      <c r="H228" s="74"/>
      <c r="I228" s="203"/>
      <c r="J228" s="175"/>
      <c r="K228" s="197"/>
      <c r="L228" s="194"/>
      <c r="M228" s="188">
        <v>6021.12</v>
      </c>
      <c r="N228" s="188">
        <f>M228-(M228*0.03)</f>
        <v>5840.4863999999998</v>
      </c>
      <c r="O228" s="189">
        <v>7.0000000000000007E-2</v>
      </c>
      <c r="P228" s="170">
        <f>(N228*O228)+N228</f>
        <v>6249.3204479999995</v>
      </c>
    </row>
    <row r="229" spans="1:16">
      <c r="A229" s="157"/>
      <c r="B229" s="139"/>
      <c r="C229" s="63"/>
      <c r="D229" s="199"/>
      <c r="E229" s="90"/>
      <c r="F229" s="61"/>
      <c r="G229" s="206"/>
      <c r="H229" s="74"/>
      <c r="I229" s="183"/>
      <c r="J229" s="175"/>
      <c r="K229" s="197"/>
      <c r="L229" s="194"/>
      <c r="M229" s="188">
        <v>8714.16</v>
      </c>
      <c r="N229" s="188">
        <f>M229-(M229*0.03)</f>
        <v>8452.7351999999992</v>
      </c>
      <c r="O229" s="189">
        <v>7.0000000000000007E-2</v>
      </c>
      <c r="P229" s="170">
        <f>(N229*O229)+N229</f>
        <v>9044.4266639999987</v>
      </c>
    </row>
    <row r="230" spans="1:16">
      <c r="A230" s="157"/>
      <c r="B230" s="139"/>
      <c r="C230" s="63"/>
      <c r="D230" s="199"/>
      <c r="E230" s="90"/>
      <c r="F230" s="61"/>
      <c r="G230" s="206"/>
      <c r="H230" s="74"/>
      <c r="I230" s="183"/>
      <c r="J230" s="175"/>
      <c r="K230" s="197"/>
      <c r="L230" s="194"/>
      <c r="M230" s="188">
        <v>0</v>
      </c>
      <c r="N230" s="188">
        <f>M230-(M230*0.03)</f>
        <v>0</v>
      </c>
      <c r="O230" s="189">
        <v>7.0000000000000007E-2</v>
      </c>
      <c r="P230" s="170">
        <f t="shared" ref="P230:P236" si="21">(N230*O230)+N230</f>
        <v>0</v>
      </c>
    </row>
    <row r="231" spans="1:16">
      <c r="A231" s="157"/>
      <c r="B231" s="139"/>
      <c r="C231" s="63"/>
      <c r="D231" s="199"/>
      <c r="E231" s="90"/>
      <c r="F231" s="61"/>
      <c r="G231" s="206"/>
      <c r="H231" s="74"/>
      <c r="I231" s="183"/>
      <c r="J231" s="175"/>
      <c r="K231" s="197"/>
      <c r="L231" s="194"/>
      <c r="M231" s="188">
        <v>18537.7</v>
      </c>
      <c r="N231" s="188">
        <f>M231-(M231*0.03)</f>
        <v>17981.569</v>
      </c>
      <c r="O231" s="189">
        <v>7.0000000000000007E-2</v>
      </c>
      <c r="P231" s="170">
        <f t="shared" si="21"/>
        <v>19240.278829999999</v>
      </c>
    </row>
    <row r="232" spans="1:16">
      <c r="A232" s="158"/>
      <c r="B232" s="139"/>
      <c r="C232" s="63"/>
      <c r="D232" s="199"/>
      <c r="E232" s="91"/>
      <c r="F232" s="61"/>
      <c r="G232" s="206"/>
      <c r="H232" s="74"/>
      <c r="I232" s="183"/>
      <c r="J232" s="175"/>
      <c r="K232" s="197"/>
      <c r="L232" s="194"/>
      <c r="M232" s="188">
        <v>9031.68</v>
      </c>
      <c r="N232" s="188">
        <f t="shared" ref="N232:N241" si="22">M232-(M232*0.03)</f>
        <v>8760.7296000000006</v>
      </c>
      <c r="O232" s="189">
        <v>7.0000000000000007E-2</v>
      </c>
      <c r="P232" s="170">
        <f t="shared" si="21"/>
        <v>9373.9806720000015</v>
      </c>
    </row>
    <row r="233" spans="1:16">
      <c r="A233" s="200"/>
      <c r="B233" s="139"/>
      <c r="C233" s="63"/>
      <c r="D233" s="199"/>
      <c r="E233" s="153"/>
      <c r="F233" s="61"/>
      <c r="G233" s="206"/>
      <c r="H233" s="88"/>
      <c r="I233" s="184"/>
      <c r="J233" s="201"/>
      <c r="K233" s="202"/>
      <c r="L233" s="194"/>
      <c r="N233" s="188">
        <f t="shared" si="22"/>
        <v>0</v>
      </c>
      <c r="O233" s="189">
        <v>7.0000000000000007E-2</v>
      </c>
      <c r="P233" s="170">
        <f t="shared" si="21"/>
        <v>0</v>
      </c>
    </row>
    <row r="234" spans="1:16">
      <c r="A234" s="157"/>
      <c r="B234" s="139"/>
      <c r="C234" s="63"/>
      <c r="D234" s="199"/>
      <c r="E234" s="198"/>
      <c r="F234" s="61"/>
      <c r="G234" s="206"/>
      <c r="H234" s="74"/>
      <c r="I234" s="183"/>
      <c r="J234" s="175"/>
      <c r="K234" s="197"/>
      <c r="L234" s="194"/>
      <c r="M234" s="188">
        <v>8478.9599999999991</v>
      </c>
      <c r="N234" s="188">
        <f t="shared" si="22"/>
        <v>8224.5911999999989</v>
      </c>
      <c r="O234" s="189">
        <v>7.0000000000000007E-2</v>
      </c>
      <c r="P234" s="170">
        <f t="shared" si="21"/>
        <v>8800.3125839999993</v>
      </c>
    </row>
    <row r="235" spans="1:16">
      <c r="A235" s="157"/>
      <c r="B235" s="139"/>
      <c r="C235" s="63"/>
      <c r="D235" s="199"/>
      <c r="E235" s="142"/>
      <c r="F235" s="61"/>
      <c r="G235" s="206"/>
      <c r="H235" s="74"/>
      <c r="I235" s="183"/>
      <c r="J235" s="175"/>
      <c r="K235" s="197"/>
      <c r="L235" s="194"/>
      <c r="M235" s="188">
        <v>11122.62</v>
      </c>
      <c r="N235" s="188">
        <f t="shared" si="22"/>
        <v>10788.941400000002</v>
      </c>
      <c r="O235" s="189">
        <v>7.0000000000000007E-2</v>
      </c>
      <c r="P235" s="170">
        <f t="shared" si="21"/>
        <v>11544.167298000002</v>
      </c>
    </row>
    <row r="236" spans="1:16">
      <c r="A236" s="157"/>
      <c r="B236" s="139"/>
      <c r="C236" s="63"/>
      <c r="D236" s="196"/>
      <c r="E236" s="120"/>
      <c r="F236" s="121"/>
      <c r="G236" s="206"/>
      <c r="H236" s="115"/>
      <c r="I236" s="185"/>
      <c r="J236" s="175"/>
      <c r="K236" s="197"/>
      <c r="L236" s="194"/>
      <c r="M236" s="188">
        <v>3813.12</v>
      </c>
      <c r="N236" s="188">
        <f t="shared" si="22"/>
        <v>3698.7264</v>
      </c>
      <c r="O236" s="189">
        <v>7.0000000000000007E-2</v>
      </c>
      <c r="P236" s="170">
        <f t="shared" si="21"/>
        <v>3957.637248</v>
      </c>
    </row>
    <row r="237" spans="1:16">
      <c r="A237" s="157"/>
      <c r="B237" s="139"/>
      <c r="C237" s="63"/>
      <c r="D237" s="196"/>
      <c r="E237" s="249"/>
      <c r="F237" s="121"/>
      <c r="G237" s="206"/>
      <c r="H237" s="115"/>
      <c r="I237" s="185"/>
      <c r="J237" s="175"/>
      <c r="K237" s="197"/>
      <c r="L237" s="194"/>
    </row>
    <row r="238" spans="1:16" ht="28.5" customHeight="1">
      <c r="A238" s="157"/>
      <c r="B238" s="139"/>
      <c r="C238" s="63"/>
      <c r="D238" s="196"/>
      <c r="E238" s="249"/>
      <c r="F238" s="121"/>
      <c r="G238" s="206"/>
      <c r="H238" s="115"/>
      <c r="I238" s="185"/>
      <c r="J238" s="175"/>
      <c r="K238" s="197"/>
      <c r="L238" s="194"/>
    </row>
    <row r="239" spans="1:16">
      <c r="A239" s="157"/>
      <c r="B239" s="139"/>
      <c r="C239" s="63"/>
      <c r="D239" s="196"/>
      <c r="E239" s="249"/>
      <c r="F239" s="121"/>
      <c r="G239" s="206"/>
      <c r="H239" s="115"/>
      <c r="I239" s="185"/>
      <c r="J239" s="175"/>
      <c r="K239" s="197"/>
      <c r="L239" s="194"/>
    </row>
    <row r="240" spans="1:16">
      <c r="A240" s="157"/>
      <c r="B240" s="139"/>
      <c r="C240" s="63"/>
      <c r="D240" s="196"/>
      <c r="E240" s="142"/>
      <c r="F240" s="61"/>
      <c r="G240" s="206"/>
      <c r="H240" s="74"/>
      <c r="I240" s="183"/>
      <c r="J240" s="175"/>
      <c r="K240" s="197"/>
      <c r="L240" s="194"/>
    </row>
    <row r="241" spans="1:16">
      <c r="A241" s="157"/>
      <c r="B241" s="460"/>
      <c r="C241" s="63"/>
      <c r="D241" s="196"/>
      <c r="E241" s="142"/>
      <c r="F241" s="61"/>
      <c r="G241" s="206"/>
      <c r="H241" s="74"/>
      <c r="I241" s="183"/>
      <c r="J241" s="175"/>
      <c r="K241" s="197"/>
      <c r="L241" s="194"/>
      <c r="M241" s="188">
        <v>8640</v>
      </c>
      <c r="N241" s="188">
        <f t="shared" si="22"/>
        <v>8380.7999999999993</v>
      </c>
      <c r="O241" s="189">
        <v>7.0000000000000007E-2</v>
      </c>
      <c r="P241" s="170">
        <f>(N241*O241)+N241</f>
        <v>8967.4559999999983</v>
      </c>
    </row>
    <row r="242" spans="1:16">
      <c r="A242" s="157"/>
      <c r="B242" s="460"/>
      <c r="C242" s="63"/>
      <c r="D242" s="196"/>
      <c r="E242" s="142"/>
      <c r="F242" s="61"/>
      <c r="G242" s="206"/>
      <c r="H242" s="74"/>
      <c r="I242" s="183"/>
      <c r="J242" s="175"/>
      <c r="K242" s="197"/>
      <c r="L242" s="194"/>
    </row>
    <row r="243" spans="1:16">
      <c r="A243" s="157"/>
      <c r="B243" s="460"/>
      <c r="C243" s="63"/>
      <c r="D243" s="196"/>
      <c r="E243" s="142"/>
      <c r="F243" s="61"/>
      <c r="G243" s="206"/>
      <c r="H243" s="74"/>
      <c r="I243" s="183"/>
      <c r="J243" s="175"/>
      <c r="K243" s="197"/>
      <c r="L243" s="194"/>
    </row>
    <row r="244" spans="1:16">
      <c r="A244" s="157"/>
      <c r="B244" s="460"/>
      <c r="C244" s="63"/>
      <c r="D244" s="196"/>
      <c r="E244" s="142"/>
      <c r="F244" s="61"/>
      <c r="G244" s="206"/>
      <c r="H244" s="74"/>
      <c r="I244" s="183"/>
      <c r="J244" s="175"/>
      <c r="K244" s="197"/>
      <c r="L244" s="194"/>
    </row>
    <row r="245" spans="1:16">
      <c r="A245" s="160"/>
      <c r="B245" s="139"/>
      <c r="C245" s="63"/>
      <c r="D245" s="196"/>
      <c r="E245" s="120"/>
      <c r="F245" s="121"/>
      <c r="G245" s="206"/>
      <c r="H245" s="115"/>
      <c r="I245" s="185"/>
      <c r="J245" s="174"/>
      <c r="K245" s="195"/>
      <c r="L245" s="194"/>
    </row>
    <row r="246" spans="1:16">
      <c r="F246" s="68"/>
    </row>
    <row r="247" spans="1:16">
      <c r="A247" s="44" t="s">
        <v>0</v>
      </c>
      <c r="C247" s="104"/>
      <c r="F247" s="68"/>
      <c r="I247" s="179"/>
      <c r="K247" s="163"/>
      <c r="L247" s="168"/>
    </row>
    <row r="248" spans="1:16">
      <c r="A248" s="3480" t="s">
        <v>2512</v>
      </c>
      <c r="B248" s="3480"/>
      <c r="C248" s="44"/>
      <c r="D248" s="109"/>
      <c r="F248" s="68"/>
      <c r="I248" s="179"/>
      <c r="K248" s="163"/>
      <c r="L248" s="168"/>
    </row>
    <row r="249" spans="1:16" ht="35.25" thickBot="1">
      <c r="F249" s="68"/>
    </row>
    <row r="250" spans="1:16">
      <c r="A250" s="3493" t="s">
        <v>2</v>
      </c>
      <c r="B250" s="3482"/>
      <c r="C250" s="48" t="s">
        <v>3</v>
      </c>
      <c r="D250" s="128" t="s">
        <v>4</v>
      </c>
      <c r="E250" s="77" t="s">
        <v>5</v>
      </c>
      <c r="F250" s="78" t="s">
        <v>5</v>
      </c>
      <c r="G250" s="211" t="s">
        <v>6</v>
      </c>
      <c r="H250" s="140" t="s">
        <v>7</v>
      </c>
      <c r="I250" s="180" t="s">
        <v>1511</v>
      </c>
      <c r="J250" s="172" t="s">
        <v>9</v>
      </c>
      <c r="K250" s="186" t="s">
        <v>9</v>
      </c>
      <c r="L250" s="192" t="s">
        <v>2495</v>
      </c>
      <c r="M250" s="190"/>
    </row>
    <row r="251" spans="1:16" ht="35.25" thickBot="1">
      <c r="A251" s="155"/>
      <c r="B251" s="494"/>
      <c r="C251" s="50"/>
      <c r="D251" s="129" t="s">
        <v>10</v>
      </c>
      <c r="E251" s="79" t="s">
        <v>11</v>
      </c>
      <c r="F251" s="80" t="s">
        <v>12</v>
      </c>
      <c r="G251" s="212"/>
      <c r="H251" s="141" t="s">
        <v>13</v>
      </c>
      <c r="I251" s="181" t="s">
        <v>1512</v>
      </c>
      <c r="J251" s="173" t="s">
        <v>15</v>
      </c>
      <c r="K251" s="187" t="s">
        <v>14</v>
      </c>
      <c r="L251" s="193" t="s">
        <v>2496</v>
      </c>
      <c r="M251" s="190"/>
    </row>
    <row r="252" spans="1:16">
      <c r="A252" s="156"/>
      <c r="B252" s="139"/>
      <c r="C252" s="63"/>
      <c r="D252" s="199"/>
      <c r="E252" s="143"/>
      <c r="F252" s="69"/>
      <c r="G252" s="206"/>
      <c r="H252" s="74"/>
      <c r="I252" s="183"/>
      <c r="J252" s="175"/>
      <c r="K252" s="172"/>
      <c r="L252" s="194"/>
      <c r="M252" s="188">
        <v>3552</v>
      </c>
      <c r="N252" s="188">
        <f t="shared" ref="N252:N268" si="23">M252-(M252*0.03)</f>
        <v>3445.44</v>
      </c>
      <c r="O252" s="189">
        <v>7.0000000000000007E-2</v>
      </c>
      <c r="P252" s="170">
        <f t="shared" ref="P252:P268" si="24">(N252*O252)+N252</f>
        <v>3686.6208000000001</v>
      </c>
    </row>
    <row r="253" spans="1:16">
      <c r="A253" s="157"/>
      <c r="B253" s="139"/>
      <c r="C253" s="63"/>
      <c r="D253" s="199"/>
      <c r="E253" s="145"/>
      <c r="F253" s="61"/>
      <c r="G253" s="206"/>
      <c r="H253" s="74"/>
      <c r="I253" s="183"/>
      <c r="J253" s="175"/>
      <c r="K253" s="176"/>
      <c r="L253" s="194"/>
      <c r="N253" s="188">
        <f t="shared" si="23"/>
        <v>0</v>
      </c>
      <c r="O253" s="189">
        <v>7.0000000000000007E-2</v>
      </c>
      <c r="P253" s="170">
        <f t="shared" si="24"/>
        <v>0</v>
      </c>
    </row>
    <row r="254" spans="1:16">
      <c r="A254" s="157"/>
      <c r="B254" s="463"/>
      <c r="C254" s="63"/>
      <c r="D254" s="199"/>
      <c r="E254" s="145"/>
      <c r="F254" s="61"/>
      <c r="G254" s="206"/>
      <c r="H254" s="74"/>
      <c r="I254" s="183"/>
      <c r="J254" s="175"/>
      <c r="K254" s="245"/>
      <c r="L254" s="194"/>
      <c r="M254" s="188">
        <v>9498.06</v>
      </c>
      <c r="N254" s="188">
        <f t="shared" si="23"/>
        <v>9213.118199999999</v>
      </c>
      <c r="O254" s="189">
        <v>7.0000000000000007E-2</v>
      </c>
      <c r="P254" s="170">
        <f t="shared" si="24"/>
        <v>9858.0364739999986</v>
      </c>
    </row>
    <row r="255" spans="1:16">
      <c r="A255" s="157"/>
      <c r="B255" s="463"/>
      <c r="C255" s="63"/>
      <c r="D255" s="199"/>
      <c r="E255" s="145"/>
      <c r="F255" s="61"/>
      <c r="G255" s="206"/>
      <c r="H255" s="74"/>
      <c r="I255" s="183"/>
      <c r="J255" s="175"/>
      <c r="K255" s="197"/>
      <c r="L255" s="194"/>
      <c r="M255" s="188">
        <v>15305.4</v>
      </c>
      <c r="N255" s="188">
        <f t="shared" si="23"/>
        <v>14846.237999999999</v>
      </c>
      <c r="O255" s="189">
        <v>7.0000000000000007E-2</v>
      </c>
      <c r="P255" s="170">
        <f t="shared" si="24"/>
        <v>15885.47466</v>
      </c>
    </row>
    <row r="256" spans="1:16">
      <c r="A256" s="157"/>
      <c r="B256" s="139"/>
      <c r="C256" s="63"/>
      <c r="D256" s="199"/>
      <c r="E256" s="145"/>
      <c r="F256" s="61"/>
      <c r="G256" s="206"/>
      <c r="H256" s="74"/>
      <c r="I256" s="183"/>
      <c r="J256" s="175"/>
      <c r="K256" s="197"/>
      <c r="L256" s="194"/>
      <c r="N256" s="188">
        <f t="shared" si="23"/>
        <v>0</v>
      </c>
      <c r="O256" s="189">
        <v>7.0000000000000007E-2</v>
      </c>
      <c r="P256" s="170">
        <f t="shared" si="24"/>
        <v>0</v>
      </c>
    </row>
    <row r="257" spans="1:16">
      <c r="A257" s="157"/>
      <c r="B257" s="139"/>
      <c r="C257" s="63"/>
      <c r="D257" s="199"/>
      <c r="E257" s="145"/>
      <c r="F257" s="61"/>
      <c r="G257" s="206"/>
      <c r="H257" s="74"/>
      <c r="I257" s="183"/>
      <c r="J257" s="175"/>
      <c r="K257" s="197"/>
      <c r="L257" s="194"/>
      <c r="N257" s="188">
        <f t="shared" si="23"/>
        <v>0</v>
      </c>
      <c r="O257" s="189">
        <v>7.0000000000000007E-2</v>
      </c>
      <c r="P257" s="170">
        <f t="shared" si="24"/>
        <v>0</v>
      </c>
    </row>
    <row r="258" spans="1:16">
      <c r="A258" s="157"/>
      <c r="B258" s="139"/>
      <c r="C258" s="63"/>
      <c r="D258" s="199"/>
      <c r="E258" s="145"/>
      <c r="F258" s="61"/>
      <c r="G258" s="206"/>
      <c r="H258" s="74"/>
      <c r="I258" s="183"/>
      <c r="J258" s="175"/>
      <c r="K258" s="197"/>
      <c r="L258" s="194"/>
      <c r="N258" s="188">
        <f t="shared" si="23"/>
        <v>0</v>
      </c>
      <c r="O258" s="189">
        <v>7.0000000000000007E-2</v>
      </c>
      <c r="P258" s="170">
        <f t="shared" si="24"/>
        <v>0</v>
      </c>
    </row>
    <row r="259" spans="1:16">
      <c r="A259" s="157"/>
      <c r="B259" s="463"/>
      <c r="C259" s="222"/>
      <c r="D259" s="3464"/>
      <c r="E259" s="145"/>
      <c r="F259" s="61"/>
      <c r="G259" s="223"/>
      <c r="H259" s="224"/>
      <c r="I259" s="225"/>
      <c r="J259" s="209"/>
      <c r="K259" s="244"/>
      <c r="M259" s="188">
        <v>14244.12</v>
      </c>
      <c r="N259" s="188">
        <f t="shared" si="23"/>
        <v>13816.796400000001</v>
      </c>
      <c r="O259" s="189">
        <v>7.0000000000000007E-2</v>
      </c>
      <c r="P259" s="170">
        <f t="shared" si="24"/>
        <v>14783.972148000001</v>
      </c>
    </row>
    <row r="260" spans="1:16">
      <c r="A260" s="157"/>
      <c r="B260" s="433"/>
      <c r="C260" s="63"/>
      <c r="D260" s="199"/>
      <c r="E260" s="145"/>
      <c r="F260" s="61"/>
      <c r="G260" s="206"/>
      <c r="H260" s="74"/>
      <c r="I260" s="183"/>
      <c r="J260" s="175"/>
      <c r="K260" s="197"/>
      <c r="L260" s="194"/>
      <c r="M260" s="188">
        <v>3240</v>
      </c>
      <c r="N260" s="188">
        <f t="shared" si="23"/>
        <v>3142.8</v>
      </c>
      <c r="O260" s="189">
        <v>7.0000000000000007E-2</v>
      </c>
      <c r="P260" s="170">
        <f t="shared" si="24"/>
        <v>3362.7960000000003</v>
      </c>
    </row>
    <row r="261" spans="1:16">
      <c r="A261" s="157"/>
      <c r="B261" s="433"/>
      <c r="C261" s="63"/>
      <c r="D261" s="199"/>
      <c r="E261" s="145"/>
      <c r="F261" s="61"/>
      <c r="G261" s="206"/>
      <c r="H261" s="74"/>
      <c r="I261" s="183"/>
      <c r="J261" s="175"/>
      <c r="K261" s="197"/>
      <c r="L261" s="194"/>
      <c r="M261" s="188">
        <v>14700</v>
      </c>
      <c r="N261" s="188">
        <f t="shared" si="23"/>
        <v>14259</v>
      </c>
      <c r="O261" s="189">
        <v>7.0000000000000007E-2</v>
      </c>
      <c r="P261" s="170">
        <f t="shared" si="24"/>
        <v>15257.130000000001</v>
      </c>
    </row>
    <row r="262" spans="1:16">
      <c r="A262" s="157"/>
      <c r="B262" s="433"/>
      <c r="C262" s="222"/>
      <c r="D262" s="3464"/>
      <c r="E262" s="237"/>
      <c r="F262" s="238"/>
      <c r="G262" s="223"/>
      <c r="H262" s="224"/>
      <c r="I262" s="225"/>
      <c r="J262" s="209"/>
      <c r="K262" s="226"/>
      <c r="L262" s="229"/>
      <c r="M262" s="188">
        <v>14582.7</v>
      </c>
      <c r="N262" s="188">
        <f t="shared" si="23"/>
        <v>14145.219000000001</v>
      </c>
      <c r="O262" s="189">
        <v>7.0000000000000007E-2</v>
      </c>
      <c r="P262" s="170">
        <f t="shared" si="24"/>
        <v>15135.384330000001</v>
      </c>
    </row>
    <row r="263" spans="1:16">
      <c r="A263" s="157"/>
      <c r="B263" s="433"/>
      <c r="C263" s="63"/>
      <c r="D263" s="199"/>
      <c r="E263" s="145"/>
      <c r="F263" s="61"/>
      <c r="G263" s="206"/>
      <c r="H263" s="74"/>
      <c r="I263" s="183"/>
      <c r="J263" s="175"/>
      <c r="K263" s="197"/>
      <c r="L263" s="229"/>
      <c r="M263" s="188">
        <v>13483.8</v>
      </c>
      <c r="N263" s="188">
        <f t="shared" si="23"/>
        <v>13079.286</v>
      </c>
      <c r="O263" s="189">
        <v>7.0000000000000007E-2</v>
      </c>
      <c r="P263" s="170">
        <f t="shared" si="24"/>
        <v>13994.836020000001</v>
      </c>
    </row>
    <row r="264" spans="1:16">
      <c r="A264" s="157"/>
      <c r="B264" s="139"/>
      <c r="C264" s="222"/>
      <c r="D264" s="3464"/>
      <c r="E264" s="145"/>
      <c r="F264" s="61"/>
      <c r="G264" s="223"/>
      <c r="H264" s="224"/>
      <c r="I264" s="225"/>
      <c r="J264" s="209"/>
      <c r="K264" s="226"/>
      <c r="L264" s="229"/>
      <c r="M264" s="188">
        <v>2669.52</v>
      </c>
      <c r="N264" s="188">
        <f t="shared" si="23"/>
        <v>2589.4344000000001</v>
      </c>
      <c r="O264" s="189">
        <v>7.0000000000000007E-2</v>
      </c>
      <c r="P264" s="170">
        <f t="shared" si="24"/>
        <v>2770.6948080000002</v>
      </c>
    </row>
    <row r="265" spans="1:16">
      <c r="A265" s="157"/>
      <c r="B265" s="139"/>
      <c r="C265" s="222"/>
      <c r="D265" s="3464"/>
      <c r="E265" s="145"/>
      <c r="F265" s="61"/>
      <c r="G265" s="223"/>
      <c r="H265" s="224"/>
      <c r="I265" s="225"/>
      <c r="J265" s="209"/>
      <c r="K265" s="226"/>
      <c r="L265" s="229"/>
      <c r="N265" s="188">
        <f t="shared" si="23"/>
        <v>0</v>
      </c>
      <c r="O265" s="189">
        <v>7.0000000000000007E-2</v>
      </c>
      <c r="P265" s="170">
        <f t="shared" si="24"/>
        <v>0</v>
      </c>
    </row>
    <row r="266" spans="1:16">
      <c r="A266" s="221"/>
      <c r="B266" s="457"/>
      <c r="C266" s="222"/>
      <c r="D266" s="3464"/>
      <c r="E266" s="145"/>
      <c r="F266" s="61"/>
      <c r="G266" s="223"/>
      <c r="H266" s="224"/>
      <c r="I266" s="225"/>
      <c r="J266" s="209"/>
      <c r="K266" s="226"/>
      <c r="L266" s="229"/>
      <c r="M266" s="188">
        <v>12972.96</v>
      </c>
      <c r="N266" s="188">
        <f t="shared" si="23"/>
        <v>12583.771199999999</v>
      </c>
      <c r="O266" s="189">
        <v>7.0000000000000007E-2</v>
      </c>
      <c r="P266" s="170">
        <f t="shared" si="24"/>
        <v>13464.635183999999</v>
      </c>
    </row>
    <row r="267" spans="1:16">
      <c r="A267" s="157"/>
      <c r="B267" s="139"/>
      <c r="C267" s="63"/>
      <c r="D267" s="199"/>
      <c r="E267" s="145"/>
      <c r="F267" s="61"/>
      <c r="G267" s="206"/>
      <c r="H267" s="74"/>
      <c r="I267" s="183"/>
      <c r="J267" s="209"/>
      <c r="K267" s="197"/>
      <c r="L267" s="229"/>
      <c r="M267" s="188">
        <v>12687.84</v>
      </c>
      <c r="N267" s="188">
        <f t="shared" si="23"/>
        <v>12307.2048</v>
      </c>
      <c r="O267" s="189">
        <v>7.0000000000000007E-2</v>
      </c>
      <c r="P267" s="170">
        <f t="shared" si="24"/>
        <v>13168.709135999999</v>
      </c>
    </row>
    <row r="268" spans="1:16">
      <c r="A268" s="157"/>
      <c r="B268" s="139"/>
      <c r="C268" s="63"/>
      <c r="D268" s="199"/>
      <c r="E268" s="145"/>
      <c r="F268" s="61"/>
      <c r="G268" s="206"/>
      <c r="H268" s="74"/>
      <c r="I268" s="183"/>
      <c r="J268" s="175"/>
      <c r="K268" s="197"/>
      <c r="L268" s="194"/>
      <c r="M268" s="188">
        <v>16572.599999999999</v>
      </c>
      <c r="N268" s="188">
        <f t="shared" si="23"/>
        <v>16075.421999999999</v>
      </c>
      <c r="O268" s="189">
        <v>7.0000000000000007E-2</v>
      </c>
      <c r="P268" s="170">
        <f t="shared" si="24"/>
        <v>17200.701539999998</v>
      </c>
    </row>
    <row r="269" spans="1:16">
      <c r="A269" s="157"/>
      <c r="B269" s="139"/>
      <c r="C269" s="63"/>
      <c r="D269" s="199"/>
      <c r="E269" s="90"/>
      <c r="F269" s="61"/>
      <c r="G269" s="206"/>
      <c r="H269" s="74"/>
      <c r="I269" s="203"/>
      <c r="J269" s="175"/>
      <c r="K269" s="197"/>
      <c r="L269" s="194"/>
      <c r="M269" s="188">
        <v>6021.12</v>
      </c>
      <c r="N269" s="188">
        <f>M269-(M269*0.03)</f>
        <v>5840.4863999999998</v>
      </c>
      <c r="O269" s="189">
        <v>7.0000000000000007E-2</v>
      </c>
      <c r="P269" s="170">
        <f>(N269*O269)+N269</f>
        <v>6249.3204479999995</v>
      </c>
    </row>
    <row r="270" spans="1:16">
      <c r="A270" s="157"/>
      <c r="B270" s="139"/>
      <c r="C270" s="63"/>
      <c r="D270" s="199"/>
      <c r="E270" s="90"/>
      <c r="F270" s="61"/>
      <c r="G270" s="206"/>
      <c r="H270" s="74"/>
      <c r="I270" s="183"/>
      <c r="J270" s="175"/>
      <c r="K270" s="197"/>
      <c r="L270" s="194"/>
      <c r="M270" s="188">
        <v>8714.16</v>
      </c>
      <c r="N270" s="188">
        <f>M270-(M270*0.03)</f>
        <v>8452.7351999999992</v>
      </c>
      <c r="O270" s="189">
        <v>7.0000000000000007E-2</v>
      </c>
      <c r="P270" s="170">
        <f>(N270*O270)+N270</f>
        <v>9044.4266639999987</v>
      </c>
    </row>
    <row r="271" spans="1:16">
      <c r="A271" s="157"/>
      <c r="B271" s="139"/>
      <c r="C271" s="63"/>
      <c r="D271" s="199"/>
      <c r="E271" s="90"/>
      <c r="F271" s="61"/>
      <c r="G271" s="206"/>
      <c r="H271" s="74"/>
      <c r="I271" s="183"/>
      <c r="J271" s="175"/>
      <c r="K271" s="197"/>
      <c r="L271" s="194"/>
      <c r="M271" s="188">
        <v>0</v>
      </c>
      <c r="N271" s="188">
        <f>M271-(M271*0.03)</f>
        <v>0</v>
      </c>
      <c r="O271" s="189">
        <v>7.0000000000000007E-2</v>
      </c>
      <c r="P271" s="170">
        <f t="shared" ref="P271:P277" si="25">(N271*O271)+N271</f>
        <v>0</v>
      </c>
    </row>
    <row r="272" spans="1:16">
      <c r="A272" s="157"/>
      <c r="B272" s="139"/>
      <c r="C272" s="63"/>
      <c r="D272" s="199"/>
      <c r="E272" s="90"/>
      <c r="F272" s="61"/>
      <c r="G272" s="206"/>
      <c r="H272" s="74"/>
      <c r="I272" s="183"/>
      <c r="J272" s="175"/>
      <c r="K272" s="197"/>
      <c r="L272" s="194"/>
      <c r="M272" s="188">
        <v>18537.7</v>
      </c>
      <c r="N272" s="188">
        <f>M272-(M272*0.03)</f>
        <v>17981.569</v>
      </c>
      <c r="O272" s="189">
        <v>7.0000000000000007E-2</v>
      </c>
      <c r="P272" s="170">
        <f t="shared" si="25"/>
        <v>19240.278829999999</v>
      </c>
    </row>
    <row r="273" spans="1:16" ht="35.25" customHeight="1">
      <c r="A273" s="158"/>
      <c r="B273" s="139"/>
      <c r="C273" s="63"/>
      <c r="D273" s="199"/>
      <c r="E273" s="91"/>
      <c r="F273" s="61"/>
      <c r="G273" s="206"/>
      <c r="H273" s="74"/>
      <c r="I273" s="183"/>
      <c r="J273" s="175"/>
      <c r="K273" s="197"/>
      <c r="L273" s="194"/>
      <c r="M273" s="188">
        <v>9031.68</v>
      </c>
      <c r="N273" s="188">
        <f t="shared" ref="N273:N283" si="26">M273-(M273*0.03)</f>
        <v>8760.7296000000006</v>
      </c>
      <c r="O273" s="189">
        <v>7.0000000000000007E-2</v>
      </c>
      <c r="P273" s="170">
        <f t="shared" si="25"/>
        <v>9373.9806720000015</v>
      </c>
    </row>
    <row r="274" spans="1:16">
      <c r="A274" s="200"/>
      <c r="B274" s="139"/>
      <c r="C274" s="63"/>
      <c r="D274" s="199"/>
      <c r="E274" s="153"/>
      <c r="F274" s="61"/>
      <c r="G274" s="206"/>
      <c r="H274" s="88"/>
      <c r="I274" s="184"/>
      <c r="J274" s="201"/>
      <c r="K274" s="202"/>
      <c r="L274" s="194"/>
      <c r="N274" s="188">
        <f t="shared" si="26"/>
        <v>0</v>
      </c>
      <c r="O274" s="189">
        <v>7.0000000000000007E-2</v>
      </c>
      <c r="P274" s="170">
        <f t="shared" si="25"/>
        <v>0</v>
      </c>
    </row>
    <row r="275" spans="1:16">
      <c r="A275" s="157"/>
      <c r="B275" s="139"/>
      <c r="C275" s="63"/>
      <c r="D275" s="199"/>
      <c r="E275" s="198"/>
      <c r="F275" s="61"/>
      <c r="G275" s="206"/>
      <c r="H275" s="74"/>
      <c r="I275" s="183"/>
      <c r="J275" s="175"/>
      <c r="K275" s="197"/>
      <c r="L275" s="194"/>
      <c r="M275" s="188">
        <v>8478.9599999999991</v>
      </c>
      <c r="N275" s="188">
        <f t="shared" si="26"/>
        <v>8224.5911999999989</v>
      </c>
      <c r="O275" s="189">
        <v>7.0000000000000007E-2</v>
      </c>
      <c r="P275" s="170">
        <f t="shared" si="25"/>
        <v>8800.3125839999993</v>
      </c>
    </row>
    <row r="276" spans="1:16" ht="35.25" customHeight="1">
      <c r="A276" s="157"/>
      <c r="B276" s="139"/>
      <c r="C276" s="63"/>
      <c r="D276" s="199"/>
      <c r="E276" s="142"/>
      <c r="F276" s="61"/>
      <c r="G276" s="206"/>
      <c r="H276" s="74"/>
      <c r="I276" s="183"/>
      <c r="J276" s="175"/>
      <c r="K276" s="197"/>
      <c r="L276" s="194"/>
      <c r="M276" s="188">
        <v>11122.62</v>
      </c>
      <c r="N276" s="188">
        <f t="shared" si="26"/>
        <v>10788.941400000002</v>
      </c>
      <c r="O276" s="189">
        <v>7.0000000000000007E-2</v>
      </c>
      <c r="P276" s="170">
        <f t="shared" si="25"/>
        <v>11544.167298000002</v>
      </c>
    </row>
    <row r="277" spans="1:16">
      <c r="A277" s="157"/>
      <c r="B277" s="139"/>
      <c r="C277" s="63"/>
      <c r="D277" s="196"/>
      <c r="E277" s="120"/>
      <c r="F277" s="121"/>
      <c r="G277" s="206"/>
      <c r="H277" s="115"/>
      <c r="I277" s="185"/>
      <c r="J277" s="175"/>
      <c r="K277" s="197"/>
      <c r="L277" s="194"/>
      <c r="M277" s="188">
        <v>3813.12</v>
      </c>
      <c r="N277" s="188">
        <f t="shared" si="26"/>
        <v>3698.7264</v>
      </c>
      <c r="O277" s="189">
        <v>7.0000000000000007E-2</v>
      </c>
      <c r="P277" s="170">
        <f t="shared" si="25"/>
        <v>3957.637248</v>
      </c>
    </row>
    <row r="278" spans="1:16">
      <c r="A278" s="157"/>
      <c r="B278" s="139"/>
      <c r="C278" s="63"/>
      <c r="D278" s="196"/>
      <c r="E278" s="249"/>
      <c r="F278" s="121"/>
      <c r="G278" s="206"/>
      <c r="H278" s="115"/>
      <c r="I278" s="185"/>
      <c r="J278" s="175"/>
      <c r="K278" s="197"/>
      <c r="L278" s="194"/>
    </row>
    <row r="279" spans="1:16">
      <c r="A279" s="157"/>
      <c r="B279" s="139"/>
      <c r="C279" s="63"/>
      <c r="D279" s="196"/>
      <c r="E279" s="249"/>
      <c r="F279" s="121"/>
      <c r="G279" s="206"/>
      <c r="H279" s="115"/>
      <c r="I279" s="185"/>
      <c r="J279" s="175"/>
      <c r="K279" s="197"/>
      <c r="L279" s="194"/>
    </row>
    <row r="280" spans="1:16">
      <c r="A280" s="157"/>
      <c r="B280" s="139"/>
      <c r="C280" s="63"/>
      <c r="D280" s="196"/>
      <c r="E280" s="249"/>
      <c r="F280" s="121"/>
      <c r="G280" s="206"/>
      <c r="H280" s="115"/>
      <c r="I280" s="185"/>
      <c r="J280" s="175"/>
      <c r="K280" s="197"/>
      <c r="L280" s="194"/>
    </row>
    <row r="281" spans="1:16">
      <c r="A281" s="157"/>
      <c r="B281" s="139"/>
      <c r="C281" s="63"/>
      <c r="D281" s="196"/>
      <c r="E281" s="142"/>
      <c r="F281" s="61"/>
      <c r="G281" s="206"/>
      <c r="H281" s="74"/>
      <c r="I281" s="183"/>
      <c r="J281" s="175"/>
      <c r="K281" s="197"/>
      <c r="L281" s="194"/>
    </row>
    <row r="282" spans="1:16">
      <c r="A282" s="157"/>
      <c r="B282" s="139"/>
      <c r="C282" s="63"/>
      <c r="D282" s="196"/>
      <c r="E282" s="142"/>
      <c r="F282" s="61"/>
      <c r="G282" s="206"/>
      <c r="H282" s="74"/>
      <c r="I282" s="183"/>
      <c r="J282" s="175"/>
      <c r="K282" s="197"/>
      <c r="L282" s="194"/>
    </row>
    <row r="283" spans="1:16">
      <c r="A283" s="157"/>
      <c r="B283" s="460"/>
      <c r="C283" s="63"/>
      <c r="D283" s="196"/>
      <c r="E283" s="142"/>
      <c r="F283" s="61"/>
      <c r="G283" s="206"/>
      <c r="H283" s="74"/>
      <c r="I283" s="183"/>
      <c r="J283" s="175"/>
      <c r="K283" s="197"/>
      <c r="L283" s="194"/>
      <c r="M283" s="188">
        <v>8640</v>
      </c>
      <c r="N283" s="188">
        <f t="shared" si="26"/>
        <v>8380.7999999999993</v>
      </c>
      <c r="O283" s="189">
        <v>7.0000000000000007E-2</v>
      </c>
      <c r="P283" s="170">
        <f>(N283*O283)+N283</f>
        <v>8967.4559999999983</v>
      </c>
    </row>
    <row r="284" spans="1:16">
      <c r="A284" s="157"/>
      <c r="B284" s="460"/>
      <c r="C284" s="63"/>
      <c r="D284" s="196"/>
      <c r="E284" s="142"/>
      <c r="F284" s="61"/>
      <c r="G284" s="206"/>
      <c r="H284" s="74"/>
      <c r="I284" s="183"/>
      <c r="J284" s="175"/>
      <c r="K284" s="197"/>
      <c r="L284" s="194"/>
    </row>
    <row r="285" spans="1:16">
      <c r="A285" s="157"/>
      <c r="B285" s="460"/>
      <c r="C285" s="63"/>
      <c r="D285" s="196"/>
      <c r="E285" s="142"/>
      <c r="F285" s="61"/>
      <c r="G285" s="206"/>
      <c r="H285" s="74"/>
      <c r="I285" s="183"/>
      <c r="J285" s="175"/>
      <c r="K285" s="197"/>
      <c r="L285" s="194"/>
    </row>
    <row r="286" spans="1:16">
      <c r="A286" s="160"/>
      <c r="B286" s="139"/>
      <c r="C286" s="63"/>
      <c r="D286" s="196"/>
      <c r="E286" s="120"/>
      <c r="F286" s="121"/>
      <c r="G286" s="206"/>
      <c r="H286" s="115"/>
      <c r="I286" s="185"/>
      <c r="J286" s="174"/>
      <c r="K286" s="195"/>
      <c r="L286" s="194"/>
    </row>
    <row r="287" spans="1:16">
      <c r="A287" s="204"/>
      <c r="B287" s="109"/>
      <c r="C287" s="3444"/>
      <c r="D287" s="3444"/>
      <c r="E287" s="3444"/>
      <c r="F287" s="3444"/>
      <c r="G287" s="213"/>
      <c r="H287" s="109"/>
      <c r="I287" s="3444"/>
      <c r="J287" s="234"/>
      <c r="K287" s="3444"/>
      <c r="L287" s="235"/>
      <c r="M287" s="3444"/>
    </row>
    <row r="288" spans="1:16">
      <c r="A288" s="44" t="s">
        <v>0</v>
      </c>
      <c r="C288" s="104"/>
      <c r="F288" s="68"/>
      <c r="I288" s="179"/>
      <c r="K288" s="163"/>
      <c r="L288" s="168"/>
    </row>
    <row r="289" spans="1:16">
      <c r="A289" s="3480" t="s">
        <v>2512</v>
      </c>
      <c r="B289" s="3480"/>
      <c r="C289" s="44"/>
      <c r="D289" s="109"/>
      <c r="F289" s="68"/>
      <c r="I289" s="179"/>
      <c r="K289" s="163"/>
      <c r="L289" s="168"/>
    </row>
    <row r="290" spans="1:16" ht="35.25" thickBot="1">
      <c r="F290" s="68"/>
    </row>
    <row r="291" spans="1:16">
      <c r="A291" s="3493" t="s">
        <v>2</v>
      </c>
      <c r="B291" s="3482"/>
      <c r="C291" s="48" t="s">
        <v>3</v>
      </c>
      <c r="D291" s="128" t="s">
        <v>4</v>
      </c>
      <c r="E291" s="77" t="s">
        <v>5</v>
      </c>
      <c r="F291" s="78" t="s">
        <v>5</v>
      </c>
      <c r="G291" s="211" t="s">
        <v>6</v>
      </c>
      <c r="H291" s="140" t="s">
        <v>7</v>
      </c>
      <c r="I291" s="180" t="s">
        <v>1511</v>
      </c>
      <c r="J291" s="172" t="s">
        <v>9</v>
      </c>
      <c r="K291" s="186" t="s">
        <v>9</v>
      </c>
      <c r="L291" s="192" t="s">
        <v>2495</v>
      </c>
      <c r="M291" s="190"/>
    </row>
    <row r="292" spans="1:16" ht="35.25" thickBot="1">
      <c r="A292" s="155"/>
      <c r="B292" s="494"/>
      <c r="C292" s="50"/>
      <c r="D292" s="129" t="s">
        <v>10</v>
      </c>
      <c r="E292" s="79" t="s">
        <v>11</v>
      </c>
      <c r="F292" s="80" t="s">
        <v>12</v>
      </c>
      <c r="G292" s="212"/>
      <c r="H292" s="141" t="s">
        <v>13</v>
      </c>
      <c r="I292" s="181" t="s">
        <v>1512</v>
      </c>
      <c r="J292" s="173" t="s">
        <v>15</v>
      </c>
      <c r="K292" s="187" t="s">
        <v>14</v>
      </c>
      <c r="L292" s="193" t="s">
        <v>2496</v>
      </c>
      <c r="M292" s="190"/>
    </row>
    <row r="293" spans="1:16">
      <c r="A293" s="156"/>
      <c r="B293" s="139"/>
      <c r="C293" s="63"/>
      <c r="D293" s="199"/>
      <c r="E293" s="143"/>
      <c r="F293" s="69"/>
      <c r="G293" s="206"/>
      <c r="H293" s="74"/>
      <c r="I293" s="183"/>
      <c r="J293" s="175"/>
      <c r="K293" s="172"/>
      <c r="L293" s="194"/>
      <c r="M293" s="188">
        <v>3552</v>
      </c>
      <c r="N293" s="188">
        <f t="shared" ref="N293:N309" si="27">M293-(M293*0.03)</f>
        <v>3445.44</v>
      </c>
      <c r="O293" s="189">
        <v>7.0000000000000007E-2</v>
      </c>
      <c r="P293" s="170">
        <f t="shared" ref="P293:P309" si="28">(N293*O293)+N293</f>
        <v>3686.6208000000001</v>
      </c>
    </row>
    <row r="294" spans="1:16">
      <c r="A294" s="157"/>
      <c r="B294" s="139"/>
      <c r="C294" s="63"/>
      <c r="D294" s="199"/>
      <c r="E294" s="145"/>
      <c r="F294" s="61"/>
      <c r="G294" s="206"/>
      <c r="H294" s="74"/>
      <c r="I294" s="183"/>
      <c r="J294" s="175"/>
      <c r="K294" s="176"/>
      <c r="L294" s="194"/>
      <c r="N294" s="188">
        <f t="shared" si="27"/>
        <v>0</v>
      </c>
      <c r="O294" s="189">
        <v>7.0000000000000007E-2</v>
      </c>
      <c r="P294" s="170">
        <f t="shared" si="28"/>
        <v>0</v>
      </c>
    </row>
    <row r="295" spans="1:16">
      <c r="A295" s="157"/>
      <c r="B295" s="463"/>
      <c r="C295" s="63"/>
      <c r="D295" s="199"/>
      <c r="E295" s="145"/>
      <c r="F295" s="61"/>
      <c r="G295" s="206"/>
      <c r="H295" s="74"/>
      <c r="I295" s="183"/>
      <c r="J295" s="175"/>
      <c r="K295" s="245"/>
      <c r="L295" s="194"/>
      <c r="M295" s="188">
        <v>9498.06</v>
      </c>
      <c r="N295" s="188">
        <f t="shared" si="27"/>
        <v>9213.118199999999</v>
      </c>
      <c r="O295" s="189">
        <v>7.0000000000000007E-2</v>
      </c>
      <c r="P295" s="170">
        <f t="shared" si="28"/>
        <v>9858.0364739999986</v>
      </c>
    </row>
    <row r="296" spans="1:16">
      <c r="A296" s="157"/>
      <c r="B296" s="463"/>
      <c r="C296" s="63"/>
      <c r="D296" s="199"/>
      <c r="E296" s="145"/>
      <c r="F296" s="61"/>
      <c r="G296" s="206"/>
      <c r="H296" s="74"/>
      <c r="I296" s="183"/>
      <c r="J296" s="175"/>
      <c r="K296" s="197"/>
      <c r="L296" s="194"/>
      <c r="M296" s="188">
        <v>15305.4</v>
      </c>
      <c r="N296" s="188">
        <f t="shared" si="27"/>
        <v>14846.237999999999</v>
      </c>
      <c r="O296" s="189">
        <v>7.0000000000000007E-2</v>
      </c>
      <c r="P296" s="170">
        <f t="shared" si="28"/>
        <v>15885.47466</v>
      </c>
    </row>
    <row r="297" spans="1:16">
      <c r="A297" s="157"/>
      <c r="B297" s="139"/>
      <c r="C297" s="63"/>
      <c r="D297" s="199"/>
      <c r="E297" s="145"/>
      <c r="F297" s="61"/>
      <c r="G297" s="206"/>
      <c r="H297" s="74"/>
      <c r="I297" s="183"/>
      <c r="J297" s="175"/>
      <c r="K297" s="197"/>
      <c r="L297" s="194"/>
      <c r="N297" s="188">
        <f t="shared" si="27"/>
        <v>0</v>
      </c>
      <c r="O297" s="189">
        <v>7.0000000000000007E-2</v>
      </c>
      <c r="P297" s="170">
        <f t="shared" si="28"/>
        <v>0</v>
      </c>
    </row>
    <row r="298" spans="1:16">
      <c r="A298" s="157"/>
      <c r="B298" s="139"/>
      <c r="C298" s="63"/>
      <c r="D298" s="199"/>
      <c r="E298" s="145"/>
      <c r="F298" s="61"/>
      <c r="G298" s="206"/>
      <c r="H298" s="74"/>
      <c r="I298" s="183"/>
      <c r="J298" s="175"/>
      <c r="K298" s="197"/>
      <c r="L298" s="194"/>
      <c r="N298" s="188">
        <f t="shared" si="27"/>
        <v>0</v>
      </c>
      <c r="O298" s="189">
        <v>7.0000000000000007E-2</v>
      </c>
      <c r="P298" s="170">
        <f t="shared" si="28"/>
        <v>0</v>
      </c>
    </row>
    <row r="299" spans="1:16">
      <c r="A299" s="157"/>
      <c r="B299" s="139"/>
      <c r="C299" s="63"/>
      <c r="D299" s="199"/>
      <c r="E299" s="145"/>
      <c r="F299" s="61"/>
      <c r="G299" s="206"/>
      <c r="H299" s="74"/>
      <c r="I299" s="183"/>
      <c r="J299" s="175"/>
      <c r="K299" s="197"/>
      <c r="L299" s="194"/>
      <c r="N299" s="188">
        <f t="shared" si="27"/>
        <v>0</v>
      </c>
      <c r="O299" s="189">
        <v>7.0000000000000007E-2</v>
      </c>
      <c r="P299" s="170">
        <f t="shared" si="28"/>
        <v>0</v>
      </c>
    </row>
    <row r="300" spans="1:16">
      <c r="A300" s="157"/>
      <c r="B300" s="463"/>
      <c r="C300" s="222"/>
      <c r="D300" s="3464"/>
      <c r="E300" s="145"/>
      <c r="F300" s="61"/>
      <c r="G300" s="223"/>
      <c r="H300" s="224"/>
      <c r="I300" s="225"/>
      <c r="J300" s="209"/>
      <c r="K300" s="244"/>
      <c r="M300" s="188">
        <v>14244.12</v>
      </c>
      <c r="N300" s="188">
        <f t="shared" si="27"/>
        <v>13816.796400000001</v>
      </c>
      <c r="O300" s="189">
        <v>7.0000000000000007E-2</v>
      </c>
      <c r="P300" s="170">
        <f t="shared" si="28"/>
        <v>14783.972148000001</v>
      </c>
    </row>
    <row r="301" spans="1:16">
      <c r="A301" s="157"/>
      <c r="B301" s="433"/>
      <c r="C301" s="63"/>
      <c r="D301" s="199"/>
      <c r="E301" s="145"/>
      <c r="F301" s="61"/>
      <c r="G301" s="206"/>
      <c r="H301" s="74"/>
      <c r="I301" s="183"/>
      <c r="J301" s="175"/>
      <c r="K301" s="197"/>
      <c r="L301" s="194"/>
      <c r="M301" s="188">
        <v>3240</v>
      </c>
      <c r="N301" s="188">
        <f t="shared" si="27"/>
        <v>3142.8</v>
      </c>
      <c r="O301" s="189">
        <v>7.0000000000000007E-2</v>
      </c>
      <c r="P301" s="170">
        <f t="shared" si="28"/>
        <v>3362.7960000000003</v>
      </c>
    </row>
    <row r="302" spans="1:16">
      <c r="A302" s="157"/>
      <c r="B302" s="433"/>
      <c r="C302" s="63"/>
      <c r="D302" s="199"/>
      <c r="E302" s="145"/>
      <c r="F302" s="61"/>
      <c r="G302" s="206"/>
      <c r="H302" s="74"/>
      <c r="I302" s="183"/>
      <c r="J302" s="175"/>
      <c r="K302" s="197"/>
      <c r="L302" s="194"/>
      <c r="M302" s="188">
        <v>14700</v>
      </c>
      <c r="N302" s="188">
        <f t="shared" si="27"/>
        <v>14259</v>
      </c>
      <c r="O302" s="189">
        <v>7.0000000000000007E-2</v>
      </c>
      <c r="P302" s="170">
        <f t="shared" si="28"/>
        <v>15257.130000000001</v>
      </c>
    </row>
    <row r="303" spans="1:16">
      <c r="A303" s="157"/>
      <c r="B303" s="433"/>
      <c r="C303" s="222"/>
      <c r="D303" s="3464"/>
      <c r="E303" s="237"/>
      <c r="F303" s="238"/>
      <c r="G303" s="223"/>
      <c r="H303" s="224"/>
      <c r="I303" s="225"/>
      <c r="J303" s="209"/>
      <c r="K303" s="226"/>
      <c r="L303" s="229"/>
      <c r="M303" s="188">
        <v>14582.7</v>
      </c>
      <c r="N303" s="188">
        <f t="shared" si="27"/>
        <v>14145.219000000001</v>
      </c>
      <c r="O303" s="189">
        <v>7.0000000000000007E-2</v>
      </c>
      <c r="P303" s="170">
        <f t="shared" si="28"/>
        <v>15135.384330000001</v>
      </c>
    </row>
    <row r="304" spans="1:16">
      <c r="A304" s="157"/>
      <c r="B304" s="433"/>
      <c r="C304" s="63"/>
      <c r="D304" s="199"/>
      <c r="E304" s="145"/>
      <c r="F304" s="61"/>
      <c r="G304" s="206"/>
      <c r="H304" s="74"/>
      <c r="I304" s="183"/>
      <c r="J304" s="175"/>
      <c r="K304" s="197"/>
      <c r="L304" s="229"/>
      <c r="M304" s="188">
        <v>13483.8</v>
      </c>
      <c r="N304" s="188">
        <f t="shared" si="27"/>
        <v>13079.286</v>
      </c>
      <c r="O304" s="189">
        <v>7.0000000000000007E-2</v>
      </c>
      <c r="P304" s="170">
        <f t="shared" si="28"/>
        <v>13994.836020000001</v>
      </c>
    </row>
    <row r="305" spans="1:16">
      <c r="A305" s="157"/>
      <c r="B305" s="139"/>
      <c r="C305" s="222"/>
      <c r="D305" s="3464"/>
      <c r="E305" s="145"/>
      <c r="F305" s="61"/>
      <c r="G305" s="223"/>
      <c r="H305" s="224"/>
      <c r="I305" s="225"/>
      <c r="J305" s="209"/>
      <c r="K305" s="226"/>
      <c r="L305" s="229"/>
      <c r="M305" s="188">
        <v>2669.52</v>
      </c>
      <c r="N305" s="188">
        <f t="shared" si="27"/>
        <v>2589.4344000000001</v>
      </c>
      <c r="O305" s="189">
        <v>7.0000000000000007E-2</v>
      </c>
      <c r="P305" s="170">
        <f t="shared" si="28"/>
        <v>2770.6948080000002</v>
      </c>
    </row>
    <row r="306" spans="1:16">
      <c r="A306" s="157"/>
      <c r="B306" s="139"/>
      <c r="C306" s="222"/>
      <c r="D306" s="3464"/>
      <c r="E306" s="145"/>
      <c r="F306" s="61"/>
      <c r="G306" s="223"/>
      <c r="H306" s="224"/>
      <c r="I306" s="225"/>
      <c r="J306" s="209"/>
      <c r="K306" s="226"/>
      <c r="L306" s="229"/>
      <c r="N306" s="188">
        <f t="shared" si="27"/>
        <v>0</v>
      </c>
      <c r="O306" s="189">
        <v>7.0000000000000007E-2</v>
      </c>
      <c r="P306" s="170">
        <f t="shared" si="28"/>
        <v>0</v>
      </c>
    </row>
    <row r="307" spans="1:16">
      <c r="A307" s="221"/>
      <c r="B307" s="457"/>
      <c r="C307" s="222"/>
      <c r="D307" s="3464"/>
      <c r="E307" s="145"/>
      <c r="F307" s="61"/>
      <c r="G307" s="223"/>
      <c r="H307" s="224"/>
      <c r="I307" s="225"/>
      <c r="J307" s="209"/>
      <c r="K307" s="226"/>
      <c r="L307" s="229"/>
      <c r="M307" s="188">
        <v>12972.96</v>
      </c>
      <c r="N307" s="188">
        <f t="shared" si="27"/>
        <v>12583.771199999999</v>
      </c>
      <c r="O307" s="189">
        <v>7.0000000000000007E-2</v>
      </c>
      <c r="P307" s="170">
        <f t="shared" si="28"/>
        <v>13464.635183999999</v>
      </c>
    </row>
    <row r="308" spans="1:16">
      <c r="A308" s="157"/>
      <c r="B308" s="139"/>
      <c r="C308" s="63"/>
      <c r="D308" s="199"/>
      <c r="E308" s="145"/>
      <c r="F308" s="61"/>
      <c r="G308" s="206"/>
      <c r="H308" s="74"/>
      <c r="I308" s="183"/>
      <c r="J308" s="209"/>
      <c r="K308" s="197"/>
      <c r="L308" s="229"/>
      <c r="M308" s="188">
        <v>12687.84</v>
      </c>
      <c r="N308" s="188">
        <f t="shared" si="27"/>
        <v>12307.2048</v>
      </c>
      <c r="O308" s="189">
        <v>7.0000000000000007E-2</v>
      </c>
      <c r="P308" s="170">
        <f t="shared" si="28"/>
        <v>13168.709135999999</v>
      </c>
    </row>
    <row r="309" spans="1:16">
      <c r="A309" s="157"/>
      <c r="B309" s="139"/>
      <c r="C309" s="63"/>
      <c r="D309" s="199"/>
      <c r="E309" s="145"/>
      <c r="F309" s="61"/>
      <c r="G309" s="206"/>
      <c r="H309" s="74"/>
      <c r="I309" s="183"/>
      <c r="J309" s="175"/>
      <c r="K309" s="197"/>
      <c r="L309" s="194"/>
      <c r="M309" s="188">
        <v>16572.599999999999</v>
      </c>
      <c r="N309" s="188">
        <f t="shared" si="27"/>
        <v>16075.421999999999</v>
      </c>
      <c r="O309" s="189">
        <v>7.0000000000000007E-2</v>
      </c>
      <c r="P309" s="170">
        <f t="shared" si="28"/>
        <v>17200.701539999998</v>
      </c>
    </row>
    <row r="310" spans="1:16">
      <c r="A310" s="157"/>
      <c r="B310" s="139"/>
      <c r="C310" s="63"/>
      <c r="D310" s="199"/>
      <c r="E310" s="90"/>
      <c r="F310" s="61"/>
      <c r="G310" s="206"/>
      <c r="H310" s="74"/>
      <c r="I310" s="203"/>
      <c r="J310" s="175"/>
      <c r="K310" s="197"/>
      <c r="L310" s="194"/>
      <c r="M310" s="188">
        <v>6021.12</v>
      </c>
      <c r="N310" s="188">
        <f>M310-(M310*0.03)</f>
        <v>5840.4863999999998</v>
      </c>
      <c r="O310" s="189">
        <v>7.0000000000000007E-2</v>
      </c>
      <c r="P310" s="170">
        <f>(N310*O310)+N310</f>
        <v>6249.3204479999995</v>
      </c>
    </row>
    <row r="311" spans="1:16">
      <c r="A311" s="157"/>
      <c r="B311" s="139"/>
      <c r="C311" s="63"/>
      <c r="D311" s="199"/>
      <c r="E311" s="90"/>
      <c r="F311" s="61"/>
      <c r="G311" s="206"/>
      <c r="H311" s="74"/>
      <c r="I311" s="183"/>
      <c r="J311" s="175"/>
      <c r="K311" s="197"/>
      <c r="L311" s="194"/>
      <c r="M311" s="188">
        <v>8714.16</v>
      </c>
      <c r="N311" s="188">
        <f>M311-(M311*0.03)</f>
        <v>8452.7351999999992</v>
      </c>
      <c r="O311" s="189">
        <v>7.0000000000000007E-2</v>
      </c>
      <c r="P311" s="170">
        <f>(N311*O311)+N311</f>
        <v>9044.4266639999987</v>
      </c>
    </row>
    <row r="312" spans="1:16">
      <c r="A312" s="157"/>
      <c r="B312" s="139"/>
      <c r="C312" s="63"/>
      <c r="D312" s="199"/>
      <c r="E312" s="90"/>
      <c r="F312" s="61"/>
      <c r="G312" s="206"/>
      <c r="H312" s="74"/>
      <c r="I312" s="183"/>
      <c r="J312" s="175"/>
      <c r="K312" s="197"/>
      <c r="L312" s="194"/>
      <c r="M312" s="188">
        <v>0</v>
      </c>
      <c r="N312" s="188">
        <f>M312-(M312*0.03)</f>
        <v>0</v>
      </c>
      <c r="O312" s="189">
        <v>7.0000000000000007E-2</v>
      </c>
      <c r="P312" s="170">
        <f t="shared" ref="P312:P318" si="29">(N312*O312)+N312</f>
        <v>0</v>
      </c>
    </row>
    <row r="313" spans="1:16" ht="35.25" customHeight="1">
      <c r="A313" s="157"/>
      <c r="B313" s="139"/>
      <c r="C313" s="63"/>
      <c r="D313" s="199"/>
      <c r="E313" s="90"/>
      <c r="F313" s="61"/>
      <c r="G313" s="206"/>
      <c r="H313" s="74"/>
      <c r="I313" s="183"/>
      <c r="J313" s="175"/>
      <c r="K313" s="197"/>
      <c r="L313" s="194"/>
      <c r="M313" s="188">
        <v>18537.7</v>
      </c>
      <c r="N313" s="188">
        <f>M313-(M313*0.03)</f>
        <v>17981.569</v>
      </c>
      <c r="O313" s="189">
        <v>7.0000000000000007E-2</v>
      </c>
      <c r="P313" s="170">
        <f t="shared" si="29"/>
        <v>19240.278829999999</v>
      </c>
    </row>
    <row r="314" spans="1:16">
      <c r="A314" s="158"/>
      <c r="B314" s="139"/>
      <c r="C314" s="63"/>
      <c r="D314" s="199"/>
      <c r="E314" s="91"/>
      <c r="F314" s="61"/>
      <c r="G314" s="206"/>
      <c r="H314" s="74"/>
      <c r="I314" s="183"/>
      <c r="J314" s="175"/>
      <c r="K314" s="197"/>
      <c r="L314" s="194"/>
      <c r="M314" s="188">
        <v>9031.68</v>
      </c>
      <c r="N314" s="188">
        <f t="shared" ref="N314:N326" si="30">M314-(M314*0.03)</f>
        <v>8760.7296000000006</v>
      </c>
      <c r="O314" s="189">
        <v>7.0000000000000007E-2</v>
      </c>
      <c r="P314" s="170">
        <f t="shared" si="29"/>
        <v>9373.9806720000015</v>
      </c>
    </row>
    <row r="315" spans="1:16">
      <c r="A315" s="200"/>
      <c r="B315" s="139"/>
      <c r="C315" s="63"/>
      <c r="D315" s="199"/>
      <c r="E315" s="153"/>
      <c r="F315" s="61"/>
      <c r="G315" s="206"/>
      <c r="H315" s="88"/>
      <c r="I315" s="184"/>
      <c r="J315" s="201"/>
      <c r="K315" s="202"/>
      <c r="L315" s="194"/>
      <c r="N315" s="188">
        <f t="shared" si="30"/>
        <v>0</v>
      </c>
      <c r="O315" s="189">
        <v>7.0000000000000007E-2</v>
      </c>
      <c r="P315" s="170">
        <f t="shared" si="29"/>
        <v>0</v>
      </c>
    </row>
    <row r="316" spans="1:16">
      <c r="A316" s="157"/>
      <c r="B316" s="139"/>
      <c r="C316" s="63"/>
      <c r="D316" s="199"/>
      <c r="E316" s="198"/>
      <c r="F316" s="61"/>
      <c r="G316" s="206"/>
      <c r="H316" s="74"/>
      <c r="I316" s="183"/>
      <c r="J316" s="175"/>
      <c r="K316" s="197"/>
      <c r="L316" s="194"/>
      <c r="M316" s="188">
        <v>8478.9599999999991</v>
      </c>
      <c r="N316" s="188">
        <f t="shared" si="30"/>
        <v>8224.5911999999989</v>
      </c>
      <c r="O316" s="189">
        <v>7.0000000000000007E-2</v>
      </c>
      <c r="P316" s="170">
        <f t="shared" si="29"/>
        <v>8800.3125839999993</v>
      </c>
    </row>
    <row r="317" spans="1:16">
      <c r="A317" s="157"/>
      <c r="B317" s="139"/>
      <c r="C317" s="63"/>
      <c r="D317" s="199"/>
      <c r="E317" s="142"/>
      <c r="F317" s="61"/>
      <c r="G317" s="206"/>
      <c r="H317" s="74"/>
      <c r="I317" s="183"/>
      <c r="J317" s="175"/>
      <c r="K317" s="197"/>
      <c r="L317" s="194"/>
      <c r="M317" s="188">
        <v>11122.62</v>
      </c>
      <c r="N317" s="188">
        <f t="shared" si="30"/>
        <v>10788.941400000002</v>
      </c>
      <c r="O317" s="189">
        <v>7.0000000000000007E-2</v>
      </c>
      <c r="P317" s="170">
        <f t="shared" si="29"/>
        <v>11544.167298000002</v>
      </c>
    </row>
    <row r="318" spans="1:16">
      <c r="A318" s="157"/>
      <c r="B318" s="139"/>
      <c r="C318" s="63"/>
      <c r="D318" s="196"/>
      <c r="E318" s="120"/>
      <c r="F318" s="121"/>
      <c r="G318" s="206"/>
      <c r="H318" s="115"/>
      <c r="I318" s="185"/>
      <c r="J318" s="175"/>
      <c r="K318" s="197"/>
      <c r="L318" s="194"/>
      <c r="M318" s="188">
        <v>3813.12</v>
      </c>
      <c r="N318" s="188">
        <f t="shared" si="30"/>
        <v>3698.7264</v>
      </c>
      <c r="O318" s="189">
        <v>7.0000000000000007E-2</v>
      </c>
      <c r="P318" s="170">
        <f t="shared" si="29"/>
        <v>3957.637248</v>
      </c>
    </row>
    <row r="319" spans="1:16">
      <c r="A319" s="157"/>
      <c r="B319" s="139"/>
      <c r="C319" s="63"/>
      <c r="D319" s="196"/>
      <c r="E319" s="249"/>
      <c r="F319" s="121"/>
      <c r="G319" s="206"/>
      <c r="H319" s="115"/>
      <c r="I319" s="185"/>
      <c r="J319" s="175"/>
      <c r="K319" s="197"/>
      <c r="L319" s="194"/>
    </row>
    <row r="320" spans="1:16">
      <c r="A320" s="157"/>
      <c r="B320" s="139"/>
      <c r="C320" s="63"/>
      <c r="D320" s="196"/>
      <c r="E320" s="249"/>
      <c r="F320" s="121"/>
      <c r="G320" s="206"/>
      <c r="H320" s="115"/>
      <c r="I320" s="185"/>
      <c r="J320" s="175"/>
      <c r="K320" s="197"/>
      <c r="L320" s="194"/>
    </row>
    <row r="321" spans="1:16">
      <c r="A321" s="157"/>
      <c r="B321" s="139"/>
      <c r="C321" s="63"/>
      <c r="D321" s="196"/>
      <c r="E321" s="249"/>
      <c r="F321" s="121"/>
      <c r="G321" s="206"/>
      <c r="H321" s="115"/>
      <c r="I321" s="185"/>
      <c r="J321" s="175"/>
      <c r="K321" s="197"/>
      <c r="L321" s="194"/>
    </row>
    <row r="322" spans="1:16">
      <c r="A322" s="157"/>
      <c r="B322" s="139"/>
      <c r="C322" s="63"/>
      <c r="D322" s="196"/>
      <c r="E322" s="249"/>
      <c r="F322" s="121"/>
      <c r="G322" s="206"/>
      <c r="H322" s="115"/>
      <c r="I322" s="185"/>
      <c r="J322" s="175"/>
      <c r="K322" s="197"/>
      <c r="L322" s="194"/>
    </row>
    <row r="323" spans="1:16">
      <c r="A323" s="157"/>
      <c r="B323" s="139"/>
      <c r="C323" s="63"/>
      <c r="D323" s="196"/>
      <c r="E323" s="249"/>
      <c r="F323" s="121"/>
      <c r="G323" s="206"/>
      <c r="H323" s="115"/>
      <c r="I323" s="185"/>
      <c r="J323" s="175"/>
      <c r="K323" s="197"/>
      <c r="L323" s="194"/>
    </row>
    <row r="324" spans="1:16">
      <c r="A324" s="157"/>
      <c r="B324" s="139"/>
      <c r="C324" s="63"/>
      <c r="D324" s="196"/>
      <c r="E324" s="142"/>
      <c r="F324" s="61"/>
      <c r="G324" s="206"/>
      <c r="H324" s="74"/>
      <c r="I324" s="183"/>
      <c r="J324" s="175"/>
      <c r="K324" s="197"/>
      <c r="L324" s="194"/>
    </row>
    <row r="325" spans="1:16">
      <c r="A325" s="157"/>
      <c r="B325" s="139"/>
      <c r="C325" s="63"/>
      <c r="D325" s="196"/>
      <c r="E325" s="142"/>
      <c r="F325" s="61"/>
      <c r="G325" s="206"/>
      <c r="H325" s="74"/>
      <c r="I325" s="183"/>
      <c r="J325" s="175"/>
      <c r="K325" s="197"/>
      <c r="L325" s="194"/>
    </row>
    <row r="326" spans="1:16">
      <c r="A326" s="157"/>
      <c r="B326" s="460"/>
      <c r="C326" s="63"/>
      <c r="D326" s="196"/>
      <c r="E326" s="142"/>
      <c r="F326" s="61"/>
      <c r="G326" s="206"/>
      <c r="H326" s="74"/>
      <c r="I326" s="183"/>
      <c r="J326" s="175"/>
      <c r="K326" s="197"/>
      <c r="L326" s="194"/>
      <c r="M326" s="188">
        <v>8640</v>
      </c>
      <c r="N326" s="188">
        <f t="shared" si="30"/>
        <v>8380.7999999999993</v>
      </c>
      <c r="O326" s="189">
        <v>7.0000000000000007E-2</v>
      </c>
      <c r="P326" s="170">
        <f>(N326*O326)+N326</f>
        <v>8967.4559999999983</v>
      </c>
    </row>
    <row r="327" spans="1:16">
      <c r="A327" s="160"/>
      <c r="B327" s="139"/>
      <c r="C327" s="63"/>
      <c r="D327" s="196"/>
      <c r="E327" s="120"/>
      <c r="F327" s="121"/>
      <c r="G327" s="206"/>
      <c r="H327" s="115"/>
      <c r="I327" s="185"/>
      <c r="J327" s="174"/>
      <c r="K327" s="195"/>
      <c r="L327" s="194"/>
    </row>
    <row r="328" spans="1:16">
      <c r="A328" s="204"/>
      <c r="B328" s="109"/>
      <c r="C328" s="3444"/>
      <c r="D328" s="3444"/>
      <c r="E328" s="3444"/>
      <c r="F328" s="3444"/>
      <c r="G328" s="213"/>
      <c r="H328" s="109"/>
      <c r="I328" s="3444"/>
      <c r="J328" s="234"/>
      <c r="K328" s="3444"/>
      <c r="L328" s="235"/>
      <c r="M328" s="3444"/>
    </row>
    <row r="329" spans="1:16">
      <c r="A329" s="44" t="s">
        <v>0</v>
      </c>
      <c r="C329" s="104"/>
      <c r="F329" s="68"/>
      <c r="I329" s="179"/>
      <c r="K329" s="163"/>
      <c r="L329" s="168"/>
    </row>
    <row r="330" spans="1:16">
      <c r="A330" s="3480" t="s">
        <v>2512</v>
      </c>
      <c r="B330" s="3480"/>
      <c r="C330" s="44"/>
      <c r="D330" s="109"/>
      <c r="F330" s="68"/>
      <c r="I330" s="179"/>
      <c r="K330" s="163"/>
      <c r="L330" s="168"/>
    </row>
    <row r="331" spans="1:16" ht="35.25" thickBot="1">
      <c r="F331" s="68"/>
    </row>
    <row r="332" spans="1:16">
      <c r="A332" s="3493" t="s">
        <v>2</v>
      </c>
      <c r="B332" s="3482"/>
      <c r="C332" s="48" t="s">
        <v>3</v>
      </c>
      <c r="D332" s="128" t="s">
        <v>4</v>
      </c>
      <c r="E332" s="77" t="s">
        <v>5</v>
      </c>
      <c r="F332" s="78" t="s">
        <v>5</v>
      </c>
      <c r="G332" s="211" t="s">
        <v>6</v>
      </c>
      <c r="H332" s="140" t="s">
        <v>7</v>
      </c>
      <c r="I332" s="180" t="s">
        <v>1511</v>
      </c>
      <c r="J332" s="172" t="s">
        <v>9</v>
      </c>
      <c r="K332" s="186" t="s">
        <v>9</v>
      </c>
      <c r="L332" s="192" t="s">
        <v>2495</v>
      </c>
      <c r="M332" s="190"/>
    </row>
    <row r="333" spans="1:16" ht="35.25" thickBot="1">
      <c r="A333" s="155"/>
      <c r="B333" s="494"/>
      <c r="C333" s="50"/>
      <c r="D333" s="129" t="s">
        <v>10</v>
      </c>
      <c r="E333" s="79" t="s">
        <v>11</v>
      </c>
      <c r="F333" s="80" t="s">
        <v>12</v>
      </c>
      <c r="G333" s="212"/>
      <c r="H333" s="141" t="s">
        <v>13</v>
      </c>
      <c r="I333" s="181" t="s">
        <v>1512</v>
      </c>
      <c r="J333" s="173" t="s">
        <v>15</v>
      </c>
      <c r="K333" s="187" t="s">
        <v>14</v>
      </c>
      <c r="L333" s="193" t="s">
        <v>2496</v>
      </c>
      <c r="M333" s="190"/>
    </row>
    <row r="334" spans="1:16">
      <c r="A334" s="156"/>
      <c r="B334" s="139"/>
      <c r="C334" s="63"/>
      <c r="D334" s="199"/>
      <c r="E334" s="143"/>
      <c r="F334" s="69"/>
      <c r="G334" s="206"/>
      <c r="H334" s="74"/>
      <c r="I334" s="183"/>
      <c r="J334" s="175"/>
      <c r="K334" s="172"/>
      <c r="L334" s="194"/>
      <c r="M334" s="188">
        <v>3552</v>
      </c>
      <c r="N334" s="188">
        <f t="shared" ref="N334:N350" si="31">M334-(M334*0.03)</f>
        <v>3445.44</v>
      </c>
      <c r="O334" s="189">
        <v>7.0000000000000007E-2</v>
      </c>
      <c r="P334" s="170">
        <f t="shared" ref="P334:P350" si="32">(N334*O334)+N334</f>
        <v>3686.6208000000001</v>
      </c>
    </row>
    <row r="335" spans="1:16">
      <c r="A335" s="157"/>
      <c r="B335" s="139"/>
      <c r="C335" s="63"/>
      <c r="D335" s="199"/>
      <c r="E335" s="145"/>
      <c r="F335" s="61"/>
      <c r="G335" s="206"/>
      <c r="H335" s="74"/>
      <c r="I335" s="183"/>
      <c r="J335" s="175"/>
      <c r="K335" s="176"/>
      <c r="L335" s="194"/>
      <c r="N335" s="188">
        <f t="shared" si="31"/>
        <v>0</v>
      </c>
      <c r="O335" s="189">
        <v>7.0000000000000007E-2</v>
      </c>
      <c r="P335" s="170">
        <f t="shared" si="32"/>
        <v>0</v>
      </c>
    </row>
    <row r="336" spans="1:16">
      <c r="A336" s="157"/>
      <c r="B336" s="463"/>
      <c r="C336" s="63"/>
      <c r="D336" s="199"/>
      <c r="E336" s="145"/>
      <c r="F336" s="61"/>
      <c r="G336" s="206"/>
      <c r="H336" s="74"/>
      <c r="I336" s="183"/>
      <c r="J336" s="175"/>
      <c r="K336" s="245"/>
      <c r="L336" s="194"/>
      <c r="M336" s="188">
        <v>9498.06</v>
      </c>
      <c r="N336" s="188">
        <f t="shared" si="31"/>
        <v>9213.118199999999</v>
      </c>
      <c r="O336" s="189">
        <v>7.0000000000000007E-2</v>
      </c>
      <c r="P336" s="170">
        <f t="shared" si="32"/>
        <v>9858.0364739999986</v>
      </c>
    </row>
    <row r="337" spans="1:16">
      <c r="A337" s="157"/>
      <c r="B337" s="463"/>
      <c r="C337" s="63"/>
      <c r="D337" s="199"/>
      <c r="E337" s="145"/>
      <c r="F337" s="61"/>
      <c r="G337" s="206"/>
      <c r="H337" s="74"/>
      <c r="I337" s="183"/>
      <c r="J337" s="175"/>
      <c r="K337" s="197"/>
      <c r="L337" s="194"/>
      <c r="M337" s="188">
        <v>15305.4</v>
      </c>
      <c r="N337" s="188">
        <f t="shared" si="31"/>
        <v>14846.237999999999</v>
      </c>
      <c r="O337" s="189">
        <v>7.0000000000000007E-2</v>
      </c>
      <c r="P337" s="170">
        <f t="shared" si="32"/>
        <v>15885.47466</v>
      </c>
    </row>
    <row r="338" spans="1:16">
      <c r="A338" s="157"/>
      <c r="B338" s="139"/>
      <c r="C338" s="63"/>
      <c r="D338" s="199"/>
      <c r="E338" s="145"/>
      <c r="F338" s="61"/>
      <c r="G338" s="206"/>
      <c r="H338" s="74"/>
      <c r="I338" s="183"/>
      <c r="J338" s="175"/>
      <c r="K338" s="197"/>
      <c r="L338" s="194"/>
      <c r="N338" s="188">
        <f t="shared" si="31"/>
        <v>0</v>
      </c>
      <c r="O338" s="189">
        <v>7.0000000000000007E-2</v>
      </c>
      <c r="P338" s="170">
        <f t="shared" si="32"/>
        <v>0</v>
      </c>
    </row>
    <row r="339" spans="1:16">
      <c r="A339" s="157"/>
      <c r="B339" s="139"/>
      <c r="C339" s="63"/>
      <c r="D339" s="199"/>
      <c r="E339" s="145"/>
      <c r="F339" s="61"/>
      <c r="G339" s="206"/>
      <c r="H339" s="74"/>
      <c r="I339" s="183"/>
      <c r="J339" s="175"/>
      <c r="K339" s="197"/>
      <c r="L339" s="194"/>
      <c r="N339" s="188">
        <f t="shared" si="31"/>
        <v>0</v>
      </c>
      <c r="O339" s="189">
        <v>7.0000000000000007E-2</v>
      </c>
      <c r="P339" s="170">
        <f t="shared" si="32"/>
        <v>0</v>
      </c>
    </row>
    <row r="340" spans="1:16">
      <c r="A340" s="157"/>
      <c r="B340" s="139"/>
      <c r="C340" s="63"/>
      <c r="D340" s="199"/>
      <c r="E340" s="145"/>
      <c r="F340" s="61"/>
      <c r="G340" s="206"/>
      <c r="H340" s="74"/>
      <c r="I340" s="183"/>
      <c r="J340" s="175"/>
      <c r="K340" s="197"/>
      <c r="L340" s="194"/>
      <c r="N340" s="188">
        <f t="shared" si="31"/>
        <v>0</v>
      </c>
      <c r="O340" s="189">
        <v>7.0000000000000007E-2</v>
      </c>
      <c r="P340" s="170">
        <f t="shared" si="32"/>
        <v>0</v>
      </c>
    </row>
    <row r="341" spans="1:16">
      <c r="A341" s="157"/>
      <c r="B341" s="463"/>
      <c r="C341" s="222"/>
      <c r="D341" s="3464"/>
      <c r="E341" s="145"/>
      <c r="F341" s="61"/>
      <c r="G341" s="223"/>
      <c r="H341" s="224"/>
      <c r="I341" s="225"/>
      <c r="J341" s="209"/>
      <c r="K341" s="244"/>
      <c r="M341" s="188">
        <v>14244.12</v>
      </c>
      <c r="N341" s="188">
        <f t="shared" si="31"/>
        <v>13816.796400000001</v>
      </c>
      <c r="O341" s="189">
        <v>7.0000000000000007E-2</v>
      </c>
      <c r="P341" s="170">
        <f t="shared" si="32"/>
        <v>14783.972148000001</v>
      </c>
    </row>
    <row r="342" spans="1:16">
      <c r="A342" s="157"/>
      <c r="B342" s="433"/>
      <c r="C342" s="63"/>
      <c r="D342" s="199"/>
      <c r="E342" s="145"/>
      <c r="F342" s="61"/>
      <c r="G342" s="206"/>
      <c r="H342" s="74"/>
      <c r="I342" s="183"/>
      <c r="J342" s="175"/>
      <c r="K342" s="197"/>
      <c r="L342" s="194"/>
      <c r="M342" s="188">
        <v>3240</v>
      </c>
      <c r="N342" s="188">
        <f t="shared" si="31"/>
        <v>3142.8</v>
      </c>
      <c r="O342" s="189">
        <v>7.0000000000000007E-2</v>
      </c>
      <c r="P342" s="170">
        <f t="shared" si="32"/>
        <v>3362.7960000000003</v>
      </c>
    </row>
    <row r="343" spans="1:16">
      <c r="A343" s="157"/>
      <c r="B343" s="433"/>
      <c r="C343" s="63"/>
      <c r="D343" s="199"/>
      <c r="E343" s="145"/>
      <c r="F343" s="61"/>
      <c r="G343" s="206"/>
      <c r="H343" s="74"/>
      <c r="I343" s="183"/>
      <c r="J343" s="175"/>
      <c r="K343" s="197"/>
      <c r="L343" s="194"/>
      <c r="M343" s="188">
        <v>14700</v>
      </c>
      <c r="N343" s="188">
        <f t="shared" si="31"/>
        <v>14259</v>
      </c>
      <c r="O343" s="189">
        <v>7.0000000000000007E-2</v>
      </c>
      <c r="P343" s="170">
        <f t="shared" si="32"/>
        <v>15257.130000000001</v>
      </c>
    </row>
    <row r="344" spans="1:16">
      <c r="A344" s="157"/>
      <c r="B344" s="433"/>
      <c r="C344" s="222"/>
      <c r="D344" s="3464"/>
      <c r="E344" s="237"/>
      <c r="F344" s="238"/>
      <c r="G344" s="223"/>
      <c r="H344" s="224"/>
      <c r="I344" s="225"/>
      <c r="J344" s="209"/>
      <c r="K344" s="226"/>
      <c r="L344" s="229"/>
      <c r="M344" s="188">
        <v>14582.7</v>
      </c>
      <c r="N344" s="188">
        <f t="shared" si="31"/>
        <v>14145.219000000001</v>
      </c>
      <c r="O344" s="189">
        <v>7.0000000000000007E-2</v>
      </c>
      <c r="P344" s="170">
        <f t="shared" si="32"/>
        <v>15135.384330000001</v>
      </c>
    </row>
    <row r="345" spans="1:16">
      <c r="A345" s="157"/>
      <c r="B345" s="433"/>
      <c r="C345" s="63"/>
      <c r="D345" s="199"/>
      <c r="E345" s="145"/>
      <c r="F345" s="61"/>
      <c r="G345" s="206"/>
      <c r="H345" s="74"/>
      <c r="I345" s="183"/>
      <c r="J345" s="175"/>
      <c r="K345" s="197"/>
      <c r="L345" s="229"/>
      <c r="M345" s="188">
        <v>13483.8</v>
      </c>
      <c r="N345" s="188">
        <f t="shared" si="31"/>
        <v>13079.286</v>
      </c>
      <c r="O345" s="189">
        <v>7.0000000000000007E-2</v>
      </c>
      <c r="P345" s="170">
        <f t="shared" si="32"/>
        <v>13994.836020000001</v>
      </c>
    </row>
    <row r="346" spans="1:16">
      <c r="A346" s="157"/>
      <c r="B346" s="139"/>
      <c r="C346" s="222"/>
      <c r="D346" s="3464"/>
      <c r="E346" s="145"/>
      <c r="F346" s="61"/>
      <c r="G346" s="223"/>
      <c r="H346" s="224"/>
      <c r="I346" s="225"/>
      <c r="J346" s="209"/>
      <c r="K346" s="226"/>
      <c r="L346" s="229"/>
      <c r="M346" s="188">
        <v>2669.52</v>
      </c>
      <c r="N346" s="188">
        <f t="shared" si="31"/>
        <v>2589.4344000000001</v>
      </c>
      <c r="O346" s="189">
        <v>7.0000000000000007E-2</v>
      </c>
      <c r="P346" s="170">
        <f t="shared" si="32"/>
        <v>2770.6948080000002</v>
      </c>
    </row>
    <row r="347" spans="1:16">
      <c r="A347" s="157"/>
      <c r="B347" s="139"/>
      <c r="C347" s="222"/>
      <c r="D347" s="3464"/>
      <c r="E347" s="145"/>
      <c r="F347" s="61"/>
      <c r="G347" s="223"/>
      <c r="H347" s="224"/>
      <c r="I347" s="225"/>
      <c r="J347" s="209"/>
      <c r="K347" s="226"/>
      <c r="L347" s="229"/>
      <c r="N347" s="188">
        <f t="shared" si="31"/>
        <v>0</v>
      </c>
      <c r="O347" s="189">
        <v>7.0000000000000007E-2</v>
      </c>
      <c r="P347" s="170">
        <f t="shared" si="32"/>
        <v>0</v>
      </c>
    </row>
    <row r="348" spans="1:16">
      <c r="A348" s="221"/>
      <c r="B348" s="457"/>
      <c r="C348" s="222"/>
      <c r="D348" s="3464"/>
      <c r="E348" s="145"/>
      <c r="F348" s="61"/>
      <c r="G348" s="223"/>
      <c r="H348" s="224"/>
      <c r="I348" s="225"/>
      <c r="J348" s="209"/>
      <c r="K348" s="226"/>
      <c r="L348" s="229"/>
      <c r="M348" s="188">
        <v>12972.96</v>
      </c>
      <c r="N348" s="188">
        <f t="shared" si="31"/>
        <v>12583.771199999999</v>
      </c>
      <c r="O348" s="189">
        <v>7.0000000000000007E-2</v>
      </c>
      <c r="P348" s="170">
        <f t="shared" si="32"/>
        <v>13464.635183999999</v>
      </c>
    </row>
    <row r="349" spans="1:16">
      <c r="A349" s="157"/>
      <c r="B349" s="139"/>
      <c r="C349" s="63"/>
      <c r="D349" s="199"/>
      <c r="E349" s="145"/>
      <c r="F349" s="61"/>
      <c r="G349" s="206"/>
      <c r="H349" s="74"/>
      <c r="I349" s="183"/>
      <c r="J349" s="209"/>
      <c r="K349" s="197"/>
      <c r="L349" s="229"/>
      <c r="M349" s="188">
        <v>12687.84</v>
      </c>
      <c r="N349" s="188">
        <f t="shared" si="31"/>
        <v>12307.2048</v>
      </c>
      <c r="O349" s="189">
        <v>7.0000000000000007E-2</v>
      </c>
      <c r="P349" s="170">
        <f t="shared" si="32"/>
        <v>13168.709135999999</v>
      </c>
    </row>
    <row r="350" spans="1:16" ht="35.25" customHeight="1">
      <c r="A350" s="157"/>
      <c r="B350" s="139"/>
      <c r="C350" s="63"/>
      <c r="D350" s="199"/>
      <c r="E350" s="145"/>
      <c r="F350" s="61"/>
      <c r="G350" s="206"/>
      <c r="H350" s="74"/>
      <c r="I350" s="183"/>
      <c r="J350" s="175"/>
      <c r="K350" s="197"/>
      <c r="L350" s="194"/>
      <c r="M350" s="188">
        <v>16572.599999999999</v>
      </c>
      <c r="N350" s="188">
        <f t="shared" si="31"/>
        <v>16075.421999999999</v>
      </c>
      <c r="O350" s="189">
        <v>7.0000000000000007E-2</v>
      </c>
      <c r="P350" s="170">
        <f t="shared" si="32"/>
        <v>17200.701539999998</v>
      </c>
    </row>
    <row r="351" spans="1:16">
      <c r="A351" s="157"/>
      <c r="B351" s="139"/>
      <c r="C351" s="63"/>
      <c r="D351" s="199"/>
      <c r="E351" s="90"/>
      <c r="F351" s="61"/>
      <c r="G351" s="206"/>
      <c r="H351" s="74"/>
      <c r="I351" s="203"/>
      <c r="J351" s="175"/>
      <c r="K351" s="197"/>
      <c r="L351" s="194"/>
      <c r="M351" s="188">
        <v>6021.12</v>
      </c>
      <c r="N351" s="188">
        <f>M351-(M351*0.03)</f>
        <v>5840.4863999999998</v>
      </c>
      <c r="O351" s="189">
        <v>7.0000000000000007E-2</v>
      </c>
      <c r="P351" s="170">
        <f>(N351*O351)+N351</f>
        <v>6249.3204479999995</v>
      </c>
    </row>
    <row r="352" spans="1:16">
      <c r="A352" s="157"/>
      <c r="B352" s="139"/>
      <c r="C352" s="63"/>
      <c r="D352" s="199"/>
      <c r="E352" s="90"/>
      <c r="F352" s="61"/>
      <c r="G352" s="206"/>
      <c r="H352" s="74"/>
      <c r="I352" s="183"/>
      <c r="J352" s="175"/>
      <c r="K352" s="197"/>
      <c r="L352" s="194"/>
      <c r="M352" s="188">
        <v>8714.16</v>
      </c>
      <c r="N352" s="188">
        <f>M352-(M352*0.03)</f>
        <v>8452.7351999999992</v>
      </c>
      <c r="O352" s="189">
        <v>7.0000000000000007E-2</v>
      </c>
      <c r="P352" s="170">
        <f>(N352*O352)+N352</f>
        <v>9044.4266639999987</v>
      </c>
    </row>
    <row r="353" spans="1:16">
      <c r="A353" s="157"/>
      <c r="B353" s="139"/>
      <c r="C353" s="63"/>
      <c r="D353" s="199"/>
      <c r="E353" s="90"/>
      <c r="F353" s="61"/>
      <c r="G353" s="206"/>
      <c r="H353" s="74"/>
      <c r="I353" s="183"/>
      <c r="J353" s="175"/>
      <c r="K353" s="197"/>
      <c r="L353" s="194"/>
      <c r="M353" s="188">
        <v>0</v>
      </c>
      <c r="N353" s="188">
        <f>M353-(M353*0.03)</f>
        <v>0</v>
      </c>
      <c r="O353" s="189">
        <v>7.0000000000000007E-2</v>
      </c>
      <c r="P353" s="170">
        <f t="shared" ref="P353:P359" si="33">(N353*O353)+N353</f>
        <v>0</v>
      </c>
    </row>
    <row r="354" spans="1:16">
      <c r="A354" s="157"/>
      <c r="B354" s="139"/>
      <c r="C354" s="63"/>
      <c r="D354" s="199"/>
      <c r="E354" s="90"/>
      <c r="F354" s="61"/>
      <c r="G354" s="206"/>
      <c r="H354" s="74"/>
      <c r="I354" s="183"/>
      <c r="J354" s="175"/>
      <c r="K354" s="197"/>
      <c r="L354" s="194"/>
      <c r="M354" s="188">
        <v>18537.7</v>
      </c>
      <c r="N354" s="188">
        <f>M354-(M354*0.03)</f>
        <v>17981.569</v>
      </c>
      <c r="O354" s="189">
        <v>7.0000000000000007E-2</v>
      </c>
      <c r="P354" s="170">
        <f t="shared" si="33"/>
        <v>19240.278829999999</v>
      </c>
    </row>
    <row r="355" spans="1:16">
      <c r="A355" s="158"/>
      <c r="B355" s="139"/>
      <c r="C355" s="63"/>
      <c r="D355" s="199"/>
      <c r="E355" s="91"/>
      <c r="F355" s="61"/>
      <c r="G355" s="206"/>
      <c r="H355" s="74"/>
      <c r="I355" s="183"/>
      <c r="J355" s="175"/>
      <c r="K355" s="197"/>
      <c r="L355" s="194"/>
      <c r="M355" s="188">
        <v>9031.68</v>
      </c>
      <c r="N355" s="188">
        <f t="shared" ref="N355:N365" si="34">M355-(M355*0.03)</f>
        <v>8760.7296000000006</v>
      </c>
      <c r="O355" s="189">
        <v>7.0000000000000007E-2</v>
      </c>
      <c r="P355" s="170">
        <f t="shared" si="33"/>
        <v>9373.9806720000015</v>
      </c>
    </row>
    <row r="356" spans="1:16">
      <c r="A356" s="200"/>
      <c r="B356" s="139"/>
      <c r="C356" s="63"/>
      <c r="D356" s="199"/>
      <c r="E356" s="153"/>
      <c r="F356" s="61"/>
      <c r="G356" s="206"/>
      <c r="H356" s="88"/>
      <c r="I356" s="184"/>
      <c r="J356" s="201"/>
      <c r="K356" s="202"/>
      <c r="L356" s="194"/>
      <c r="N356" s="188">
        <f t="shared" si="34"/>
        <v>0</v>
      </c>
      <c r="O356" s="189">
        <v>7.0000000000000007E-2</v>
      </c>
      <c r="P356" s="170">
        <f t="shared" si="33"/>
        <v>0</v>
      </c>
    </row>
    <row r="357" spans="1:16">
      <c r="A357" s="157"/>
      <c r="B357" s="139"/>
      <c r="C357" s="63"/>
      <c r="D357" s="199"/>
      <c r="E357" s="198"/>
      <c r="F357" s="61"/>
      <c r="G357" s="206"/>
      <c r="H357" s="74"/>
      <c r="I357" s="183"/>
      <c r="J357" s="175"/>
      <c r="K357" s="197"/>
      <c r="L357" s="194"/>
      <c r="M357" s="188">
        <v>8478.9599999999991</v>
      </c>
      <c r="N357" s="188">
        <f t="shared" si="34"/>
        <v>8224.5911999999989</v>
      </c>
      <c r="O357" s="189">
        <v>7.0000000000000007E-2</v>
      </c>
      <c r="P357" s="170">
        <f t="shared" si="33"/>
        <v>8800.3125839999993</v>
      </c>
    </row>
    <row r="358" spans="1:16">
      <c r="A358" s="157"/>
      <c r="B358" s="139"/>
      <c r="C358" s="63"/>
      <c r="D358" s="199"/>
      <c r="E358" s="142"/>
      <c r="F358" s="61"/>
      <c r="G358" s="206"/>
      <c r="H358" s="74"/>
      <c r="I358" s="183"/>
      <c r="J358" s="175"/>
      <c r="K358" s="197"/>
      <c r="L358" s="194"/>
      <c r="M358" s="188">
        <v>11122.62</v>
      </c>
      <c r="N358" s="188">
        <f t="shared" si="34"/>
        <v>10788.941400000002</v>
      </c>
      <c r="O358" s="189">
        <v>7.0000000000000007E-2</v>
      </c>
      <c r="P358" s="170">
        <f t="shared" si="33"/>
        <v>11544.167298000002</v>
      </c>
    </row>
    <row r="359" spans="1:16">
      <c r="A359" s="157"/>
      <c r="B359" s="139"/>
      <c r="C359" s="63"/>
      <c r="D359" s="196"/>
      <c r="E359" s="120"/>
      <c r="F359" s="121"/>
      <c r="G359" s="206"/>
      <c r="H359" s="115"/>
      <c r="I359" s="185"/>
      <c r="J359" s="175"/>
      <c r="K359" s="197"/>
      <c r="L359" s="194"/>
      <c r="M359" s="188">
        <v>3813.12</v>
      </c>
      <c r="N359" s="188">
        <f t="shared" si="34"/>
        <v>3698.7264</v>
      </c>
      <c r="O359" s="189">
        <v>7.0000000000000007E-2</v>
      </c>
      <c r="P359" s="170">
        <f t="shared" si="33"/>
        <v>3957.637248</v>
      </c>
    </row>
    <row r="360" spans="1:16">
      <c r="A360" s="157"/>
      <c r="B360" s="139"/>
      <c r="C360" s="63"/>
      <c r="D360" s="196"/>
      <c r="E360" s="249"/>
      <c r="F360" s="121"/>
      <c r="G360" s="206"/>
      <c r="H360" s="115"/>
      <c r="I360" s="185"/>
      <c r="J360" s="175"/>
      <c r="K360" s="197"/>
      <c r="L360" s="194"/>
    </row>
    <row r="361" spans="1:16">
      <c r="A361" s="157"/>
      <c r="B361" s="139"/>
      <c r="C361" s="63"/>
      <c r="D361" s="196"/>
      <c r="E361" s="249"/>
      <c r="F361" s="121"/>
      <c r="G361" s="206"/>
      <c r="H361" s="115"/>
      <c r="I361" s="185"/>
      <c r="J361" s="175"/>
      <c r="K361" s="197"/>
      <c r="L361" s="194"/>
    </row>
    <row r="362" spans="1:16">
      <c r="A362" s="157"/>
      <c r="B362" s="139"/>
      <c r="C362" s="63"/>
      <c r="D362" s="196"/>
      <c r="E362" s="249"/>
      <c r="F362" s="121"/>
      <c r="G362" s="206"/>
      <c r="H362" s="115"/>
      <c r="I362" s="185"/>
      <c r="J362" s="175"/>
      <c r="K362" s="197"/>
      <c r="L362" s="194"/>
    </row>
    <row r="363" spans="1:16">
      <c r="A363" s="157"/>
      <c r="B363" s="139"/>
      <c r="C363" s="63"/>
      <c r="D363" s="196"/>
      <c r="E363" s="142"/>
      <c r="F363" s="61"/>
      <c r="G363" s="206"/>
      <c r="H363" s="74"/>
      <c r="I363" s="183"/>
      <c r="J363" s="175"/>
      <c r="K363" s="197"/>
      <c r="L363" s="194"/>
    </row>
    <row r="364" spans="1:16">
      <c r="A364" s="157"/>
      <c r="B364" s="139"/>
      <c r="C364" s="63"/>
      <c r="D364" s="196"/>
      <c r="E364" s="142"/>
      <c r="F364" s="61"/>
      <c r="G364" s="206"/>
      <c r="H364" s="74"/>
      <c r="I364" s="183"/>
      <c r="J364" s="175"/>
      <c r="K364" s="197"/>
      <c r="L364" s="194"/>
    </row>
    <row r="365" spans="1:16">
      <c r="A365" s="157"/>
      <c r="B365" s="460"/>
      <c r="C365" s="63"/>
      <c r="D365" s="196"/>
      <c r="E365" s="142"/>
      <c r="F365" s="61"/>
      <c r="G365" s="206"/>
      <c r="H365" s="74"/>
      <c r="I365" s="183"/>
      <c r="J365" s="175"/>
      <c r="K365" s="197"/>
      <c r="L365" s="194"/>
      <c r="M365" s="188">
        <v>8640</v>
      </c>
      <c r="N365" s="188">
        <f t="shared" si="34"/>
        <v>8380.7999999999993</v>
      </c>
      <c r="O365" s="189">
        <v>7.0000000000000007E-2</v>
      </c>
      <c r="P365" s="170">
        <f>(N365*O365)+N365</f>
        <v>8967.4559999999983</v>
      </c>
    </row>
    <row r="366" spans="1:16">
      <c r="A366" s="157"/>
      <c r="B366" s="460"/>
      <c r="C366" s="63"/>
      <c r="D366" s="196"/>
      <c r="E366" s="142"/>
      <c r="F366" s="61"/>
      <c r="G366" s="206"/>
      <c r="H366" s="74"/>
      <c r="I366" s="183"/>
      <c r="J366" s="175"/>
      <c r="K366" s="197"/>
      <c r="L366" s="194"/>
    </row>
    <row r="367" spans="1:16">
      <c r="A367" s="157"/>
      <c r="B367" s="460"/>
      <c r="C367" s="63"/>
      <c r="D367" s="196"/>
      <c r="E367" s="142"/>
      <c r="F367" s="61"/>
      <c r="G367" s="206"/>
      <c r="H367" s="74"/>
      <c r="I367" s="183"/>
      <c r="J367" s="175"/>
      <c r="K367" s="197"/>
      <c r="L367" s="194"/>
    </row>
    <row r="368" spans="1:16">
      <c r="A368" s="160"/>
      <c r="B368" s="139"/>
      <c r="C368" s="63"/>
      <c r="D368" s="196"/>
      <c r="E368" s="120"/>
      <c r="F368" s="121"/>
      <c r="G368" s="206"/>
      <c r="H368" s="115"/>
      <c r="I368" s="185"/>
      <c r="J368" s="174"/>
      <c r="K368" s="195"/>
      <c r="L368" s="194"/>
    </row>
    <row r="369" spans="1:16">
      <c r="A369" s="204"/>
      <c r="B369" s="109"/>
      <c r="C369" s="3444"/>
      <c r="D369" s="3444"/>
      <c r="E369" s="3444"/>
      <c r="F369" s="3444"/>
      <c r="G369" s="213"/>
      <c r="H369" s="109"/>
      <c r="I369" s="3444"/>
      <c r="J369" s="234"/>
      <c r="K369" s="3444"/>
      <c r="L369" s="235"/>
      <c r="M369" s="3444"/>
    </row>
    <row r="370" spans="1:16">
      <c r="A370" s="44" t="s">
        <v>0</v>
      </c>
      <c r="C370" s="104"/>
      <c r="F370" s="68"/>
      <c r="I370" s="179"/>
      <c r="K370" s="163"/>
      <c r="L370" s="168"/>
    </row>
    <row r="371" spans="1:16">
      <c r="A371" s="3480" t="s">
        <v>2512</v>
      </c>
      <c r="B371" s="3480"/>
      <c r="C371" s="44"/>
      <c r="D371" s="109"/>
      <c r="F371" s="68"/>
      <c r="I371" s="179"/>
      <c r="K371" s="163"/>
      <c r="L371" s="168"/>
    </row>
    <row r="372" spans="1:16" ht="35.25" thickBot="1">
      <c r="F372" s="68"/>
    </row>
    <row r="373" spans="1:16">
      <c r="A373" s="3493" t="s">
        <v>2</v>
      </c>
      <c r="B373" s="3482"/>
      <c r="C373" s="48" t="s">
        <v>3</v>
      </c>
      <c r="D373" s="128" t="s">
        <v>4</v>
      </c>
      <c r="E373" s="77" t="s">
        <v>5</v>
      </c>
      <c r="F373" s="78" t="s">
        <v>5</v>
      </c>
      <c r="G373" s="211" t="s">
        <v>6</v>
      </c>
      <c r="H373" s="140" t="s">
        <v>7</v>
      </c>
      <c r="I373" s="180" t="s">
        <v>1511</v>
      </c>
      <c r="J373" s="172" t="s">
        <v>9</v>
      </c>
      <c r="K373" s="186" t="s">
        <v>9</v>
      </c>
      <c r="L373" s="192" t="s">
        <v>2495</v>
      </c>
      <c r="M373" s="190"/>
    </row>
    <row r="374" spans="1:16" ht="35.25" thickBot="1">
      <c r="A374" s="155"/>
      <c r="B374" s="494"/>
      <c r="C374" s="50"/>
      <c r="D374" s="129" t="s">
        <v>10</v>
      </c>
      <c r="E374" s="79" t="s">
        <v>11</v>
      </c>
      <c r="F374" s="80" t="s">
        <v>12</v>
      </c>
      <c r="G374" s="212"/>
      <c r="H374" s="141" t="s">
        <v>13</v>
      </c>
      <c r="I374" s="181" t="s">
        <v>1512</v>
      </c>
      <c r="J374" s="173" t="s">
        <v>15</v>
      </c>
      <c r="K374" s="187" t="s">
        <v>14</v>
      </c>
      <c r="L374" s="193" t="s">
        <v>2496</v>
      </c>
      <c r="M374" s="190"/>
    </row>
    <row r="375" spans="1:16">
      <c r="A375" s="156"/>
      <c r="B375" s="139"/>
      <c r="C375" s="63"/>
      <c r="D375" s="199"/>
      <c r="E375" s="143"/>
      <c r="F375" s="69"/>
      <c r="G375" s="206"/>
      <c r="H375" s="74"/>
      <c r="I375" s="183"/>
      <c r="J375" s="175"/>
      <c r="K375" s="172"/>
      <c r="L375" s="194"/>
      <c r="M375" s="188">
        <v>3552</v>
      </c>
      <c r="N375" s="188">
        <f t="shared" ref="N375:N391" si="35">M375-(M375*0.03)</f>
        <v>3445.44</v>
      </c>
      <c r="O375" s="189">
        <v>7.0000000000000007E-2</v>
      </c>
      <c r="P375" s="170">
        <f t="shared" ref="P375:P391" si="36">(N375*O375)+N375</f>
        <v>3686.6208000000001</v>
      </c>
    </row>
    <row r="376" spans="1:16">
      <c r="A376" s="157"/>
      <c r="B376" s="139"/>
      <c r="C376" s="63"/>
      <c r="D376" s="199"/>
      <c r="E376" s="145"/>
      <c r="F376" s="61"/>
      <c r="G376" s="206"/>
      <c r="H376" s="74"/>
      <c r="I376" s="183"/>
      <c r="J376" s="175"/>
      <c r="K376" s="176"/>
      <c r="L376" s="194"/>
      <c r="N376" s="188">
        <f t="shared" si="35"/>
        <v>0</v>
      </c>
      <c r="O376" s="189">
        <v>7.0000000000000007E-2</v>
      </c>
      <c r="P376" s="170">
        <f t="shared" si="36"/>
        <v>0</v>
      </c>
    </row>
    <row r="377" spans="1:16">
      <c r="A377" s="157"/>
      <c r="B377" s="463"/>
      <c r="C377" s="63"/>
      <c r="D377" s="199"/>
      <c r="E377" s="145"/>
      <c r="F377" s="61"/>
      <c r="G377" s="206"/>
      <c r="H377" s="74"/>
      <c r="I377" s="183"/>
      <c r="J377" s="175"/>
      <c r="K377" s="245"/>
      <c r="L377" s="194"/>
      <c r="M377" s="188">
        <v>9498.06</v>
      </c>
      <c r="N377" s="188">
        <f t="shared" si="35"/>
        <v>9213.118199999999</v>
      </c>
      <c r="O377" s="189">
        <v>7.0000000000000007E-2</v>
      </c>
      <c r="P377" s="170">
        <f t="shared" si="36"/>
        <v>9858.0364739999986</v>
      </c>
    </row>
    <row r="378" spans="1:16">
      <c r="A378" s="157"/>
      <c r="B378" s="463"/>
      <c r="C378" s="63"/>
      <c r="D378" s="199"/>
      <c r="E378" s="145"/>
      <c r="F378" s="61"/>
      <c r="G378" s="206"/>
      <c r="H378" s="74"/>
      <c r="I378" s="183"/>
      <c r="J378" s="175"/>
      <c r="K378" s="197"/>
      <c r="L378" s="194"/>
      <c r="M378" s="188">
        <v>15305.4</v>
      </c>
      <c r="N378" s="188">
        <f t="shared" si="35"/>
        <v>14846.237999999999</v>
      </c>
      <c r="O378" s="189">
        <v>7.0000000000000007E-2</v>
      </c>
      <c r="P378" s="170">
        <f t="shared" si="36"/>
        <v>15885.47466</v>
      </c>
    </row>
    <row r="379" spans="1:16">
      <c r="A379" s="157"/>
      <c r="B379" s="139"/>
      <c r="C379" s="63"/>
      <c r="D379" s="199"/>
      <c r="E379" s="145"/>
      <c r="F379" s="61"/>
      <c r="G379" s="206"/>
      <c r="H379" s="74"/>
      <c r="I379" s="183"/>
      <c r="J379" s="175"/>
      <c r="K379" s="197"/>
      <c r="L379" s="194"/>
      <c r="N379" s="188">
        <f t="shared" si="35"/>
        <v>0</v>
      </c>
      <c r="O379" s="189">
        <v>7.0000000000000007E-2</v>
      </c>
      <c r="P379" s="170">
        <f t="shared" si="36"/>
        <v>0</v>
      </c>
    </row>
    <row r="380" spans="1:16">
      <c r="A380" s="157"/>
      <c r="B380" s="139"/>
      <c r="C380" s="63"/>
      <c r="D380" s="199"/>
      <c r="E380" s="145"/>
      <c r="F380" s="61"/>
      <c r="G380" s="206"/>
      <c r="H380" s="74"/>
      <c r="I380" s="183"/>
      <c r="J380" s="175"/>
      <c r="K380" s="197"/>
      <c r="L380" s="194"/>
      <c r="N380" s="188">
        <f t="shared" si="35"/>
        <v>0</v>
      </c>
      <c r="O380" s="189">
        <v>7.0000000000000007E-2</v>
      </c>
      <c r="P380" s="170">
        <f t="shared" si="36"/>
        <v>0</v>
      </c>
    </row>
    <row r="381" spans="1:16">
      <c r="A381" s="157"/>
      <c r="B381" s="139"/>
      <c r="C381" s="63"/>
      <c r="D381" s="199"/>
      <c r="E381" s="145"/>
      <c r="F381" s="61"/>
      <c r="G381" s="206"/>
      <c r="H381" s="74"/>
      <c r="I381" s="183"/>
      <c r="J381" s="175"/>
      <c r="K381" s="197"/>
      <c r="L381" s="194"/>
      <c r="N381" s="188">
        <f t="shared" si="35"/>
        <v>0</v>
      </c>
      <c r="O381" s="189">
        <v>7.0000000000000007E-2</v>
      </c>
      <c r="P381" s="170">
        <f t="shared" si="36"/>
        <v>0</v>
      </c>
    </row>
    <row r="382" spans="1:16">
      <c r="A382" s="157"/>
      <c r="B382" s="463"/>
      <c r="C382" s="222"/>
      <c r="D382" s="3464"/>
      <c r="E382" s="145"/>
      <c r="F382" s="61"/>
      <c r="G382" s="223"/>
      <c r="H382" s="224"/>
      <c r="I382" s="225"/>
      <c r="J382" s="209"/>
      <c r="K382" s="244"/>
      <c r="M382" s="188">
        <v>14244.12</v>
      </c>
      <c r="N382" s="188">
        <f t="shared" si="35"/>
        <v>13816.796400000001</v>
      </c>
      <c r="O382" s="189">
        <v>7.0000000000000007E-2</v>
      </c>
      <c r="P382" s="170">
        <f t="shared" si="36"/>
        <v>14783.972148000001</v>
      </c>
    </row>
    <row r="383" spans="1:16">
      <c r="A383" s="157"/>
      <c r="B383" s="433"/>
      <c r="C383" s="63"/>
      <c r="D383" s="199"/>
      <c r="E383" s="145"/>
      <c r="F383" s="61"/>
      <c r="G383" s="206"/>
      <c r="H383" s="74"/>
      <c r="I383" s="183"/>
      <c r="J383" s="175"/>
      <c r="K383" s="197"/>
      <c r="L383" s="194"/>
      <c r="M383" s="188">
        <v>3240</v>
      </c>
      <c r="N383" s="188">
        <f t="shared" si="35"/>
        <v>3142.8</v>
      </c>
      <c r="O383" s="189">
        <v>7.0000000000000007E-2</v>
      </c>
      <c r="P383" s="170">
        <f t="shared" si="36"/>
        <v>3362.7960000000003</v>
      </c>
    </row>
    <row r="384" spans="1:16">
      <c r="A384" s="157"/>
      <c r="B384" s="433"/>
      <c r="C384" s="63"/>
      <c r="D384" s="199"/>
      <c r="E384" s="145"/>
      <c r="F384" s="61"/>
      <c r="G384" s="206"/>
      <c r="H384" s="74"/>
      <c r="I384" s="183"/>
      <c r="J384" s="175"/>
      <c r="K384" s="197"/>
      <c r="L384" s="194"/>
      <c r="M384" s="188">
        <v>14700</v>
      </c>
      <c r="N384" s="188">
        <f t="shared" si="35"/>
        <v>14259</v>
      </c>
      <c r="O384" s="189">
        <v>7.0000000000000007E-2</v>
      </c>
      <c r="P384" s="170">
        <f t="shared" si="36"/>
        <v>15257.130000000001</v>
      </c>
    </row>
    <row r="385" spans="1:16">
      <c r="A385" s="157"/>
      <c r="B385" s="433"/>
      <c r="C385" s="222"/>
      <c r="D385" s="3464"/>
      <c r="E385" s="237"/>
      <c r="F385" s="238"/>
      <c r="G385" s="223"/>
      <c r="H385" s="224"/>
      <c r="I385" s="225"/>
      <c r="J385" s="209"/>
      <c r="K385" s="226"/>
      <c r="L385" s="229"/>
      <c r="M385" s="188">
        <v>14582.7</v>
      </c>
      <c r="N385" s="188">
        <f t="shared" si="35"/>
        <v>14145.219000000001</v>
      </c>
      <c r="O385" s="189">
        <v>7.0000000000000007E-2</v>
      </c>
      <c r="P385" s="170">
        <f t="shared" si="36"/>
        <v>15135.384330000001</v>
      </c>
    </row>
    <row r="386" spans="1:16">
      <c r="A386" s="157"/>
      <c r="B386" s="433"/>
      <c r="C386" s="63"/>
      <c r="D386" s="199"/>
      <c r="E386" s="145"/>
      <c r="F386" s="61"/>
      <c r="G386" s="206"/>
      <c r="H386" s="74"/>
      <c r="I386" s="183"/>
      <c r="J386" s="175"/>
      <c r="K386" s="197"/>
      <c r="L386" s="229"/>
      <c r="M386" s="188">
        <v>13483.8</v>
      </c>
      <c r="N386" s="188">
        <f t="shared" si="35"/>
        <v>13079.286</v>
      </c>
      <c r="O386" s="189">
        <v>7.0000000000000007E-2</v>
      </c>
      <c r="P386" s="170">
        <f t="shared" si="36"/>
        <v>13994.836020000001</v>
      </c>
    </row>
    <row r="387" spans="1:16">
      <c r="A387" s="157"/>
      <c r="B387" s="139"/>
      <c r="C387" s="222"/>
      <c r="D387" s="3464"/>
      <c r="E387" s="145"/>
      <c r="F387" s="61"/>
      <c r="G387" s="223"/>
      <c r="H387" s="224"/>
      <c r="I387" s="225"/>
      <c r="J387" s="209"/>
      <c r="K387" s="226"/>
      <c r="L387" s="229"/>
      <c r="M387" s="188">
        <v>2669.52</v>
      </c>
      <c r="N387" s="188">
        <f t="shared" si="35"/>
        <v>2589.4344000000001</v>
      </c>
      <c r="O387" s="189">
        <v>7.0000000000000007E-2</v>
      </c>
      <c r="P387" s="170">
        <f t="shared" si="36"/>
        <v>2770.6948080000002</v>
      </c>
    </row>
    <row r="388" spans="1:16">
      <c r="A388" s="157"/>
      <c r="B388" s="139"/>
      <c r="C388" s="222"/>
      <c r="D388" s="3464"/>
      <c r="E388" s="145"/>
      <c r="F388" s="61"/>
      <c r="G388" s="223"/>
      <c r="H388" s="224"/>
      <c r="I388" s="225"/>
      <c r="J388" s="209"/>
      <c r="K388" s="226"/>
      <c r="L388" s="229"/>
      <c r="N388" s="188">
        <f t="shared" si="35"/>
        <v>0</v>
      </c>
      <c r="O388" s="189">
        <v>7.0000000000000007E-2</v>
      </c>
      <c r="P388" s="170">
        <f t="shared" si="36"/>
        <v>0</v>
      </c>
    </row>
    <row r="389" spans="1:16">
      <c r="A389" s="221"/>
      <c r="B389" s="457"/>
      <c r="C389" s="222"/>
      <c r="D389" s="3464"/>
      <c r="E389" s="145"/>
      <c r="F389" s="61"/>
      <c r="G389" s="223"/>
      <c r="H389" s="224"/>
      <c r="I389" s="225"/>
      <c r="J389" s="209"/>
      <c r="K389" s="226"/>
      <c r="L389" s="229"/>
      <c r="M389" s="188">
        <v>12972.96</v>
      </c>
      <c r="N389" s="188">
        <f t="shared" si="35"/>
        <v>12583.771199999999</v>
      </c>
      <c r="O389" s="189">
        <v>7.0000000000000007E-2</v>
      </c>
      <c r="P389" s="170">
        <f t="shared" si="36"/>
        <v>13464.635183999999</v>
      </c>
    </row>
    <row r="390" spans="1:16">
      <c r="A390" s="157"/>
      <c r="B390" s="139"/>
      <c r="C390" s="63"/>
      <c r="D390" s="199"/>
      <c r="E390" s="145"/>
      <c r="F390" s="61"/>
      <c r="G390" s="206"/>
      <c r="H390" s="74"/>
      <c r="I390" s="183"/>
      <c r="J390" s="209"/>
      <c r="K390" s="197"/>
      <c r="L390" s="229"/>
      <c r="M390" s="188">
        <v>12687.84</v>
      </c>
      <c r="N390" s="188">
        <f t="shared" si="35"/>
        <v>12307.2048</v>
      </c>
      <c r="O390" s="189">
        <v>7.0000000000000007E-2</v>
      </c>
      <c r="P390" s="170">
        <f t="shared" si="36"/>
        <v>13168.709135999999</v>
      </c>
    </row>
    <row r="391" spans="1:16">
      <c r="A391" s="157"/>
      <c r="B391" s="139"/>
      <c r="C391" s="63"/>
      <c r="D391" s="199"/>
      <c r="E391" s="145"/>
      <c r="F391" s="61"/>
      <c r="G391" s="206"/>
      <c r="H391" s="74"/>
      <c r="I391" s="183"/>
      <c r="J391" s="175"/>
      <c r="K391" s="197"/>
      <c r="L391" s="194"/>
      <c r="M391" s="188">
        <v>16572.599999999999</v>
      </c>
      <c r="N391" s="188">
        <f t="shared" si="35"/>
        <v>16075.421999999999</v>
      </c>
      <c r="O391" s="189">
        <v>7.0000000000000007E-2</v>
      </c>
      <c r="P391" s="170">
        <f t="shared" si="36"/>
        <v>17200.701539999998</v>
      </c>
    </row>
    <row r="392" spans="1:16">
      <c r="A392" s="157"/>
      <c r="B392" s="139"/>
      <c r="C392" s="63"/>
      <c r="D392" s="199"/>
      <c r="E392" s="90"/>
      <c r="F392" s="61"/>
      <c r="G392" s="206"/>
      <c r="H392" s="74"/>
      <c r="I392" s="203"/>
      <c r="J392" s="175"/>
      <c r="K392" s="197"/>
      <c r="L392" s="194"/>
      <c r="M392" s="188">
        <v>6021.12</v>
      </c>
      <c r="N392" s="188">
        <f>M392-(M392*0.03)</f>
        <v>5840.4863999999998</v>
      </c>
      <c r="O392" s="189">
        <v>7.0000000000000007E-2</v>
      </c>
      <c r="P392" s="170">
        <f>(N392*O392)+N392</f>
        <v>6249.3204479999995</v>
      </c>
    </row>
    <row r="393" spans="1:16">
      <c r="A393" s="157"/>
      <c r="B393" s="139"/>
      <c r="C393" s="63"/>
      <c r="D393" s="199"/>
      <c r="E393" s="90"/>
      <c r="F393" s="61"/>
      <c r="G393" s="206"/>
      <c r="H393" s="74"/>
      <c r="I393" s="183"/>
      <c r="J393" s="175"/>
      <c r="K393" s="197"/>
      <c r="L393" s="194"/>
      <c r="M393" s="188">
        <v>8714.16</v>
      </c>
      <c r="N393" s="188">
        <f>M393-(M393*0.03)</f>
        <v>8452.7351999999992</v>
      </c>
      <c r="O393" s="189">
        <v>7.0000000000000007E-2</v>
      </c>
      <c r="P393" s="170">
        <f>(N393*O393)+N393</f>
        <v>9044.4266639999987</v>
      </c>
    </row>
    <row r="394" spans="1:16">
      <c r="A394" s="157"/>
      <c r="B394" s="139"/>
      <c r="C394" s="63"/>
      <c r="D394" s="199"/>
      <c r="E394" s="90"/>
      <c r="F394" s="61"/>
      <c r="G394" s="206"/>
      <c r="H394" s="74"/>
      <c r="I394" s="183"/>
      <c r="J394" s="175"/>
      <c r="K394" s="197"/>
      <c r="L394" s="194"/>
      <c r="M394" s="188">
        <v>0</v>
      </c>
      <c r="N394" s="188">
        <f>M394-(M394*0.03)</f>
        <v>0</v>
      </c>
      <c r="O394" s="189">
        <v>7.0000000000000007E-2</v>
      </c>
      <c r="P394" s="170">
        <f t="shared" ref="P394:P400" si="37">(N394*O394)+N394</f>
        <v>0</v>
      </c>
    </row>
    <row r="395" spans="1:16">
      <c r="A395" s="157"/>
      <c r="B395" s="139"/>
      <c r="C395" s="63"/>
      <c r="D395" s="199"/>
      <c r="E395" s="90"/>
      <c r="F395" s="61"/>
      <c r="G395" s="206"/>
      <c r="H395" s="74"/>
      <c r="I395" s="183"/>
      <c r="J395" s="175"/>
      <c r="K395" s="197"/>
      <c r="L395" s="194"/>
      <c r="M395" s="188">
        <v>18537.7</v>
      </c>
      <c r="N395" s="188">
        <f>M395-(M395*0.03)</f>
        <v>17981.569</v>
      </c>
      <c r="O395" s="189">
        <v>7.0000000000000007E-2</v>
      </c>
      <c r="P395" s="170">
        <f t="shared" si="37"/>
        <v>19240.278829999999</v>
      </c>
    </row>
    <row r="396" spans="1:16">
      <c r="A396" s="158"/>
      <c r="B396" s="139"/>
      <c r="C396" s="63"/>
      <c r="D396" s="199"/>
      <c r="E396" s="91"/>
      <c r="F396" s="61"/>
      <c r="G396" s="206"/>
      <c r="H396" s="74"/>
      <c r="I396" s="183"/>
      <c r="J396" s="175"/>
      <c r="K396" s="197"/>
      <c r="L396" s="194"/>
      <c r="M396" s="188">
        <v>9031.68</v>
      </c>
      <c r="N396" s="188">
        <f t="shared" ref="N396:N407" si="38">M396-(M396*0.03)</f>
        <v>8760.7296000000006</v>
      </c>
      <c r="O396" s="189">
        <v>7.0000000000000007E-2</v>
      </c>
      <c r="P396" s="170">
        <f t="shared" si="37"/>
        <v>9373.9806720000015</v>
      </c>
    </row>
    <row r="397" spans="1:16">
      <c r="A397" s="200"/>
      <c r="B397" s="139"/>
      <c r="C397" s="63"/>
      <c r="D397" s="199"/>
      <c r="E397" s="153"/>
      <c r="F397" s="61"/>
      <c r="G397" s="206"/>
      <c r="H397" s="88"/>
      <c r="I397" s="184"/>
      <c r="J397" s="201"/>
      <c r="K397" s="202"/>
      <c r="L397" s="194"/>
      <c r="N397" s="188">
        <f t="shared" si="38"/>
        <v>0</v>
      </c>
      <c r="O397" s="189">
        <v>7.0000000000000007E-2</v>
      </c>
      <c r="P397" s="170">
        <f t="shared" si="37"/>
        <v>0</v>
      </c>
    </row>
    <row r="398" spans="1:16">
      <c r="A398" s="157"/>
      <c r="B398" s="139"/>
      <c r="C398" s="63"/>
      <c r="D398" s="199"/>
      <c r="E398" s="198"/>
      <c r="F398" s="61"/>
      <c r="G398" s="206"/>
      <c r="H398" s="74"/>
      <c r="I398" s="183"/>
      <c r="J398" s="175"/>
      <c r="K398" s="197"/>
      <c r="L398" s="194"/>
      <c r="M398" s="188">
        <v>8478.9599999999991</v>
      </c>
      <c r="N398" s="188">
        <f t="shared" si="38"/>
        <v>8224.5911999999989</v>
      </c>
      <c r="O398" s="189">
        <v>7.0000000000000007E-2</v>
      </c>
      <c r="P398" s="170">
        <f t="shared" si="37"/>
        <v>8800.3125839999993</v>
      </c>
    </row>
    <row r="399" spans="1:16">
      <c r="A399" s="157"/>
      <c r="B399" s="139"/>
      <c r="C399" s="63"/>
      <c r="D399" s="199"/>
      <c r="E399" s="142"/>
      <c r="F399" s="61"/>
      <c r="G399" s="206"/>
      <c r="H399" s="74"/>
      <c r="I399" s="183"/>
      <c r="J399" s="175"/>
      <c r="K399" s="197"/>
      <c r="L399" s="194"/>
      <c r="M399" s="188">
        <v>11122.62</v>
      </c>
      <c r="N399" s="188">
        <f t="shared" si="38"/>
        <v>10788.941400000002</v>
      </c>
      <c r="O399" s="189">
        <v>7.0000000000000007E-2</v>
      </c>
      <c r="P399" s="170">
        <f t="shared" si="37"/>
        <v>11544.167298000002</v>
      </c>
    </row>
    <row r="400" spans="1:16">
      <c r="A400" s="157"/>
      <c r="B400" s="139"/>
      <c r="C400" s="63"/>
      <c r="D400" s="196"/>
      <c r="E400" s="120"/>
      <c r="F400" s="121"/>
      <c r="G400" s="206"/>
      <c r="H400" s="115"/>
      <c r="I400" s="185"/>
      <c r="J400" s="175"/>
      <c r="K400" s="197"/>
      <c r="L400" s="194"/>
      <c r="M400" s="188">
        <v>3813.12</v>
      </c>
      <c r="N400" s="188">
        <f t="shared" si="38"/>
        <v>3698.7264</v>
      </c>
      <c r="O400" s="189">
        <v>7.0000000000000007E-2</v>
      </c>
      <c r="P400" s="170">
        <f t="shared" si="37"/>
        <v>3957.637248</v>
      </c>
    </row>
    <row r="401" spans="1:16">
      <c r="A401" s="157"/>
      <c r="B401" s="139"/>
      <c r="C401" s="63"/>
      <c r="D401" s="196"/>
      <c r="E401" s="249"/>
      <c r="F401" s="121"/>
      <c r="G401" s="206"/>
      <c r="H401" s="115"/>
      <c r="I401" s="185"/>
      <c r="J401" s="175"/>
      <c r="K401" s="197"/>
      <c r="L401" s="194"/>
    </row>
    <row r="402" spans="1:16">
      <c r="A402" s="157"/>
      <c r="B402" s="139"/>
      <c r="C402" s="63"/>
      <c r="D402" s="196"/>
      <c r="E402" s="249"/>
      <c r="F402" s="121"/>
      <c r="G402" s="206"/>
      <c r="H402" s="115"/>
      <c r="I402" s="185"/>
      <c r="J402" s="175"/>
      <c r="K402" s="197"/>
      <c r="L402" s="194"/>
    </row>
    <row r="403" spans="1:16">
      <c r="A403" s="157"/>
      <c r="B403" s="139"/>
      <c r="C403" s="63"/>
      <c r="D403" s="196"/>
      <c r="E403" s="249"/>
      <c r="F403" s="121"/>
      <c r="G403" s="206"/>
      <c r="H403" s="115"/>
      <c r="I403" s="185"/>
      <c r="J403" s="175"/>
      <c r="K403" s="197"/>
      <c r="L403" s="194"/>
    </row>
    <row r="404" spans="1:16">
      <c r="A404" s="157"/>
      <c r="B404" s="139"/>
      <c r="C404" s="63"/>
      <c r="D404" s="196"/>
      <c r="E404" s="249"/>
      <c r="F404" s="121"/>
      <c r="G404" s="206"/>
      <c r="H404" s="115"/>
      <c r="I404" s="185"/>
      <c r="J404" s="175"/>
      <c r="K404" s="197"/>
      <c r="L404" s="194"/>
    </row>
    <row r="405" spans="1:16">
      <c r="A405" s="157"/>
      <c r="B405" s="139"/>
      <c r="C405" s="63"/>
      <c r="D405" s="196"/>
      <c r="E405" s="142"/>
      <c r="F405" s="61"/>
      <c r="G405" s="206"/>
      <c r="H405" s="74"/>
      <c r="I405" s="183"/>
      <c r="J405" s="175"/>
      <c r="K405" s="197"/>
      <c r="L405" s="194"/>
    </row>
    <row r="406" spans="1:16">
      <c r="A406" s="157"/>
      <c r="B406" s="139"/>
      <c r="C406" s="63"/>
      <c r="D406" s="196"/>
      <c r="E406" s="142"/>
      <c r="F406" s="61"/>
      <c r="G406" s="206"/>
      <c r="H406" s="74"/>
      <c r="I406" s="183"/>
      <c r="J406" s="175"/>
      <c r="K406" s="197"/>
      <c r="L406" s="194"/>
    </row>
    <row r="407" spans="1:16">
      <c r="A407" s="157"/>
      <c r="B407" s="460"/>
      <c r="C407" s="63"/>
      <c r="D407" s="196"/>
      <c r="E407" s="142"/>
      <c r="F407" s="61"/>
      <c r="G407" s="206"/>
      <c r="H407" s="74"/>
      <c r="I407" s="183"/>
      <c r="J407" s="175"/>
      <c r="K407" s="197"/>
      <c r="L407" s="194"/>
      <c r="M407" s="188">
        <v>8640</v>
      </c>
      <c r="N407" s="188">
        <f t="shared" si="38"/>
        <v>8380.7999999999993</v>
      </c>
      <c r="O407" s="189">
        <v>7.0000000000000007E-2</v>
      </c>
      <c r="P407" s="170">
        <f>(N407*O407)+N407</f>
        <v>8967.4559999999983</v>
      </c>
    </row>
    <row r="408" spans="1:16">
      <c r="A408" s="157"/>
      <c r="B408" s="460"/>
      <c r="C408" s="63"/>
      <c r="D408" s="196"/>
      <c r="E408" s="142"/>
      <c r="F408" s="61"/>
      <c r="G408" s="206"/>
      <c r="H408" s="74"/>
      <c r="I408" s="183"/>
      <c r="J408" s="175"/>
      <c r="K408" s="197"/>
      <c r="L408" s="194"/>
    </row>
    <row r="409" spans="1:16">
      <c r="A409" s="160"/>
      <c r="B409" s="139"/>
      <c r="C409" s="63"/>
      <c r="D409" s="196"/>
      <c r="E409" s="120"/>
      <c r="F409" s="121"/>
      <c r="G409" s="206"/>
      <c r="H409" s="115"/>
      <c r="I409" s="185"/>
      <c r="J409" s="174"/>
      <c r="K409" s="195"/>
      <c r="L409" s="194"/>
    </row>
    <row r="410" spans="1:16">
      <c r="F410" s="68"/>
    </row>
    <row r="411" spans="1:16">
      <c r="A411" s="44" t="s">
        <v>0</v>
      </c>
      <c r="C411" s="104"/>
      <c r="F411" s="68"/>
      <c r="I411" s="179"/>
      <c r="K411" s="163"/>
      <c r="L411" s="168"/>
    </row>
    <row r="412" spans="1:16">
      <c r="A412" s="3480" t="s">
        <v>2512</v>
      </c>
      <c r="B412" s="3480"/>
      <c r="C412" s="44"/>
      <c r="D412" s="109"/>
      <c r="F412" s="68"/>
      <c r="I412" s="179"/>
      <c r="K412" s="163"/>
      <c r="L412" s="168"/>
    </row>
    <row r="413" spans="1:16" ht="35.25" thickBot="1">
      <c r="F413" s="68"/>
    </row>
    <row r="414" spans="1:16">
      <c r="A414" s="3493" t="s">
        <v>2</v>
      </c>
      <c r="B414" s="3482"/>
      <c r="C414" s="48" t="s">
        <v>3</v>
      </c>
      <c r="D414" s="128" t="s">
        <v>4</v>
      </c>
      <c r="E414" s="77" t="s">
        <v>5</v>
      </c>
      <c r="F414" s="78" t="s">
        <v>5</v>
      </c>
      <c r="G414" s="211" t="s">
        <v>6</v>
      </c>
      <c r="H414" s="140" t="s">
        <v>7</v>
      </c>
      <c r="I414" s="180" t="s">
        <v>1511</v>
      </c>
      <c r="J414" s="172" t="s">
        <v>9</v>
      </c>
      <c r="K414" s="186" t="s">
        <v>9</v>
      </c>
      <c r="L414" s="192" t="s">
        <v>2495</v>
      </c>
      <c r="M414" s="190"/>
    </row>
    <row r="415" spans="1:16" ht="35.25" thickBot="1">
      <c r="A415" s="155"/>
      <c r="B415" s="494"/>
      <c r="C415" s="50"/>
      <c r="D415" s="129" t="s">
        <v>10</v>
      </c>
      <c r="E415" s="79" t="s">
        <v>11</v>
      </c>
      <c r="F415" s="80" t="s">
        <v>12</v>
      </c>
      <c r="G415" s="212"/>
      <c r="H415" s="141" t="s">
        <v>13</v>
      </c>
      <c r="I415" s="181" t="s">
        <v>1512</v>
      </c>
      <c r="J415" s="173" t="s">
        <v>15</v>
      </c>
      <c r="K415" s="187" t="s">
        <v>14</v>
      </c>
      <c r="L415" s="193" t="s">
        <v>2496</v>
      </c>
      <c r="M415" s="190"/>
    </row>
    <row r="416" spans="1:16">
      <c r="A416" s="156"/>
      <c r="B416" s="139"/>
      <c r="C416" s="63"/>
      <c r="D416" s="199"/>
      <c r="E416" s="143"/>
      <c r="F416" s="69"/>
      <c r="G416" s="206"/>
      <c r="H416" s="74"/>
      <c r="I416" s="183"/>
      <c r="J416" s="175"/>
      <c r="K416" s="172"/>
      <c r="L416" s="194"/>
      <c r="M416" s="188">
        <v>3552</v>
      </c>
      <c r="N416" s="188">
        <f t="shared" ref="N416:N432" si="39">M416-(M416*0.03)</f>
        <v>3445.44</v>
      </c>
      <c r="O416" s="189">
        <v>7.0000000000000007E-2</v>
      </c>
      <c r="P416" s="170">
        <f t="shared" ref="P416:P432" si="40">(N416*O416)+N416</f>
        <v>3686.6208000000001</v>
      </c>
    </row>
    <row r="417" spans="1:16">
      <c r="A417" s="157"/>
      <c r="B417" s="139"/>
      <c r="C417" s="63"/>
      <c r="D417" s="199"/>
      <c r="E417" s="145"/>
      <c r="F417" s="61"/>
      <c r="G417" s="206"/>
      <c r="H417" s="74"/>
      <c r="I417" s="183"/>
      <c r="J417" s="175"/>
      <c r="K417" s="176"/>
      <c r="L417" s="194"/>
      <c r="N417" s="188">
        <f t="shared" si="39"/>
        <v>0</v>
      </c>
      <c r="O417" s="189">
        <v>7.0000000000000007E-2</v>
      </c>
      <c r="P417" s="170">
        <f t="shared" si="40"/>
        <v>0</v>
      </c>
    </row>
    <row r="418" spans="1:16">
      <c r="A418" s="157"/>
      <c r="B418" s="463"/>
      <c r="C418" s="63"/>
      <c r="D418" s="199"/>
      <c r="E418" s="145"/>
      <c r="F418" s="61"/>
      <c r="G418" s="206"/>
      <c r="H418" s="74"/>
      <c r="I418" s="183"/>
      <c r="J418" s="175"/>
      <c r="K418" s="245"/>
      <c r="L418" s="194"/>
      <c r="M418" s="188">
        <v>9498.06</v>
      </c>
      <c r="N418" s="188">
        <f t="shared" si="39"/>
        <v>9213.118199999999</v>
      </c>
      <c r="O418" s="189">
        <v>7.0000000000000007E-2</v>
      </c>
      <c r="P418" s="170">
        <f t="shared" si="40"/>
        <v>9858.0364739999986</v>
      </c>
    </row>
    <row r="419" spans="1:16">
      <c r="A419" s="157"/>
      <c r="B419" s="463"/>
      <c r="C419" s="63"/>
      <c r="D419" s="199"/>
      <c r="E419" s="145"/>
      <c r="F419" s="61"/>
      <c r="G419" s="206"/>
      <c r="H419" s="74"/>
      <c r="I419" s="183"/>
      <c r="J419" s="175"/>
      <c r="K419" s="197"/>
      <c r="L419" s="194"/>
      <c r="M419" s="188">
        <v>15305.4</v>
      </c>
      <c r="N419" s="188">
        <f t="shared" si="39"/>
        <v>14846.237999999999</v>
      </c>
      <c r="O419" s="189">
        <v>7.0000000000000007E-2</v>
      </c>
      <c r="P419" s="170">
        <f t="shared" si="40"/>
        <v>15885.47466</v>
      </c>
    </row>
    <row r="420" spans="1:16">
      <c r="A420" s="157"/>
      <c r="B420" s="139"/>
      <c r="C420" s="63"/>
      <c r="D420" s="199"/>
      <c r="E420" s="145"/>
      <c r="F420" s="61"/>
      <c r="G420" s="206"/>
      <c r="H420" s="74"/>
      <c r="I420" s="183"/>
      <c r="J420" s="175"/>
      <c r="K420" s="197"/>
      <c r="L420" s="194"/>
      <c r="N420" s="188">
        <f t="shared" si="39"/>
        <v>0</v>
      </c>
      <c r="O420" s="189">
        <v>7.0000000000000007E-2</v>
      </c>
      <c r="P420" s="170">
        <f t="shared" si="40"/>
        <v>0</v>
      </c>
    </row>
    <row r="421" spans="1:16">
      <c r="A421" s="157"/>
      <c r="B421" s="139"/>
      <c r="C421" s="63"/>
      <c r="D421" s="199"/>
      <c r="E421" s="145"/>
      <c r="F421" s="61"/>
      <c r="G421" s="206"/>
      <c r="H421" s="74"/>
      <c r="I421" s="183"/>
      <c r="J421" s="175"/>
      <c r="K421" s="197"/>
      <c r="L421" s="194"/>
      <c r="N421" s="188">
        <f t="shared" si="39"/>
        <v>0</v>
      </c>
      <c r="O421" s="189">
        <v>7.0000000000000007E-2</v>
      </c>
      <c r="P421" s="170">
        <f t="shared" si="40"/>
        <v>0</v>
      </c>
    </row>
    <row r="422" spans="1:16">
      <c r="A422" s="157"/>
      <c r="B422" s="139"/>
      <c r="C422" s="63"/>
      <c r="D422" s="199"/>
      <c r="E422" s="145"/>
      <c r="F422" s="61"/>
      <c r="G422" s="206"/>
      <c r="H422" s="74"/>
      <c r="I422" s="183"/>
      <c r="J422" s="175"/>
      <c r="K422" s="197"/>
      <c r="L422" s="194"/>
      <c r="N422" s="188">
        <f t="shared" si="39"/>
        <v>0</v>
      </c>
      <c r="O422" s="189">
        <v>7.0000000000000007E-2</v>
      </c>
      <c r="P422" s="170">
        <f t="shared" si="40"/>
        <v>0</v>
      </c>
    </row>
    <row r="423" spans="1:16">
      <c r="A423" s="157"/>
      <c r="B423" s="463"/>
      <c r="C423" s="222"/>
      <c r="D423" s="3464"/>
      <c r="E423" s="145"/>
      <c r="F423" s="61"/>
      <c r="G423" s="223"/>
      <c r="H423" s="224"/>
      <c r="I423" s="225"/>
      <c r="J423" s="209"/>
      <c r="K423" s="244"/>
      <c r="M423" s="188">
        <v>14244.12</v>
      </c>
      <c r="N423" s="188">
        <f t="shared" si="39"/>
        <v>13816.796400000001</v>
      </c>
      <c r="O423" s="189">
        <v>7.0000000000000007E-2</v>
      </c>
      <c r="P423" s="170">
        <f t="shared" si="40"/>
        <v>14783.972148000001</v>
      </c>
    </row>
    <row r="424" spans="1:16">
      <c r="A424" s="157"/>
      <c r="B424" s="433"/>
      <c r="C424" s="63"/>
      <c r="D424" s="199"/>
      <c r="E424" s="145"/>
      <c r="F424" s="61"/>
      <c r="G424" s="206"/>
      <c r="H424" s="74"/>
      <c r="I424" s="183"/>
      <c r="J424" s="175"/>
      <c r="K424" s="197"/>
      <c r="L424" s="194"/>
      <c r="M424" s="188">
        <v>3240</v>
      </c>
      <c r="N424" s="188">
        <f t="shared" si="39"/>
        <v>3142.8</v>
      </c>
      <c r="O424" s="189">
        <v>7.0000000000000007E-2</v>
      </c>
      <c r="P424" s="170">
        <f t="shared" si="40"/>
        <v>3362.7960000000003</v>
      </c>
    </row>
    <row r="425" spans="1:16">
      <c r="A425" s="157"/>
      <c r="B425" s="433"/>
      <c r="C425" s="63"/>
      <c r="D425" s="199"/>
      <c r="E425" s="145"/>
      <c r="F425" s="61"/>
      <c r="G425" s="206"/>
      <c r="H425" s="74"/>
      <c r="I425" s="183"/>
      <c r="J425" s="175"/>
      <c r="K425" s="197"/>
      <c r="L425" s="194"/>
      <c r="M425" s="188">
        <v>14700</v>
      </c>
      <c r="N425" s="188">
        <f t="shared" si="39"/>
        <v>14259</v>
      </c>
      <c r="O425" s="189">
        <v>7.0000000000000007E-2</v>
      </c>
      <c r="P425" s="170">
        <f t="shared" si="40"/>
        <v>15257.130000000001</v>
      </c>
    </row>
    <row r="426" spans="1:16">
      <c r="A426" s="157"/>
      <c r="B426" s="433"/>
      <c r="C426" s="222"/>
      <c r="D426" s="3464"/>
      <c r="E426" s="237"/>
      <c r="F426" s="238"/>
      <c r="G426" s="223"/>
      <c r="H426" s="224"/>
      <c r="I426" s="225"/>
      <c r="J426" s="209"/>
      <c r="K426" s="226"/>
      <c r="L426" s="229"/>
      <c r="M426" s="188">
        <v>14582.7</v>
      </c>
      <c r="N426" s="188">
        <f t="shared" si="39"/>
        <v>14145.219000000001</v>
      </c>
      <c r="O426" s="189">
        <v>7.0000000000000007E-2</v>
      </c>
      <c r="P426" s="170">
        <f t="shared" si="40"/>
        <v>15135.384330000001</v>
      </c>
    </row>
    <row r="427" spans="1:16">
      <c r="A427" s="157"/>
      <c r="B427" s="433"/>
      <c r="C427" s="63"/>
      <c r="D427" s="199"/>
      <c r="E427" s="145"/>
      <c r="F427" s="61"/>
      <c r="G427" s="206"/>
      <c r="H427" s="74"/>
      <c r="I427" s="183"/>
      <c r="J427" s="175"/>
      <c r="K427" s="197"/>
      <c r="L427" s="229"/>
      <c r="M427" s="188">
        <v>13483.8</v>
      </c>
      <c r="N427" s="188">
        <f t="shared" si="39"/>
        <v>13079.286</v>
      </c>
      <c r="O427" s="189">
        <v>7.0000000000000007E-2</v>
      </c>
      <c r="P427" s="170">
        <f t="shared" si="40"/>
        <v>13994.836020000001</v>
      </c>
    </row>
    <row r="428" spans="1:16">
      <c r="A428" s="157"/>
      <c r="B428" s="139"/>
      <c r="C428" s="222"/>
      <c r="D428" s="3464"/>
      <c r="E428" s="145"/>
      <c r="F428" s="61"/>
      <c r="G428" s="223"/>
      <c r="H428" s="224"/>
      <c r="I428" s="225"/>
      <c r="J428" s="209"/>
      <c r="K428" s="226"/>
      <c r="L428" s="229"/>
      <c r="M428" s="188">
        <v>2669.52</v>
      </c>
      <c r="N428" s="188">
        <f t="shared" si="39"/>
        <v>2589.4344000000001</v>
      </c>
      <c r="O428" s="189">
        <v>7.0000000000000007E-2</v>
      </c>
      <c r="P428" s="170">
        <f t="shared" si="40"/>
        <v>2770.6948080000002</v>
      </c>
    </row>
    <row r="429" spans="1:16">
      <c r="A429" s="157"/>
      <c r="B429" s="139"/>
      <c r="C429" s="222"/>
      <c r="D429" s="3464"/>
      <c r="E429" s="145"/>
      <c r="F429" s="61"/>
      <c r="G429" s="223"/>
      <c r="H429" s="224"/>
      <c r="I429" s="225"/>
      <c r="J429" s="209"/>
      <c r="K429" s="226"/>
      <c r="L429" s="229"/>
      <c r="N429" s="188">
        <f t="shared" si="39"/>
        <v>0</v>
      </c>
      <c r="O429" s="189">
        <v>7.0000000000000007E-2</v>
      </c>
      <c r="P429" s="170">
        <f t="shared" si="40"/>
        <v>0</v>
      </c>
    </row>
    <row r="430" spans="1:16">
      <c r="A430" s="221"/>
      <c r="B430" s="457"/>
      <c r="C430" s="222"/>
      <c r="D430" s="3464"/>
      <c r="E430" s="145"/>
      <c r="F430" s="61"/>
      <c r="G430" s="223"/>
      <c r="H430" s="224"/>
      <c r="I430" s="225"/>
      <c r="J430" s="209"/>
      <c r="K430" s="226"/>
      <c r="L430" s="229"/>
      <c r="M430" s="188">
        <v>12972.96</v>
      </c>
      <c r="N430" s="188">
        <f t="shared" si="39"/>
        <v>12583.771199999999</v>
      </c>
      <c r="O430" s="189">
        <v>7.0000000000000007E-2</v>
      </c>
      <c r="P430" s="170">
        <f t="shared" si="40"/>
        <v>13464.635183999999</v>
      </c>
    </row>
    <row r="431" spans="1:16">
      <c r="A431" s="157"/>
      <c r="B431" s="139"/>
      <c r="C431" s="63"/>
      <c r="D431" s="199"/>
      <c r="E431" s="145"/>
      <c r="F431" s="61"/>
      <c r="G431" s="206"/>
      <c r="H431" s="74"/>
      <c r="I431" s="183"/>
      <c r="J431" s="209"/>
      <c r="K431" s="197"/>
      <c r="L431" s="229"/>
      <c r="M431" s="188">
        <v>12687.84</v>
      </c>
      <c r="N431" s="188">
        <f t="shared" si="39"/>
        <v>12307.2048</v>
      </c>
      <c r="O431" s="189">
        <v>7.0000000000000007E-2</v>
      </c>
      <c r="P431" s="170">
        <f t="shared" si="40"/>
        <v>13168.709135999999</v>
      </c>
    </row>
    <row r="432" spans="1:16">
      <c r="A432" s="157"/>
      <c r="B432" s="139"/>
      <c r="C432" s="63"/>
      <c r="D432" s="199"/>
      <c r="E432" s="145"/>
      <c r="F432" s="61"/>
      <c r="G432" s="206"/>
      <c r="H432" s="74"/>
      <c r="I432" s="183"/>
      <c r="J432" s="175"/>
      <c r="K432" s="197"/>
      <c r="L432" s="194"/>
      <c r="M432" s="188">
        <v>16572.599999999999</v>
      </c>
      <c r="N432" s="188">
        <f t="shared" si="39"/>
        <v>16075.421999999999</v>
      </c>
      <c r="O432" s="189">
        <v>7.0000000000000007E-2</v>
      </c>
      <c r="P432" s="170">
        <f t="shared" si="40"/>
        <v>17200.701539999998</v>
      </c>
    </row>
    <row r="433" spans="1:16">
      <c r="A433" s="157"/>
      <c r="B433" s="139"/>
      <c r="C433" s="63"/>
      <c r="D433" s="199"/>
      <c r="E433" s="90"/>
      <c r="F433" s="61"/>
      <c r="G433" s="206"/>
      <c r="H433" s="74"/>
      <c r="I433" s="203"/>
      <c r="J433" s="175"/>
      <c r="K433" s="197"/>
      <c r="L433" s="194"/>
      <c r="M433" s="188">
        <v>6021.12</v>
      </c>
      <c r="N433" s="188">
        <f>M433-(M433*0.03)</f>
        <v>5840.4863999999998</v>
      </c>
      <c r="O433" s="189">
        <v>7.0000000000000007E-2</v>
      </c>
      <c r="P433" s="170">
        <f>(N433*O433)+N433</f>
        <v>6249.3204479999995</v>
      </c>
    </row>
    <row r="434" spans="1:16">
      <c r="A434" s="157"/>
      <c r="B434" s="139"/>
      <c r="C434" s="63"/>
      <c r="D434" s="199"/>
      <c r="E434" s="90"/>
      <c r="F434" s="61"/>
      <c r="G434" s="206"/>
      <c r="H434" s="74"/>
      <c r="I434" s="183"/>
      <c r="J434" s="175"/>
      <c r="K434" s="197"/>
      <c r="L434" s="194"/>
      <c r="M434" s="188">
        <v>8714.16</v>
      </c>
      <c r="N434" s="188">
        <f>M434-(M434*0.03)</f>
        <v>8452.7351999999992</v>
      </c>
      <c r="O434" s="189">
        <v>7.0000000000000007E-2</v>
      </c>
      <c r="P434" s="170">
        <f>(N434*O434)+N434</f>
        <v>9044.4266639999987</v>
      </c>
    </row>
    <row r="435" spans="1:16">
      <c r="A435" s="157"/>
      <c r="B435" s="139"/>
      <c r="C435" s="63"/>
      <c r="D435" s="199"/>
      <c r="E435" s="90"/>
      <c r="F435" s="61"/>
      <c r="G435" s="206"/>
      <c r="H435" s="74"/>
      <c r="I435" s="183"/>
      <c r="J435" s="175"/>
      <c r="K435" s="197"/>
      <c r="L435" s="194"/>
      <c r="M435" s="188">
        <v>0</v>
      </c>
      <c r="N435" s="188">
        <f>M435-(M435*0.03)</f>
        <v>0</v>
      </c>
      <c r="O435" s="189">
        <v>7.0000000000000007E-2</v>
      </c>
      <c r="P435" s="170">
        <f t="shared" ref="P435:P441" si="41">(N435*O435)+N435</f>
        <v>0</v>
      </c>
    </row>
    <row r="436" spans="1:16">
      <c r="A436" s="157"/>
      <c r="B436" s="139"/>
      <c r="C436" s="63"/>
      <c r="D436" s="199"/>
      <c r="E436" s="90"/>
      <c r="F436" s="61"/>
      <c r="G436" s="206"/>
      <c r="H436" s="74"/>
      <c r="I436" s="183"/>
      <c r="J436" s="175"/>
      <c r="K436" s="197"/>
      <c r="L436" s="194"/>
      <c r="M436" s="188">
        <v>18537.7</v>
      </c>
      <c r="N436" s="188">
        <f>M436-(M436*0.03)</f>
        <v>17981.569</v>
      </c>
      <c r="O436" s="189">
        <v>7.0000000000000007E-2</v>
      </c>
      <c r="P436" s="170">
        <f t="shared" si="41"/>
        <v>19240.278829999999</v>
      </c>
    </row>
    <row r="437" spans="1:16">
      <c r="A437" s="158"/>
      <c r="B437" s="139"/>
      <c r="C437" s="63"/>
      <c r="D437" s="199"/>
      <c r="E437" s="91"/>
      <c r="F437" s="61"/>
      <c r="G437" s="206"/>
      <c r="H437" s="74"/>
      <c r="I437" s="183"/>
      <c r="J437" s="175"/>
      <c r="K437" s="197"/>
      <c r="L437" s="194"/>
      <c r="M437" s="188">
        <v>9031.68</v>
      </c>
      <c r="N437" s="188">
        <f t="shared" ref="N437:N449" si="42">M437-(M437*0.03)</f>
        <v>8760.7296000000006</v>
      </c>
      <c r="O437" s="189">
        <v>7.0000000000000007E-2</v>
      </c>
      <c r="P437" s="170">
        <f t="shared" si="41"/>
        <v>9373.9806720000015</v>
      </c>
    </row>
    <row r="438" spans="1:16">
      <c r="A438" s="200"/>
      <c r="B438" s="139"/>
      <c r="C438" s="63"/>
      <c r="D438" s="199"/>
      <c r="E438" s="153"/>
      <c r="F438" s="61"/>
      <c r="G438" s="206"/>
      <c r="H438" s="88"/>
      <c r="I438" s="184"/>
      <c r="J438" s="201"/>
      <c r="K438" s="202"/>
      <c r="L438" s="194"/>
      <c r="N438" s="188">
        <f t="shared" si="42"/>
        <v>0</v>
      </c>
      <c r="O438" s="189">
        <v>7.0000000000000007E-2</v>
      </c>
      <c r="P438" s="170">
        <f t="shared" si="41"/>
        <v>0</v>
      </c>
    </row>
    <row r="439" spans="1:16">
      <c r="A439" s="157"/>
      <c r="B439" s="139"/>
      <c r="C439" s="63"/>
      <c r="D439" s="199"/>
      <c r="E439" s="198"/>
      <c r="F439" s="61"/>
      <c r="G439" s="206"/>
      <c r="H439" s="74"/>
      <c r="I439" s="183"/>
      <c r="J439" s="175"/>
      <c r="K439" s="197"/>
      <c r="L439" s="194"/>
      <c r="M439" s="188">
        <v>8478.9599999999991</v>
      </c>
      <c r="N439" s="188">
        <f t="shared" si="42"/>
        <v>8224.5911999999989</v>
      </c>
      <c r="O439" s="189">
        <v>7.0000000000000007E-2</v>
      </c>
      <c r="P439" s="170">
        <f t="shared" si="41"/>
        <v>8800.3125839999993</v>
      </c>
    </row>
    <row r="440" spans="1:16">
      <c r="A440" s="157"/>
      <c r="B440" s="139"/>
      <c r="C440" s="63"/>
      <c r="D440" s="199"/>
      <c r="E440" s="142"/>
      <c r="F440" s="61"/>
      <c r="G440" s="206"/>
      <c r="H440" s="74"/>
      <c r="I440" s="183"/>
      <c r="J440" s="175"/>
      <c r="K440" s="197"/>
      <c r="L440" s="194"/>
      <c r="M440" s="188">
        <v>11122.62</v>
      </c>
      <c r="N440" s="188">
        <f t="shared" si="42"/>
        <v>10788.941400000002</v>
      </c>
      <c r="O440" s="189">
        <v>7.0000000000000007E-2</v>
      </c>
      <c r="P440" s="170">
        <f t="shared" si="41"/>
        <v>11544.167298000002</v>
      </c>
    </row>
    <row r="441" spans="1:16">
      <c r="A441" s="157"/>
      <c r="B441" s="139"/>
      <c r="C441" s="63"/>
      <c r="D441" s="196"/>
      <c r="E441" s="120"/>
      <c r="F441" s="121"/>
      <c r="G441" s="206"/>
      <c r="H441" s="115"/>
      <c r="I441" s="185"/>
      <c r="J441" s="175"/>
      <c r="K441" s="197"/>
      <c r="L441" s="194"/>
      <c r="M441" s="188">
        <v>3813.12</v>
      </c>
      <c r="N441" s="188">
        <f t="shared" si="42"/>
        <v>3698.7264</v>
      </c>
      <c r="O441" s="189">
        <v>7.0000000000000007E-2</v>
      </c>
      <c r="P441" s="170">
        <f t="shared" si="41"/>
        <v>3957.637248</v>
      </c>
    </row>
    <row r="442" spans="1:16">
      <c r="A442" s="157"/>
      <c r="B442" s="139"/>
      <c r="C442" s="63"/>
      <c r="D442" s="196"/>
      <c r="E442" s="249"/>
      <c r="F442" s="121"/>
      <c r="G442" s="206"/>
      <c r="H442" s="115"/>
      <c r="I442" s="185"/>
      <c r="J442" s="175"/>
      <c r="K442" s="197"/>
      <c r="L442" s="194"/>
    </row>
    <row r="443" spans="1:16">
      <c r="A443" s="157"/>
      <c r="B443" s="139"/>
      <c r="C443" s="63"/>
      <c r="D443" s="196"/>
      <c r="E443" s="249"/>
      <c r="F443" s="121"/>
      <c r="G443" s="206"/>
      <c r="H443" s="115"/>
      <c r="I443" s="185"/>
      <c r="J443" s="175"/>
      <c r="K443" s="197"/>
      <c r="L443" s="194"/>
    </row>
    <row r="444" spans="1:16">
      <c r="A444" s="157"/>
      <c r="B444" s="139"/>
      <c r="C444" s="63"/>
      <c r="D444" s="196"/>
      <c r="E444" s="249"/>
      <c r="F444" s="121"/>
      <c r="G444" s="206"/>
      <c r="H444" s="115"/>
      <c r="I444" s="185"/>
      <c r="J444" s="175"/>
      <c r="K444" s="197"/>
      <c r="L444" s="194"/>
    </row>
    <row r="445" spans="1:16">
      <c r="A445" s="157"/>
      <c r="B445" s="139"/>
      <c r="C445" s="63"/>
      <c r="D445" s="196"/>
      <c r="E445" s="249"/>
      <c r="F445" s="121"/>
      <c r="G445" s="206"/>
      <c r="H445" s="115"/>
      <c r="I445" s="185"/>
      <c r="J445" s="175"/>
      <c r="K445" s="197"/>
      <c r="L445" s="194"/>
    </row>
    <row r="446" spans="1:16">
      <c r="A446" s="157"/>
      <c r="B446" s="139"/>
      <c r="C446" s="63"/>
      <c r="D446" s="196"/>
      <c r="E446" s="249"/>
      <c r="F446" s="121"/>
      <c r="G446" s="206"/>
      <c r="H446" s="115"/>
      <c r="I446" s="185"/>
      <c r="J446" s="175"/>
      <c r="K446" s="197"/>
      <c r="L446" s="194"/>
    </row>
    <row r="447" spans="1:16">
      <c r="A447" s="157"/>
      <c r="B447" s="139"/>
      <c r="C447" s="63"/>
      <c r="D447" s="196"/>
      <c r="E447" s="142"/>
      <c r="F447" s="61"/>
      <c r="G447" s="206"/>
      <c r="H447" s="74"/>
      <c r="I447" s="183"/>
      <c r="J447" s="175"/>
      <c r="K447" s="197"/>
      <c r="L447" s="194"/>
    </row>
    <row r="448" spans="1:16">
      <c r="A448" s="157"/>
      <c r="B448" s="139"/>
      <c r="C448" s="63"/>
      <c r="D448" s="196"/>
      <c r="E448" s="142"/>
      <c r="F448" s="61"/>
      <c r="G448" s="206"/>
      <c r="H448" s="74"/>
      <c r="I448" s="183"/>
      <c r="J448" s="175"/>
      <c r="K448" s="197"/>
      <c r="L448" s="194"/>
    </row>
    <row r="449" spans="1:16">
      <c r="A449" s="157"/>
      <c r="B449" s="460"/>
      <c r="C449" s="63"/>
      <c r="D449" s="196"/>
      <c r="E449" s="142"/>
      <c r="F449" s="61"/>
      <c r="G449" s="206"/>
      <c r="H449" s="74"/>
      <c r="I449" s="183"/>
      <c r="J449" s="175"/>
      <c r="K449" s="197"/>
      <c r="L449" s="194"/>
      <c r="M449" s="188">
        <v>8640</v>
      </c>
      <c r="N449" s="188">
        <f t="shared" si="42"/>
        <v>8380.7999999999993</v>
      </c>
      <c r="O449" s="189">
        <v>7.0000000000000007E-2</v>
      </c>
      <c r="P449" s="170">
        <f>(N449*O449)+N449</f>
        <v>8967.4559999999983</v>
      </c>
    </row>
    <row r="450" spans="1:16">
      <c r="A450" s="160"/>
      <c r="B450" s="139"/>
      <c r="C450" s="63"/>
      <c r="D450" s="196"/>
      <c r="E450" s="120"/>
      <c r="F450" s="121"/>
      <c r="G450" s="206"/>
      <c r="H450" s="115"/>
      <c r="I450" s="185"/>
      <c r="J450" s="174"/>
      <c r="K450" s="195"/>
      <c r="L450" s="194"/>
    </row>
    <row r="451" spans="1:16">
      <c r="F451" s="68"/>
    </row>
    <row r="452" spans="1:16">
      <c r="A452" s="44" t="s">
        <v>0</v>
      </c>
      <c r="C452" s="104"/>
      <c r="F452" s="68"/>
      <c r="I452" s="179"/>
      <c r="K452" s="163"/>
      <c r="L452" s="168"/>
    </row>
    <row r="453" spans="1:16">
      <c r="A453" s="3480" t="s">
        <v>2512</v>
      </c>
      <c r="B453" s="3480"/>
      <c r="C453" s="44"/>
      <c r="D453" s="109"/>
      <c r="F453" s="68"/>
      <c r="I453" s="179"/>
      <c r="K453" s="163"/>
      <c r="L453" s="168"/>
    </row>
    <row r="454" spans="1:16" ht="35.25" thickBot="1">
      <c r="F454" s="68"/>
    </row>
    <row r="455" spans="1:16">
      <c r="A455" s="3493" t="s">
        <v>2</v>
      </c>
      <c r="B455" s="3482"/>
      <c r="C455" s="48" t="s">
        <v>3</v>
      </c>
      <c r="D455" s="128" t="s">
        <v>4</v>
      </c>
      <c r="E455" s="77" t="s">
        <v>5</v>
      </c>
      <c r="F455" s="78" t="s">
        <v>5</v>
      </c>
      <c r="G455" s="211" t="s">
        <v>6</v>
      </c>
      <c r="H455" s="140" t="s">
        <v>7</v>
      </c>
      <c r="I455" s="180" t="s">
        <v>1511</v>
      </c>
      <c r="J455" s="172" t="s">
        <v>9</v>
      </c>
      <c r="K455" s="186" t="s">
        <v>9</v>
      </c>
      <c r="L455" s="192" t="s">
        <v>2495</v>
      </c>
      <c r="M455" s="190"/>
    </row>
    <row r="456" spans="1:16" ht="35.25" thickBot="1">
      <c r="A456" s="155"/>
      <c r="B456" s="494"/>
      <c r="C456" s="50"/>
      <c r="D456" s="129" t="s">
        <v>10</v>
      </c>
      <c r="E456" s="79" t="s">
        <v>11</v>
      </c>
      <c r="F456" s="80" t="s">
        <v>12</v>
      </c>
      <c r="G456" s="212"/>
      <c r="H456" s="141" t="s">
        <v>13</v>
      </c>
      <c r="I456" s="181" t="s">
        <v>1512</v>
      </c>
      <c r="J456" s="173" t="s">
        <v>15</v>
      </c>
      <c r="K456" s="187" t="s">
        <v>14</v>
      </c>
      <c r="L456" s="193" t="s">
        <v>2496</v>
      </c>
      <c r="M456" s="190"/>
    </row>
    <row r="457" spans="1:16">
      <c r="A457" s="156"/>
      <c r="B457" s="139"/>
      <c r="C457" s="63"/>
      <c r="D457" s="199"/>
      <c r="E457" s="143"/>
      <c r="F457" s="69"/>
      <c r="G457" s="206"/>
      <c r="H457" s="74"/>
      <c r="I457" s="183"/>
      <c r="J457" s="175"/>
      <c r="K457" s="172"/>
      <c r="L457" s="194"/>
      <c r="M457" s="188">
        <v>3552</v>
      </c>
      <c r="N457" s="188">
        <f t="shared" ref="N457:N473" si="43">M457-(M457*0.03)</f>
        <v>3445.44</v>
      </c>
      <c r="O457" s="189">
        <v>7.0000000000000007E-2</v>
      </c>
      <c r="P457" s="170">
        <f t="shared" ref="P457:P473" si="44">(N457*O457)+N457</f>
        <v>3686.6208000000001</v>
      </c>
    </row>
    <row r="458" spans="1:16">
      <c r="A458" s="157"/>
      <c r="B458" s="139"/>
      <c r="C458" s="63"/>
      <c r="D458" s="199"/>
      <c r="E458" s="145"/>
      <c r="F458" s="61"/>
      <c r="G458" s="206"/>
      <c r="H458" s="74"/>
      <c r="I458" s="183"/>
      <c r="J458" s="175"/>
      <c r="K458" s="176"/>
      <c r="L458" s="194"/>
      <c r="N458" s="188">
        <f t="shared" si="43"/>
        <v>0</v>
      </c>
      <c r="O458" s="189">
        <v>7.0000000000000007E-2</v>
      </c>
      <c r="P458" s="170">
        <f t="shared" si="44"/>
        <v>0</v>
      </c>
    </row>
    <row r="459" spans="1:16">
      <c r="A459" s="157"/>
      <c r="B459" s="463"/>
      <c r="C459" s="63"/>
      <c r="D459" s="199"/>
      <c r="E459" s="145"/>
      <c r="F459" s="61"/>
      <c r="G459" s="206"/>
      <c r="H459" s="74"/>
      <c r="I459" s="183"/>
      <c r="J459" s="175"/>
      <c r="K459" s="245"/>
      <c r="L459" s="194"/>
      <c r="M459" s="188">
        <v>9498.06</v>
      </c>
      <c r="N459" s="188">
        <f t="shared" si="43"/>
        <v>9213.118199999999</v>
      </c>
      <c r="O459" s="189">
        <v>7.0000000000000007E-2</v>
      </c>
      <c r="P459" s="170">
        <f t="shared" si="44"/>
        <v>9858.0364739999986</v>
      </c>
    </row>
    <row r="460" spans="1:16">
      <c r="A460" s="157"/>
      <c r="B460" s="463"/>
      <c r="C460" s="63"/>
      <c r="D460" s="199"/>
      <c r="E460" s="145"/>
      <c r="F460" s="61"/>
      <c r="G460" s="206"/>
      <c r="H460" s="74"/>
      <c r="I460" s="183"/>
      <c r="J460" s="175"/>
      <c r="K460" s="197"/>
      <c r="L460" s="194"/>
      <c r="M460" s="188">
        <v>15305.4</v>
      </c>
      <c r="N460" s="188">
        <f t="shared" si="43"/>
        <v>14846.237999999999</v>
      </c>
      <c r="O460" s="189">
        <v>7.0000000000000007E-2</v>
      </c>
      <c r="P460" s="170">
        <f t="shared" si="44"/>
        <v>15885.47466</v>
      </c>
    </row>
    <row r="461" spans="1:16">
      <c r="A461" s="157"/>
      <c r="B461" s="139"/>
      <c r="C461" s="63"/>
      <c r="D461" s="199"/>
      <c r="E461" s="145"/>
      <c r="F461" s="61"/>
      <c r="G461" s="206"/>
      <c r="H461" s="74"/>
      <c r="I461" s="183"/>
      <c r="J461" s="175"/>
      <c r="K461" s="197"/>
      <c r="L461" s="194"/>
      <c r="N461" s="188">
        <f t="shared" si="43"/>
        <v>0</v>
      </c>
      <c r="O461" s="189">
        <v>7.0000000000000007E-2</v>
      </c>
      <c r="P461" s="170">
        <f t="shared" si="44"/>
        <v>0</v>
      </c>
    </row>
    <row r="462" spans="1:16">
      <c r="A462" s="157"/>
      <c r="B462" s="139"/>
      <c r="C462" s="63"/>
      <c r="D462" s="199"/>
      <c r="E462" s="145"/>
      <c r="F462" s="61"/>
      <c r="G462" s="206"/>
      <c r="H462" s="74"/>
      <c r="I462" s="183"/>
      <c r="J462" s="175"/>
      <c r="K462" s="197"/>
      <c r="L462" s="194"/>
      <c r="N462" s="188">
        <f t="shared" si="43"/>
        <v>0</v>
      </c>
      <c r="O462" s="189">
        <v>7.0000000000000007E-2</v>
      </c>
      <c r="P462" s="170">
        <f t="shared" si="44"/>
        <v>0</v>
      </c>
    </row>
    <row r="463" spans="1:16">
      <c r="A463" s="157"/>
      <c r="B463" s="139"/>
      <c r="C463" s="63"/>
      <c r="D463" s="199"/>
      <c r="E463" s="145"/>
      <c r="F463" s="61"/>
      <c r="G463" s="206"/>
      <c r="H463" s="74"/>
      <c r="I463" s="183"/>
      <c r="J463" s="175"/>
      <c r="K463" s="197"/>
      <c r="L463" s="194"/>
      <c r="N463" s="188">
        <f t="shared" si="43"/>
        <v>0</v>
      </c>
      <c r="O463" s="189">
        <v>7.0000000000000007E-2</v>
      </c>
      <c r="P463" s="170">
        <f t="shared" si="44"/>
        <v>0</v>
      </c>
    </row>
    <row r="464" spans="1:16">
      <c r="A464" s="157"/>
      <c r="B464" s="463"/>
      <c r="C464" s="222"/>
      <c r="D464" s="3464"/>
      <c r="E464" s="145"/>
      <c r="F464" s="61"/>
      <c r="G464" s="223"/>
      <c r="H464" s="224"/>
      <c r="I464" s="225"/>
      <c r="J464" s="209"/>
      <c r="K464" s="244"/>
      <c r="M464" s="188">
        <v>14244.12</v>
      </c>
      <c r="N464" s="188">
        <f t="shared" si="43"/>
        <v>13816.796400000001</v>
      </c>
      <c r="O464" s="189">
        <v>7.0000000000000007E-2</v>
      </c>
      <c r="P464" s="170">
        <f t="shared" si="44"/>
        <v>14783.972148000001</v>
      </c>
    </row>
    <row r="465" spans="1:16">
      <c r="A465" s="157"/>
      <c r="B465" s="433"/>
      <c r="C465" s="63"/>
      <c r="D465" s="199"/>
      <c r="E465" s="145"/>
      <c r="F465" s="61"/>
      <c r="G465" s="206"/>
      <c r="H465" s="74"/>
      <c r="I465" s="183"/>
      <c r="J465" s="175"/>
      <c r="K465" s="197"/>
      <c r="L465" s="194"/>
      <c r="M465" s="188">
        <v>3240</v>
      </c>
      <c r="N465" s="188">
        <f t="shared" si="43"/>
        <v>3142.8</v>
      </c>
      <c r="O465" s="189">
        <v>7.0000000000000007E-2</v>
      </c>
      <c r="P465" s="170">
        <f t="shared" si="44"/>
        <v>3362.7960000000003</v>
      </c>
    </row>
    <row r="466" spans="1:16">
      <c r="A466" s="157"/>
      <c r="B466" s="433"/>
      <c r="C466" s="63"/>
      <c r="D466" s="199"/>
      <c r="E466" s="145"/>
      <c r="F466" s="61"/>
      <c r="G466" s="206"/>
      <c r="H466" s="74"/>
      <c r="I466" s="183"/>
      <c r="J466" s="175"/>
      <c r="K466" s="197"/>
      <c r="L466" s="194"/>
      <c r="M466" s="188">
        <v>14700</v>
      </c>
      <c r="N466" s="188">
        <f t="shared" si="43"/>
        <v>14259</v>
      </c>
      <c r="O466" s="189">
        <v>7.0000000000000007E-2</v>
      </c>
      <c r="P466" s="170">
        <f t="shared" si="44"/>
        <v>15257.130000000001</v>
      </c>
    </row>
    <row r="467" spans="1:16">
      <c r="A467" s="157"/>
      <c r="B467" s="433"/>
      <c r="C467" s="222"/>
      <c r="D467" s="3464"/>
      <c r="E467" s="237"/>
      <c r="F467" s="238"/>
      <c r="G467" s="223"/>
      <c r="H467" s="224"/>
      <c r="I467" s="225"/>
      <c r="J467" s="209"/>
      <c r="K467" s="226"/>
      <c r="L467" s="229"/>
      <c r="M467" s="188">
        <v>14582.7</v>
      </c>
      <c r="N467" s="188">
        <f t="shared" si="43"/>
        <v>14145.219000000001</v>
      </c>
      <c r="O467" s="189">
        <v>7.0000000000000007E-2</v>
      </c>
      <c r="P467" s="170">
        <f t="shared" si="44"/>
        <v>15135.384330000001</v>
      </c>
    </row>
    <row r="468" spans="1:16">
      <c r="A468" s="157"/>
      <c r="B468" s="433"/>
      <c r="C468" s="63"/>
      <c r="D468" s="199"/>
      <c r="E468" s="145"/>
      <c r="F468" s="61"/>
      <c r="G468" s="206"/>
      <c r="H468" s="74"/>
      <c r="I468" s="183"/>
      <c r="J468" s="175"/>
      <c r="K468" s="197"/>
      <c r="L468" s="229"/>
      <c r="M468" s="188">
        <v>13483.8</v>
      </c>
      <c r="N468" s="188">
        <f t="shared" si="43"/>
        <v>13079.286</v>
      </c>
      <c r="O468" s="189">
        <v>7.0000000000000007E-2</v>
      </c>
      <c r="P468" s="170">
        <f t="shared" si="44"/>
        <v>13994.836020000001</v>
      </c>
    </row>
    <row r="469" spans="1:16">
      <c r="A469" s="157"/>
      <c r="B469" s="139"/>
      <c r="C469" s="222"/>
      <c r="D469" s="3464"/>
      <c r="E469" s="145"/>
      <c r="F469" s="61"/>
      <c r="G469" s="223"/>
      <c r="H469" s="224"/>
      <c r="I469" s="225"/>
      <c r="J469" s="209"/>
      <c r="K469" s="226"/>
      <c r="L469" s="229"/>
      <c r="M469" s="188">
        <v>2669.52</v>
      </c>
      <c r="N469" s="188">
        <f t="shared" si="43"/>
        <v>2589.4344000000001</v>
      </c>
      <c r="O469" s="189">
        <v>7.0000000000000007E-2</v>
      </c>
      <c r="P469" s="170">
        <f t="shared" si="44"/>
        <v>2770.6948080000002</v>
      </c>
    </row>
    <row r="470" spans="1:16">
      <c r="A470" s="157"/>
      <c r="B470" s="139"/>
      <c r="C470" s="222"/>
      <c r="D470" s="3464"/>
      <c r="E470" s="145"/>
      <c r="F470" s="61"/>
      <c r="G470" s="223"/>
      <c r="H470" s="224"/>
      <c r="I470" s="225"/>
      <c r="J470" s="209"/>
      <c r="K470" s="226"/>
      <c r="L470" s="229"/>
      <c r="N470" s="188">
        <f t="shared" si="43"/>
        <v>0</v>
      </c>
      <c r="O470" s="189">
        <v>7.0000000000000007E-2</v>
      </c>
      <c r="P470" s="170">
        <f t="shared" si="44"/>
        <v>0</v>
      </c>
    </row>
    <row r="471" spans="1:16">
      <c r="A471" s="221"/>
      <c r="B471" s="457"/>
      <c r="C471" s="222"/>
      <c r="D471" s="3464"/>
      <c r="E471" s="145"/>
      <c r="F471" s="61"/>
      <c r="G471" s="223"/>
      <c r="H471" s="224"/>
      <c r="I471" s="225"/>
      <c r="J471" s="209"/>
      <c r="K471" s="226"/>
      <c r="L471" s="229"/>
      <c r="M471" s="188">
        <v>12972.96</v>
      </c>
      <c r="N471" s="188">
        <f t="shared" si="43"/>
        <v>12583.771199999999</v>
      </c>
      <c r="O471" s="189">
        <v>7.0000000000000007E-2</v>
      </c>
      <c r="P471" s="170">
        <f t="shared" si="44"/>
        <v>13464.635183999999</v>
      </c>
    </row>
    <row r="472" spans="1:16">
      <c r="A472" s="157"/>
      <c r="B472" s="139"/>
      <c r="C472" s="63"/>
      <c r="D472" s="199"/>
      <c r="E472" s="145"/>
      <c r="F472" s="61"/>
      <c r="G472" s="206"/>
      <c r="H472" s="74"/>
      <c r="I472" s="183"/>
      <c r="J472" s="209"/>
      <c r="K472" s="197"/>
      <c r="L472" s="229"/>
      <c r="M472" s="188">
        <v>12687.84</v>
      </c>
      <c r="N472" s="188">
        <f t="shared" si="43"/>
        <v>12307.2048</v>
      </c>
      <c r="O472" s="189">
        <v>7.0000000000000007E-2</v>
      </c>
      <c r="P472" s="170">
        <f t="shared" si="44"/>
        <v>13168.709135999999</v>
      </c>
    </row>
    <row r="473" spans="1:16">
      <c r="A473" s="157"/>
      <c r="B473" s="139"/>
      <c r="C473" s="63"/>
      <c r="D473" s="199"/>
      <c r="E473" s="145"/>
      <c r="F473" s="61"/>
      <c r="G473" s="206"/>
      <c r="H473" s="74"/>
      <c r="I473" s="183"/>
      <c r="J473" s="175"/>
      <c r="K473" s="197"/>
      <c r="L473" s="194"/>
      <c r="M473" s="188">
        <v>16572.599999999999</v>
      </c>
      <c r="N473" s="188">
        <f t="shared" si="43"/>
        <v>16075.421999999999</v>
      </c>
      <c r="O473" s="189">
        <v>7.0000000000000007E-2</v>
      </c>
      <c r="P473" s="170">
        <f t="shared" si="44"/>
        <v>17200.701539999998</v>
      </c>
    </row>
    <row r="474" spans="1:16">
      <c r="A474" s="157"/>
      <c r="B474" s="139"/>
      <c r="C474" s="63"/>
      <c r="D474" s="199"/>
      <c r="E474" s="90"/>
      <c r="F474" s="61"/>
      <c r="G474" s="206"/>
      <c r="H474" s="74"/>
      <c r="I474" s="203"/>
      <c r="J474" s="175"/>
      <c r="K474" s="197"/>
      <c r="L474" s="194"/>
      <c r="M474" s="188">
        <v>6021.12</v>
      </c>
      <c r="N474" s="188">
        <f>M474-(M474*0.03)</f>
        <v>5840.4863999999998</v>
      </c>
      <c r="O474" s="189">
        <v>7.0000000000000007E-2</v>
      </c>
      <c r="P474" s="170">
        <f>(N474*O474)+N474</f>
        <v>6249.3204479999995</v>
      </c>
    </row>
    <row r="475" spans="1:16">
      <c r="A475" s="157"/>
      <c r="B475" s="139"/>
      <c r="C475" s="63"/>
      <c r="D475" s="199"/>
      <c r="E475" s="90"/>
      <c r="F475" s="61"/>
      <c r="G475" s="206"/>
      <c r="H475" s="74"/>
      <c r="I475" s="183"/>
      <c r="J475" s="175"/>
      <c r="K475" s="197"/>
      <c r="L475" s="194"/>
      <c r="M475" s="188">
        <v>8714.16</v>
      </c>
      <c r="N475" s="188">
        <f>M475-(M475*0.03)</f>
        <v>8452.7351999999992</v>
      </c>
      <c r="O475" s="189">
        <v>7.0000000000000007E-2</v>
      </c>
      <c r="P475" s="170">
        <f>(N475*O475)+N475</f>
        <v>9044.4266639999987</v>
      </c>
    </row>
    <row r="476" spans="1:16">
      <c r="A476" s="157"/>
      <c r="B476" s="139"/>
      <c r="C476" s="63"/>
      <c r="D476" s="199"/>
      <c r="E476" s="90"/>
      <c r="F476" s="61"/>
      <c r="G476" s="206"/>
      <c r="H476" s="74"/>
      <c r="I476" s="183"/>
      <c r="J476" s="175"/>
      <c r="K476" s="197"/>
      <c r="L476" s="194"/>
      <c r="M476" s="188">
        <v>0</v>
      </c>
      <c r="N476" s="188">
        <f>M476-(M476*0.03)</f>
        <v>0</v>
      </c>
      <c r="O476" s="189">
        <v>7.0000000000000007E-2</v>
      </c>
      <c r="P476" s="170">
        <f t="shared" ref="P476:P482" si="45">(N476*O476)+N476</f>
        <v>0</v>
      </c>
    </row>
    <row r="477" spans="1:16">
      <c r="A477" s="157"/>
      <c r="B477" s="139"/>
      <c r="C477" s="63"/>
      <c r="D477" s="199"/>
      <c r="E477" s="90"/>
      <c r="F477" s="61"/>
      <c r="G477" s="206"/>
      <c r="H477" s="74"/>
      <c r="I477" s="183"/>
      <c r="J477" s="175"/>
      <c r="K477" s="197"/>
      <c r="L477" s="194"/>
      <c r="M477" s="188">
        <v>18537.7</v>
      </c>
      <c r="N477" s="188">
        <f>M477-(M477*0.03)</f>
        <v>17981.569</v>
      </c>
      <c r="O477" s="189">
        <v>7.0000000000000007E-2</v>
      </c>
      <c r="P477" s="170">
        <f t="shared" si="45"/>
        <v>19240.278829999999</v>
      </c>
    </row>
    <row r="478" spans="1:16">
      <c r="A478" s="158"/>
      <c r="B478" s="139"/>
      <c r="C478" s="63"/>
      <c r="D478" s="199"/>
      <c r="E478" s="91"/>
      <c r="F478" s="61"/>
      <c r="G478" s="206"/>
      <c r="H478" s="74"/>
      <c r="I478" s="183"/>
      <c r="J478" s="175"/>
      <c r="K478" s="197"/>
      <c r="L478" s="194"/>
      <c r="M478" s="188">
        <v>9031.68</v>
      </c>
      <c r="N478" s="188">
        <f t="shared" ref="N478:N490" si="46">M478-(M478*0.03)</f>
        <v>8760.7296000000006</v>
      </c>
      <c r="O478" s="189">
        <v>7.0000000000000007E-2</v>
      </c>
      <c r="P478" s="170">
        <f t="shared" si="45"/>
        <v>9373.9806720000015</v>
      </c>
    </row>
    <row r="479" spans="1:16">
      <c r="A479" s="200"/>
      <c r="B479" s="139"/>
      <c r="C479" s="63"/>
      <c r="D479" s="199"/>
      <c r="E479" s="153"/>
      <c r="F479" s="61"/>
      <c r="G479" s="206"/>
      <c r="H479" s="88"/>
      <c r="I479" s="184"/>
      <c r="J479" s="201"/>
      <c r="K479" s="202"/>
      <c r="L479" s="194"/>
      <c r="N479" s="188">
        <f t="shared" si="46"/>
        <v>0</v>
      </c>
      <c r="O479" s="189">
        <v>7.0000000000000007E-2</v>
      </c>
      <c r="P479" s="170">
        <f t="shared" si="45"/>
        <v>0</v>
      </c>
    </row>
    <row r="480" spans="1:16">
      <c r="A480" s="157"/>
      <c r="B480" s="139"/>
      <c r="C480" s="63"/>
      <c r="D480" s="199"/>
      <c r="E480" s="198"/>
      <c r="F480" s="61"/>
      <c r="G480" s="206"/>
      <c r="H480" s="74"/>
      <c r="I480" s="183"/>
      <c r="J480" s="175"/>
      <c r="K480" s="197"/>
      <c r="L480" s="194"/>
      <c r="M480" s="188">
        <v>8478.9599999999991</v>
      </c>
      <c r="N480" s="188">
        <f t="shared" si="46"/>
        <v>8224.5911999999989</v>
      </c>
      <c r="O480" s="189">
        <v>7.0000000000000007E-2</v>
      </c>
      <c r="P480" s="170">
        <f t="shared" si="45"/>
        <v>8800.3125839999993</v>
      </c>
    </row>
    <row r="481" spans="1:16">
      <c r="A481" s="157"/>
      <c r="B481" s="139"/>
      <c r="C481" s="63"/>
      <c r="D481" s="199"/>
      <c r="E481" s="142"/>
      <c r="F481" s="61"/>
      <c r="G481" s="206"/>
      <c r="H481" s="74"/>
      <c r="I481" s="183"/>
      <c r="J481" s="175"/>
      <c r="K481" s="197"/>
      <c r="L481" s="194"/>
      <c r="M481" s="188">
        <v>11122.62</v>
      </c>
      <c r="N481" s="188">
        <f t="shared" si="46"/>
        <v>10788.941400000002</v>
      </c>
      <c r="O481" s="189">
        <v>7.0000000000000007E-2</v>
      </c>
      <c r="P481" s="170">
        <f t="shared" si="45"/>
        <v>11544.167298000002</v>
      </c>
    </row>
    <row r="482" spans="1:16">
      <c r="A482" s="157"/>
      <c r="B482" s="139"/>
      <c r="C482" s="63"/>
      <c r="D482" s="196"/>
      <c r="E482" s="120"/>
      <c r="F482" s="121"/>
      <c r="G482" s="206"/>
      <c r="H482" s="115"/>
      <c r="I482" s="185"/>
      <c r="J482" s="175"/>
      <c r="K482" s="197"/>
      <c r="L482" s="194"/>
      <c r="M482" s="188">
        <v>3813.12</v>
      </c>
      <c r="N482" s="188">
        <f t="shared" si="46"/>
        <v>3698.7264</v>
      </c>
      <c r="O482" s="189">
        <v>7.0000000000000007E-2</v>
      </c>
      <c r="P482" s="170">
        <f t="shared" si="45"/>
        <v>3957.637248</v>
      </c>
    </row>
    <row r="483" spans="1:16">
      <c r="A483" s="157"/>
      <c r="B483" s="139"/>
      <c r="C483" s="63"/>
      <c r="D483" s="196"/>
      <c r="E483" s="249"/>
      <c r="F483" s="121"/>
      <c r="G483" s="206"/>
      <c r="H483" s="115"/>
      <c r="I483" s="185"/>
      <c r="J483" s="175"/>
      <c r="K483" s="197"/>
      <c r="L483" s="194"/>
    </row>
    <row r="484" spans="1:16">
      <c r="A484" s="157"/>
      <c r="B484" s="139"/>
      <c r="C484" s="63"/>
      <c r="D484" s="196"/>
      <c r="E484" s="249"/>
      <c r="F484" s="121"/>
      <c r="G484" s="206"/>
      <c r="H484" s="115"/>
      <c r="I484" s="185"/>
      <c r="J484" s="175"/>
      <c r="K484" s="197"/>
      <c r="L484" s="194"/>
    </row>
    <row r="485" spans="1:16">
      <c r="A485" s="157"/>
      <c r="B485" s="139"/>
      <c r="C485" s="63"/>
      <c r="D485" s="196"/>
      <c r="E485" s="249"/>
      <c r="F485" s="121"/>
      <c r="G485" s="206"/>
      <c r="H485" s="115"/>
      <c r="I485" s="185"/>
      <c r="J485" s="175"/>
      <c r="K485" s="197"/>
      <c r="L485" s="194"/>
    </row>
    <row r="486" spans="1:16">
      <c r="A486" s="157"/>
      <c r="B486" s="139"/>
      <c r="C486" s="63"/>
      <c r="D486" s="196"/>
      <c r="E486" s="249"/>
      <c r="F486" s="121"/>
      <c r="G486" s="206"/>
      <c r="H486" s="115"/>
      <c r="I486" s="185"/>
      <c r="J486" s="175"/>
      <c r="K486" s="197"/>
      <c r="L486" s="194"/>
    </row>
    <row r="487" spans="1:16">
      <c r="A487" s="157"/>
      <c r="B487" s="139"/>
      <c r="C487" s="63"/>
      <c r="D487" s="196"/>
      <c r="E487" s="249"/>
      <c r="F487" s="121"/>
      <c r="G487" s="206"/>
      <c r="H487" s="115"/>
      <c r="I487" s="185"/>
      <c r="J487" s="175"/>
      <c r="K487" s="197"/>
      <c r="L487" s="194"/>
    </row>
    <row r="488" spans="1:16">
      <c r="A488" s="157"/>
      <c r="B488" s="139"/>
      <c r="C488" s="63"/>
      <c r="D488" s="196"/>
      <c r="E488" s="249"/>
      <c r="F488" s="121"/>
      <c r="G488" s="206"/>
      <c r="H488" s="115"/>
      <c r="I488" s="185"/>
      <c r="J488" s="175"/>
      <c r="K488" s="197"/>
      <c r="L488" s="194"/>
    </row>
    <row r="489" spans="1:16">
      <c r="A489" s="157"/>
      <c r="B489" s="139"/>
      <c r="C489" s="63"/>
      <c r="D489" s="196"/>
      <c r="E489" s="142"/>
      <c r="F489" s="61"/>
      <c r="G489" s="206"/>
      <c r="H489" s="74"/>
      <c r="I489" s="183"/>
      <c r="J489" s="175"/>
      <c r="K489" s="197"/>
      <c r="L489" s="194"/>
    </row>
    <row r="490" spans="1:16">
      <c r="A490" s="157"/>
      <c r="B490" s="460"/>
      <c r="C490" s="63"/>
      <c r="D490" s="196"/>
      <c r="E490" s="142"/>
      <c r="F490" s="61"/>
      <c r="G490" s="206"/>
      <c r="H490" s="74"/>
      <c r="I490" s="183"/>
      <c r="J490" s="175"/>
      <c r="K490" s="197"/>
      <c r="L490" s="194"/>
      <c r="M490" s="188">
        <v>8640</v>
      </c>
      <c r="N490" s="188">
        <f t="shared" si="46"/>
        <v>8380.7999999999993</v>
      </c>
      <c r="O490" s="189">
        <v>7.0000000000000007E-2</v>
      </c>
      <c r="P490" s="170">
        <f>(N490*O490)+N490</f>
        <v>8967.4559999999983</v>
      </c>
    </row>
    <row r="491" spans="1:16">
      <c r="A491" s="160"/>
      <c r="B491" s="139"/>
      <c r="C491" s="63"/>
      <c r="D491" s="196"/>
      <c r="E491" s="120"/>
      <c r="F491" s="121"/>
      <c r="G491" s="206"/>
      <c r="H491" s="115"/>
      <c r="I491" s="185"/>
      <c r="J491" s="174"/>
      <c r="K491" s="195"/>
      <c r="L491" s="194"/>
    </row>
    <row r="492" spans="1:16">
      <c r="F492" s="68"/>
    </row>
    <row r="493" spans="1:16">
      <c r="A493" s="44" t="s">
        <v>0</v>
      </c>
      <c r="C493" s="104"/>
      <c r="F493" s="68"/>
      <c r="I493" s="179"/>
      <c r="K493" s="163"/>
      <c r="L493" s="168"/>
    </row>
    <row r="494" spans="1:16">
      <c r="A494" s="3480" t="s">
        <v>2512</v>
      </c>
      <c r="B494" s="3480"/>
      <c r="C494" s="44"/>
      <c r="D494" s="109"/>
      <c r="F494" s="68"/>
      <c r="I494" s="179"/>
      <c r="K494" s="163"/>
      <c r="L494" s="168"/>
    </row>
    <row r="495" spans="1:16" ht="35.25" thickBot="1">
      <c r="F495" s="68"/>
    </row>
    <row r="496" spans="1:16">
      <c r="A496" s="3493" t="s">
        <v>2</v>
      </c>
      <c r="B496" s="3482"/>
      <c r="C496" s="48" t="s">
        <v>3</v>
      </c>
      <c r="D496" s="128" t="s">
        <v>4</v>
      </c>
      <c r="E496" s="77" t="s">
        <v>5</v>
      </c>
      <c r="F496" s="78" t="s">
        <v>5</v>
      </c>
      <c r="G496" s="211" t="s">
        <v>6</v>
      </c>
      <c r="H496" s="140" t="s">
        <v>7</v>
      </c>
      <c r="I496" s="180" t="s">
        <v>1511</v>
      </c>
      <c r="J496" s="172" t="s">
        <v>9</v>
      </c>
      <c r="K496" s="186" t="s">
        <v>9</v>
      </c>
      <c r="L496" s="192" t="s">
        <v>2495</v>
      </c>
      <c r="M496" s="190"/>
    </row>
    <row r="497" spans="1:16" ht="35.25" thickBot="1">
      <c r="A497" s="155"/>
      <c r="B497" s="494"/>
      <c r="C497" s="50"/>
      <c r="D497" s="129" t="s">
        <v>10</v>
      </c>
      <c r="E497" s="79" t="s">
        <v>11</v>
      </c>
      <c r="F497" s="80" t="s">
        <v>12</v>
      </c>
      <c r="G497" s="212"/>
      <c r="H497" s="141" t="s">
        <v>13</v>
      </c>
      <c r="I497" s="181" t="s">
        <v>1512</v>
      </c>
      <c r="J497" s="173" t="s">
        <v>15</v>
      </c>
      <c r="K497" s="187" t="s">
        <v>14</v>
      </c>
      <c r="L497" s="193" t="s">
        <v>2496</v>
      </c>
      <c r="M497" s="190"/>
    </row>
    <row r="498" spans="1:16">
      <c r="A498" s="156"/>
      <c r="B498" s="139"/>
      <c r="C498" s="63"/>
      <c r="D498" s="199"/>
      <c r="E498" s="143"/>
      <c r="F498" s="69"/>
      <c r="G498" s="206"/>
      <c r="H498" s="74"/>
      <c r="I498" s="183"/>
      <c r="J498" s="175"/>
      <c r="K498" s="172"/>
      <c r="L498" s="194"/>
      <c r="M498" s="188">
        <v>3552</v>
      </c>
      <c r="N498" s="188">
        <f t="shared" ref="N498:N514" si="47">M498-(M498*0.03)</f>
        <v>3445.44</v>
      </c>
      <c r="O498" s="189">
        <v>7.0000000000000007E-2</v>
      </c>
      <c r="P498" s="170">
        <f t="shared" ref="P498:P514" si="48">(N498*O498)+N498</f>
        <v>3686.6208000000001</v>
      </c>
    </row>
    <row r="499" spans="1:16">
      <c r="A499" s="157"/>
      <c r="B499" s="139"/>
      <c r="C499" s="63"/>
      <c r="D499" s="199"/>
      <c r="E499" s="145"/>
      <c r="F499" s="61"/>
      <c r="G499" s="206"/>
      <c r="H499" s="74"/>
      <c r="I499" s="183"/>
      <c r="J499" s="175"/>
      <c r="K499" s="176"/>
      <c r="L499" s="194"/>
      <c r="N499" s="188">
        <f t="shared" si="47"/>
        <v>0</v>
      </c>
      <c r="O499" s="189">
        <v>7.0000000000000007E-2</v>
      </c>
      <c r="P499" s="170">
        <f t="shared" si="48"/>
        <v>0</v>
      </c>
    </row>
    <row r="500" spans="1:16">
      <c r="A500" s="157"/>
      <c r="B500" s="463"/>
      <c r="C500" s="63"/>
      <c r="D500" s="199"/>
      <c r="E500" s="145"/>
      <c r="F500" s="61"/>
      <c r="G500" s="206"/>
      <c r="H500" s="74"/>
      <c r="I500" s="183"/>
      <c r="J500" s="175"/>
      <c r="K500" s="245"/>
      <c r="L500" s="194"/>
      <c r="M500" s="188">
        <v>9498.06</v>
      </c>
      <c r="N500" s="188">
        <f t="shared" si="47"/>
        <v>9213.118199999999</v>
      </c>
      <c r="O500" s="189">
        <v>7.0000000000000007E-2</v>
      </c>
      <c r="P500" s="170">
        <f t="shared" si="48"/>
        <v>9858.0364739999986</v>
      </c>
    </row>
    <row r="501" spans="1:16">
      <c r="A501" s="157"/>
      <c r="B501" s="463"/>
      <c r="C501" s="63"/>
      <c r="D501" s="199"/>
      <c r="E501" s="145"/>
      <c r="F501" s="61"/>
      <c r="G501" s="206"/>
      <c r="H501" s="74"/>
      <c r="I501" s="183"/>
      <c r="J501" s="175"/>
      <c r="K501" s="197"/>
      <c r="L501" s="194"/>
      <c r="M501" s="188">
        <v>15305.4</v>
      </c>
      <c r="N501" s="188">
        <f t="shared" si="47"/>
        <v>14846.237999999999</v>
      </c>
      <c r="O501" s="189">
        <v>7.0000000000000007E-2</v>
      </c>
      <c r="P501" s="170">
        <f t="shared" si="48"/>
        <v>15885.47466</v>
      </c>
    </row>
    <row r="502" spans="1:16">
      <c r="A502" s="157"/>
      <c r="B502" s="139"/>
      <c r="C502" s="63"/>
      <c r="D502" s="199"/>
      <c r="E502" s="145"/>
      <c r="F502" s="61"/>
      <c r="G502" s="206"/>
      <c r="H502" s="74"/>
      <c r="I502" s="183"/>
      <c r="J502" s="175"/>
      <c r="K502" s="197"/>
      <c r="L502" s="194"/>
      <c r="N502" s="188">
        <f t="shared" si="47"/>
        <v>0</v>
      </c>
      <c r="O502" s="189">
        <v>7.0000000000000007E-2</v>
      </c>
      <c r="P502" s="170">
        <f t="shared" si="48"/>
        <v>0</v>
      </c>
    </row>
    <row r="503" spans="1:16">
      <c r="A503" s="157"/>
      <c r="B503" s="139"/>
      <c r="C503" s="63"/>
      <c r="D503" s="199"/>
      <c r="E503" s="145"/>
      <c r="F503" s="61"/>
      <c r="G503" s="206"/>
      <c r="H503" s="74"/>
      <c r="I503" s="183"/>
      <c r="J503" s="175"/>
      <c r="K503" s="197"/>
      <c r="L503" s="194"/>
      <c r="N503" s="188">
        <f t="shared" si="47"/>
        <v>0</v>
      </c>
      <c r="O503" s="189">
        <v>7.0000000000000007E-2</v>
      </c>
      <c r="P503" s="170">
        <f t="shared" si="48"/>
        <v>0</v>
      </c>
    </row>
    <row r="504" spans="1:16">
      <c r="A504" s="157"/>
      <c r="B504" s="139"/>
      <c r="C504" s="63"/>
      <c r="D504" s="199"/>
      <c r="E504" s="145"/>
      <c r="F504" s="61"/>
      <c r="G504" s="206"/>
      <c r="H504" s="74"/>
      <c r="I504" s="183"/>
      <c r="J504" s="175"/>
      <c r="K504" s="197"/>
      <c r="L504" s="194"/>
      <c r="N504" s="188">
        <f t="shared" si="47"/>
        <v>0</v>
      </c>
      <c r="O504" s="189">
        <v>7.0000000000000007E-2</v>
      </c>
      <c r="P504" s="170">
        <f t="shared" si="48"/>
        <v>0</v>
      </c>
    </row>
    <row r="505" spans="1:16">
      <c r="A505" s="157"/>
      <c r="B505" s="463"/>
      <c r="C505" s="222"/>
      <c r="D505" s="3464"/>
      <c r="E505" s="145"/>
      <c r="F505" s="61"/>
      <c r="G505" s="223"/>
      <c r="H505" s="224"/>
      <c r="I505" s="225"/>
      <c r="J505" s="209"/>
      <c r="K505" s="244"/>
      <c r="M505" s="188">
        <v>14244.12</v>
      </c>
      <c r="N505" s="188">
        <f t="shared" si="47"/>
        <v>13816.796400000001</v>
      </c>
      <c r="O505" s="189">
        <v>7.0000000000000007E-2</v>
      </c>
      <c r="P505" s="170">
        <f t="shared" si="48"/>
        <v>14783.972148000001</v>
      </c>
    </row>
    <row r="506" spans="1:16">
      <c r="A506" s="157"/>
      <c r="B506" s="433"/>
      <c r="C506" s="63"/>
      <c r="D506" s="199"/>
      <c r="E506" s="145"/>
      <c r="F506" s="61"/>
      <c r="G506" s="206"/>
      <c r="H506" s="74"/>
      <c r="I506" s="183"/>
      <c r="J506" s="175"/>
      <c r="K506" s="197"/>
      <c r="L506" s="194"/>
      <c r="M506" s="188">
        <v>3240</v>
      </c>
      <c r="N506" s="188">
        <f t="shared" si="47"/>
        <v>3142.8</v>
      </c>
      <c r="O506" s="189">
        <v>7.0000000000000007E-2</v>
      </c>
      <c r="P506" s="170">
        <f t="shared" si="48"/>
        <v>3362.7960000000003</v>
      </c>
    </row>
    <row r="507" spans="1:16">
      <c r="A507" s="157"/>
      <c r="B507" s="433"/>
      <c r="C507" s="63"/>
      <c r="D507" s="199"/>
      <c r="E507" s="145"/>
      <c r="F507" s="61"/>
      <c r="G507" s="206"/>
      <c r="H507" s="74"/>
      <c r="I507" s="183"/>
      <c r="J507" s="175"/>
      <c r="K507" s="197"/>
      <c r="L507" s="194"/>
      <c r="M507" s="188">
        <v>14700</v>
      </c>
      <c r="N507" s="188">
        <f t="shared" si="47"/>
        <v>14259</v>
      </c>
      <c r="O507" s="189">
        <v>7.0000000000000007E-2</v>
      </c>
      <c r="P507" s="170">
        <f t="shared" si="48"/>
        <v>15257.130000000001</v>
      </c>
    </row>
    <row r="508" spans="1:16">
      <c r="A508" s="157"/>
      <c r="B508" s="433"/>
      <c r="C508" s="222"/>
      <c r="D508" s="3464"/>
      <c r="E508" s="237"/>
      <c r="F508" s="238"/>
      <c r="G508" s="223"/>
      <c r="H508" s="224"/>
      <c r="I508" s="225"/>
      <c r="J508" s="209"/>
      <c r="K508" s="226"/>
      <c r="L508" s="229"/>
      <c r="M508" s="188">
        <v>14582.7</v>
      </c>
      <c r="N508" s="188">
        <f t="shared" si="47"/>
        <v>14145.219000000001</v>
      </c>
      <c r="O508" s="189">
        <v>7.0000000000000007E-2</v>
      </c>
      <c r="P508" s="170">
        <f t="shared" si="48"/>
        <v>15135.384330000001</v>
      </c>
    </row>
    <row r="509" spans="1:16">
      <c r="A509" s="157"/>
      <c r="B509" s="433"/>
      <c r="C509" s="63"/>
      <c r="D509" s="199"/>
      <c r="E509" s="145"/>
      <c r="F509" s="61"/>
      <c r="G509" s="206"/>
      <c r="H509" s="74"/>
      <c r="I509" s="183"/>
      <c r="J509" s="175"/>
      <c r="K509" s="197"/>
      <c r="L509" s="229"/>
      <c r="M509" s="188">
        <v>13483.8</v>
      </c>
      <c r="N509" s="188">
        <f t="shared" si="47"/>
        <v>13079.286</v>
      </c>
      <c r="O509" s="189">
        <v>7.0000000000000007E-2</v>
      </c>
      <c r="P509" s="170">
        <f t="shared" si="48"/>
        <v>13994.836020000001</v>
      </c>
    </row>
    <row r="510" spans="1:16">
      <c r="A510" s="157"/>
      <c r="B510" s="139"/>
      <c r="C510" s="222"/>
      <c r="D510" s="3464"/>
      <c r="E510" s="145"/>
      <c r="F510" s="61"/>
      <c r="G510" s="223"/>
      <c r="H510" s="224"/>
      <c r="I510" s="225"/>
      <c r="J510" s="209"/>
      <c r="K510" s="226"/>
      <c r="L510" s="229"/>
      <c r="M510" s="188">
        <v>2669.52</v>
      </c>
      <c r="N510" s="188">
        <f t="shared" si="47"/>
        <v>2589.4344000000001</v>
      </c>
      <c r="O510" s="189">
        <v>7.0000000000000007E-2</v>
      </c>
      <c r="P510" s="170">
        <f t="shared" si="48"/>
        <v>2770.6948080000002</v>
      </c>
    </row>
    <row r="511" spans="1:16">
      <c r="A511" s="157"/>
      <c r="B511" s="139"/>
      <c r="C511" s="222"/>
      <c r="D511" s="3464"/>
      <c r="E511" s="145"/>
      <c r="F511" s="61"/>
      <c r="G511" s="223"/>
      <c r="H511" s="224"/>
      <c r="I511" s="225"/>
      <c r="J511" s="209"/>
      <c r="K511" s="226"/>
      <c r="L511" s="229"/>
      <c r="N511" s="188">
        <f t="shared" si="47"/>
        <v>0</v>
      </c>
      <c r="O511" s="189">
        <v>7.0000000000000007E-2</v>
      </c>
      <c r="P511" s="170">
        <f t="shared" si="48"/>
        <v>0</v>
      </c>
    </row>
    <row r="512" spans="1:16">
      <c r="A512" s="221"/>
      <c r="B512" s="457"/>
      <c r="C512" s="222"/>
      <c r="D512" s="3464"/>
      <c r="E512" s="145"/>
      <c r="F512" s="61"/>
      <c r="G512" s="223"/>
      <c r="H512" s="224"/>
      <c r="I512" s="225"/>
      <c r="J512" s="209"/>
      <c r="K512" s="226"/>
      <c r="L512" s="229"/>
      <c r="M512" s="188">
        <v>12972.96</v>
      </c>
      <c r="N512" s="188">
        <f t="shared" si="47"/>
        <v>12583.771199999999</v>
      </c>
      <c r="O512" s="189">
        <v>7.0000000000000007E-2</v>
      </c>
      <c r="P512" s="170">
        <f t="shared" si="48"/>
        <v>13464.635183999999</v>
      </c>
    </row>
    <row r="513" spans="1:16">
      <c r="A513" s="157"/>
      <c r="B513" s="139"/>
      <c r="C513" s="63"/>
      <c r="D513" s="199"/>
      <c r="E513" s="145"/>
      <c r="F513" s="61"/>
      <c r="G513" s="206"/>
      <c r="H513" s="74"/>
      <c r="I513" s="183"/>
      <c r="J513" s="209"/>
      <c r="K513" s="197"/>
      <c r="L513" s="229"/>
      <c r="M513" s="188">
        <v>12687.84</v>
      </c>
      <c r="N513" s="188">
        <f t="shared" si="47"/>
        <v>12307.2048</v>
      </c>
      <c r="O513" s="189">
        <v>7.0000000000000007E-2</v>
      </c>
      <c r="P513" s="170">
        <f t="shared" si="48"/>
        <v>13168.709135999999</v>
      </c>
    </row>
    <row r="514" spans="1:16">
      <c r="A514" s="157"/>
      <c r="B514" s="139"/>
      <c r="C514" s="63"/>
      <c r="D514" s="199"/>
      <c r="E514" s="145"/>
      <c r="F514" s="61"/>
      <c r="G514" s="206"/>
      <c r="H514" s="74"/>
      <c r="I514" s="183"/>
      <c r="J514" s="175"/>
      <c r="K514" s="197"/>
      <c r="L514" s="194"/>
      <c r="M514" s="188">
        <v>16572.599999999999</v>
      </c>
      <c r="N514" s="188">
        <f t="shared" si="47"/>
        <v>16075.421999999999</v>
      </c>
      <c r="O514" s="189">
        <v>7.0000000000000007E-2</v>
      </c>
      <c r="P514" s="170">
        <f t="shared" si="48"/>
        <v>17200.701539999998</v>
      </c>
    </row>
    <row r="515" spans="1:16">
      <c r="A515" s="157"/>
      <c r="B515" s="139"/>
      <c r="C515" s="63"/>
      <c r="D515" s="199"/>
      <c r="E515" s="90"/>
      <c r="F515" s="61"/>
      <c r="G515" s="206"/>
      <c r="H515" s="74"/>
      <c r="I515" s="203"/>
      <c r="J515" s="175"/>
      <c r="K515" s="197"/>
      <c r="L515" s="194"/>
      <c r="M515" s="188">
        <v>6021.12</v>
      </c>
      <c r="N515" s="188">
        <f>M515-(M515*0.03)</f>
        <v>5840.4863999999998</v>
      </c>
      <c r="O515" s="189">
        <v>7.0000000000000007E-2</v>
      </c>
      <c r="P515" s="170">
        <f>(N515*O515)+N515</f>
        <v>6249.3204479999995</v>
      </c>
    </row>
    <row r="516" spans="1:16">
      <c r="A516" s="157"/>
      <c r="B516" s="139"/>
      <c r="C516" s="63"/>
      <c r="D516" s="199"/>
      <c r="E516" s="90"/>
      <c r="F516" s="61"/>
      <c r="G516" s="206"/>
      <c r="H516" s="74"/>
      <c r="I516" s="183"/>
      <c r="J516" s="175"/>
      <c r="K516" s="197"/>
      <c r="L516" s="194"/>
      <c r="M516" s="188">
        <v>8714.16</v>
      </c>
      <c r="N516" s="188">
        <f>M516-(M516*0.03)</f>
        <v>8452.7351999999992</v>
      </c>
      <c r="O516" s="189">
        <v>7.0000000000000007E-2</v>
      </c>
      <c r="P516" s="170">
        <f>(N516*O516)+N516</f>
        <v>9044.4266639999987</v>
      </c>
    </row>
    <row r="517" spans="1:16">
      <c r="A517" s="157"/>
      <c r="B517" s="139"/>
      <c r="C517" s="63"/>
      <c r="D517" s="199"/>
      <c r="E517" s="90"/>
      <c r="F517" s="61"/>
      <c r="G517" s="206"/>
      <c r="H517" s="74"/>
      <c r="I517" s="183"/>
      <c r="J517" s="175"/>
      <c r="K517" s="197"/>
      <c r="L517" s="194"/>
      <c r="M517" s="188">
        <v>0</v>
      </c>
      <c r="N517" s="188">
        <f>M517-(M517*0.03)</f>
        <v>0</v>
      </c>
      <c r="O517" s="189">
        <v>7.0000000000000007E-2</v>
      </c>
      <c r="P517" s="170">
        <f t="shared" ref="P517:P523" si="49">(N517*O517)+N517</f>
        <v>0</v>
      </c>
    </row>
    <row r="518" spans="1:16">
      <c r="A518" s="157"/>
      <c r="B518" s="139"/>
      <c r="C518" s="63"/>
      <c r="D518" s="199"/>
      <c r="E518" s="90"/>
      <c r="F518" s="61"/>
      <c r="G518" s="206"/>
      <c r="H518" s="74"/>
      <c r="I518" s="183"/>
      <c r="J518" s="175"/>
      <c r="K518" s="197"/>
      <c r="L518" s="194"/>
      <c r="M518" s="188">
        <v>18537.7</v>
      </c>
      <c r="N518" s="188">
        <f>M518-(M518*0.03)</f>
        <v>17981.569</v>
      </c>
      <c r="O518" s="189">
        <v>7.0000000000000007E-2</v>
      </c>
      <c r="P518" s="170">
        <f t="shared" si="49"/>
        <v>19240.278829999999</v>
      </c>
    </row>
    <row r="519" spans="1:16">
      <c r="A519" s="158"/>
      <c r="B519" s="139"/>
      <c r="C519" s="63"/>
      <c r="D519" s="199"/>
      <c r="E519" s="91"/>
      <c r="F519" s="61"/>
      <c r="G519" s="206"/>
      <c r="H519" s="74"/>
      <c r="I519" s="183"/>
      <c r="J519" s="175"/>
      <c r="K519" s="197"/>
      <c r="L519" s="194"/>
      <c r="M519" s="188">
        <v>9031.68</v>
      </c>
      <c r="N519" s="188">
        <f t="shared" ref="N519:N531" si="50">M519-(M519*0.03)</f>
        <v>8760.7296000000006</v>
      </c>
      <c r="O519" s="189">
        <v>7.0000000000000007E-2</v>
      </c>
      <c r="P519" s="170">
        <f t="shared" si="49"/>
        <v>9373.9806720000015</v>
      </c>
    </row>
    <row r="520" spans="1:16">
      <c r="A520" s="200"/>
      <c r="B520" s="139"/>
      <c r="C520" s="63"/>
      <c r="D520" s="199"/>
      <c r="E520" s="153"/>
      <c r="F520" s="61"/>
      <c r="G520" s="206"/>
      <c r="H520" s="88"/>
      <c r="I520" s="184"/>
      <c r="J520" s="201"/>
      <c r="K520" s="202"/>
      <c r="L520" s="194"/>
      <c r="N520" s="188">
        <f t="shared" si="50"/>
        <v>0</v>
      </c>
      <c r="O520" s="189">
        <v>7.0000000000000007E-2</v>
      </c>
      <c r="P520" s="170">
        <f t="shared" si="49"/>
        <v>0</v>
      </c>
    </row>
    <row r="521" spans="1:16">
      <c r="A521" s="157"/>
      <c r="B521" s="139"/>
      <c r="C521" s="63"/>
      <c r="D521" s="199"/>
      <c r="E521" s="198"/>
      <c r="F521" s="61"/>
      <c r="G521" s="206"/>
      <c r="H521" s="74"/>
      <c r="I521" s="183"/>
      <c r="J521" s="175"/>
      <c r="K521" s="197"/>
      <c r="L521" s="194"/>
      <c r="M521" s="188">
        <v>8478.9599999999991</v>
      </c>
      <c r="N521" s="188">
        <f t="shared" si="50"/>
        <v>8224.5911999999989</v>
      </c>
      <c r="O521" s="189">
        <v>7.0000000000000007E-2</v>
      </c>
      <c r="P521" s="170">
        <f t="shared" si="49"/>
        <v>8800.3125839999993</v>
      </c>
    </row>
    <row r="522" spans="1:16">
      <c r="A522" s="157"/>
      <c r="B522" s="139"/>
      <c r="C522" s="63"/>
      <c r="D522" s="199"/>
      <c r="E522" s="142"/>
      <c r="F522" s="61"/>
      <c r="G522" s="206"/>
      <c r="H522" s="74"/>
      <c r="I522" s="183"/>
      <c r="J522" s="175"/>
      <c r="K522" s="197"/>
      <c r="L522" s="194"/>
      <c r="M522" s="188">
        <v>11122.62</v>
      </c>
      <c r="N522" s="188">
        <f t="shared" si="50"/>
        <v>10788.941400000002</v>
      </c>
      <c r="O522" s="189">
        <v>7.0000000000000007E-2</v>
      </c>
      <c r="P522" s="170">
        <f t="shared" si="49"/>
        <v>11544.167298000002</v>
      </c>
    </row>
    <row r="523" spans="1:16">
      <c r="A523" s="157"/>
      <c r="B523" s="139"/>
      <c r="C523" s="63"/>
      <c r="D523" s="196"/>
      <c r="E523" s="120"/>
      <c r="F523" s="121"/>
      <c r="G523" s="206"/>
      <c r="H523" s="115"/>
      <c r="I523" s="185"/>
      <c r="J523" s="175"/>
      <c r="K523" s="197"/>
      <c r="L523" s="194"/>
      <c r="M523" s="188">
        <v>3813.12</v>
      </c>
      <c r="N523" s="188">
        <f t="shared" si="50"/>
        <v>3698.7264</v>
      </c>
      <c r="O523" s="189">
        <v>7.0000000000000007E-2</v>
      </c>
      <c r="P523" s="170">
        <f t="shared" si="49"/>
        <v>3957.637248</v>
      </c>
    </row>
    <row r="524" spans="1:16">
      <c r="A524" s="157"/>
      <c r="B524" s="139"/>
      <c r="C524" s="63"/>
      <c r="D524" s="196"/>
      <c r="E524" s="249"/>
      <c r="F524" s="121"/>
      <c r="G524" s="206"/>
      <c r="H524" s="115"/>
      <c r="I524" s="185"/>
      <c r="J524" s="175"/>
      <c r="K524" s="197"/>
      <c r="L524" s="194"/>
    </row>
    <row r="525" spans="1:16">
      <c r="A525" s="157"/>
      <c r="B525" s="139"/>
      <c r="C525" s="63"/>
      <c r="D525" s="196"/>
      <c r="E525" s="249"/>
      <c r="F525" s="121"/>
      <c r="G525" s="206"/>
      <c r="H525" s="115"/>
      <c r="I525" s="185"/>
      <c r="J525" s="175"/>
      <c r="K525" s="197"/>
      <c r="L525" s="194"/>
    </row>
    <row r="526" spans="1:16">
      <c r="A526" s="157"/>
      <c r="B526" s="139"/>
      <c r="C526" s="63"/>
      <c r="D526" s="196"/>
      <c r="E526" s="249"/>
      <c r="F526" s="121"/>
      <c r="G526" s="206"/>
      <c r="H526" s="115"/>
      <c r="I526" s="185"/>
      <c r="J526" s="175"/>
      <c r="K526" s="197"/>
      <c r="L526" s="194"/>
    </row>
    <row r="527" spans="1:16">
      <c r="A527" s="157"/>
      <c r="B527" s="139"/>
      <c r="C527" s="63"/>
      <c r="D527" s="196"/>
      <c r="E527" s="249"/>
      <c r="F527" s="121"/>
      <c r="G527" s="206"/>
      <c r="H527" s="115"/>
      <c r="I527" s="185"/>
      <c r="J527" s="175"/>
      <c r="K527" s="197"/>
      <c r="L527" s="194"/>
    </row>
    <row r="528" spans="1:16">
      <c r="A528" s="157"/>
      <c r="B528" s="139"/>
      <c r="C528" s="63"/>
      <c r="D528" s="196"/>
      <c r="E528" s="249"/>
      <c r="F528" s="121"/>
      <c r="G528" s="206"/>
      <c r="H528" s="115"/>
      <c r="I528" s="185"/>
      <c r="J528" s="175"/>
      <c r="K528" s="197"/>
      <c r="L528" s="194"/>
    </row>
    <row r="529" spans="1:16">
      <c r="A529" s="157"/>
      <c r="B529" s="139"/>
      <c r="C529" s="63"/>
      <c r="D529" s="196"/>
      <c r="E529" s="249"/>
      <c r="F529" s="121"/>
      <c r="G529" s="206"/>
      <c r="H529" s="115"/>
      <c r="I529" s="185"/>
      <c r="J529" s="175"/>
      <c r="K529" s="197"/>
      <c r="L529" s="194"/>
    </row>
    <row r="530" spans="1:16">
      <c r="A530" s="157"/>
      <c r="B530" s="139"/>
      <c r="C530" s="63"/>
      <c r="D530" s="196"/>
      <c r="E530" s="142"/>
      <c r="F530" s="61"/>
      <c r="G530" s="206"/>
      <c r="H530" s="74"/>
      <c r="I530" s="183"/>
      <c r="J530" s="175"/>
      <c r="K530" s="197"/>
      <c r="L530" s="194"/>
    </row>
    <row r="531" spans="1:16">
      <c r="A531" s="157"/>
      <c r="B531" s="460"/>
      <c r="C531" s="63"/>
      <c r="D531" s="196"/>
      <c r="E531" s="142"/>
      <c r="F531" s="61"/>
      <c r="G531" s="206"/>
      <c r="H531" s="74"/>
      <c r="I531" s="183"/>
      <c r="J531" s="175"/>
      <c r="K531" s="197"/>
      <c r="L531" s="194"/>
      <c r="M531" s="188">
        <v>8640</v>
      </c>
      <c r="N531" s="188">
        <f t="shared" si="50"/>
        <v>8380.7999999999993</v>
      </c>
      <c r="O531" s="189">
        <v>7.0000000000000007E-2</v>
      </c>
      <c r="P531" s="170">
        <f>(N531*O531)+N531</f>
        <v>8967.4559999999983</v>
      </c>
    </row>
    <row r="532" spans="1:16">
      <c r="A532" s="160"/>
      <c r="B532" s="139"/>
      <c r="C532" s="63"/>
      <c r="D532" s="196"/>
      <c r="E532" s="120"/>
      <c r="F532" s="121"/>
      <c r="G532" s="206"/>
      <c r="H532" s="115"/>
      <c r="I532" s="185"/>
      <c r="J532" s="174"/>
      <c r="K532" s="195"/>
      <c r="L532" s="194"/>
    </row>
    <row r="533" spans="1:16">
      <c r="F533" s="68"/>
    </row>
    <row r="534" spans="1:16">
      <c r="F534" s="68"/>
    </row>
    <row r="535" spans="1:16">
      <c r="A535" s="44" t="s">
        <v>0</v>
      </c>
      <c r="C535" s="104"/>
      <c r="F535" s="68"/>
      <c r="I535" s="179"/>
      <c r="K535" s="163"/>
      <c r="L535" s="168"/>
    </row>
    <row r="536" spans="1:16">
      <c r="A536" s="3480" t="s">
        <v>2512</v>
      </c>
      <c r="B536" s="3480"/>
      <c r="C536" s="44"/>
      <c r="D536" s="109"/>
      <c r="F536" s="68"/>
      <c r="I536" s="179"/>
      <c r="K536" s="163"/>
      <c r="L536" s="168"/>
    </row>
    <row r="537" spans="1:16" ht="35.25" thickBot="1">
      <c r="F537" s="68"/>
    </row>
    <row r="538" spans="1:16">
      <c r="A538" s="3493" t="s">
        <v>2</v>
      </c>
      <c r="B538" s="3482"/>
      <c r="C538" s="48" t="s">
        <v>3</v>
      </c>
      <c r="D538" s="128" t="s">
        <v>4</v>
      </c>
      <c r="E538" s="77" t="s">
        <v>5</v>
      </c>
      <c r="F538" s="78" t="s">
        <v>5</v>
      </c>
      <c r="G538" s="211" t="s">
        <v>6</v>
      </c>
      <c r="H538" s="140" t="s">
        <v>7</v>
      </c>
      <c r="I538" s="180" t="s">
        <v>1511</v>
      </c>
      <c r="J538" s="172" t="s">
        <v>9</v>
      </c>
      <c r="K538" s="186" t="s">
        <v>9</v>
      </c>
      <c r="L538" s="192" t="s">
        <v>2495</v>
      </c>
      <c r="M538" s="190"/>
    </row>
    <row r="539" spans="1:16" ht="35.25" thickBot="1">
      <c r="A539" s="155"/>
      <c r="B539" s="494"/>
      <c r="C539" s="50"/>
      <c r="D539" s="129" t="s">
        <v>10</v>
      </c>
      <c r="E539" s="79" t="s">
        <v>11</v>
      </c>
      <c r="F539" s="80" t="s">
        <v>12</v>
      </c>
      <c r="G539" s="212"/>
      <c r="H539" s="141" t="s">
        <v>13</v>
      </c>
      <c r="I539" s="181" t="s">
        <v>1512</v>
      </c>
      <c r="J539" s="173" t="s">
        <v>15</v>
      </c>
      <c r="K539" s="187" t="s">
        <v>14</v>
      </c>
      <c r="L539" s="193" t="s">
        <v>2496</v>
      </c>
      <c r="M539" s="190"/>
    </row>
    <row r="540" spans="1:16">
      <c r="A540" s="156"/>
      <c r="B540" s="139"/>
      <c r="C540" s="63"/>
      <c r="D540" s="199"/>
      <c r="E540" s="143"/>
      <c r="F540" s="69"/>
      <c r="G540" s="206"/>
      <c r="H540" s="74"/>
      <c r="I540" s="183"/>
      <c r="J540" s="175"/>
      <c r="K540" s="172"/>
      <c r="L540" s="194"/>
      <c r="M540" s="188">
        <v>3552</v>
      </c>
      <c r="N540" s="188">
        <f t="shared" ref="N540:N556" si="51">M540-(M540*0.03)</f>
        <v>3445.44</v>
      </c>
      <c r="O540" s="189">
        <v>7.0000000000000007E-2</v>
      </c>
      <c r="P540" s="170">
        <f t="shared" ref="P540:P556" si="52">(N540*O540)+N540</f>
        <v>3686.6208000000001</v>
      </c>
    </row>
    <row r="541" spans="1:16">
      <c r="A541" s="157"/>
      <c r="B541" s="139"/>
      <c r="C541" s="63"/>
      <c r="D541" s="199"/>
      <c r="E541" s="145"/>
      <c r="F541" s="61"/>
      <c r="G541" s="206"/>
      <c r="H541" s="74"/>
      <c r="I541" s="183"/>
      <c r="J541" s="175"/>
      <c r="K541" s="176"/>
      <c r="L541" s="194"/>
      <c r="N541" s="188">
        <f t="shared" si="51"/>
        <v>0</v>
      </c>
      <c r="O541" s="189">
        <v>7.0000000000000007E-2</v>
      </c>
      <c r="P541" s="170">
        <f t="shared" si="52"/>
        <v>0</v>
      </c>
    </row>
    <row r="542" spans="1:16">
      <c r="A542" s="157"/>
      <c r="B542" s="463"/>
      <c r="C542" s="63"/>
      <c r="D542" s="199"/>
      <c r="E542" s="145"/>
      <c r="F542" s="61"/>
      <c r="G542" s="206"/>
      <c r="H542" s="74"/>
      <c r="I542" s="183"/>
      <c r="J542" s="175"/>
      <c r="K542" s="245"/>
      <c r="L542" s="194"/>
      <c r="M542" s="188">
        <v>9498.06</v>
      </c>
      <c r="N542" s="188">
        <f t="shared" si="51"/>
        <v>9213.118199999999</v>
      </c>
      <c r="O542" s="189">
        <v>7.0000000000000007E-2</v>
      </c>
      <c r="P542" s="170">
        <f t="shared" si="52"/>
        <v>9858.0364739999986</v>
      </c>
    </row>
    <row r="543" spans="1:16">
      <c r="A543" s="157"/>
      <c r="B543" s="463"/>
      <c r="C543" s="63"/>
      <c r="D543" s="199"/>
      <c r="E543" s="145"/>
      <c r="F543" s="61"/>
      <c r="G543" s="206"/>
      <c r="H543" s="74"/>
      <c r="I543" s="183"/>
      <c r="J543" s="175"/>
      <c r="K543" s="197"/>
      <c r="L543" s="194"/>
      <c r="M543" s="188">
        <v>15305.4</v>
      </c>
      <c r="N543" s="188">
        <f t="shared" si="51"/>
        <v>14846.237999999999</v>
      </c>
      <c r="O543" s="189">
        <v>7.0000000000000007E-2</v>
      </c>
      <c r="P543" s="170">
        <f t="shared" si="52"/>
        <v>15885.47466</v>
      </c>
    </row>
    <row r="544" spans="1:16">
      <c r="A544" s="157"/>
      <c r="B544" s="139"/>
      <c r="C544" s="63"/>
      <c r="D544" s="199"/>
      <c r="E544" s="145"/>
      <c r="F544" s="61"/>
      <c r="G544" s="206"/>
      <c r="H544" s="74"/>
      <c r="I544" s="183"/>
      <c r="J544" s="175"/>
      <c r="K544" s="197"/>
      <c r="L544" s="194"/>
      <c r="N544" s="188">
        <f t="shared" si="51"/>
        <v>0</v>
      </c>
      <c r="O544" s="189">
        <v>7.0000000000000007E-2</v>
      </c>
      <c r="P544" s="170">
        <f t="shared" si="52"/>
        <v>0</v>
      </c>
    </row>
    <row r="545" spans="1:16">
      <c r="A545" s="157"/>
      <c r="B545" s="139"/>
      <c r="C545" s="63"/>
      <c r="D545" s="199"/>
      <c r="E545" s="145"/>
      <c r="F545" s="61"/>
      <c r="G545" s="206"/>
      <c r="H545" s="74"/>
      <c r="I545" s="183"/>
      <c r="J545" s="175"/>
      <c r="K545" s="197"/>
      <c r="L545" s="194"/>
      <c r="N545" s="188">
        <f t="shared" si="51"/>
        <v>0</v>
      </c>
      <c r="O545" s="189">
        <v>7.0000000000000007E-2</v>
      </c>
      <c r="P545" s="170">
        <f t="shared" si="52"/>
        <v>0</v>
      </c>
    </row>
    <row r="546" spans="1:16">
      <c r="A546" s="157"/>
      <c r="B546" s="139"/>
      <c r="C546" s="63"/>
      <c r="D546" s="199"/>
      <c r="E546" s="145"/>
      <c r="F546" s="61"/>
      <c r="G546" s="206"/>
      <c r="H546" s="74"/>
      <c r="I546" s="183"/>
      <c r="J546" s="175"/>
      <c r="K546" s="197"/>
      <c r="L546" s="194"/>
      <c r="N546" s="188">
        <f t="shared" si="51"/>
        <v>0</v>
      </c>
      <c r="O546" s="189">
        <v>7.0000000000000007E-2</v>
      </c>
      <c r="P546" s="170">
        <f t="shared" si="52"/>
        <v>0</v>
      </c>
    </row>
    <row r="547" spans="1:16">
      <c r="A547" s="157"/>
      <c r="B547" s="463"/>
      <c r="C547" s="222"/>
      <c r="D547" s="3464"/>
      <c r="E547" s="145"/>
      <c r="F547" s="61"/>
      <c r="G547" s="223"/>
      <c r="H547" s="224"/>
      <c r="I547" s="225"/>
      <c r="J547" s="209"/>
      <c r="K547" s="244"/>
      <c r="M547" s="188">
        <v>14244.12</v>
      </c>
      <c r="N547" s="188">
        <f t="shared" si="51"/>
        <v>13816.796400000001</v>
      </c>
      <c r="O547" s="189">
        <v>7.0000000000000007E-2</v>
      </c>
      <c r="P547" s="170">
        <f t="shared" si="52"/>
        <v>14783.972148000001</v>
      </c>
    </row>
    <row r="548" spans="1:16">
      <c r="A548" s="157"/>
      <c r="B548" s="433"/>
      <c r="C548" s="63"/>
      <c r="D548" s="199"/>
      <c r="E548" s="145"/>
      <c r="F548" s="61"/>
      <c r="G548" s="206"/>
      <c r="H548" s="74"/>
      <c r="I548" s="183"/>
      <c r="J548" s="175"/>
      <c r="K548" s="197"/>
      <c r="L548" s="194"/>
      <c r="M548" s="188">
        <v>3240</v>
      </c>
      <c r="N548" s="188">
        <f t="shared" si="51"/>
        <v>3142.8</v>
      </c>
      <c r="O548" s="189">
        <v>7.0000000000000007E-2</v>
      </c>
      <c r="P548" s="170">
        <f t="shared" si="52"/>
        <v>3362.7960000000003</v>
      </c>
    </row>
    <row r="549" spans="1:16">
      <c r="A549" s="157"/>
      <c r="B549" s="433"/>
      <c r="C549" s="63"/>
      <c r="D549" s="199"/>
      <c r="E549" s="145"/>
      <c r="F549" s="61"/>
      <c r="G549" s="206"/>
      <c r="H549" s="74"/>
      <c r="I549" s="183"/>
      <c r="J549" s="175"/>
      <c r="K549" s="197"/>
      <c r="L549" s="194"/>
      <c r="M549" s="188">
        <v>14700</v>
      </c>
      <c r="N549" s="188">
        <f t="shared" si="51"/>
        <v>14259</v>
      </c>
      <c r="O549" s="189">
        <v>7.0000000000000007E-2</v>
      </c>
      <c r="P549" s="170">
        <f t="shared" si="52"/>
        <v>15257.130000000001</v>
      </c>
    </row>
    <row r="550" spans="1:16">
      <c r="A550" s="157"/>
      <c r="B550" s="433"/>
      <c r="C550" s="222"/>
      <c r="D550" s="3464"/>
      <c r="E550" s="237"/>
      <c r="F550" s="238"/>
      <c r="G550" s="223"/>
      <c r="H550" s="224"/>
      <c r="I550" s="225"/>
      <c r="J550" s="209"/>
      <c r="K550" s="226"/>
      <c r="L550" s="229"/>
      <c r="M550" s="188">
        <v>14582.7</v>
      </c>
      <c r="N550" s="188">
        <f t="shared" si="51"/>
        <v>14145.219000000001</v>
      </c>
      <c r="O550" s="189">
        <v>7.0000000000000007E-2</v>
      </c>
      <c r="P550" s="170">
        <f t="shared" si="52"/>
        <v>15135.384330000001</v>
      </c>
    </row>
    <row r="551" spans="1:16">
      <c r="A551" s="157"/>
      <c r="B551" s="433"/>
      <c r="C551" s="63"/>
      <c r="D551" s="199"/>
      <c r="E551" s="145"/>
      <c r="F551" s="61"/>
      <c r="G551" s="206"/>
      <c r="H551" s="74"/>
      <c r="I551" s="183"/>
      <c r="J551" s="175"/>
      <c r="K551" s="197"/>
      <c r="L551" s="229"/>
      <c r="M551" s="188">
        <v>13483.8</v>
      </c>
      <c r="N551" s="188">
        <f t="shared" si="51"/>
        <v>13079.286</v>
      </c>
      <c r="O551" s="189">
        <v>7.0000000000000007E-2</v>
      </c>
      <c r="P551" s="170">
        <f t="shared" si="52"/>
        <v>13994.836020000001</v>
      </c>
    </row>
    <row r="552" spans="1:16">
      <c r="A552" s="157"/>
      <c r="B552" s="139"/>
      <c r="C552" s="222"/>
      <c r="D552" s="3464"/>
      <c r="E552" s="145"/>
      <c r="F552" s="61"/>
      <c r="G552" s="223"/>
      <c r="H552" s="224"/>
      <c r="I552" s="225"/>
      <c r="J552" s="209"/>
      <c r="K552" s="226"/>
      <c r="L552" s="229"/>
      <c r="M552" s="188">
        <v>2669.52</v>
      </c>
      <c r="N552" s="188">
        <f t="shared" si="51"/>
        <v>2589.4344000000001</v>
      </c>
      <c r="O552" s="189">
        <v>7.0000000000000007E-2</v>
      </c>
      <c r="P552" s="170">
        <f t="shared" si="52"/>
        <v>2770.6948080000002</v>
      </c>
    </row>
    <row r="553" spans="1:16">
      <c r="A553" s="157"/>
      <c r="B553" s="139"/>
      <c r="C553" s="222"/>
      <c r="D553" s="3464"/>
      <c r="E553" s="145"/>
      <c r="F553" s="61"/>
      <c r="G553" s="223"/>
      <c r="H553" s="224"/>
      <c r="I553" s="225"/>
      <c r="J553" s="209"/>
      <c r="K553" s="226"/>
      <c r="L553" s="229"/>
      <c r="N553" s="188">
        <f t="shared" si="51"/>
        <v>0</v>
      </c>
      <c r="O553" s="189">
        <v>7.0000000000000007E-2</v>
      </c>
      <c r="P553" s="170">
        <f t="shared" si="52"/>
        <v>0</v>
      </c>
    </row>
    <row r="554" spans="1:16">
      <c r="A554" s="221"/>
      <c r="B554" s="457"/>
      <c r="C554" s="222"/>
      <c r="D554" s="3464"/>
      <c r="E554" s="145"/>
      <c r="F554" s="61"/>
      <c r="G554" s="223"/>
      <c r="H554" s="224"/>
      <c r="I554" s="225"/>
      <c r="J554" s="209"/>
      <c r="K554" s="226"/>
      <c r="L554" s="229"/>
      <c r="M554" s="188">
        <v>12972.96</v>
      </c>
      <c r="N554" s="188">
        <f t="shared" si="51"/>
        <v>12583.771199999999</v>
      </c>
      <c r="O554" s="189">
        <v>7.0000000000000007E-2</v>
      </c>
      <c r="P554" s="170">
        <f t="shared" si="52"/>
        <v>13464.635183999999</v>
      </c>
    </row>
    <row r="555" spans="1:16">
      <c r="A555" s="157"/>
      <c r="B555" s="139"/>
      <c r="C555" s="63"/>
      <c r="D555" s="199"/>
      <c r="E555" s="145"/>
      <c r="F555" s="61"/>
      <c r="G555" s="206"/>
      <c r="H555" s="74"/>
      <c r="I555" s="183"/>
      <c r="J555" s="209"/>
      <c r="K555" s="197"/>
      <c r="L555" s="229"/>
      <c r="M555" s="188">
        <v>12687.84</v>
      </c>
      <c r="N555" s="188">
        <f t="shared" si="51"/>
        <v>12307.2048</v>
      </c>
      <c r="O555" s="189">
        <v>7.0000000000000007E-2</v>
      </c>
      <c r="P555" s="170">
        <f t="shared" si="52"/>
        <v>13168.709135999999</v>
      </c>
    </row>
    <row r="556" spans="1:16">
      <c r="A556" s="157"/>
      <c r="B556" s="139"/>
      <c r="C556" s="63"/>
      <c r="D556" s="199"/>
      <c r="E556" s="145"/>
      <c r="F556" s="61"/>
      <c r="G556" s="206"/>
      <c r="H556" s="74"/>
      <c r="I556" s="183"/>
      <c r="J556" s="175"/>
      <c r="K556" s="197"/>
      <c r="L556" s="194"/>
      <c r="M556" s="188">
        <v>16572.599999999999</v>
      </c>
      <c r="N556" s="188">
        <f t="shared" si="51"/>
        <v>16075.421999999999</v>
      </c>
      <c r="O556" s="189">
        <v>7.0000000000000007E-2</v>
      </c>
      <c r="P556" s="170">
        <f t="shared" si="52"/>
        <v>17200.701539999998</v>
      </c>
    </row>
    <row r="557" spans="1:16">
      <c r="A557" s="157"/>
      <c r="B557" s="139"/>
      <c r="C557" s="63"/>
      <c r="D557" s="199"/>
      <c r="E557" s="90"/>
      <c r="F557" s="61"/>
      <c r="G557" s="206"/>
      <c r="H557" s="74"/>
      <c r="I557" s="203"/>
      <c r="J557" s="175"/>
      <c r="K557" s="197"/>
      <c r="L557" s="194"/>
      <c r="M557" s="188">
        <v>6021.12</v>
      </c>
      <c r="N557" s="188">
        <f>M557-(M557*0.03)</f>
        <v>5840.4863999999998</v>
      </c>
      <c r="O557" s="189">
        <v>7.0000000000000007E-2</v>
      </c>
      <c r="P557" s="170">
        <f>(N557*O557)+N557</f>
        <v>6249.3204479999995</v>
      </c>
    </row>
    <row r="558" spans="1:16">
      <c r="A558" s="157"/>
      <c r="B558" s="139"/>
      <c r="C558" s="63"/>
      <c r="D558" s="199"/>
      <c r="E558" s="90"/>
      <c r="F558" s="61"/>
      <c r="G558" s="206"/>
      <c r="H558" s="74"/>
      <c r="I558" s="183"/>
      <c r="J558" s="175"/>
      <c r="K558" s="197"/>
      <c r="L558" s="194"/>
      <c r="M558" s="188">
        <v>8714.16</v>
      </c>
      <c r="N558" s="188">
        <f>M558-(M558*0.03)</f>
        <v>8452.7351999999992</v>
      </c>
      <c r="O558" s="189">
        <v>7.0000000000000007E-2</v>
      </c>
      <c r="P558" s="170">
        <f>(N558*O558)+N558</f>
        <v>9044.4266639999987</v>
      </c>
    </row>
    <row r="559" spans="1:16">
      <c r="A559" s="157"/>
      <c r="B559" s="139"/>
      <c r="C559" s="63"/>
      <c r="D559" s="199"/>
      <c r="E559" s="90"/>
      <c r="F559" s="61"/>
      <c r="G559" s="206"/>
      <c r="H559" s="74"/>
      <c r="I559" s="183"/>
      <c r="J559" s="175"/>
      <c r="K559" s="197"/>
      <c r="L559" s="194"/>
      <c r="M559" s="188">
        <v>0</v>
      </c>
      <c r="N559" s="188">
        <f>M559-(M559*0.03)</f>
        <v>0</v>
      </c>
      <c r="O559" s="189">
        <v>7.0000000000000007E-2</v>
      </c>
      <c r="P559" s="170">
        <f t="shared" ref="P559:P565" si="53">(N559*O559)+N559</f>
        <v>0</v>
      </c>
    </row>
    <row r="560" spans="1:16">
      <c r="A560" s="157"/>
      <c r="B560" s="139"/>
      <c r="C560" s="63"/>
      <c r="D560" s="199"/>
      <c r="E560" s="90"/>
      <c r="F560" s="61"/>
      <c r="G560" s="206"/>
      <c r="H560" s="74"/>
      <c r="I560" s="183"/>
      <c r="J560" s="175"/>
      <c r="K560" s="197"/>
      <c r="L560" s="194"/>
      <c r="M560" s="188">
        <v>18537.7</v>
      </c>
      <c r="N560" s="188">
        <f>M560-(M560*0.03)</f>
        <v>17981.569</v>
      </c>
      <c r="O560" s="189">
        <v>7.0000000000000007E-2</v>
      </c>
      <c r="P560" s="170">
        <f t="shared" si="53"/>
        <v>19240.278829999999</v>
      </c>
    </row>
    <row r="561" spans="1:16">
      <c r="A561" s="158"/>
      <c r="B561" s="139"/>
      <c r="C561" s="63"/>
      <c r="D561" s="199"/>
      <c r="E561" s="91"/>
      <c r="F561" s="61"/>
      <c r="G561" s="206"/>
      <c r="H561" s="74"/>
      <c r="I561" s="183"/>
      <c r="J561" s="175"/>
      <c r="K561" s="197"/>
      <c r="L561" s="194"/>
      <c r="M561" s="188">
        <v>9031.68</v>
      </c>
      <c r="N561" s="188">
        <f t="shared" ref="N561:N571" si="54">M561-(M561*0.03)</f>
        <v>8760.7296000000006</v>
      </c>
      <c r="O561" s="189">
        <v>7.0000000000000007E-2</v>
      </c>
      <c r="P561" s="170">
        <f t="shared" si="53"/>
        <v>9373.9806720000015</v>
      </c>
    </row>
    <row r="562" spans="1:16">
      <c r="A562" s="200"/>
      <c r="B562" s="139"/>
      <c r="C562" s="63"/>
      <c r="D562" s="199"/>
      <c r="E562" s="153"/>
      <c r="F562" s="61"/>
      <c r="G562" s="206"/>
      <c r="H562" s="88"/>
      <c r="I562" s="184"/>
      <c r="J562" s="201"/>
      <c r="K562" s="202"/>
      <c r="L562" s="194"/>
      <c r="N562" s="188">
        <f t="shared" si="54"/>
        <v>0</v>
      </c>
      <c r="O562" s="189">
        <v>7.0000000000000007E-2</v>
      </c>
      <c r="P562" s="170">
        <f t="shared" si="53"/>
        <v>0</v>
      </c>
    </row>
    <row r="563" spans="1:16">
      <c r="A563" s="157"/>
      <c r="B563" s="139"/>
      <c r="C563" s="63"/>
      <c r="D563" s="199"/>
      <c r="E563" s="198"/>
      <c r="F563" s="61"/>
      <c r="G563" s="206"/>
      <c r="H563" s="74"/>
      <c r="I563" s="183"/>
      <c r="J563" s="175"/>
      <c r="K563" s="197"/>
      <c r="L563" s="194"/>
      <c r="M563" s="188">
        <v>8478.9599999999991</v>
      </c>
      <c r="N563" s="188">
        <f t="shared" si="54"/>
        <v>8224.5911999999989</v>
      </c>
      <c r="O563" s="189">
        <v>7.0000000000000007E-2</v>
      </c>
      <c r="P563" s="170">
        <f t="shared" si="53"/>
        <v>8800.3125839999993</v>
      </c>
    </row>
    <row r="564" spans="1:16">
      <c r="A564" s="157"/>
      <c r="B564" s="139"/>
      <c r="C564" s="63"/>
      <c r="D564" s="199"/>
      <c r="E564" s="142"/>
      <c r="F564" s="61"/>
      <c r="G564" s="206"/>
      <c r="H564" s="74"/>
      <c r="I564" s="183"/>
      <c r="J564" s="175"/>
      <c r="K564" s="197"/>
      <c r="L564" s="194"/>
      <c r="M564" s="188">
        <v>11122.62</v>
      </c>
      <c r="N564" s="188">
        <f t="shared" si="54"/>
        <v>10788.941400000002</v>
      </c>
      <c r="O564" s="189">
        <v>7.0000000000000007E-2</v>
      </c>
      <c r="P564" s="170">
        <f t="shared" si="53"/>
        <v>11544.167298000002</v>
      </c>
    </row>
    <row r="565" spans="1:16">
      <c r="A565" s="157"/>
      <c r="B565" s="139"/>
      <c r="C565" s="63"/>
      <c r="D565" s="196"/>
      <c r="E565" s="120"/>
      <c r="F565" s="121"/>
      <c r="G565" s="206"/>
      <c r="H565" s="115"/>
      <c r="I565" s="185"/>
      <c r="J565" s="175"/>
      <c r="K565" s="197"/>
      <c r="L565" s="194"/>
      <c r="M565" s="188">
        <v>3813.12</v>
      </c>
      <c r="N565" s="188">
        <f t="shared" si="54"/>
        <v>3698.7264</v>
      </c>
      <c r="O565" s="189">
        <v>7.0000000000000007E-2</v>
      </c>
      <c r="P565" s="170">
        <f t="shared" si="53"/>
        <v>3957.637248</v>
      </c>
    </row>
    <row r="566" spans="1:16">
      <c r="A566" s="157"/>
      <c r="B566" s="139"/>
      <c r="C566" s="63"/>
      <c r="D566" s="196"/>
      <c r="E566" s="249"/>
      <c r="F566" s="121"/>
      <c r="G566" s="206"/>
      <c r="H566" s="115"/>
      <c r="I566" s="185"/>
      <c r="J566" s="175"/>
      <c r="K566" s="197"/>
      <c r="L566" s="194"/>
    </row>
    <row r="567" spans="1:16">
      <c r="A567" s="157"/>
      <c r="B567" s="139"/>
      <c r="C567" s="63"/>
      <c r="D567" s="196"/>
      <c r="E567" s="249"/>
      <c r="F567" s="121"/>
      <c r="G567" s="206"/>
      <c r="H567" s="115"/>
      <c r="I567" s="185"/>
      <c r="J567" s="175"/>
      <c r="K567" s="197"/>
      <c r="L567" s="194"/>
    </row>
    <row r="568" spans="1:16">
      <c r="A568" s="157"/>
      <c r="B568" s="139"/>
      <c r="C568" s="63"/>
      <c r="D568" s="196"/>
      <c r="E568" s="249"/>
      <c r="F568" s="121"/>
      <c r="G568" s="206"/>
      <c r="H568" s="115"/>
      <c r="I568" s="185"/>
      <c r="J568" s="175"/>
      <c r="K568" s="197"/>
      <c r="L568" s="194"/>
    </row>
    <row r="569" spans="1:16">
      <c r="A569" s="157"/>
      <c r="B569" s="139"/>
      <c r="C569" s="63"/>
      <c r="D569" s="196"/>
      <c r="E569" s="142"/>
      <c r="F569" s="61"/>
      <c r="G569" s="206"/>
      <c r="H569" s="74"/>
      <c r="I569" s="183"/>
      <c r="J569" s="175"/>
      <c r="K569" s="197"/>
      <c r="L569" s="194"/>
    </row>
    <row r="570" spans="1:16">
      <c r="A570" s="157"/>
      <c r="B570" s="139"/>
      <c r="C570" s="63"/>
      <c r="D570" s="196"/>
      <c r="E570" s="142"/>
      <c r="F570" s="61"/>
      <c r="G570" s="206"/>
      <c r="H570" s="74"/>
      <c r="I570" s="183"/>
      <c r="J570" s="175"/>
      <c r="K570" s="197"/>
      <c r="L570" s="194"/>
    </row>
    <row r="571" spans="1:16">
      <c r="A571" s="157"/>
      <c r="B571" s="460"/>
      <c r="C571" s="63"/>
      <c r="D571" s="196"/>
      <c r="E571" s="142"/>
      <c r="F571" s="61"/>
      <c r="G571" s="206"/>
      <c r="H571" s="74"/>
      <c r="I571" s="183"/>
      <c r="J571" s="175"/>
      <c r="K571" s="197"/>
      <c r="L571" s="194"/>
      <c r="M571" s="188">
        <v>8640</v>
      </c>
      <c r="N571" s="188">
        <f t="shared" si="54"/>
        <v>8380.7999999999993</v>
      </c>
      <c r="O571" s="189">
        <v>7.0000000000000007E-2</v>
      </c>
      <c r="P571" s="170">
        <f>(N571*O571)+N571</f>
        <v>8967.4559999999983</v>
      </c>
    </row>
    <row r="572" spans="1:16">
      <c r="A572" s="157"/>
      <c r="B572" s="460"/>
      <c r="C572" s="63"/>
      <c r="D572" s="196"/>
      <c r="E572" s="142"/>
      <c r="F572" s="61"/>
      <c r="G572" s="206"/>
      <c r="H572" s="74"/>
      <c r="I572" s="183"/>
      <c r="J572" s="175"/>
      <c r="K572" s="197"/>
      <c r="L572" s="194"/>
    </row>
    <row r="573" spans="1:16">
      <c r="A573" s="157"/>
      <c r="B573" s="460"/>
      <c r="C573" s="63"/>
      <c r="D573" s="196"/>
      <c r="E573" s="142"/>
      <c r="F573" s="61"/>
      <c r="G573" s="206"/>
      <c r="H573" s="74"/>
      <c r="I573" s="183"/>
      <c r="J573" s="175"/>
      <c r="K573" s="197"/>
      <c r="L573" s="194"/>
    </row>
    <row r="574" spans="1:16">
      <c r="A574" s="160"/>
      <c r="B574" s="139"/>
      <c r="C574" s="63"/>
      <c r="D574" s="196"/>
      <c r="E574" s="120"/>
      <c r="F574" s="121"/>
      <c r="G574" s="206"/>
      <c r="H574" s="115"/>
      <c r="I574" s="185"/>
      <c r="J574" s="174"/>
      <c r="K574" s="195"/>
      <c r="L574" s="194"/>
    </row>
    <row r="575" spans="1:16">
      <c r="F575" s="68"/>
    </row>
    <row r="576" spans="1:16">
      <c r="F576" s="68"/>
    </row>
    <row r="577" spans="1:16">
      <c r="A577" s="44" t="s">
        <v>0</v>
      </c>
      <c r="C577" s="104"/>
      <c r="F577" s="68"/>
      <c r="I577" s="179"/>
      <c r="K577" s="163"/>
      <c r="L577" s="168"/>
    </row>
    <row r="578" spans="1:16">
      <c r="A578" s="3480" t="s">
        <v>2512</v>
      </c>
      <c r="B578" s="3480"/>
      <c r="C578" s="44"/>
      <c r="D578" s="109"/>
      <c r="F578" s="68"/>
      <c r="I578" s="179"/>
      <c r="K578" s="163"/>
      <c r="L578" s="168"/>
    </row>
    <row r="579" spans="1:16" ht="35.25" thickBot="1">
      <c r="F579" s="68"/>
    </row>
    <row r="580" spans="1:16">
      <c r="A580" s="3493" t="s">
        <v>2</v>
      </c>
      <c r="B580" s="3482"/>
      <c r="C580" s="48" t="s">
        <v>3</v>
      </c>
      <c r="D580" s="128" t="s">
        <v>4</v>
      </c>
      <c r="E580" s="77" t="s">
        <v>5</v>
      </c>
      <c r="F580" s="78" t="s">
        <v>5</v>
      </c>
      <c r="G580" s="211" t="s">
        <v>6</v>
      </c>
      <c r="H580" s="140" t="s">
        <v>7</v>
      </c>
      <c r="I580" s="180" t="s">
        <v>1511</v>
      </c>
      <c r="J580" s="172" t="s">
        <v>9</v>
      </c>
      <c r="K580" s="186" t="s">
        <v>9</v>
      </c>
      <c r="L580" s="192" t="s">
        <v>2495</v>
      </c>
      <c r="M580" s="190"/>
    </row>
    <row r="581" spans="1:16" ht="35.25" thickBot="1">
      <c r="A581" s="155"/>
      <c r="B581" s="494"/>
      <c r="C581" s="50"/>
      <c r="D581" s="129" t="s">
        <v>10</v>
      </c>
      <c r="E581" s="79" t="s">
        <v>11</v>
      </c>
      <c r="F581" s="80" t="s">
        <v>12</v>
      </c>
      <c r="G581" s="212"/>
      <c r="H581" s="141" t="s">
        <v>13</v>
      </c>
      <c r="I581" s="181" t="s">
        <v>1512</v>
      </c>
      <c r="J581" s="173" t="s">
        <v>15</v>
      </c>
      <c r="K581" s="187" t="s">
        <v>14</v>
      </c>
      <c r="L581" s="193" t="s">
        <v>2496</v>
      </c>
      <c r="M581" s="190"/>
    </row>
    <row r="582" spans="1:16">
      <c r="A582" s="156"/>
      <c r="B582" s="139"/>
      <c r="C582" s="63"/>
      <c r="D582" s="199"/>
      <c r="E582" s="143"/>
      <c r="F582" s="69"/>
      <c r="G582" s="206"/>
      <c r="H582" s="74"/>
      <c r="I582" s="183"/>
      <c r="J582" s="175"/>
      <c r="K582" s="172"/>
      <c r="L582" s="194"/>
      <c r="M582" s="188">
        <v>3552</v>
      </c>
      <c r="N582" s="188">
        <f t="shared" ref="N582:N598" si="55">M582-(M582*0.03)</f>
        <v>3445.44</v>
      </c>
      <c r="O582" s="189">
        <v>7.0000000000000007E-2</v>
      </c>
      <c r="P582" s="170">
        <f t="shared" ref="P582:P598" si="56">(N582*O582)+N582</f>
        <v>3686.6208000000001</v>
      </c>
    </row>
    <row r="583" spans="1:16">
      <c r="A583" s="157"/>
      <c r="B583" s="139"/>
      <c r="C583" s="63"/>
      <c r="D583" s="199"/>
      <c r="E583" s="145"/>
      <c r="F583" s="61"/>
      <c r="G583" s="206"/>
      <c r="H583" s="74"/>
      <c r="I583" s="183"/>
      <c r="J583" s="175"/>
      <c r="K583" s="176"/>
      <c r="L583" s="194"/>
      <c r="N583" s="188">
        <f t="shared" si="55"/>
        <v>0</v>
      </c>
      <c r="O583" s="189">
        <v>7.0000000000000007E-2</v>
      </c>
      <c r="P583" s="170">
        <f t="shared" si="56"/>
        <v>0</v>
      </c>
    </row>
    <row r="584" spans="1:16">
      <c r="A584" s="157"/>
      <c r="B584" s="463"/>
      <c r="C584" s="63"/>
      <c r="D584" s="199"/>
      <c r="E584" s="145"/>
      <c r="F584" s="61"/>
      <c r="G584" s="206"/>
      <c r="H584" s="74"/>
      <c r="I584" s="183"/>
      <c r="J584" s="175"/>
      <c r="K584" s="245"/>
      <c r="L584" s="194"/>
      <c r="M584" s="188">
        <v>9498.06</v>
      </c>
      <c r="N584" s="188">
        <f t="shared" si="55"/>
        <v>9213.118199999999</v>
      </c>
      <c r="O584" s="189">
        <v>7.0000000000000007E-2</v>
      </c>
      <c r="P584" s="170">
        <f t="shared" si="56"/>
        <v>9858.0364739999986</v>
      </c>
    </row>
    <row r="585" spans="1:16">
      <c r="A585" s="157"/>
      <c r="B585" s="463"/>
      <c r="C585" s="63"/>
      <c r="D585" s="199"/>
      <c r="E585" s="145"/>
      <c r="F585" s="61"/>
      <c r="G585" s="206"/>
      <c r="H585" s="74"/>
      <c r="I585" s="183"/>
      <c r="J585" s="175"/>
      <c r="K585" s="197"/>
      <c r="L585" s="194"/>
      <c r="M585" s="188">
        <v>15305.4</v>
      </c>
      <c r="N585" s="188">
        <f t="shared" si="55"/>
        <v>14846.237999999999</v>
      </c>
      <c r="O585" s="189">
        <v>7.0000000000000007E-2</v>
      </c>
      <c r="P585" s="170">
        <f t="shared" si="56"/>
        <v>15885.47466</v>
      </c>
    </row>
    <row r="586" spans="1:16">
      <c r="A586" s="157"/>
      <c r="B586" s="139"/>
      <c r="C586" s="63"/>
      <c r="D586" s="199"/>
      <c r="E586" s="145"/>
      <c r="F586" s="61"/>
      <c r="G586" s="206"/>
      <c r="H586" s="74"/>
      <c r="I586" s="183"/>
      <c r="J586" s="175"/>
      <c r="K586" s="197"/>
      <c r="L586" s="194"/>
      <c r="N586" s="188">
        <f t="shared" si="55"/>
        <v>0</v>
      </c>
      <c r="O586" s="189">
        <v>7.0000000000000007E-2</v>
      </c>
      <c r="P586" s="170">
        <f t="shared" si="56"/>
        <v>0</v>
      </c>
    </row>
    <row r="587" spans="1:16">
      <c r="A587" s="157"/>
      <c r="B587" s="139"/>
      <c r="C587" s="63"/>
      <c r="D587" s="199"/>
      <c r="E587" s="145"/>
      <c r="F587" s="61"/>
      <c r="G587" s="206"/>
      <c r="H587" s="74"/>
      <c r="I587" s="183"/>
      <c r="J587" s="175"/>
      <c r="K587" s="197"/>
      <c r="L587" s="194"/>
      <c r="N587" s="188">
        <f t="shared" si="55"/>
        <v>0</v>
      </c>
      <c r="O587" s="189">
        <v>7.0000000000000007E-2</v>
      </c>
      <c r="P587" s="170">
        <f t="shared" si="56"/>
        <v>0</v>
      </c>
    </row>
    <row r="588" spans="1:16">
      <c r="A588" s="157"/>
      <c r="B588" s="139"/>
      <c r="C588" s="63"/>
      <c r="D588" s="199"/>
      <c r="E588" s="145"/>
      <c r="F588" s="61"/>
      <c r="G588" s="206"/>
      <c r="H588" s="74"/>
      <c r="I588" s="183"/>
      <c r="J588" s="175"/>
      <c r="K588" s="197"/>
      <c r="L588" s="194"/>
      <c r="N588" s="188">
        <f t="shared" si="55"/>
        <v>0</v>
      </c>
      <c r="O588" s="189">
        <v>7.0000000000000007E-2</v>
      </c>
      <c r="P588" s="170">
        <f t="shared" si="56"/>
        <v>0</v>
      </c>
    </row>
    <row r="589" spans="1:16">
      <c r="A589" s="157"/>
      <c r="B589" s="463"/>
      <c r="C589" s="222"/>
      <c r="D589" s="3464"/>
      <c r="E589" s="145"/>
      <c r="F589" s="61"/>
      <c r="G589" s="223"/>
      <c r="H589" s="224"/>
      <c r="I589" s="225"/>
      <c r="J589" s="209"/>
      <c r="K589" s="244"/>
      <c r="M589" s="188">
        <v>14244.12</v>
      </c>
      <c r="N589" s="188">
        <f t="shared" si="55"/>
        <v>13816.796400000001</v>
      </c>
      <c r="O589" s="189">
        <v>7.0000000000000007E-2</v>
      </c>
      <c r="P589" s="170">
        <f t="shared" si="56"/>
        <v>14783.972148000001</v>
      </c>
    </row>
    <row r="590" spans="1:16">
      <c r="A590" s="157"/>
      <c r="B590" s="433"/>
      <c r="C590" s="63"/>
      <c r="D590" s="199"/>
      <c r="E590" s="145"/>
      <c r="F590" s="61"/>
      <c r="G590" s="206"/>
      <c r="H590" s="74"/>
      <c r="I590" s="183"/>
      <c r="J590" s="175"/>
      <c r="K590" s="197"/>
      <c r="L590" s="194"/>
      <c r="M590" s="188">
        <v>3240</v>
      </c>
      <c r="N590" s="188">
        <f t="shared" si="55"/>
        <v>3142.8</v>
      </c>
      <c r="O590" s="189">
        <v>7.0000000000000007E-2</v>
      </c>
      <c r="P590" s="170">
        <f t="shared" si="56"/>
        <v>3362.7960000000003</v>
      </c>
    </row>
    <row r="591" spans="1:16">
      <c r="A591" s="157"/>
      <c r="B591" s="433"/>
      <c r="C591" s="63"/>
      <c r="D591" s="199"/>
      <c r="E591" s="145"/>
      <c r="F591" s="61"/>
      <c r="G591" s="206"/>
      <c r="H591" s="74"/>
      <c r="I591" s="183"/>
      <c r="J591" s="175"/>
      <c r="K591" s="197"/>
      <c r="L591" s="194"/>
      <c r="M591" s="188">
        <v>14700</v>
      </c>
      <c r="N591" s="188">
        <f t="shared" si="55"/>
        <v>14259</v>
      </c>
      <c r="O591" s="189">
        <v>7.0000000000000007E-2</v>
      </c>
      <c r="P591" s="170">
        <f t="shared" si="56"/>
        <v>15257.130000000001</v>
      </c>
    </row>
    <row r="592" spans="1:16">
      <c r="A592" s="157"/>
      <c r="B592" s="433"/>
      <c r="C592" s="222"/>
      <c r="D592" s="3464"/>
      <c r="E592" s="237"/>
      <c r="F592" s="238"/>
      <c r="G592" s="223"/>
      <c r="H592" s="224"/>
      <c r="I592" s="225"/>
      <c r="J592" s="209"/>
      <c r="K592" s="226"/>
      <c r="L592" s="229"/>
      <c r="M592" s="188">
        <v>14582.7</v>
      </c>
      <c r="N592" s="188">
        <f t="shared" si="55"/>
        <v>14145.219000000001</v>
      </c>
      <c r="O592" s="189">
        <v>7.0000000000000007E-2</v>
      </c>
      <c r="P592" s="170">
        <f t="shared" si="56"/>
        <v>15135.384330000001</v>
      </c>
    </row>
    <row r="593" spans="1:16">
      <c r="A593" s="157"/>
      <c r="B593" s="433"/>
      <c r="C593" s="63"/>
      <c r="D593" s="199"/>
      <c r="E593" s="145"/>
      <c r="F593" s="61"/>
      <c r="G593" s="206"/>
      <c r="H593" s="74"/>
      <c r="I593" s="183"/>
      <c r="J593" s="175"/>
      <c r="K593" s="197"/>
      <c r="L593" s="229"/>
      <c r="M593" s="188">
        <v>13483.8</v>
      </c>
      <c r="N593" s="188">
        <f t="shared" si="55"/>
        <v>13079.286</v>
      </c>
      <c r="O593" s="189">
        <v>7.0000000000000007E-2</v>
      </c>
      <c r="P593" s="170">
        <f t="shared" si="56"/>
        <v>13994.836020000001</v>
      </c>
    </row>
    <row r="594" spans="1:16">
      <c r="A594" s="157"/>
      <c r="B594" s="139"/>
      <c r="C594" s="222"/>
      <c r="D594" s="3464"/>
      <c r="E594" s="145"/>
      <c r="F594" s="61"/>
      <c r="G594" s="223"/>
      <c r="H594" s="224"/>
      <c r="I594" s="225"/>
      <c r="J594" s="209"/>
      <c r="K594" s="226"/>
      <c r="L594" s="229"/>
      <c r="M594" s="188">
        <v>2669.52</v>
      </c>
      <c r="N594" s="188">
        <f t="shared" si="55"/>
        <v>2589.4344000000001</v>
      </c>
      <c r="O594" s="189">
        <v>7.0000000000000007E-2</v>
      </c>
      <c r="P594" s="170">
        <f t="shared" si="56"/>
        <v>2770.6948080000002</v>
      </c>
    </row>
    <row r="595" spans="1:16">
      <c r="A595" s="157"/>
      <c r="B595" s="139"/>
      <c r="C595" s="222"/>
      <c r="D595" s="3464"/>
      <c r="E595" s="145"/>
      <c r="F595" s="61"/>
      <c r="G595" s="223"/>
      <c r="H595" s="224"/>
      <c r="I595" s="225"/>
      <c r="J595" s="209"/>
      <c r="K595" s="226"/>
      <c r="L595" s="229"/>
      <c r="N595" s="188">
        <f t="shared" si="55"/>
        <v>0</v>
      </c>
      <c r="O595" s="189">
        <v>7.0000000000000007E-2</v>
      </c>
      <c r="P595" s="170">
        <f t="shared" si="56"/>
        <v>0</v>
      </c>
    </row>
    <row r="596" spans="1:16">
      <c r="A596" s="221"/>
      <c r="B596" s="457"/>
      <c r="C596" s="222"/>
      <c r="D596" s="3464"/>
      <c r="E596" s="145"/>
      <c r="F596" s="61"/>
      <c r="G596" s="223"/>
      <c r="H596" s="224"/>
      <c r="I596" s="225"/>
      <c r="J596" s="209"/>
      <c r="K596" s="226"/>
      <c r="L596" s="229"/>
      <c r="M596" s="188">
        <v>12972.96</v>
      </c>
      <c r="N596" s="188">
        <f t="shared" si="55"/>
        <v>12583.771199999999</v>
      </c>
      <c r="O596" s="189">
        <v>7.0000000000000007E-2</v>
      </c>
      <c r="P596" s="170">
        <f t="shared" si="56"/>
        <v>13464.635183999999</v>
      </c>
    </row>
    <row r="597" spans="1:16">
      <c r="A597" s="157"/>
      <c r="B597" s="139"/>
      <c r="C597" s="63"/>
      <c r="D597" s="199"/>
      <c r="E597" s="145"/>
      <c r="F597" s="61"/>
      <c r="G597" s="206"/>
      <c r="H597" s="74"/>
      <c r="I597" s="183"/>
      <c r="J597" s="209"/>
      <c r="K597" s="197"/>
      <c r="L597" s="229"/>
      <c r="M597" s="188">
        <v>12687.84</v>
      </c>
      <c r="N597" s="188">
        <f t="shared" si="55"/>
        <v>12307.2048</v>
      </c>
      <c r="O597" s="189">
        <v>7.0000000000000007E-2</v>
      </c>
      <c r="P597" s="170">
        <f t="shared" si="56"/>
        <v>13168.709135999999</v>
      </c>
    </row>
    <row r="598" spans="1:16">
      <c r="A598" s="157"/>
      <c r="B598" s="139"/>
      <c r="C598" s="63"/>
      <c r="D598" s="199"/>
      <c r="E598" s="145"/>
      <c r="F598" s="61"/>
      <c r="G598" s="206"/>
      <c r="H598" s="74"/>
      <c r="I598" s="183"/>
      <c r="J598" s="175"/>
      <c r="K598" s="197"/>
      <c r="L598" s="194"/>
      <c r="M598" s="188">
        <v>16572.599999999999</v>
      </c>
      <c r="N598" s="188">
        <f t="shared" si="55"/>
        <v>16075.421999999999</v>
      </c>
      <c r="O598" s="189">
        <v>7.0000000000000007E-2</v>
      </c>
      <c r="P598" s="170">
        <f t="shared" si="56"/>
        <v>17200.701539999998</v>
      </c>
    </row>
    <row r="599" spans="1:16">
      <c r="A599" s="157"/>
      <c r="B599" s="139"/>
      <c r="C599" s="63"/>
      <c r="D599" s="199"/>
      <c r="E599" s="90"/>
      <c r="F599" s="61"/>
      <c r="G599" s="206"/>
      <c r="H599" s="74"/>
      <c r="I599" s="203"/>
      <c r="J599" s="175"/>
      <c r="K599" s="197"/>
      <c r="L599" s="194"/>
      <c r="M599" s="188">
        <v>6021.12</v>
      </c>
      <c r="N599" s="188">
        <f>M599-(M599*0.03)</f>
        <v>5840.4863999999998</v>
      </c>
      <c r="O599" s="189">
        <v>7.0000000000000007E-2</v>
      </c>
      <c r="P599" s="170">
        <f>(N599*O599)+N599</f>
        <v>6249.3204479999995</v>
      </c>
    </row>
    <row r="600" spans="1:16">
      <c r="A600" s="157"/>
      <c r="B600" s="139"/>
      <c r="C600" s="63"/>
      <c r="D600" s="199"/>
      <c r="E600" s="90"/>
      <c r="F600" s="61"/>
      <c r="G600" s="206"/>
      <c r="H600" s="74"/>
      <c r="I600" s="183"/>
      <c r="J600" s="175"/>
      <c r="K600" s="197"/>
      <c r="L600" s="194"/>
      <c r="M600" s="188">
        <v>8714.16</v>
      </c>
      <c r="N600" s="188">
        <f>M600-(M600*0.03)</f>
        <v>8452.7351999999992</v>
      </c>
      <c r="O600" s="189">
        <v>7.0000000000000007E-2</v>
      </c>
      <c r="P600" s="170">
        <f>(N600*O600)+N600</f>
        <v>9044.4266639999987</v>
      </c>
    </row>
    <row r="601" spans="1:16">
      <c r="A601" s="157"/>
      <c r="B601" s="139"/>
      <c r="C601" s="63"/>
      <c r="D601" s="199"/>
      <c r="E601" s="90"/>
      <c r="F601" s="61"/>
      <c r="G601" s="206"/>
      <c r="H601" s="74"/>
      <c r="I601" s="183"/>
      <c r="J601" s="175"/>
      <c r="K601" s="197"/>
      <c r="L601" s="194"/>
      <c r="M601" s="188">
        <v>0</v>
      </c>
      <c r="N601" s="188">
        <f>M601-(M601*0.03)</f>
        <v>0</v>
      </c>
      <c r="O601" s="189">
        <v>7.0000000000000007E-2</v>
      </c>
      <c r="P601" s="170">
        <f t="shared" ref="P601:P607" si="57">(N601*O601)+N601</f>
        <v>0</v>
      </c>
    </row>
    <row r="602" spans="1:16">
      <c r="A602" s="157"/>
      <c r="B602" s="139"/>
      <c r="C602" s="63"/>
      <c r="D602" s="199"/>
      <c r="E602" s="90"/>
      <c r="F602" s="61"/>
      <c r="G602" s="206"/>
      <c r="H602" s="74"/>
      <c r="I602" s="183"/>
      <c r="J602" s="175"/>
      <c r="K602" s="197"/>
      <c r="L602" s="194"/>
      <c r="M602" s="188">
        <v>18537.7</v>
      </c>
      <c r="N602" s="188">
        <f>M602-(M602*0.03)</f>
        <v>17981.569</v>
      </c>
      <c r="O602" s="189">
        <v>7.0000000000000007E-2</v>
      </c>
      <c r="P602" s="170">
        <f t="shared" si="57"/>
        <v>19240.278829999999</v>
      </c>
    </row>
    <row r="603" spans="1:16">
      <c r="A603" s="158"/>
      <c r="B603" s="139"/>
      <c r="C603" s="63"/>
      <c r="D603" s="199"/>
      <c r="E603" s="91"/>
      <c r="F603" s="61"/>
      <c r="G603" s="206"/>
      <c r="H603" s="74"/>
      <c r="I603" s="183"/>
      <c r="J603" s="175"/>
      <c r="K603" s="197"/>
      <c r="L603" s="194"/>
      <c r="M603" s="188">
        <v>9031.68</v>
      </c>
      <c r="N603" s="188">
        <f t="shared" ref="N603:N612" si="58">M603-(M603*0.03)</f>
        <v>8760.7296000000006</v>
      </c>
      <c r="O603" s="189">
        <v>7.0000000000000007E-2</v>
      </c>
      <c r="P603" s="170">
        <f t="shared" si="57"/>
        <v>9373.9806720000015</v>
      </c>
    </row>
    <row r="604" spans="1:16">
      <c r="A604" s="200"/>
      <c r="B604" s="139"/>
      <c r="C604" s="63"/>
      <c r="D604" s="199"/>
      <c r="E604" s="153"/>
      <c r="F604" s="61"/>
      <c r="G604" s="206"/>
      <c r="H604" s="88"/>
      <c r="I604" s="184"/>
      <c r="J604" s="201"/>
      <c r="K604" s="202"/>
      <c r="L604" s="194"/>
      <c r="N604" s="188">
        <f t="shared" si="58"/>
        <v>0</v>
      </c>
      <c r="O604" s="189">
        <v>7.0000000000000007E-2</v>
      </c>
      <c r="P604" s="170">
        <f t="shared" si="57"/>
        <v>0</v>
      </c>
    </row>
    <row r="605" spans="1:16">
      <c r="A605" s="157"/>
      <c r="B605" s="139"/>
      <c r="C605" s="63"/>
      <c r="D605" s="199"/>
      <c r="E605" s="198"/>
      <c r="F605" s="61"/>
      <c r="G605" s="206"/>
      <c r="H605" s="74"/>
      <c r="I605" s="183"/>
      <c r="J605" s="175"/>
      <c r="K605" s="197"/>
      <c r="L605" s="194"/>
      <c r="M605" s="188">
        <v>8478.9599999999991</v>
      </c>
      <c r="N605" s="188">
        <f t="shared" si="58"/>
        <v>8224.5911999999989</v>
      </c>
      <c r="O605" s="189">
        <v>7.0000000000000007E-2</v>
      </c>
      <c r="P605" s="170">
        <f t="shared" si="57"/>
        <v>8800.3125839999993</v>
      </c>
    </row>
    <row r="606" spans="1:16">
      <c r="A606" s="157"/>
      <c r="B606" s="139"/>
      <c r="C606" s="63"/>
      <c r="D606" s="199"/>
      <c r="E606" s="142"/>
      <c r="F606" s="61"/>
      <c r="G606" s="206"/>
      <c r="H606" s="74"/>
      <c r="I606" s="183"/>
      <c r="J606" s="175"/>
      <c r="K606" s="197"/>
      <c r="L606" s="194"/>
      <c r="M606" s="188">
        <v>11122.62</v>
      </c>
      <c r="N606" s="188">
        <f t="shared" si="58"/>
        <v>10788.941400000002</v>
      </c>
      <c r="O606" s="189">
        <v>7.0000000000000007E-2</v>
      </c>
      <c r="P606" s="170">
        <f t="shared" si="57"/>
        <v>11544.167298000002</v>
      </c>
    </row>
    <row r="607" spans="1:16">
      <c r="A607" s="157"/>
      <c r="B607" s="139"/>
      <c r="C607" s="63"/>
      <c r="D607" s="196"/>
      <c r="E607" s="120"/>
      <c r="F607" s="121"/>
      <c r="G607" s="206"/>
      <c r="H607" s="115"/>
      <c r="I607" s="185"/>
      <c r="J607" s="175"/>
      <c r="K607" s="197"/>
      <c r="L607" s="194"/>
      <c r="M607" s="188">
        <v>3813.12</v>
      </c>
      <c r="N607" s="188">
        <f t="shared" si="58"/>
        <v>3698.7264</v>
      </c>
      <c r="O607" s="189">
        <v>7.0000000000000007E-2</v>
      </c>
      <c r="P607" s="170">
        <f t="shared" si="57"/>
        <v>3957.637248</v>
      </c>
    </row>
    <row r="608" spans="1:16">
      <c r="A608" s="157"/>
      <c r="B608" s="139"/>
      <c r="C608" s="63"/>
      <c r="D608" s="196"/>
      <c r="E608" s="249"/>
      <c r="F608" s="121"/>
      <c r="G608" s="206"/>
      <c r="H608" s="115"/>
      <c r="I608" s="185"/>
      <c r="J608" s="175"/>
      <c r="K608" s="197"/>
      <c r="L608" s="194"/>
    </row>
    <row r="609" spans="1:16">
      <c r="A609" s="157"/>
      <c r="B609" s="139"/>
      <c r="C609" s="63"/>
      <c r="D609" s="196"/>
      <c r="E609" s="249"/>
      <c r="F609" s="121"/>
      <c r="G609" s="206"/>
      <c r="H609" s="115"/>
      <c r="I609" s="185"/>
      <c r="J609" s="175"/>
      <c r="K609" s="197"/>
      <c r="L609" s="194"/>
    </row>
    <row r="610" spans="1:16">
      <c r="A610" s="157"/>
      <c r="B610" s="139"/>
      <c r="C610" s="63"/>
      <c r="D610" s="196"/>
      <c r="E610" s="249"/>
      <c r="F610" s="121"/>
      <c r="G610" s="206"/>
      <c r="H610" s="115"/>
      <c r="I610" s="185"/>
      <c r="J610" s="175"/>
      <c r="K610" s="197"/>
      <c r="L610" s="194"/>
    </row>
    <row r="611" spans="1:16">
      <c r="A611" s="157"/>
      <c r="B611" s="139"/>
      <c r="C611" s="63"/>
      <c r="D611" s="196"/>
      <c r="E611" s="142"/>
      <c r="F611" s="61"/>
      <c r="G611" s="206"/>
      <c r="H611" s="74"/>
      <c r="I611" s="183"/>
      <c r="J611" s="175"/>
      <c r="K611" s="197"/>
      <c r="L611" s="194"/>
    </row>
    <row r="612" spans="1:16">
      <c r="A612" s="157"/>
      <c r="B612" s="460"/>
      <c r="C612" s="63"/>
      <c r="D612" s="196"/>
      <c r="E612" s="142"/>
      <c r="F612" s="61"/>
      <c r="G612" s="206"/>
      <c r="H612" s="74"/>
      <c r="I612" s="183"/>
      <c r="J612" s="175"/>
      <c r="K612" s="197"/>
      <c r="L612" s="194"/>
      <c r="M612" s="188">
        <v>8640</v>
      </c>
      <c r="N612" s="188">
        <f t="shared" si="58"/>
        <v>8380.7999999999993</v>
      </c>
      <c r="O612" s="189">
        <v>7.0000000000000007E-2</v>
      </c>
      <c r="P612" s="170">
        <f>(N612*O612)+N612</f>
        <v>8967.4559999999983</v>
      </c>
    </row>
    <row r="613" spans="1:16">
      <c r="A613" s="160"/>
      <c r="B613" s="139"/>
      <c r="C613" s="63"/>
      <c r="D613" s="196"/>
      <c r="E613" s="120"/>
      <c r="F613" s="121"/>
      <c r="G613" s="206"/>
      <c r="H613" s="115"/>
      <c r="I613" s="185"/>
      <c r="J613" s="174"/>
      <c r="K613" s="195"/>
      <c r="L613" s="194"/>
    </row>
    <row r="614" spans="1:16">
      <c r="A614" s="204"/>
      <c r="B614" s="109"/>
      <c r="C614" s="3444"/>
      <c r="D614" s="3444"/>
      <c r="E614" s="3444"/>
      <c r="F614" s="3444"/>
      <c r="G614" s="213"/>
      <c r="H614" s="109"/>
      <c r="I614" s="3444"/>
      <c r="J614" s="234"/>
      <c r="K614" s="3444"/>
      <c r="L614" s="235"/>
      <c r="M614" s="3444"/>
    </row>
  </sheetData>
  <mergeCells count="31">
    <mergeCell ref="A209:B209"/>
    <mergeCell ref="A3:B3"/>
    <mergeCell ref="A5:B5"/>
    <mergeCell ref="A44:B44"/>
    <mergeCell ref="A46:B46"/>
    <mergeCell ref="A85:B85"/>
    <mergeCell ref="A87:B87"/>
    <mergeCell ref="A48:B48"/>
    <mergeCell ref="A125:B125"/>
    <mergeCell ref="A127:B127"/>
    <mergeCell ref="A166:B166"/>
    <mergeCell ref="A168:B168"/>
    <mergeCell ref="A207:B207"/>
    <mergeCell ref="A455:B455"/>
    <mergeCell ref="A248:B248"/>
    <mergeCell ref="A250:B250"/>
    <mergeCell ref="A289:B289"/>
    <mergeCell ref="A291:B291"/>
    <mergeCell ref="A330:B330"/>
    <mergeCell ref="A332:B332"/>
    <mergeCell ref="A371:B371"/>
    <mergeCell ref="A373:B373"/>
    <mergeCell ref="A412:B412"/>
    <mergeCell ref="A414:B414"/>
    <mergeCell ref="A453:B453"/>
    <mergeCell ref="A578:B578"/>
    <mergeCell ref="A580:B580"/>
    <mergeCell ref="A494:B494"/>
    <mergeCell ref="A496:B496"/>
    <mergeCell ref="A536:B536"/>
    <mergeCell ref="A538:B538"/>
  </mergeCells>
  <phoneticPr fontId="6" type="noConversion"/>
  <pageMargins left="0.75" right="0.75" top="0.38" bottom="0.32" header="0.14000000000000001" footer="0.15"/>
  <pageSetup paperSize="9" scale="56" orientation="portrait" r:id="rId1"/>
  <headerFooter alignWithMargins="0"/>
  <rowBreaks count="3" manualBreakCount="3">
    <brk id="41" max="16383" man="1"/>
    <brk id="82" max="16383" man="1"/>
    <brk id="122" max="16383" man="1"/>
  </rowBreaks>
  <colBreaks count="1" manualBreakCount="1">
    <brk id="11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CAB0-4F48-47D5-B997-0A2A1B7FA903}">
  <sheetPr>
    <tabColor theme="0"/>
  </sheetPr>
  <dimension ref="A1:P430"/>
  <sheetViews>
    <sheetView view="pageBreakPreview" topLeftCell="A334" zoomScale="78" zoomScaleNormal="75" zoomScaleSheetLayoutView="78" workbookViewId="0">
      <selection activeCell="B381" sqref="B381"/>
    </sheetView>
  </sheetViews>
  <sheetFormatPr defaultColWidth="12.140625" defaultRowHeight="34.5"/>
  <cols>
    <col min="1" max="1" width="2.28515625" style="75" customWidth="1"/>
    <col min="2" max="2" width="35.140625" style="125" customWidth="1"/>
    <col min="3" max="3" width="11.42578125" style="335" customWidth="1"/>
    <col min="4" max="4" width="15.42578125" style="125" customWidth="1"/>
    <col min="5" max="5" width="10.85546875" style="45" customWidth="1"/>
    <col min="6" max="6" width="11" style="762" customWidth="1"/>
    <col min="7" max="7" width="11.28515625" style="353" customWidth="1"/>
    <col min="8" max="8" width="11.140625" style="76" customWidth="1"/>
    <col min="9" max="9" width="21" style="497" customWidth="1"/>
    <col min="10" max="10" width="12.140625" style="540" customWidth="1"/>
    <col min="11" max="11" width="13.140625" style="171" customWidth="1"/>
    <col min="12" max="12" width="16.140625" style="299" customWidth="1"/>
    <col min="13" max="13" width="14.85546875" style="188" customWidth="1"/>
    <col min="14" max="14" width="13.85546875" style="188" customWidth="1"/>
    <col min="15" max="15" width="8.85546875" style="189" customWidth="1"/>
    <col min="16" max="16" width="18.140625" style="170" customWidth="1"/>
    <col min="17" max="16384" width="12.140625" style="76"/>
  </cols>
  <sheetData>
    <row r="1" spans="1:16" ht="30" customHeight="1">
      <c r="B1" s="93"/>
      <c r="C1" s="124"/>
      <c r="D1" s="3444"/>
      <c r="E1" s="279"/>
      <c r="F1" s="757"/>
      <c r="G1" s="475"/>
      <c r="H1" s="75"/>
      <c r="I1" s="218"/>
      <c r="J1" s="545"/>
      <c r="K1" s="537">
        <v>1</v>
      </c>
      <c r="L1" s="300"/>
    </row>
    <row r="2" spans="1:16">
      <c r="A2" s="44" t="s">
        <v>0</v>
      </c>
      <c r="B2" s="127"/>
      <c r="C2" s="167"/>
      <c r="F2" s="376"/>
      <c r="L2" s="300"/>
    </row>
    <row r="3" spans="1:16" ht="35.25" customHeight="1">
      <c r="A3" s="112" t="s">
        <v>4280</v>
      </c>
      <c r="B3" s="112"/>
      <c r="C3" s="204"/>
      <c r="D3" s="109"/>
      <c r="F3" s="376"/>
      <c r="L3" s="300"/>
    </row>
    <row r="4" spans="1:16" ht="12.75" customHeight="1" thickBot="1">
      <c r="F4" s="376"/>
    </row>
    <row r="5" spans="1:16">
      <c r="A5" s="3493" t="s">
        <v>2</v>
      </c>
      <c r="B5" s="3482"/>
      <c r="C5" s="336" t="s">
        <v>3</v>
      </c>
      <c r="D5" s="128" t="s">
        <v>4</v>
      </c>
      <c r="E5" s="77" t="s">
        <v>5</v>
      </c>
      <c r="F5" s="758" t="s">
        <v>5</v>
      </c>
      <c r="G5" s="250" t="s">
        <v>6</v>
      </c>
      <c r="H5" s="140" t="s">
        <v>7</v>
      </c>
      <c r="I5" s="498" t="s">
        <v>1511</v>
      </c>
      <c r="J5" s="601" t="s">
        <v>9</v>
      </c>
      <c r="K5" s="346" t="s">
        <v>9</v>
      </c>
      <c r="L5" s="300" t="s">
        <v>2495</v>
      </c>
      <c r="M5" s="190"/>
    </row>
    <row r="6" spans="1:16" ht="35.25" thickBot="1">
      <c r="A6" s="155"/>
      <c r="B6" s="138"/>
      <c r="C6" s="337"/>
      <c r="D6" s="129" t="s">
        <v>10</v>
      </c>
      <c r="E6" s="79" t="s">
        <v>11</v>
      </c>
      <c r="F6" s="759" t="s">
        <v>12</v>
      </c>
      <c r="G6" s="476"/>
      <c r="H6" s="141" t="s">
        <v>13</v>
      </c>
      <c r="I6" s="499" t="s">
        <v>1512</v>
      </c>
      <c r="J6" s="602" t="s">
        <v>14</v>
      </c>
      <c r="K6" s="347" t="s">
        <v>15</v>
      </c>
      <c r="L6" s="300" t="s">
        <v>2496</v>
      </c>
      <c r="M6" s="190"/>
    </row>
    <row r="7" spans="1:16">
      <c r="A7" s="430" t="s">
        <v>4281</v>
      </c>
      <c r="B7" s="496"/>
      <c r="C7" s="617"/>
      <c r="D7" s="227"/>
      <c r="E7" s="255"/>
      <c r="F7" s="760"/>
      <c r="G7" s="477"/>
      <c r="H7" s="74"/>
      <c r="I7" s="431"/>
      <c r="J7" s="549"/>
      <c r="K7" s="526"/>
      <c r="L7" s="300"/>
      <c r="M7" s="188">
        <v>3552</v>
      </c>
      <c r="N7" s="188">
        <f t="shared" ref="N7:N28" si="0">M7-(M7*0.03)</f>
        <v>3445.44</v>
      </c>
      <c r="O7" s="189">
        <v>7.0000000000000007E-2</v>
      </c>
      <c r="P7" s="170">
        <f t="shared" ref="P7:P20" si="1">(N7*O7)+N7</f>
        <v>3686.6208000000001</v>
      </c>
    </row>
    <row r="8" spans="1:16">
      <c r="A8" s="157"/>
      <c r="B8" s="43" t="s">
        <v>4282</v>
      </c>
      <c r="C8" s="207">
        <v>1.5</v>
      </c>
      <c r="D8" s="751" t="s">
        <v>4283</v>
      </c>
      <c r="E8" s="142">
        <v>385</v>
      </c>
      <c r="F8" s="1942">
        <v>395</v>
      </c>
      <c r="G8" s="477" t="s">
        <v>4284</v>
      </c>
      <c r="H8" s="74">
        <v>358</v>
      </c>
      <c r="I8" s="764" t="s">
        <v>4285</v>
      </c>
      <c r="J8" s="544">
        <v>2203.86</v>
      </c>
      <c r="K8" s="526">
        <v>367.31</v>
      </c>
      <c r="L8" s="300">
        <v>377.74</v>
      </c>
      <c r="M8" s="188">
        <v>179</v>
      </c>
      <c r="N8" s="188">
        <f t="shared" si="0"/>
        <v>173.63</v>
      </c>
      <c r="O8" s="189">
        <v>7.0000000000000007E-2</v>
      </c>
      <c r="P8" s="170">
        <f t="shared" si="1"/>
        <v>185.7841</v>
      </c>
    </row>
    <row r="9" spans="1:16">
      <c r="A9" s="315"/>
      <c r="B9" s="43" t="s">
        <v>4282</v>
      </c>
      <c r="C9" s="207">
        <v>2.5</v>
      </c>
      <c r="D9" s="751" t="s">
        <v>4283</v>
      </c>
      <c r="E9" s="142">
        <v>600</v>
      </c>
      <c r="F9" s="1654"/>
      <c r="G9" s="477" t="s">
        <v>4284</v>
      </c>
      <c r="H9" s="74">
        <v>549</v>
      </c>
      <c r="I9" s="764" t="s">
        <v>4286</v>
      </c>
      <c r="J9" s="544">
        <v>3426.66</v>
      </c>
      <c r="K9" s="526">
        <v>571.11</v>
      </c>
      <c r="L9" s="300"/>
      <c r="M9" s="188">
        <v>9498.06</v>
      </c>
      <c r="N9" s="188">
        <f t="shared" si="0"/>
        <v>9213.118199999999</v>
      </c>
      <c r="O9" s="189">
        <v>7.0000000000000007E-2</v>
      </c>
      <c r="P9" s="170">
        <f t="shared" si="1"/>
        <v>9858.0364739999986</v>
      </c>
    </row>
    <row r="10" spans="1:16">
      <c r="A10" s="315"/>
      <c r="B10" s="362" t="s">
        <v>4287</v>
      </c>
      <c r="C10" s="207">
        <v>1.5</v>
      </c>
      <c r="D10" s="751" t="s">
        <v>4283</v>
      </c>
      <c r="E10" s="142">
        <v>395</v>
      </c>
      <c r="F10" s="1654"/>
      <c r="G10" s="477" t="s">
        <v>4288</v>
      </c>
      <c r="H10" s="74">
        <v>358</v>
      </c>
      <c r="I10" s="764"/>
      <c r="J10" s="544">
        <v>2234.5100000000002</v>
      </c>
      <c r="K10" s="526">
        <v>372.41</v>
      </c>
      <c r="L10" s="300"/>
      <c r="M10" s="188">
        <v>15305.4</v>
      </c>
      <c r="N10" s="188">
        <f t="shared" si="0"/>
        <v>14846.237999999999</v>
      </c>
      <c r="O10" s="189">
        <v>7.0000000000000007E-2</v>
      </c>
      <c r="P10" s="170">
        <f t="shared" si="1"/>
        <v>15885.47466</v>
      </c>
    </row>
    <row r="11" spans="1:16">
      <c r="A11" s="315"/>
      <c r="B11" s="362" t="s">
        <v>4289</v>
      </c>
      <c r="C11" s="207">
        <v>1.5</v>
      </c>
      <c r="D11" s="751" t="s">
        <v>4283</v>
      </c>
      <c r="E11" s="142">
        <v>385</v>
      </c>
      <c r="F11" s="1654"/>
      <c r="G11" s="477" t="s">
        <v>4290</v>
      </c>
      <c r="H11" s="74">
        <v>358</v>
      </c>
      <c r="I11" s="431"/>
      <c r="J11" s="586">
        <v>2202.59</v>
      </c>
      <c r="K11" s="526">
        <v>367.1</v>
      </c>
      <c r="L11" s="300"/>
      <c r="N11" s="188">
        <f t="shared" si="0"/>
        <v>0</v>
      </c>
      <c r="O11" s="189">
        <v>7.0000000000000007E-2</v>
      </c>
      <c r="P11" s="170">
        <f t="shared" si="1"/>
        <v>0</v>
      </c>
    </row>
    <row r="12" spans="1:16">
      <c r="A12" s="315"/>
      <c r="B12" s="383" t="s">
        <v>4291</v>
      </c>
      <c r="C12" s="207">
        <v>1.5</v>
      </c>
      <c r="D12" s="751" t="s">
        <v>4283</v>
      </c>
      <c r="E12" s="142">
        <v>385</v>
      </c>
      <c r="F12" s="1654"/>
      <c r="G12" s="477" t="s">
        <v>4292</v>
      </c>
      <c r="H12" s="74">
        <v>358</v>
      </c>
      <c r="I12" s="431"/>
      <c r="J12" s="586">
        <v>2202.59</v>
      </c>
      <c r="K12" s="526">
        <v>367.1</v>
      </c>
      <c r="L12" s="300"/>
      <c r="N12" s="188">
        <f t="shared" si="0"/>
        <v>0</v>
      </c>
      <c r="O12" s="189">
        <v>7.0000000000000007E-2</v>
      </c>
      <c r="P12" s="170">
        <f t="shared" si="1"/>
        <v>0</v>
      </c>
    </row>
    <row r="13" spans="1:16" ht="35.25" thickBot="1">
      <c r="A13" s="315"/>
      <c r="B13" s="1777" t="s">
        <v>4293</v>
      </c>
      <c r="C13" s="1386">
        <v>1.5</v>
      </c>
      <c r="D13" s="1778" t="s">
        <v>4283</v>
      </c>
      <c r="E13" s="1687">
        <v>385</v>
      </c>
      <c r="F13" s="1688"/>
      <c r="G13" s="1779" t="s">
        <v>4294</v>
      </c>
      <c r="H13" s="85">
        <v>358</v>
      </c>
      <c r="I13" s="1114"/>
      <c r="J13" s="1389">
        <v>2202.59</v>
      </c>
      <c r="K13" s="1149">
        <v>367.1</v>
      </c>
      <c r="L13" s="300"/>
      <c r="N13" s="188">
        <f t="shared" si="0"/>
        <v>0</v>
      </c>
      <c r="O13" s="189">
        <v>7.0000000000000007E-2</v>
      </c>
      <c r="P13" s="170">
        <f t="shared" si="1"/>
        <v>0</v>
      </c>
    </row>
    <row r="14" spans="1:16" ht="35.25" thickBot="1">
      <c r="A14" s="315"/>
      <c r="B14" s="1777"/>
      <c r="C14" s="1386"/>
      <c r="D14" s="1778"/>
      <c r="E14" s="1687"/>
      <c r="F14" s="1688"/>
      <c r="G14" s="1779"/>
      <c r="H14" s="85"/>
      <c r="I14" s="1114"/>
      <c r="J14" s="1389"/>
      <c r="K14" s="1149"/>
      <c r="M14" s="188">
        <v>14244.12</v>
      </c>
      <c r="N14" s="188">
        <f t="shared" si="0"/>
        <v>13816.796400000001</v>
      </c>
      <c r="O14" s="189">
        <v>7.0000000000000007E-2</v>
      </c>
      <c r="P14" s="170">
        <f t="shared" si="1"/>
        <v>14783.972148000001</v>
      </c>
    </row>
    <row r="15" spans="1:16">
      <c r="A15" s="315"/>
      <c r="B15" s="81" t="s">
        <v>4295</v>
      </c>
      <c r="C15" s="117">
        <v>1.5</v>
      </c>
      <c r="D15" s="1775" t="s">
        <v>4283</v>
      </c>
      <c r="E15" s="1146">
        <v>380</v>
      </c>
      <c r="F15" s="1690"/>
      <c r="G15" s="1684" t="s">
        <v>4296</v>
      </c>
      <c r="H15" s="1479">
        <v>339</v>
      </c>
      <c r="I15" s="1776" t="s">
        <v>4297</v>
      </c>
      <c r="J15" s="1512">
        <v>2111.09</v>
      </c>
      <c r="K15" s="1685">
        <v>351.85</v>
      </c>
      <c r="L15" s="300"/>
      <c r="M15" s="188">
        <v>3240</v>
      </c>
      <c r="N15" s="188">
        <f t="shared" si="0"/>
        <v>3142.8</v>
      </c>
      <c r="O15" s="189">
        <v>7.0000000000000007E-2</v>
      </c>
      <c r="P15" s="170">
        <f t="shared" si="1"/>
        <v>3362.7960000000003</v>
      </c>
    </row>
    <row r="16" spans="1:16">
      <c r="A16" s="315"/>
      <c r="B16" s="43" t="s">
        <v>4298</v>
      </c>
      <c r="C16" s="207">
        <v>1.5</v>
      </c>
      <c r="D16" s="751" t="s">
        <v>4299</v>
      </c>
      <c r="E16" s="142">
        <v>190</v>
      </c>
      <c r="F16" s="1654"/>
      <c r="G16" s="478" t="s">
        <v>4294</v>
      </c>
      <c r="H16" s="224">
        <v>339</v>
      </c>
      <c r="I16" s="1127"/>
      <c r="J16" s="603">
        <v>2115.36</v>
      </c>
      <c r="K16" s="527">
        <v>176.28</v>
      </c>
      <c r="L16" s="300"/>
      <c r="M16" s="188">
        <v>14700</v>
      </c>
      <c r="N16" s="188">
        <f t="shared" si="0"/>
        <v>14259</v>
      </c>
      <c r="O16" s="189">
        <v>7.0000000000000007E-2</v>
      </c>
      <c r="P16" s="170">
        <f t="shared" si="1"/>
        <v>15257.130000000001</v>
      </c>
    </row>
    <row r="17" spans="1:16">
      <c r="A17" s="315"/>
      <c r="B17" s="43" t="s">
        <v>4300</v>
      </c>
      <c r="C17" s="207">
        <v>1.5</v>
      </c>
      <c r="D17" s="751" t="s">
        <v>4299</v>
      </c>
      <c r="E17" s="142">
        <v>380</v>
      </c>
      <c r="F17" s="1654"/>
      <c r="G17" s="478" t="s">
        <v>4301</v>
      </c>
      <c r="H17" s="224">
        <v>339</v>
      </c>
      <c r="I17" s="1127"/>
      <c r="J17" s="603">
        <v>2115.36</v>
      </c>
      <c r="K17" s="527">
        <v>352.65</v>
      </c>
      <c r="L17" s="530"/>
      <c r="M17" s="188">
        <v>14582.7</v>
      </c>
      <c r="N17" s="188">
        <f t="shared" si="0"/>
        <v>14145.219000000001</v>
      </c>
      <c r="O17" s="189">
        <v>7.0000000000000007E-2</v>
      </c>
      <c r="P17" s="170">
        <f t="shared" si="1"/>
        <v>15135.384330000001</v>
      </c>
    </row>
    <row r="18" spans="1:16">
      <c r="A18" s="315"/>
      <c r="B18" s="43" t="s">
        <v>4302</v>
      </c>
      <c r="C18" s="207">
        <v>1.5</v>
      </c>
      <c r="D18" s="751" t="s">
        <v>4283</v>
      </c>
      <c r="E18" s="142">
        <v>380</v>
      </c>
      <c r="F18" s="1654">
        <v>369</v>
      </c>
      <c r="G18" s="477"/>
      <c r="H18" s="74"/>
      <c r="I18" s="151"/>
      <c r="J18" s="586"/>
      <c r="K18" s="526"/>
      <c r="L18" s="530"/>
      <c r="N18" s="188">
        <f t="shared" si="0"/>
        <v>0</v>
      </c>
      <c r="O18" s="189">
        <v>7.0000000000000007E-2</v>
      </c>
      <c r="P18" s="170">
        <f t="shared" si="1"/>
        <v>0</v>
      </c>
    </row>
    <row r="19" spans="1:16">
      <c r="A19" s="315"/>
      <c r="B19" s="43" t="s">
        <v>4303</v>
      </c>
      <c r="C19" s="207">
        <v>2.2999999999999998</v>
      </c>
      <c r="D19" s="752" t="s">
        <v>4304</v>
      </c>
      <c r="E19" s="142">
        <v>395</v>
      </c>
      <c r="F19" s="381"/>
      <c r="G19" s="478" t="s">
        <v>4294</v>
      </c>
      <c r="H19" s="224">
        <v>354</v>
      </c>
      <c r="I19" s="1127"/>
      <c r="J19" s="604">
        <v>2982.89</v>
      </c>
      <c r="K19" s="527">
        <v>372.86</v>
      </c>
      <c r="L19" s="530"/>
      <c r="M19" s="188">
        <v>12687.84</v>
      </c>
      <c r="N19" s="188">
        <f t="shared" si="0"/>
        <v>12307.2048</v>
      </c>
      <c r="O19" s="189">
        <v>7.0000000000000007E-2</v>
      </c>
      <c r="P19" s="170">
        <f t="shared" si="1"/>
        <v>13168.709135999999</v>
      </c>
    </row>
    <row r="20" spans="1:16" ht="35.25" thickBot="1">
      <c r="A20" s="315"/>
      <c r="B20" s="1701" t="s">
        <v>4305</v>
      </c>
      <c r="C20" s="1702"/>
      <c r="D20" s="1703" t="s">
        <v>4304</v>
      </c>
      <c r="E20" s="1704">
        <v>300</v>
      </c>
      <c r="F20" s="1705"/>
      <c r="G20" s="1152" t="s">
        <v>4306</v>
      </c>
      <c r="H20" s="627">
        <v>271</v>
      </c>
      <c r="I20" s="1706" t="s">
        <v>4307</v>
      </c>
      <c r="J20" s="1707">
        <v>2283.5100000000002</v>
      </c>
      <c r="K20" s="1708">
        <v>285.43</v>
      </c>
      <c r="L20" s="300"/>
      <c r="M20" s="188">
        <v>16572.599999999999</v>
      </c>
      <c r="N20" s="188">
        <f t="shared" si="0"/>
        <v>16075.421999999999</v>
      </c>
      <c r="O20" s="189">
        <v>7.0000000000000007E-2</v>
      </c>
      <c r="P20" s="170">
        <f t="shared" si="1"/>
        <v>17200.701539999998</v>
      </c>
    </row>
    <row r="21" spans="1:16">
      <c r="A21" s="315"/>
      <c r="B21" s="1695" t="s">
        <v>4308</v>
      </c>
      <c r="C21" s="598"/>
      <c r="D21" s="1696"/>
      <c r="E21" s="1697">
        <v>345</v>
      </c>
      <c r="F21" s="1698"/>
      <c r="G21" s="1684" t="s">
        <v>4306</v>
      </c>
      <c r="H21" s="1479">
        <v>292</v>
      </c>
      <c r="I21" s="1699"/>
      <c r="J21" s="1700"/>
      <c r="K21" s="1685">
        <v>312.44</v>
      </c>
      <c r="L21" s="300"/>
      <c r="M21" s="188">
        <v>6021.12</v>
      </c>
      <c r="N21" s="188">
        <f t="shared" si="0"/>
        <v>5840.4863999999998</v>
      </c>
      <c r="O21" s="189">
        <v>7.0000000000000007E-2</v>
      </c>
      <c r="P21" s="170">
        <f>(N21*O21)+N21</f>
        <v>6249.3204479999995</v>
      </c>
    </row>
    <row r="22" spans="1:16">
      <c r="A22" s="315"/>
      <c r="B22" s="1131" t="s">
        <v>4309</v>
      </c>
      <c r="C22" s="966"/>
      <c r="D22" s="1128"/>
      <c r="E22" s="275">
        <v>345</v>
      </c>
      <c r="F22" s="967"/>
      <c r="G22" s="478" t="s">
        <v>4310</v>
      </c>
      <c r="H22" s="224">
        <v>292</v>
      </c>
      <c r="I22" s="1129"/>
      <c r="J22" s="1130"/>
      <c r="K22" s="527">
        <v>312.44</v>
      </c>
      <c r="L22" s="300"/>
      <c r="M22" s="188">
        <v>8714.16</v>
      </c>
      <c r="N22" s="188">
        <f t="shared" si="0"/>
        <v>8452.7351999999992</v>
      </c>
      <c r="O22" s="189">
        <v>7.0000000000000007E-2</v>
      </c>
      <c r="P22" s="170">
        <f>(N22*O22)+N22</f>
        <v>9044.4266639999987</v>
      </c>
    </row>
    <row r="23" spans="1:16">
      <c r="A23" s="315"/>
      <c r="B23" s="481" t="s">
        <v>4311</v>
      </c>
      <c r="C23" s="1037">
        <v>1.5</v>
      </c>
      <c r="D23" s="1474" t="s">
        <v>4312</v>
      </c>
      <c r="E23" s="1035">
        <v>520</v>
      </c>
      <c r="F23" s="1475">
        <v>530</v>
      </c>
      <c r="G23" s="1151" t="s">
        <v>4284</v>
      </c>
      <c r="H23" s="1038">
        <v>981</v>
      </c>
      <c r="I23" s="1132" t="s">
        <v>4313</v>
      </c>
      <c r="J23" s="1039">
        <v>4111.2</v>
      </c>
      <c r="K23" s="1036">
        <v>492.03</v>
      </c>
      <c r="L23" s="300"/>
      <c r="M23" s="188">
        <v>18537.7</v>
      </c>
      <c r="N23" s="188">
        <f t="shared" si="0"/>
        <v>17981.569</v>
      </c>
      <c r="O23" s="189">
        <v>7.0000000000000007E-2</v>
      </c>
      <c r="P23" s="170">
        <f t="shared" ref="P23:P28" si="2">(N23*O23)+N23</f>
        <v>19240.278829999999</v>
      </c>
    </row>
    <row r="24" spans="1:16">
      <c r="A24" s="59"/>
      <c r="B24" s="481" t="s">
        <v>4311</v>
      </c>
      <c r="C24" s="1037">
        <v>2.5</v>
      </c>
      <c r="D24" s="1474" t="s">
        <v>4312</v>
      </c>
      <c r="E24" s="480">
        <v>820</v>
      </c>
      <c r="F24" s="1475">
        <v>830</v>
      </c>
      <c r="G24" s="1151" t="s">
        <v>4284</v>
      </c>
      <c r="H24" s="1038">
        <v>1518</v>
      </c>
      <c r="I24" s="1132" t="s">
        <v>4314</v>
      </c>
      <c r="J24" s="1039">
        <v>6090.96</v>
      </c>
      <c r="K24" s="1036">
        <v>761.37</v>
      </c>
      <c r="L24" s="300"/>
      <c r="M24" s="188">
        <v>9031.68</v>
      </c>
      <c r="N24" s="188">
        <f t="shared" si="0"/>
        <v>8760.7296000000006</v>
      </c>
      <c r="O24" s="189">
        <v>7.0000000000000007E-2</v>
      </c>
      <c r="P24" s="170">
        <f t="shared" si="2"/>
        <v>9373.9806720000015</v>
      </c>
    </row>
    <row r="25" spans="1:16">
      <c r="A25" s="315"/>
      <c r="B25" s="481" t="s">
        <v>4315</v>
      </c>
      <c r="C25" s="1037">
        <v>1.5</v>
      </c>
      <c r="D25" s="1474" t="s">
        <v>4312</v>
      </c>
      <c r="E25" s="1035">
        <v>520</v>
      </c>
      <c r="F25" s="1475">
        <v>530</v>
      </c>
      <c r="G25" s="1151" t="s">
        <v>4284</v>
      </c>
      <c r="H25" s="1038">
        <v>981</v>
      </c>
      <c r="I25" s="1132" t="s">
        <v>4313</v>
      </c>
      <c r="J25" s="1039">
        <v>4111.2</v>
      </c>
      <c r="K25" s="1036">
        <v>492.03</v>
      </c>
      <c r="L25" s="300"/>
      <c r="M25" s="188">
        <f>381*18</f>
        <v>6858</v>
      </c>
      <c r="O25" s="189">
        <v>7.0000000000000007E-2</v>
      </c>
      <c r="P25" s="170">
        <f>(M25*O25)+M25</f>
        <v>7338.06</v>
      </c>
    </row>
    <row r="26" spans="1:16">
      <c r="A26" s="315"/>
      <c r="B26" s="481" t="s">
        <v>4316</v>
      </c>
      <c r="C26" s="1037">
        <v>2.5</v>
      </c>
      <c r="D26" s="1474" t="s">
        <v>4312</v>
      </c>
      <c r="E26" s="480">
        <v>820</v>
      </c>
      <c r="F26" s="1475">
        <v>830</v>
      </c>
      <c r="G26" s="1151" t="s">
        <v>4284</v>
      </c>
      <c r="H26" s="1038">
        <v>1518</v>
      </c>
      <c r="I26" s="1132" t="s">
        <v>4314</v>
      </c>
      <c r="J26" s="1039">
        <v>6090.96</v>
      </c>
      <c r="K26" s="1036">
        <v>761.37</v>
      </c>
      <c r="L26" s="300"/>
      <c r="M26" s="188">
        <v>8478.9599999999991</v>
      </c>
      <c r="N26" s="188">
        <f t="shared" si="0"/>
        <v>8224.5911999999989</v>
      </c>
      <c r="O26" s="189">
        <v>7.0000000000000007E-2</v>
      </c>
      <c r="P26" s="170">
        <f t="shared" si="2"/>
        <v>8800.3125839999993</v>
      </c>
    </row>
    <row r="27" spans="1:16">
      <c r="A27" s="315"/>
      <c r="B27" s="1709" t="s">
        <v>4317</v>
      </c>
      <c r="C27" s="1710">
        <v>1.5</v>
      </c>
      <c r="D27" s="1711"/>
      <c r="E27" s="1712">
        <v>1120</v>
      </c>
      <c r="F27" s="1713">
        <v>1039</v>
      </c>
      <c r="G27" s="1714" t="s">
        <v>4318</v>
      </c>
      <c r="H27" s="1715">
        <v>991</v>
      </c>
      <c r="I27" s="1716" t="s">
        <v>4319</v>
      </c>
      <c r="J27" s="1717"/>
      <c r="K27" s="1718">
        <v>1060.3699999999999</v>
      </c>
      <c r="L27" s="300"/>
      <c r="M27" s="188">
        <v>11122.62</v>
      </c>
      <c r="N27" s="188">
        <f t="shared" si="0"/>
        <v>10788.941400000002</v>
      </c>
      <c r="O27" s="189">
        <v>7.0000000000000007E-2</v>
      </c>
      <c r="P27" s="170">
        <f t="shared" si="2"/>
        <v>11544.167298000002</v>
      </c>
    </row>
    <row r="28" spans="1:16">
      <c r="A28" s="315"/>
      <c r="B28" s="884" t="s">
        <v>4320</v>
      </c>
      <c r="C28" s="885">
        <v>1.5</v>
      </c>
      <c r="D28" s="886"/>
      <c r="E28" s="893">
        <v>1120</v>
      </c>
      <c r="F28" s="1653">
        <v>1039</v>
      </c>
      <c r="G28" s="887" t="s">
        <v>4321</v>
      </c>
      <c r="H28" s="888">
        <v>991</v>
      </c>
      <c r="I28" s="889" t="s">
        <v>4322</v>
      </c>
      <c r="J28" s="890" t="s">
        <v>4323</v>
      </c>
      <c r="K28" s="891">
        <v>963.97</v>
      </c>
      <c r="L28" s="300"/>
      <c r="M28" s="188">
        <v>3813.12</v>
      </c>
      <c r="N28" s="188">
        <f t="shared" si="0"/>
        <v>3698.7264</v>
      </c>
      <c r="O28" s="189">
        <v>7.0000000000000007E-2</v>
      </c>
      <c r="P28" s="170">
        <f t="shared" si="2"/>
        <v>3957.637248</v>
      </c>
    </row>
    <row r="29" spans="1:16">
      <c r="A29" s="315"/>
      <c r="B29" s="884" t="s">
        <v>4324</v>
      </c>
      <c r="C29" s="885">
        <v>1.5</v>
      </c>
      <c r="D29" s="886"/>
      <c r="E29" s="892">
        <v>780</v>
      </c>
      <c r="F29" s="1653">
        <v>740</v>
      </c>
      <c r="G29" s="887" t="s">
        <v>4325</v>
      </c>
      <c r="H29" s="888">
        <v>696</v>
      </c>
      <c r="I29" s="889" t="s">
        <v>4326</v>
      </c>
      <c r="J29" s="890" t="s">
        <v>4327</v>
      </c>
      <c r="K29" s="891">
        <v>703.34</v>
      </c>
      <c r="L29" s="300"/>
    </row>
    <row r="30" spans="1:16">
      <c r="A30" s="315"/>
      <c r="B30" s="884" t="s">
        <v>4328</v>
      </c>
      <c r="C30" s="885">
        <v>1.5</v>
      </c>
      <c r="D30" s="886" t="s">
        <v>4329</v>
      </c>
      <c r="E30" s="893">
        <v>430</v>
      </c>
      <c r="F30" s="1653">
        <v>395</v>
      </c>
      <c r="G30" s="887" t="s">
        <v>4325</v>
      </c>
      <c r="H30" s="894">
        <v>381</v>
      </c>
      <c r="I30" s="895" t="s">
        <v>4330</v>
      </c>
      <c r="J30" s="896" t="s">
        <v>4331</v>
      </c>
      <c r="K30" s="897">
        <v>376.31</v>
      </c>
      <c r="L30" s="300"/>
    </row>
    <row r="31" spans="1:16">
      <c r="A31" s="315"/>
      <c r="B31" s="884" t="s">
        <v>4332</v>
      </c>
      <c r="C31" s="885">
        <v>1.5</v>
      </c>
      <c r="D31" s="886"/>
      <c r="E31" s="898">
        <v>430</v>
      </c>
      <c r="F31" s="1653">
        <v>375</v>
      </c>
      <c r="G31" s="887" t="s">
        <v>4325</v>
      </c>
      <c r="H31" s="888">
        <v>361</v>
      </c>
      <c r="I31" s="889" t="s">
        <v>4333</v>
      </c>
      <c r="J31" s="890" t="s">
        <v>4334</v>
      </c>
      <c r="K31" s="891">
        <v>356.55</v>
      </c>
      <c r="L31" s="300"/>
    </row>
    <row r="32" spans="1:16">
      <c r="A32" s="315"/>
      <c r="B32" s="770" t="s">
        <v>4317</v>
      </c>
      <c r="C32" s="523">
        <v>1.5</v>
      </c>
      <c r="D32" s="1689"/>
      <c r="E32" s="1697">
        <v>1120</v>
      </c>
      <c r="F32" s="1928">
        <v>1039</v>
      </c>
      <c r="G32" s="1684" t="s">
        <v>4335</v>
      </c>
      <c r="H32" s="1479">
        <v>991</v>
      </c>
      <c r="I32" s="1362" t="s">
        <v>4336</v>
      </c>
      <c r="J32" s="710"/>
      <c r="K32" s="1685">
        <v>964</v>
      </c>
      <c r="L32" s="300"/>
    </row>
    <row r="33" spans="1:16">
      <c r="A33" s="315"/>
      <c r="B33" s="406" t="s">
        <v>4320</v>
      </c>
      <c r="C33" s="341">
        <v>1.5</v>
      </c>
      <c r="D33" s="3469"/>
      <c r="E33" s="970">
        <v>1120</v>
      </c>
      <c r="F33" s="1929">
        <v>1039</v>
      </c>
      <c r="G33" s="478" t="s">
        <v>4335</v>
      </c>
      <c r="H33" s="1479">
        <v>991</v>
      </c>
      <c r="I33" s="1362" t="s">
        <v>4336</v>
      </c>
      <c r="J33" s="710"/>
      <c r="K33" s="1685">
        <v>964</v>
      </c>
      <c r="L33" s="300"/>
    </row>
    <row r="34" spans="1:16">
      <c r="A34" s="315"/>
      <c r="B34" s="406" t="s">
        <v>4324</v>
      </c>
      <c r="C34" s="341">
        <v>1.5</v>
      </c>
      <c r="D34" s="3469"/>
      <c r="E34" s="1930">
        <v>780</v>
      </c>
      <c r="F34" s="1929">
        <v>770</v>
      </c>
      <c r="G34" s="478" t="s">
        <v>4335</v>
      </c>
      <c r="H34" s="224">
        <v>696</v>
      </c>
      <c r="I34" s="505" t="s">
        <v>4337</v>
      </c>
      <c r="J34" s="604"/>
      <c r="K34" s="527">
        <v>688</v>
      </c>
      <c r="L34" s="300"/>
    </row>
    <row r="35" spans="1:16">
      <c r="A35" s="315"/>
      <c r="B35" s="406" t="s">
        <v>4328</v>
      </c>
      <c r="C35" s="341">
        <v>1.5</v>
      </c>
      <c r="D35" s="3469" t="s">
        <v>4329</v>
      </c>
      <c r="E35" s="970">
        <v>430</v>
      </c>
      <c r="F35" s="1929">
        <v>409</v>
      </c>
      <c r="G35" s="478" t="s">
        <v>4335</v>
      </c>
      <c r="H35" s="971">
        <v>381</v>
      </c>
      <c r="I35" s="506" t="s">
        <v>4338</v>
      </c>
      <c r="J35" s="972"/>
      <c r="K35" s="973">
        <v>376</v>
      </c>
      <c r="L35" s="300"/>
    </row>
    <row r="36" spans="1:16">
      <c r="A36" s="44"/>
      <c r="B36" s="406" t="s">
        <v>4332</v>
      </c>
      <c r="C36" s="341">
        <v>1.5</v>
      </c>
      <c r="D36" s="3469"/>
      <c r="E36" s="221">
        <v>430</v>
      </c>
      <c r="F36" s="1929">
        <v>397</v>
      </c>
      <c r="G36" s="478" t="s">
        <v>4335</v>
      </c>
      <c r="H36" s="224">
        <v>361</v>
      </c>
      <c r="I36" s="505" t="s">
        <v>4337</v>
      </c>
      <c r="J36" s="604" t="s">
        <v>4334</v>
      </c>
      <c r="K36" s="527">
        <v>357</v>
      </c>
      <c r="L36" s="300"/>
    </row>
    <row r="37" spans="1:16">
      <c r="A37" s="44"/>
      <c r="B37" s="75"/>
      <c r="C37" s="124"/>
      <c r="D37" s="3444"/>
      <c r="E37" s="279"/>
      <c r="F37" s="757"/>
      <c r="G37" s="475"/>
      <c r="H37" s="75"/>
      <c r="I37" s="218"/>
      <c r="J37" s="545"/>
      <c r="K37" s="537">
        <v>2</v>
      </c>
      <c r="L37" s="300"/>
    </row>
    <row r="38" spans="1:16">
      <c r="A38" s="44" t="s">
        <v>0</v>
      </c>
      <c r="B38" s="127"/>
      <c r="C38" s="167"/>
      <c r="F38" s="376"/>
      <c r="L38" s="300"/>
    </row>
    <row r="39" spans="1:16" ht="35.25" customHeight="1">
      <c r="A39" s="112" t="s">
        <v>4339</v>
      </c>
      <c r="B39" s="112"/>
      <c r="C39" s="204"/>
      <c r="D39" s="109"/>
      <c r="F39" s="376"/>
      <c r="L39" s="300"/>
    </row>
    <row r="40" spans="1:16" ht="21" customHeight="1" thickBot="1">
      <c r="F40" s="376"/>
    </row>
    <row r="41" spans="1:16">
      <c r="A41" s="3511" t="s">
        <v>2</v>
      </c>
      <c r="B41" s="3512"/>
      <c r="C41" s="580" t="s">
        <v>3</v>
      </c>
      <c r="D41" s="261" t="s">
        <v>4</v>
      </c>
      <c r="E41" s="77" t="s">
        <v>5</v>
      </c>
      <c r="F41" s="758" t="s">
        <v>5</v>
      </c>
      <c r="G41" s="250" t="s">
        <v>6</v>
      </c>
      <c r="H41" s="140" t="s">
        <v>7</v>
      </c>
      <c r="I41" s="498" t="s">
        <v>1511</v>
      </c>
      <c r="J41" s="601" t="s">
        <v>9</v>
      </c>
      <c r="K41" s="346" t="s">
        <v>9</v>
      </c>
      <c r="L41" s="300" t="s">
        <v>2495</v>
      </c>
      <c r="M41" s="190"/>
    </row>
    <row r="42" spans="1:16" ht="35.25" thickBot="1">
      <c r="A42" s="155"/>
      <c r="B42" s="138"/>
      <c r="C42" s="337"/>
      <c r="D42" s="262" t="s">
        <v>10</v>
      </c>
      <c r="E42" s="79" t="s">
        <v>11</v>
      </c>
      <c r="F42" s="759" t="s">
        <v>12</v>
      </c>
      <c r="G42" s="476"/>
      <c r="H42" s="141" t="s">
        <v>13</v>
      </c>
      <c r="I42" s="499" t="s">
        <v>1512</v>
      </c>
      <c r="J42" s="602" t="s">
        <v>14</v>
      </c>
      <c r="K42" s="347" t="s">
        <v>15</v>
      </c>
      <c r="L42" s="300" t="s">
        <v>2496</v>
      </c>
      <c r="M42" s="190"/>
    </row>
    <row r="43" spans="1:16">
      <c r="A43" s="577" t="s">
        <v>4340</v>
      </c>
      <c r="B43" s="578"/>
      <c r="C43" s="581"/>
      <c r="D43" s="263"/>
      <c r="E43" s="255"/>
      <c r="F43" s="760"/>
      <c r="G43" s="477"/>
      <c r="H43" s="74"/>
      <c r="I43" s="431"/>
      <c r="J43" s="549"/>
      <c r="K43" s="526"/>
      <c r="L43" s="300"/>
      <c r="M43" s="188">
        <v>3552</v>
      </c>
      <c r="N43" s="188">
        <f t="shared" ref="N43:N55" si="3">M43-(M43*0.03)</f>
        <v>3445.44</v>
      </c>
      <c r="O43" s="189">
        <v>7.0000000000000007E-2</v>
      </c>
      <c r="P43" s="170">
        <f t="shared" ref="P43:P55" si="4">(N43*O43)+N43</f>
        <v>3686.6208000000001</v>
      </c>
    </row>
    <row r="44" spans="1:16">
      <c r="A44" s="157"/>
      <c r="B44" s="43" t="s">
        <v>4341</v>
      </c>
      <c r="C44" s="207" t="s">
        <v>4342</v>
      </c>
      <c r="D44" s="3469" t="s">
        <v>4343</v>
      </c>
      <c r="E44" s="142">
        <v>190</v>
      </c>
      <c r="F44" s="1654"/>
      <c r="G44" s="1151" t="s">
        <v>4344</v>
      </c>
      <c r="H44" s="150" t="s">
        <v>4345</v>
      </c>
      <c r="I44" s="764"/>
      <c r="J44" s="544">
        <v>2190</v>
      </c>
      <c r="K44" s="529" t="s">
        <v>4346</v>
      </c>
      <c r="L44" s="300"/>
      <c r="N44" s="188">
        <f t="shared" si="3"/>
        <v>0</v>
      </c>
      <c r="O44" s="189">
        <v>7.0000000000000007E-2</v>
      </c>
      <c r="P44" s="170">
        <f t="shared" si="4"/>
        <v>0</v>
      </c>
    </row>
    <row r="45" spans="1:16">
      <c r="A45" s="157"/>
      <c r="B45" s="43" t="s">
        <v>4341</v>
      </c>
      <c r="C45" s="207" t="s">
        <v>4347</v>
      </c>
      <c r="D45" s="3469" t="s">
        <v>4343</v>
      </c>
      <c r="E45" s="142">
        <v>290</v>
      </c>
      <c r="F45" s="381"/>
      <c r="G45" s="477" t="s">
        <v>2509</v>
      </c>
      <c r="H45" s="150" t="s">
        <v>4348</v>
      </c>
      <c r="I45" s="431"/>
      <c r="J45" s="544">
        <v>3125.9</v>
      </c>
      <c r="K45" s="529" t="s">
        <v>4349</v>
      </c>
      <c r="L45" s="300"/>
      <c r="M45" s="188">
        <v>9498.06</v>
      </c>
      <c r="N45" s="188">
        <f t="shared" si="3"/>
        <v>9213.118199999999</v>
      </c>
      <c r="O45" s="189">
        <v>7.0000000000000007E-2</v>
      </c>
      <c r="P45" s="170">
        <f t="shared" si="4"/>
        <v>9858.0364739999986</v>
      </c>
    </row>
    <row r="46" spans="1:16">
      <c r="A46" s="157"/>
      <c r="B46" s="43" t="s">
        <v>4350</v>
      </c>
      <c r="C46" s="207" t="s">
        <v>4347</v>
      </c>
      <c r="D46" s="3469" t="s">
        <v>4351</v>
      </c>
      <c r="E46" s="142">
        <v>290</v>
      </c>
      <c r="F46" s="381"/>
      <c r="G46" s="477" t="s">
        <v>2509</v>
      </c>
      <c r="H46" s="639" t="s">
        <v>4352</v>
      </c>
      <c r="I46" s="431"/>
      <c r="J46" s="544">
        <v>3188.3</v>
      </c>
      <c r="K46" s="529" t="s">
        <v>4353</v>
      </c>
      <c r="L46" s="300"/>
      <c r="N46" s="188">
        <f t="shared" si="3"/>
        <v>0</v>
      </c>
      <c r="O46" s="189">
        <v>7.0000000000000007E-2</v>
      </c>
      <c r="P46" s="170">
        <f t="shared" si="4"/>
        <v>0</v>
      </c>
    </row>
    <row r="47" spans="1:16">
      <c r="A47" s="157"/>
      <c r="B47" s="43" t="s">
        <v>4354</v>
      </c>
      <c r="C47" s="207" t="s">
        <v>4355</v>
      </c>
      <c r="D47" s="3469" t="s">
        <v>4343</v>
      </c>
      <c r="E47" s="142">
        <v>190</v>
      </c>
      <c r="F47" s="381"/>
      <c r="G47" s="477" t="s">
        <v>4356</v>
      </c>
      <c r="H47" s="639" t="s">
        <v>4345</v>
      </c>
      <c r="I47" s="431"/>
      <c r="J47" s="586">
        <v>2138.2399999999998</v>
      </c>
      <c r="K47" s="1133" t="s">
        <v>4357</v>
      </c>
      <c r="L47" s="300"/>
      <c r="N47" s="188">
        <f t="shared" si="3"/>
        <v>0</v>
      </c>
      <c r="O47" s="189">
        <v>7.0000000000000007E-2</v>
      </c>
      <c r="P47" s="170">
        <f t="shared" si="4"/>
        <v>0</v>
      </c>
    </row>
    <row r="48" spans="1:16">
      <c r="A48" s="157"/>
      <c r="B48" s="43" t="s">
        <v>4354</v>
      </c>
      <c r="C48" s="207" t="s">
        <v>4358</v>
      </c>
      <c r="D48" s="3469" t="s">
        <v>4343</v>
      </c>
      <c r="E48" s="142">
        <v>290</v>
      </c>
      <c r="F48" s="381"/>
      <c r="G48" s="477" t="s">
        <v>4359</v>
      </c>
      <c r="H48" s="150"/>
      <c r="I48" s="431"/>
      <c r="J48" s="586">
        <v>3082</v>
      </c>
      <c r="K48" s="526">
        <v>256.83</v>
      </c>
      <c r="L48" s="300"/>
      <c r="M48" s="188">
        <v>14700</v>
      </c>
      <c r="N48" s="188">
        <f t="shared" si="3"/>
        <v>14259</v>
      </c>
      <c r="O48" s="189">
        <v>7.0000000000000007E-2</v>
      </c>
      <c r="P48" s="170">
        <f>(N48*O48)+N48</f>
        <v>15257.130000000001</v>
      </c>
    </row>
    <row r="49" spans="1:16">
      <c r="A49" s="157"/>
      <c r="B49" s="43" t="s">
        <v>4360</v>
      </c>
      <c r="C49" s="207" t="s">
        <v>4355</v>
      </c>
      <c r="D49" s="3457" t="s">
        <v>4343</v>
      </c>
      <c r="E49" s="142">
        <v>195</v>
      </c>
      <c r="F49" s="381"/>
      <c r="G49" s="478" t="s">
        <v>4356</v>
      </c>
      <c r="H49" s="150" t="s">
        <v>4345</v>
      </c>
      <c r="I49" s="1134"/>
      <c r="J49" s="604">
        <v>2234.16</v>
      </c>
      <c r="K49" s="529" t="s">
        <v>4361</v>
      </c>
      <c r="L49" s="530"/>
      <c r="M49" s="188">
        <v>14582.7</v>
      </c>
      <c r="N49" s="188">
        <f t="shared" si="3"/>
        <v>14145.219000000001</v>
      </c>
      <c r="O49" s="189">
        <v>7.0000000000000007E-2</v>
      </c>
      <c r="P49" s="170">
        <f>(N49*O49)+N49</f>
        <v>15135.384330000001</v>
      </c>
    </row>
    <row r="50" spans="1:16">
      <c r="A50" s="157"/>
      <c r="B50" s="362" t="s">
        <v>4362</v>
      </c>
      <c r="C50" s="207" t="s">
        <v>4355</v>
      </c>
      <c r="D50" s="3457" t="s">
        <v>4343</v>
      </c>
      <c r="E50" s="142">
        <v>180</v>
      </c>
      <c r="F50" s="381"/>
      <c r="G50" s="478" t="s">
        <v>4318</v>
      </c>
      <c r="H50" s="639" t="s">
        <v>4345</v>
      </c>
      <c r="I50" s="431"/>
      <c r="J50" s="586">
        <v>1988.4</v>
      </c>
      <c r="K50" s="529" t="s">
        <v>4361</v>
      </c>
      <c r="M50" s="188">
        <v>14244.12</v>
      </c>
      <c r="N50" s="188">
        <f t="shared" si="3"/>
        <v>13816.796400000001</v>
      </c>
      <c r="O50" s="189">
        <v>7.0000000000000007E-2</v>
      </c>
      <c r="P50" s="170">
        <f t="shared" si="4"/>
        <v>14783.972148000001</v>
      </c>
    </row>
    <row r="51" spans="1:16">
      <c r="A51" s="157"/>
      <c r="B51" s="43" t="s">
        <v>4363</v>
      </c>
      <c r="C51" s="207" t="s">
        <v>4355</v>
      </c>
      <c r="D51" s="3469" t="s">
        <v>4343</v>
      </c>
      <c r="E51" s="142">
        <v>180</v>
      </c>
      <c r="F51" s="381"/>
      <c r="G51" s="477" t="s">
        <v>4364</v>
      </c>
      <c r="H51" s="639" t="s">
        <v>4365</v>
      </c>
      <c r="I51" s="431"/>
      <c r="J51" s="544">
        <v>1907.08</v>
      </c>
      <c r="K51" s="529" t="s">
        <v>4366</v>
      </c>
      <c r="L51" s="300"/>
      <c r="M51" s="188">
        <v>3240</v>
      </c>
      <c r="N51" s="188">
        <f t="shared" si="3"/>
        <v>3142.8</v>
      </c>
      <c r="O51" s="189">
        <v>7.0000000000000007E-2</v>
      </c>
      <c r="P51" s="170">
        <f t="shared" si="4"/>
        <v>3362.7960000000003</v>
      </c>
    </row>
    <row r="52" spans="1:16" ht="35.25" thickBot="1">
      <c r="A52" s="157"/>
      <c r="B52" s="86" t="s">
        <v>4367</v>
      </c>
      <c r="C52" s="1386" t="s">
        <v>4368</v>
      </c>
      <c r="D52" s="1686" t="s">
        <v>4343</v>
      </c>
      <c r="E52" s="1687"/>
      <c r="F52" s="1693"/>
      <c r="G52" s="1152" t="s">
        <v>1114</v>
      </c>
      <c r="H52" s="1400" t="s">
        <v>4369</v>
      </c>
      <c r="I52" s="1114"/>
      <c r="J52" s="1389">
        <v>2734.15</v>
      </c>
      <c r="K52" s="1694" t="s">
        <v>4370</v>
      </c>
      <c r="L52" s="300"/>
    </row>
    <row r="53" spans="1:16">
      <c r="A53" s="157"/>
      <c r="B53" s="81" t="s">
        <v>4371</v>
      </c>
      <c r="C53" s="117" t="s">
        <v>4355</v>
      </c>
      <c r="D53" s="1689" t="s">
        <v>4343</v>
      </c>
      <c r="E53" s="1146">
        <v>190</v>
      </c>
      <c r="F53" s="1690">
        <v>185</v>
      </c>
      <c r="G53" s="1684" t="s">
        <v>4372</v>
      </c>
      <c r="H53" s="640" t="s">
        <v>4373</v>
      </c>
      <c r="I53" s="1691" t="s">
        <v>4374</v>
      </c>
      <c r="J53" s="702">
        <v>2018.07</v>
      </c>
      <c r="K53" s="1692" t="s">
        <v>4375</v>
      </c>
      <c r="L53" s="530"/>
      <c r="M53" s="188">
        <v>13483.8</v>
      </c>
      <c r="N53" s="188">
        <f t="shared" si="3"/>
        <v>13079.286</v>
      </c>
      <c r="O53" s="189">
        <v>7.0000000000000007E-2</v>
      </c>
      <c r="P53" s="170">
        <f t="shared" si="4"/>
        <v>13994.836020000001</v>
      </c>
    </row>
    <row r="54" spans="1:16" ht="35.25" thickBot="1">
      <c r="A54" s="157"/>
      <c r="B54" s="86" t="s">
        <v>4376</v>
      </c>
      <c r="C54" s="1386" t="s">
        <v>4355</v>
      </c>
      <c r="D54" s="1686" t="s">
        <v>4343</v>
      </c>
      <c r="E54" s="1146">
        <v>190</v>
      </c>
      <c r="F54" s="1690">
        <v>185</v>
      </c>
      <c r="G54" s="1684" t="s">
        <v>882</v>
      </c>
      <c r="H54" s="640" t="s">
        <v>4373</v>
      </c>
      <c r="I54" s="1691" t="s">
        <v>4374</v>
      </c>
      <c r="J54" s="702">
        <v>2018.07</v>
      </c>
      <c r="K54" s="1692" t="s">
        <v>4375</v>
      </c>
      <c r="L54" s="530"/>
      <c r="M54" s="188">
        <v>12687.84</v>
      </c>
      <c r="N54" s="188">
        <f t="shared" si="3"/>
        <v>12307.2048</v>
      </c>
      <c r="O54" s="189">
        <v>7.0000000000000007E-2</v>
      </c>
      <c r="P54" s="170">
        <f t="shared" si="4"/>
        <v>13168.709135999999</v>
      </c>
    </row>
    <row r="55" spans="1:16">
      <c r="A55" s="157"/>
      <c r="B55" s="81" t="s">
        <v>4377</v>
      </c>
      <c r="C55" s="117" t="s">
        <v>4342</v>
      </c>
      <c r="D55" s="1144" t="s">
        <v>4378</v>
      </c>
      <c r="E55" s="1146">
        <v>490</v>
      </c>
      <c r="F55" s="1690">
        <v>480</v>
      </c>
      <c r="G55" s="1900" t="s">
        <v>4344</v>
      </c>
      <c r="H55" s="638" t="s">
        <v>1672</v>
      </c>
      <c r="I55" s="2254" t="s">
        <v>4379</v>
      </c>
      <c r="J55" s="710" t="s">
        <v>4380</v>
      </c>
      <c r="K55" s="1692" t="s">
        <v>4381</v>
      </c>
      <c r="L55" s="300"/>
      <c r="M55" s="188">
        <v>16572.599999999999</v>
      </c>
      <c r="N55" s="188">
        <f t="shared" si="3"/>
        <v>16075.421999999999</v>
      </c>
      <c r="O55" s="189">
        <v>7.0000000000000007E-2</v>
      </c>
      <c r="P55" s="170">
        <f t="shared" si="4"/>
        <v>17200.701539999998</v>
      </c>
    </row>
    <row r="56" spans="1:16">
      <c r="A56" s="157"/>
      <c r="B56" s="43" t="s">
        <v>4377</v>
      </c>
      <c r="C56" s="207" t="s">
        <v>4358</v>
      </c>
      <c r="D56" s="3457" t="s">
        <v>4378</v>
      </c>
      <c r="E56" s="142">
        <v>780</v>
      </c>
      <c r="F56" s="381"/>
      <c r="G56" s="478" t="s">
        <v>4382</v>
      </c>
      <c r="H56" s="150"/>
      <c r="I56" s="339"/>
      <c r="J56" s="604"/>
      <c r="K56" s="527">
        <v>673.55</v>
      </c>
      <c r="L56" s="300"/>
      <c r="M56" s="188">
        <v>6021.12</v>
      </c>
      <c r="N56" s="188">
        <f t="shared" ref="N56:N64" si="5">M56-(M56*0.03)</f>
        <v>5840.4863999999998</v>
      </c>
      <c r="O56" s="189">
        <v>7.0000000000000007E-2</v>
      </c>
      <c r="P56" s="170">
        <f>(N56*O56)+N56</f>
        <v>6249.3204479999995</v>
      </c>
    </row>
    <row r="57" spans="1:16">
      <c r="A57" s="157"/>
      <c r="B57" s="362" t="s">
        <v>4383</v>
      </c>
      <c r="C57" s="207" t="s">
        <v>4355</v>
      </c>
      <c r="D57" s="3457" t="s">
        <v>4378</v>
      </c>
      <c r="E57" s="142">
        <v>180</v>
      </c>
      <c r="F57" s="381"/>
      <c r="G57" s="478" t="s">
        <v>4356</v>
      </c>
      <c r="H57" s="639">
        <v>164</v>
      </c>
      <c r="I57" s="1496" t="s">
        <v>4384</v>
      </c>
      <c r="J57" s="586">
        <v>1958.36</v>
      </c>
      <c r="K57" s="883" t="s">
        <v>4385</v>
      </c>
      <c r="L57" s="300"/>
      <c r="M57" s="188">
        <v>8714.16</v>
      </c>
      <c r="N57" s="188">
        <f t="shared" si="5"/>
        <v>8452.7351999999992</v>
      </c>
      <c r="O57" s="189">
        <v>7.0000000000000007E-2</v>
      </c>
      <c r="P57" s="170">
        <f>(N57*O57)+N57</f>
        <v>9044.4266639999987</v>
      </c>
    </row>
    <row r="58" spans="1:16">
      <c r="A58" s="157"/>
      <c r="B58" s="362" t="s">
        <v>4386</v>
      </c>
      <c r="C58" s="207" t="s">
        <v>4355</v>
      </c>
      <c r="D58" s="3457" t="s">
        <v>4378</v>
      </c>
      <c r="E58" s="142">
        <v>180</v>
      </c>
      <c r="F58" s="381"/>
      <c r="G58" s="478" t="s">
        <v>4356</v>
      </c>
      <c r="H58" s="639">
        <v>164</v>
      </c>
      <c r="I58" s="1496" t="s">
        <v>4384</v>
      </c>
      <c r="J58" s="586">
        <v>1958.36</v>
      </c>
      <c r="K58" s="883" t="s">
        <v>4385</v>
      </c>
      <c r="L58" s="300"/>
      <c r="M58" s="188">
        <v>18537.7</v>
      </c>
      <c r="N58" s="188">
        <f t="shared" si="5"/>
        <v>17981.569</v>
      </c>
      <c r="O58" s="189">
        <v>7.0000000000000007E-2</v>
      </c>
      <c r="P58" s="170">
        <f t="shared" ref="P58:P64" si="6">(N58*O58)+N58</f>
        <v>19240.278829999999</v>
      </c>
    </row>
    <row r="59" spans="1:16">
      <c r="A59" s="158"/>
      <c r="B59" s="43" t="s">
        <v>4387</v>
      </c>
      <c r="C59" s="207" t="s">
        <v>4358</v>
      </c>
      <c r="D59" s="3457" t="s">
        <v>4378</v>
      </c>
      <c r="E59" s="142">
        <v>780</v>
      </c>
      <c r="F59" s="381"/>
      <c r="G59" s="478" t="s">
        <v>4388</v>
      </c>
      <c r="H59" s="639" t="s">
        <v>4389</v>
      </c>
      <c r="I59" s="339" t="s">
        <v>4390</v>
      </c>
      <c r="J59" s="586">
        <v>5922.83</v>
      </c>
      <c r="K59" s="1133" t="s">
        <v>4391</v>
      </c>
      <c r="L59" s="300"/>
      <c r="M59" s="188">
        <v>9031.68</v>
      </c>
      <c r="N59" s="188">
        <f t="shared" si="5"/>
        <v>8760.7296000000006</v>
      </c>
      <c r="O59" s="189">
        <v>7.0000000000000007E-2</v>
      </c>
      <c r="P59" s="170">
        <f t="shared" si="6"/>
        <v>9373.9806720000015</v>
      </c>
    </row>
    <row r="60" spans="1:16">
      <c r="A60" s="3461"/>
      <c r="B60" s="1135" t="s">
        <v>4392</v>
      </c>
      <c r="C60" s="207" t="s">
        <v>4355</v>
      </c>
      <c r="D60" s="3457" t="s">
        <v>4378</v>
      </c>
      <c r="E60" s="142">
        <v>520</v>
      </c>
      <c r="F60" s="381"/>
      <c r="G60" s="478" t="s">
        <v>4364</v>
      </c>
      <c r="H60" s="639" t="s">
        <v>4393</v>
      </c>
      <c r="I60" s="339"/>
      <c r="J60" s="586">
        <v>3626.83</v>
      </c>
      <c r="K60" s="883" t="s">
        <v>4394</v>
      </c>
      <c r="L60" s="300"/>
    </row>
    <row r="61" spans="1:16">
      <c r="A61" s="200"/>
      <c r="B61" s="406" t="s">
        <v>4395</v>
      </c>
      <c r="C61" s="341" t="s">
        <v>4355</v>
      </c>
      <c r="D61" s="321" t="s">
        <v>4396</v>
      </c>
      <c r="E61" s="221">
        <v>1050</v>
      </c>
      <c r="F61" s="1929">
        <v>970</v>
      </c>
      <c r="G61" s="478" t="s">
        <v>4356</v>
      </c>
      <c r="H61" s="647">
        <v>970</v>
      </c>
      <c r="I61" s="1974" t="s">
        <v>4397</v>
      </c>
      <c r="J61" s="604"/>
      <c r="K61" s="527">
        <v>908.06</v>
      </c>
      <c r="L61" s="300"/>
      <c r="N61" s="188">
        <f t="shared" si="5"/>
        <v>0</v>
      </c>
      <c r="O61" s="189">
        <v>7.0000000000000007E-2</v>
      </c>
      <c r="P61" s="170">
        <f t="shared" si="6"/>
        <v>0</v>
      </c>
    </row>
    <row r="62" spans="1:16">
      <c r="A62" s="438"/>
      <c r="B62" s="969" t="s">
        <v>4398</v>
      </c>
      <c r="C62" s="341" t="s">
        <v>4355</v>
      </c>
      <c r="D62" s="321" t="s">
        <v>4396</v>
      </c>
      <c r="E62" s="275">
        <v>740</v>
      </c>
      <c r="F62" s="1975">
        <v>670</v>
      </c>
      <c r="G62" s="478" t="s">
        <v>4356</v>
      </c>
      <c r="H62" s="647">
        <v>676</v>
      </c>
      <c r="I62" s="1974" t="s">
        <v>4399</v>
      </c>
      <c r="J62" s="604"/>
      <c r="K62" s="527">
        <v>632.91</v>
      </c>
      <c r="L62" s="366"/>
      <c r="M62" s="76"/>
      <c r="N62" s="76"/>
      <c r="O62" s="76"/>
      <c r="P62" s="76"/>
    </row>
    <row r="63" spans="1:16">
      <c r="A63" s="315"/>
      <c r="B63" s="406" t="s">
        <v>4400</v>
      </c>
      <c r="C63" s="341" t="s">
        <v>4355</v>
      </c>
      <c r="D63" s="321" t="s">
        <v>4396</v>
      </c>
      <c r="E63" s="221">
        <v>390</v>
      </c>
      <c r="F63" s="1929">
        <v>350</v>
      </c>
      <c r="G63" s="478" t="s">
        <v>4356</v>
      </c>
      <c r="H63" s="647">
        <v>340</v>
      </c>
      <c r="I63" s="1974" t="s">
        <v>4401</v>
      </c>
      <c r="J63" s="604">
        <v>3777.96</v>
      </c>
      <c r="K63" s="527">
        <v>319</v>
      </c>
      <c r="L63" s="366"/>
      <c r="M63" s="76"/>
      <c r="N63" s="76"/>
      <c r="O63" s="76"/>
      <c r="P63" s="76"/>
    </row>
    <row r="64" spans="1:16">
      <c r="A64" s="157"/>
      <c r="B64" s="742" t="s">
        <v>4395</v>
      </c>
      <c r="C64" s="1422" t="s">
        <v>4355</v>
      </c>
      <c r="D64" s="1878" t="s">
        <v>4396</v>
      </c>
      <c r="E64" s="430">
        <v>1050</v>
      </c>
      <c r="F64" s="1879">
        <v>850</v>
      </c>
      <c r="G64" s="1880" t="s">
        <v>4402</v>
      </c>
      <c r="H64" s="1630">
        <v>1038</v>
      </c>
      <c r="I64" s="2297" t="s">
        <v>4403</v>
      </c>
      <c r="J64" s="1584">
        <v>3113.7</v>
      </c>
      <c r="K64" s="1881">
        <v>778.42</v>
      </c>
      <c r="L64" s="300"/>
      <c r="M64" s="188">
        <v>3813.12</v>
      </c>
      <c r="N64" s="188">
        <f t="shared" si="5"/>
        <v>3698.7264</v>
      </c>
      <c r="O64" s="189">
        <v>7.0000000000000007E-2</v>
      </c>
      <c r="P64" s="170">
        <f t="shared" si="6"/>
        <v>3957.637248</v>
      </c>
    </row>
    <row r="65" spans="1:16">
      <c r="A65" s="157"/>
      <c r="B65" s="742" t="s">
        <v>4404</v>
      </c>
      <c r="C65" s="1422" t="s">
        <v>4355</v>
      </c>
      <c r="D65" s="1878" t="s">
        <v>4396</v>
      </c>
      <c r="E65" s="430">
        <v>1050</v>
      </c>
      <c r="F65" s="1879">
        <v>850</v>
      </c>
      <c r="G65" s="1880" t="s">
        <v>4402</v>
      </c>
      <c r="H65" s="1630">
        <v>1038</v>
      </c>
      <c r="I65" s="2297" t="s">
        <v>4403</v>
      </c>
      <c r="J65" s="1584">
        <v>3113.7</v>
      </c>
      <c r="K65" s="1881">
        <v>778.42</v>
      </c>
      <c r="L65" s="300"/>
    </row>
    <row r="66" spans="1:16">
      <c r="A66" s="157"/>
      <c r="B66" s="1882" t="s">
        <v>4398</v>
      </c>
      <c r="C66" s="1422" t="s">
        <v>4355</v>
      </c>
      <c r="D66" s="1878" t="s">
        <v>4396</v>
      </c>
      <c r="E66" s="1883">
        <v>740</v>
      </c>
      <c r="F66" s="1884">
        <v>725</v>
      </c>
      <c r="G66" s="1880" t="s">
        <v>2509</v>
      </c>
      <c r="H66" s="1630">
        <v>676</v>
      </c>
      <c r="I66" s="1885" t="s">
        <v>4405</v>
      </c>
      <c r="J66" s="1584"/>
      <c r="K66" s="1881">
        <v>658.23</v>
      </c>
      <c r="L66" s="300"/>
    </row>
    <row r="67" spans="1:16" ht="35.25" thickBot="1">
      <c r="A67" s="157"/>
      <c r="B67" s="1882" t="s">
        <v>4406</v>
      </c>
      <c r="C67" s="1422" t="s">
        <v>4355</v>
      </c>
      <c r="D67" s="1878"/>
      <c r="E67" s="1883">
        <v>580</v>
      </c>
      <c r="F67" s="1879"/>
      <c r="G67" s="1880" t="s">
        <v>4407</v>
      </c>
      <c r="H67" s="1630"/>
      <c r="I67" s="1886"/>
      <c r="J67" s="1584"/>
      <c r="K67" s="1881">
        <v>536.59</v>
      </c>
      <c r="L67" s="75"/>
      <c r="M67" s="76"/>
      <c r="N67" s="76"/>
      <c r="O67" s="76"/>
      <c r="P67" s="76"/>
    </row>
    <row r="68" spans="1:16">
      <c r="A68" s="1020"/>
      <c r="B68" s="742" t="s">
        <v>4408</v>
      </c>
      <c r="C68" s="1422" t="s">
        <v>4355</v>
      </c>
      <c r="D68" s="797" t="s">
        <v>4409</v>
      </c>
      <c r="E68" s="1883">
        <v>400</v>
      </c>
      <c r="F68" s="1879"/>
      <c r="G68" s="1880" t="s">
        <v>4410</v>
      </c>
      <c r="H68" s="1630">
        <v>340</v>
      </c>
      <c r="I68" s="1885" t="s">
        <v>4411</v>
      </c>
      <c r="J68" s="1584"/>
      <c r="K68" s="1881">
        <v>331.06</v>
      </c>
      <c r="L68" s="973"/>
      <c r="M68" s="76"/>
      <c r="N68" s="76"/>
      <c r="O68" s="76"/>
      <c r="P68" s="76"/>
    </row>
    <row r="69" spans="1:16" ht="35.25" thickBot="1">
      <c r="A69" s="1366"/>
      <c r="B69" s="742" t="s">
        <v>4412</v>
      </c>
      <c r="C69" s="1422" t="s">
        <v>4355</v>
      </c>
      <c r="D69" s="797" t="s">
        <v>4396</v>
      </c>
      <c r="E69" s="1887">
        <v>400</v>
      </c>
      <c r="F69" s="1884">
        <v>385</v>
      </c>
      <c r="G69" s="1889" t="s">
        <v>1121</v>
      </c>
      <c r="H69" s="1630">
        <v>358</v>
      </c>
      <c r="I69" s="1888" t="s">
        <v>4413</v>
      </c>
      <c r="J69" s="1584"/>
      <c r="K69" s="1881">
        <v>348.59</v>
      </c>
      <c r="L69" s="973"/>
      <c r="M69" s="76"/>
      <c r="N69" s="76"/>
      <c r="O69" s="76"/>
      <c r="P69" s="76"/>
    </row>
    <row r="70" spans="1:16">
      <c r="A70" s="3516" t="s">
        <v>4414</v>
      </c>
      <c r="B70" s="3533"/>
      <c r="C70" s="341"/>
      <c r="D70" s="531"/>
      <c r="E70" s="142"/>
      <c r="F70" s="381"/>
      <c r="G70" s="478"/>
      <c r="H70" s="971"/>
      <c r="I70" s="506"/>
      <c r="J70" s="972"/>
      <c r="K70" s="973"/>
      <c r="L70" s="973"/>
      <c r="M70" s="76"/>
      <c r="N70" s="76"/>
      <c r="O70" s="76"/>
      <c r="P70" s="76"/>
    </row>
    <row r="71" spans="1:16" ht="37.5">
      <c r="A71" s="1366"/>
      <c r="B71" s="962" t="s">
        <v>4415</v>
      </c>
      <c r="C71" s="1220" t="s">
        <v>4416</v>
      </c>
      <c r="D71" s="413" t="s">
        <v>4417</v>
      </c>
      <c r="E71" s="142">
        <v>770</v>
      </c>
      <c r="F71" s="381"/>
      <c r="G71" s="478" t="s">
        <v>4418</v>
      </c>
      <c r="H71" s="1642">
        <v>5760</v>
      </c>
      <c r="I71" s="1643" t="s">
        <v>4419</v>
      </c>
      <c r="J71" s="972"/>
      <c r="K71" s="973" t="s">
        <v>4420</v>
      </c>
      <c r="L71" s="589"/>
    </row>
    <row r="72" spans="1:16" ht="37.5">
      <c r="A72" s="1366"/>
      <c r="B72" s="962" t="s">
        <v>4415</v>
      </c>
      <c r="C72" s="1220" t="s">
        <v>4421</v>
      </c>
      <c r="D72" s="413" t="s">
        <v>4417</v>
      </c>
      <c r="E72" s="142">
        <v>470</v>
      </c>
      <c r="F72" s="381"/>
      <c r="G72" s="478" t="s">
        <v>4418</v>
      </c>
      <c r="H72" s="971">
        <v>3168</v>
      </c>
      <c r="I72" s="506"/>
      <c r="J72" s="972">
        <v>3389</v>
      </c>
      <c r="K72" s="973" t="s">
        <v>4422</v>
      </c>
      <c r="L72" s="300"/>
    </row>
    <row r="73" spans="1:16">
      <c r="A73" s="44"/>
      <c r="B73" s="127"/>
      <c r="C73" s="167"/>
      <c r="F73" s="376"/>
      <c r="K73" s="537">
        <v>3</v>
      </c>
      <c r="L73" s="300"/>
    </row>
    <row r="74" spans="1:16">
      <c r="A74" s="44" t="s">
        <v>0</v>
      </c>
      <c r="B74" s="127"/>
      <c r="C74" s="167"/>
      <c r="F74" s="376"/>
      <c r="L74" s="300"/>
    </row>
    <row r="75" spans="1:16" ht="35.25" customHeight="1">
      <c r="A75" s="112" t="s">
        <v>4423</v>
      </c>
      <c r="B75" s="112"/>
      <c r="C75" s="204"/>
      <c r="D75" s="109"/>
      <c r="F75" s="376"/>
      <c r="L75" s="300"/>
    </row>
    <row r="76" spans="1:16" ht="17.25" customHeight="1" thickBot="1">
      <c r="F76" s="376"/>
    </row>
    <row r="77" spans="1:16">
      <c r="A77" s="3511" t="s">
        <v>2</v>
      </c>
      <c r="B77" s="3512"/>
      <c r="C77" s="580" t="s">
        <v>3</v>
      </c>
      <c r="D77" s="582" t="s">
        <v>4</v>
      </c>
      <c r="E77" s="77" t="s">
        <v>5</v>
      </c>
      <c r="F77" s="78" t="s">
        <v>5</v>
      </c>
      <c r="G77" s="250" t="s">
        <v>6</v>
      </c>
      <c r="H77" s="140" t="s">
        <v>7</v>
      </c>
      <c r="I77" s="592" t="s">
        <v>1511</v>
      </c>
      <c r="J77" s="601" t="s">
        <v>9</v>
      </c>
      <c r="K77" s="346" t="s">
        <v>9</v>
      </c>
      <c r="L77" s="300"/>
      <c r="M77" s="190"/>
    </row>
    <row r="78" spans="1:16" ht="35.25" thickBot="1">
      <c r="A78" s="155"/>
      <c r="B78" s="138"/>
      <c r="C78" s="337"/>
      <c r="D78" s="583" t="s">
        <v>10</v>
      </c>
      <c r="E78" s="79" t="s">
        <v>11</v>
      </c>
      <c r="F78" s="80" t="s">
        <v>12</v>
      </c>
      <c r="G78" s="476"/>
      <c r="H78" s="141" t="s">
        <v>13</v>
      </c>
      <c r="I78" s="593" t="s">
        <v>1512</v>
      </c>
      <c r="J78" s="602" t="s">
        <v>14</v>
      </c>
      <c r="K78" s="347" t="s">
        <v>15</v>
      </c>
      <c r="L78" s="300" t="s">
        <v>2496</v>
      </c>
      <c r="M78" s="190"/>
    </row>
    <row r="79" spans="1:16">
      <c r="A79" s="157"/>
      <c r="B79" s="578" t="s">
        <v>4424</v>
      </c>
      <c r="C79" s="598"/>
      <c r="D79" s="263"/>
      <c r="E79" s="255"/>
      <c r="F79" s="760"/>
      <c r="G79" s="477"/>
      <c r="H79" s="74"/>
      <c r="I79" s="431"/>
      <c r="J79" s="549"/>
      <c r="K79" s="526"/>
      <c r="L79" s="300"/>
      <c r="M79" s="188">
        <v>3552</v>
      </c>
      <c r="N79" s="188">
        <f t="shared" ref="N79:N84" si="7">M79-(M79*0.03)</f>
        <v>3445.44</v>
      </c>
      <c r="O79" s="189">
        <v>7.0000000000000007E-2</v>
      </c>
      <c r="P79" s="170">
        <f t="shared" ref="P79:P84" si="8">(N79*O79)+N79</f>
        <v>3686.6208000000001</v>
      </c>
    </row>
    <row r="80" spans="1:16">
      <c r="A80" s="157"/>
      <c r="B80" s="43" t="s">
        <v>4425</v>
      </c>
      <c r="C80" s="207" t="s">
        <v>2607</v>
      </c>
      <c r="D80" s="321" t="s">
        <v>23</v>
      </c>
      <c r="E80" s="142">
        <v>45</v>
      </c>
      <c r="F80" s="381">
        <v>520</v>
      </c>
      <c r="G80" s="477" t="s">
        <v>4426</v>
      </c>
      <c r="H80" s="74">
        <v>504</v>
      </c>
      <c r="I80" s="474" t="s">
        <v>4427</v>
      </c>
      <c r="J80" s="544">
        <v>486.65</v>
      </c>
      <c r="K80" s="526">
        <v>40.549999999999997</v>
      </c>
      <c r="L80" s="300"/>
      <c r="N80" s="188">
        <f t="shared" si="7"/>
        <v>0</v>
      </c>
      <c r="O80" s="189">
        <v>7.0000000000000007E-2</v>
      </c>
      <c r="P80" s="170">
        <f t="shared" si="8"/>
        <v>0</v>
      </c>
    </row>
    <row r="81" spans="1:16">
      <c r="A81" s="157"/>
      <c r="B81" s="362" t="s">
        <v>4428</v>
      </c>
      <c r="C81" s="207"/>
      <c r="D81" s="321"/>
      <c r="E81" s="142"/>
      <c r="F81" s="381"/>
      <c r="G81" s="477"/>
      <c r="H81" s="74">
        <v>504</v>
      </c>
      <c r="I81" s="431" t="s">
        <v>4429</v>
      </c>
      <c r="J81" s="586">
        <v>477</v>
      </c>
      <c r="K81" s="526">
        <v>39.76</v>
      </c>
      <c r="L81" s="300"/>
      <c r="M81" s="188">
        <v>9498.06</v>
      </c>
      <c r="N81" s="188">
        <f t="shared" si="7"/>
        <v>9213.118199999999</v>
      </c>
      <c r="O81" s="189">
        <v>7.0000000000000007E-2</v>
      </c>
      <c r="P81" s="170">
        <f t="shared" si="8"/>
        <v>9858.0364739999986</v>
      </c>
    </row>
    <row r="82" spans="1:16">
      <c r="A82" s="755"/>
      <c r="B82" s="43"/>
      <c r="C82" s="207"/>
      <c r="D82" s="321"/>
      <c r="E82" s="142"/>
      <c r="F82" s="381"/>
      <c r="G82" s="477"/>
      <c r="H82" s="74"/>
      <c r="I82" s="431"/>
      <c r="J82" s="586"/>
      <c r="K82" s="526"/>
      <c r="L82" s="300"/>
      <c r="N82" s="188">
        <f t="shared" si="7"/>
        <v>0</v>
      </c>
      <c r="O82" s="189">
        <v>7.0000000000000007E-2</v>
      </c>
      <c r="P82" s="170">
        <f t="shared" si="8"/>
        <v>0</v>
      </c>
    </row>
    <row r="83" spans="1:16">
      <c r="A83" s="157"/>
      <c r="B83" s="43" t="s">
        <v>4430</v>
      </c>
      <c r="C83" s="207" t="s">
        <v>4431</v>
      </c>
      <c r="D83" s="321" t="s">
        <v>23</v>
      </c>
      <c r="E83" s="142">
        <v>60</v>
      </c>
      <c r="F83" s="381">
        <v>695</v>
      </c>
      <c r="G83" s="477" t="s">
        <v>4432</v>
      </c>
      <c r="H83" s="74">
        <v>660</v>
      </c>
      <c r="I83" s="431" t="s">
        <v>4433</v>
      </c>
      <c r="J83" s="586">
        <f>10169.28/16</f>
        <v>635.58000000000004</v>
      </c>
      <c r="K83" s="526">
        <f>J83/12</f>
        <v>52.965000000000003</v>
      </c>
      <c r="L83" s="300"/>
      <c r="N83" s="188">
        <f t="shared" si="7"/>
        <v>0</v>
      </c>
      <c r="O83" s="189">
        <v>7.0000000000000007E-2</v>
      </c>
      <c r="P83" s="170">
        <f t="shared" si="8"/>
        <v>0</v>
      </c>
    </row>
    <row r="84" spans="1:16" ht="35.25" thickBot="1">
      <c r="A84" s="157"/>
      <c r="B84" s="43" t="s">
        <v>4434</v>
      </c>
      <c r="C84" s="207" t="s">
        <v>4431</v>
      </c>
      <c r="D84" s="321" t="s">
        <v>23</v>
      </c>
      <c r="E84" s="142">
        <v>70</v>
      </c>
      <c r="F84" s="381"/>
      <c r="G84" s="477" t="s">
        <v>4435</v>
      </c>
      <c r="H84" s="74">
        <v>840</v>
      </c>
      <c r="I84" s="431" t="s">
        <v>4436</v>
      </c>
      <c r="J84" s="586">
        <v>862.84</v>
      </c>
      <c r="K84" s="526">
        <v>71.900000000000006</v>
      </c>
      <c r="L84" s="300"/>
      <c r="N84" s="188">
        <f t="shared" si="7"/>
        <v>0</v>
      </c>
      <c r="O84" s="189">
        <v>7.0000000000000007E-2</v>
      </c>
      <c r="P84" s="170">
        <f t="shared" si="8"/>
        <v>0</v>
      </c>
    </row>
    <row r="85" spans="1:16">
      <c r="A85" s="157"/>
      <c r="B85" s="578"/>
      <c r="C85" s="598"/>
      <c r="D85" s="263"/>
      <c r="E85" s="255"/>
      <c r="F85" s="760"/>
      <c r="G85" s="477"/>
      <c r="H85" s="74"/>
      <c r="I85" s="431"/>
      <c r="J85" s="549"/>
      <c r="K85" s="526"/>
      <c r="L85" s="526"/>
    </row>
    <row r="86" spans="1:16">
      <c r="A86" s="984" t="s">
        <v>4437</v>
      </c>
      <c r="B86" s="985"/>
      <c r="C86" s="986"/>
      <c r="D86" s="3457"/>
      <c r="E86" s="198"/>
      <c r="F86" s="381"/>
      <c r="G86" s="478"/>
      <c r="H86" s="101"/>
      <c r="I86" s="902"/>
      <c r="J86" s="605"/>
      <c r="K86" s="528"/>
      <c r="L86" s="526"/>
    </row>
    <row r="87" spans="1:16">
      <c r="A87" s="3461"/>
      <c r="B87" s="43" t="s">
        <v>4438</v>
      </c>
      <c r="C87" s="207" t="s">
        <v>56</v>
      </c>
      <c r="D87" s="462" t="s">
        <v>4439</v>
      </c>
      <c r="E87" s="198">
        <v>20</v>
      </c>
      <c r="F87" s="763" t="s">
        <v>4440</v>
      </c>
      <c r="G87" s="478" t="s">
        <v>4441</v>
      </c>
      <c r="H87" s="88">
        <v>358.88</v>
      </c>
      <c r="I87" s="456" t="s">
        <v>4442</v>
      </c>
      <c r="J87" s="605">
        <v>320</v>
      </c>
      <c r="K87" s="528" t="s">
        <v>4443</v>
      </c>
      <c r="L87" s="526"/>
    </row>
    <row r="88" spans="1:16">
      <c r="A88" s="900"/>
      <c r="B88" s="43" t="s">
        <v>4444</v>
      </c>
      <c r="C88" s="207" t="s">
        <v>56</v>
      </c>
      <c r="D88" s="462" t="s">
        <v>4439</v>
      </c>
      <c r="E88" s="198">
        <v>20</v>
      </c>
      <c r="F88" s="763" t="s">
        <v>4440</v>
      </c>
      <c r="G88" s="478" t="s">
        <v>4441</v>
      </c>
      <c r="H88" s="88">
        <v>358.88</v>
      </c>
      <c r="I88" s="456" t="s">
        <v>4442</v>
      </c>
      <c r="J88" s="605">
        <v>320</v>
      </c>
      <c r="K88" s="528" t="s">
        <v>4443</v>
      </c>
      <c r="L88" s="526"/>
    </row>
    <row r="89" spans="1:16">
      <c r="A89" s="3461"/>
      <c r="B89" s="43" t="s">
        <v>4445</v>
      </c>
      <c r="C89" s="207" t="s">
        <v>56</v>
      </c>
      <c r="D89" s="462" t="s">
        <v>4439</v>
      </c>
      <c r="E89" s="198">
        <v>20</v>
      </c>
      <c r="F89" s="763" t="s">
        <v>4440</v>
      </c>
      <c r="G89" s="478" t="s">
        <v>4441</v>
      </c>
      <c r="H89" s="88">
        <v>358.88</v>
      </c>
      <c r="I89" s="456" t="s">
        <v>4442</v>
      </c>
      <c r="J89" s="605">
        <v>320</v>
      </c>
      <c r="K89" s="528" t="s">
        <v>4443</v>
      </c>
      <c r="L89" s="526"/>
    </row>
    <row r="90" spans="1:16">
      <c r="A90" s="3461"/>
      <c r="B90" s="43" t="s">
        <v>4446</v>
      </c>
      <c r="C90" s="207" t="s">
        <v>56</v>
      </c>
      <c r="D90" s="462" t="s">
        <v>4439</v>
      </c>
      <c r="E90" s="198">
        <v>20</v>
      </c>
      <c r="F90" s="763" t="s">
        <v>4440</v>
      </c>
      <c r="G90" s="478" t="s">
        <v>4441</v>
      </c>
      <c r="H90" s="88">
        <v>358.88</v>
      </c>
      <c r="I90" s="456" t="s">
        <v>4442</v>
      </c>
      <c r="J90" s="605">
        <v>320</v>
      </c>
      <c r="K90" s="528" t="s">
        <v>4443</v>
      </c>
      <c r="L90" s="526"/>
    </row>
    <row r="91" spans="1:16">
      <c r="A91" s="438"/>
      <c r="B91" s="43" t="s">
        <v>4447</v>
      </c>
      <c r="C91" s="207" t="s">
        <v>56</v>
      </c>
      <c r="D91" s="462" t="s">
        <v>4439</v>
      </c>
      <c r="E91" s="198">
        <v>20</v>
      </c>
      <c r="F91" s="763" t="s">
        <v>4440</v>
      </c>
      <c r="G91" s="478" t="s">
        <v>4441</v>
      </c>
      <c r="H91" s="88">
        <v>358.88</v>
      </c>
      <c r="I91" s="456" t="s">
        <v>4442</v>
      </c>
      <c r="J91" s="605">
        <v>320</v>
      </c>
      <c r="K91" s="528" t="s">
        <v>4443</v>
      </c>
      <c r="L91" s="526"/>
    </row>
    <row r="92" spans="1:16">
      <c r="A92" s="3532" t="s">
        <v>4448</v>
      </c>
      <c r="B92" s="3490"/>
      <c r="C92" s="515"/>
      <c r="D92" s="196"/>
      <c r="E92" s="142"/>
      <c r="F92" s="381"/>
      <c r="G92" s="477"/>
      <c r="H92" s="74"/>
      <c r="I92" s="431"/>
      <c r="J92" s="586"/>
      <c r="K92" s="526"/>
      <c r="L92" s="526"/>
    </row>
    <row r="93" spans="1:16">
      <c r="A93" s="157"/>
      <c r="B93" s="81" t="s">
        <v>4449</v>
      </c>
      <c r="C93" s="101" t="s">
        <v>2086</v>
      </c>
      <c r="D93" s="322" t="s">
        <v>4450</v>
      </c>
      <c r="E93" s="142">
        <v>10</v>
      </c>
      <c r="F93" s="761" t="s">
        <v>1208</v>
      </c>
      <c r="G93" s="477" t="s">
        <v>4451</v>
      </c>
      <c r="H93" s="74">
        <v>445</v>
      </c>
      <c r="I93" s="431" t="s">
        <v>1494</v>
      </c>
      <c r="J93" s="586">
        <v>370.83</v>
      </c>
      <c r="K93" s="1158" t="s">
        <v>4452</v>
      </c>
      <c r="L93" s="1158"/>
    </row>
    <row r="94" spans="1:16">
      <c r="A94" s="157"/>
      <c r="B94" s="81" t="s">
        <v>4453</v>
      </c>
      <c r="C94" s="101" t="s">
        <v>2086</v>
      </c>
      <c r="D94" s="322" t="s">
        <v>4450</v>
      </c>
      <c r="E94" s="142"/>
      <c r="F94" s="381"/>
      <c r="G94" s="477" t="s">
        <v>4451</v>
      </c>
      <c r="H94" s="74">
        <v>445</v>
      </c>
      <c r="I94" s="431" t="s">
        <v>1494</v>
      </c>
      <c r="J94" s="586">
        <v>370.83</v>
      </c>
      <c r="K94" s="1158" t="s">
        <v>4452</v>
      </c>
      <c r="L94" s="1158"/>
    </row>
    <row r="95" spans="1:16">
      <c r="A95" s="157"/>
      <c r="B95" s="81" t="s">
        <v>4454</v>
      </c>
      <c r="C95" s="101" t="s">
        <v>2607</v>
      </c>
      <c r="D95" s="3457" t="s">
        <v>23</v>
      </c>
      <c r="E95" s="100">
        <v>45</v>
      </c>
      <c r="F95" s="381">
        <v>500</v>
      </c>
      <c r="G95" s="477" t="s">
        <v>2206</v>
      </c>
      <c r="H95" s="74">
        <v>460</v>
      </c>
      <c r="I95" s="431"/>
      <c r="J95" s="586">
        <v>460</v>
      </c>
      <c r="K95" s="365">
        <v>38.33</v>
      </c>
      <c r="L95" s="365"/>
    </row>
    <row r="96" spans="1:16">
      <c r="A96" s="157"/>
      <c r="B96" s="81" t="s">
        <v>4455</v>
      </c>
      <c r="C96" s="101" t="s">
        <v>2607</v>
      </c>
      <c r="D96" s="3457" t="s">
        <v>23</v>
      </c>
      <c r="E96" s="100">
        <v>45</v>
      </c>
      <c r="F96" s="381">
        <v>500</v>
      </c>
      <c r="G96" s="477" t="s">
        <v>2206</v>
      </c>
      <c r="H96" s="74">
        <v>460</v>
      </c>
      <c r="I96" s="431"/>
      <c r="J96" s="586">
        <v>460</v>
      </c>
      <c r="K96" s="365">
        <v>38.33</v>
      </c>
      <c r="L96" s="365"/>
    </row>
    <row r="97" spans="1:16">
      <c r="A97" s="157"/>
      <c r="B97" s="81" t="s">
        <v>4456</v>
      </c>
      <c r="C97" s="101" t="s">
        <v>2607</v>
      </c>
      <c r="D97" s="3457" t="s">
        <v>23</v>
      </c>
      <c r="E97" s="100">
        <v>45</v>
      </c>
      <c r="F97" s="381">
        <v>500</v>
      </c>
      <c r="G97" s="477" t="s">
        <v>4457</v>
      </c>
      <c r="H97" s="74">
        <v>450</v>
      </c>
      <c r="I97" s="431" t="s">
        <v>4458</v>
      </c>
      <c r="J97" s="586">
        <v>360</v>
      </c>
      <c r="K97" s="365">
        <v>36</v>
      </c>
      <c r="L97" s="365"/>
    </row>
    <row r="98" spans="1:16">
      <c r="A98" s="1637"/>
      <c r="B98" s="1006"/>
      <c r="C98" s="877"/>
      <c r="D98" s="1619"/>
      <c r="E98" s="142"/>
      <c r="F98" s="381"/>
      <c r="G98" s="1616"/>
      <c r="H98" s="971"/>
      <c r="I98" s="506"/>
      <c r="J98" s="1620"/>
      <c r="K98" s="1618"/>
      <c r="L98" s="300"/>
    </row>
    <row r="99" spans="1:16" ht="35.25" thickBot="1">
      <c r="A99" s="970"/>
      <c r="B99" s="1006"/>
      <c r="C99" s="877"/>
      <c r="D99" s="1619"/>
      <c r="E99" s="142"/>
      <c r="F99" s="381"/>
      <c r="G99" s="1616"/>
      <c r="H99" s="971"/>
      <c r="I99" s="506"/>
      <c r="J99" s="1620"/>
      <c r="K99" s="1618"/>
      <c r="L99" s="300"/>
    </row>
    <row r="100" spans="1:16">
      <c r="A100" s="577" t="s">
        <v>4459</v>
      </c>
      <c r="B100" s="578"/>
      <c r="C100" s="581"/>
      <c r="D100" s="579"/>
      <c r="E100" s="255"/>
      <c r="F100" s="760"/>
      <c r="G100" s="477"/>
      <c r="H100" s="74"/>
      <c r="I100" s="431"/>
      <c r="J100" s="549"/>
      <c r="K100" s="526"/>
      <c r="L100" s="300"/>
    </row>
    <row r="101" spans="1:16">
      <c r="A101" s="157"/>
      <c r="B101" s="43" t="s">
        <v>4460</v>
      </c>
      <c r="C101" s="207" t="s">
        <v>4461</v>
      </c>
      <c r="D101" s="413" t="s">
        <v>1264</v>
      </c>
      <c r="E101" s="142">
        <v>10</v>
      </c>
      <c r="F101" s="142">
        <v>50</v>
      </c>
      <c r="G101" s="477" t="s">
        <v>4462</v>
      </c>
      <c r="H101" s="74"/>
      <c r="I101" s="431"/>
      <c r="J101" s="547">
        <v>270</v>
      </c>
      <c r="K101" s="588">
        <v>45</v>
      </c>
      <c r="L101" s="300"/>
    </row>
    <row r="102" spans="1:16">
      <c r="A102" s="157"/>
      <c r="B102" s="43" t="s">
        <v>4463</v>
      </c>
      <c r="C102" s="207" t="s">
        <v>4461</v>
      </c>
      <c r="D102" s="413" t="s">
        <v>1264</v>
      </c>
      <c r="E102" s="142">
        <v>10</v>
      </c>
      <c r="F102" s="142">
        <v>50</v>
      </c>
      <c r="G102" s="477" t="s">
        <v>4462</v>
      </c>
      <c r="H102" s="74"/>
      <c r="I102" s="431"/>
      <c r="J102" s="547">
        <v>270</v>
      </c>
      <c r="K102" s="588">
        <v>45</v>
      </c>
      <c r="L102" s="300"/>
    </row>
    <row r="103" spans="1:16">
      <c r="A103" s="157"/>
      <c r="B103" s="43" t="s">
        <v>4464</v>
      </c>
      <c r="C103" s="207" t="s">
        <v>4461</v>
      </c>
      <c r="D103" s="413" t="s">
        <v>1264</v>
      </c>
      <c r="E103" s="142">
        <v>10</v>
      </c>
      <c r="F103" s="142">
        <v>50</v>
      </c>
      <c r="G103" s="477" t="s">
        <v>4462</v>
      </c>
      <c r="H103" s="74"/>
      <c r="I103" s="431"/>
      <c r="J103" s="590">
        <v>270</v>
      </c>
      <c r="K103" s="588">
        <v>45</v>
      </c>
      <c r="L103" s="300"/>
    </row>
    <row r="104" spans="1:16">
      <c r="A104" s="157"/>
      <c r="B104" s="43" t="s">
        <v>4465</v>
      </c>
      <c r="C104" s="207" t="s">
        <v>4461</v>
      </c>
      <c r="D104" s="413" t="s">
        <v>1264</v>
      </c>
      <c r="E104" s="142">
        <v>10</v>
      </c>
      <c r="F104" s="142">
        <v>50</v>
      </c>
      <c r="G104" s="477" t="s">
        <v>4462</v>
      </c>
      <c r="H104" s="74"/>
      <c r="I104" s="431"/>
      <c r="J104" s="590">
        <v>270</v>
      </c>
      <c r="K104" s="588">
        <v>45</v>
      </c>
      <c r="L104" s="300"/>
    </row>
    <row r="105" spans="1:16">
      <c r="A105" s="157"/>
      <c r="B105" s="43" t="s">
        <v>4466</v>
      </c>
      <c r="C105" s="207" t="s">
        <v>4461</v>
      </c>
      <c r="D105" s="322" t="s">
        <v>1264</v>
      </c>
      <c r="E105" s="142">
        <v>10</v>
      </c>
      <c r="F105" s="142">
        <v>50</v>
      </c>
      <c r="G105" s="477" t="s">
        <v>4462</v>
      </c>
      <c r="H105" s="101"/>
      <c r="I105" s="339"/>
      <c r="J105" s="591">
        <v>270</v>
      </c>
      <c r="K105" s="589">
        <v>45</v>
      </c>
      <c r="L105" s="300"/>
    </row>
    <row r="106" spans="1:16">
      <c r="A106" s="221"/>
      <c r="B106" s="770"/>
      <c r="C106" s="341"/>
      <c r="D106" s="321"/>
      <c r="E106" s="142"/>
      <c r="F106" s="381"/>
      <c r="G106" s="478"/>
      <c r="H106" s="224"/>
      <c r="I106" s="3469"/>
      <c r="J106" s="604"/>
      <c r="K106" s="527"/>
      <c r="L106" s="300"/>
    </row>
    <row r="107" spans="1:16">
      <c r="A107" s="221"/>
      <c r="B107" s="406"/>
      <c r="C107" s="341"/>
      <c r="D107" s="321"/>
      <c r="E107" s="142"/>
      <c r="F107" s="381"/>
      <c r="G107" s="478"/>
      <c r="H107" s="320"/>
      <c r="I107" s="3469"/>
      <c r="J107" s="604"/>
      <c r="K107" s="527"/>
      <c r="L107" s="75"/>
      <c r="M107" s="76"/>
      <c r="N107" s="76"/>
      <c r="O107" s="76"/>
      <c r="P107" s="76"/>
    </row>
    <row r="108" spans="1:16">
      <c r="B108" s="3444"/>
      <c r="C108" s="124"/>
      <c r="D108" s="3444"/>
      <c r="E108" s="279"/>
      <c r="F108" s="757"/>
      <c r="G108" s="475"/>
      <c r="H108" s="75"/>
      <c r="I108" s="218"/>
      <c r="J108" s="545"/>
      <c r="L108" s="300"/>
    </row>
    <row r="109" spans="1:16">
      <c r="A109" s="44" t="s">
        <v>0</v>
      </c>
      <c r="B109" s="127"/>
      <c r="C109" s="167"/>
      <c r="F109" s="376"/>
      <c r="K109" s="537">
        <v>4</v>
      </c>
      <c r="L109" s="300"/>
    </row>
    <row r="110" spans="1:16" ht="35.25" customHeight="1">
      <c r="A110" s="112" t="s">
        <v>4467</v>
      </c>
      <c r="B110" s="112"/>
      <c r="C110" s="204"/>
      <c r="D110" s="109"/>
      <c r="F110" s="376"/>
      <c r="L110" s="300"/>
    </row>
    <row r="111" spans="1:16" ht="21" customHeight="1" thickBot="1">
      <c r="F111" s="376"/>
    </row>
    <row r="112" spans="1:16">
      <c r="A112" s="3511" t="s">
        <v>2</v>
      </c>
      <c r="B112" s="3512"/>
      <c r="C112" s="580" t="s">
        <v>3</v>
      </c>
      <c r="D112" s="582" t="s">
        <v>4</v>
      </c>
      <c r="E112" s="77" t="s">
        <v>5</v>
      </c>
      <c r="F112" s="758" t="s">
        <v>5</v>
      </c>
      <c r="G112" s="250" t="s">
        <v>6</v>
      </c>
      <c r="H112" s="140" t="s">
        <v>7</v>
      </c>
      <c r="I112" s="592" t="s">
        <v>1511</v>
      </c>
      <c r="J112" s="584" t="s">
        <v>9</v>
      </c>
      <c r="K112" s="346" t="s">
        <v>9</v>
      </c>
      <c r="L112" s="300" t="s">
        <v>2495</v>
      </c>
      <c r="M112" s="190"/>
    </row>
    <row r="113" spans="1:16" ht="35.25" thickBot="1">
      <c r="A113" s="155"/>
      <c r="B113" s="138"/>
      <c r="C113" s="337"/>
      <c r="D113" s="583" t="s">
        <v>10</v>
      </c>
      <c r="E113" s="79" t="s">
        <v>11</v>
      </c>
      <c r="F113" s="759" t="s">
        <v>12</v>
      </c>
      <c r="G113" s="476"/>
      <c r="H113" s="141" t="s">
        <v>13</v>
      </c>
      <c r="I113" s="593" t="s">
        <v>1512</v>
      </c>
      <c r="J113" s="585" t="s">
        <v>14</v>
      </c>
      <c r="K113" s="347" t="s">
        <v>15</v>
      </c>
      <c r="L113" s="300" t="s">
        <v>2496</v>
      </c>
      <c r="M113" s="190"/>
    </row>
    <row r="114" spans="1:16">
      <c r="A114" s="3470"/>
      <c r="B114" s="3448"/>
      <c r="C114" s="207"/>
      <c r="D114" s="3457"/>
      <c r="E114" s="142"/>
      <c r="F114" s="381"/>
      <c r="G114" s="478"/>
      <c r="H114" s="101"/>
      <c r="I114" s="339"/>
      <c r="J114" s="586"/>
      <c r="K114" s="526"/>
      <c r="L114" s="300"/>
      <c r="M114" s="188">
        <v>3552</v>
      </c>
      <c r="N114" s="188">
        <f t="shared" ref="N114:N127" si="9">M114-(M114*0.03)</f>
        <v>3445.44</v>
      </c>
      <c r="O114" s="189">
        <v>7.0000000000000007E-2</v>
      </c>
      <c r="P114" s="170">
        <f>(N114*O114)+N114</f>
        <v>3686.6208000000001</v>
      </c>
    </row>
    <row r="115" spans="1:16">
      <c r="A115" s="157"/>
      <c r="B115" s="81"/>
      <c r="C115" s="207"/>
      <c r="D115" s="391"/>
      <c r="E115" s="1409"/>
      <c r="F115" s="856"/>
      <c r="G115" s="887"/>
      <c r="H115" s="101"/>
      <c r="I115" s="1495"/>
      <c r="J115" s="3670"/>
      <c r="K115" s="3671"/>
      <c r="L115" s="300"/>
      <c r="N115" s="188">
        <f t="shared" si="9"/>
        <v>0</v>
      </c>
      <c r="O115" s="189">
        <v>7.0000000000000007E-2</v>
      </c>
      <c r="P115" s="170">
        <f>(N115*O115)+N115</f>
        <v>0</v>
      </c>
    </row>
    <row r="116" spans="1:16">
      <c r="A116" s="315"/>
      <c r="B116" s="43"/>
      <c r="C116" s="101"/>
      <c r="D116" s="2030"/>
      <c r="E116" s="3662"/>
      <c r="F116" s="3663"/>
      <c r="G116" s="2407"/>
      <c r="H116" s="398"/>
      <c r="I116" s="3668"/>
      <c r="J116" s="3665"/>
      <c r="K116" s="3669"/>
      <c r="L116" s="300"/>
      <c r="M116" s="188">
        <v>9498.06</v>
      </c>
      <c r="N116" s="188">
        <f t="shared" si="9"/>
        <v>9213.118199999999</v>
      </c>
      <c r="O116" s="189">
        <v>7.0000000000000007E-2</v>
      </c>
      <c r="P116" s="170">
        <f>(N116*O116)+N116</f>
        <v>9858.0364739999986</v>
      </c>
    </row>
    <row r="117" spans="1:16">
      <c r="A117" s="1945"/>
      <c r="B117" s="43"/>
      <c r="C117" s="101"/>
      <c r="D117" s="2030"/>
      <c r="E117" s="3662"/>
      <c r="F117" s="3663"/>
      <c r="G117" s="2407"/>
      <c r="H117" s="398"/>
      <c r="I117" s="3668"/>
      <c r="J117" s="3665"/>
      <c r="K117" s="3669"/>
      <c r="L117" s="300"/>
      <c r="N117" s="188">
        <f t="shared" si="9"/>
        <v>0</v>
      </c>
      <c r="O117" s="189">
        <v>7.0000000000000007E-2</v>
      </c>
      <c r="P117" s="170">
        <f>(N117*O117)+N117</f>
        <v>0</v>
      </c>
    </row>
    <row r="118" spans="1:16" ht="38.25">
      <c r="A118" s="157"/>
      <c r="B118" s="2462"/>
      <c r="C118" s="1200"/>
      <c r="D118" s="438"/>
      <c r="E118" s="2028"/>
      <c r="F118" s="960"/>
      <c r="G118" s="248"/>
      <c r="H118" s="398"/>
      <c r="I118" s="2029"/>
      <c r="J118" s="74"/>
      <c r="K118" s="526"/>
      <c r="L118" s="300"/>
      <c r="N118" s="188">
        <f t="shared" si="9"/>
        <v>0</v>
      </c>
      <c r="O118" s="189">
        <v>7.0000000000000007E-2</v>
      </c>
      <c r="P118" s="170">
        <f>(N118*O118)+N118</f>
        <v>0</v>
      </c>
    </row>
    <row r="119" spans="1:16" ht="38.25">
      <c r="A119" s="157"/>
      <c r="B119" s="2026"/>
      <c r="C119" s="2027"/>
      <c r="D119" s="995"/>
      <c r="E119" s="2028"/>
      <c r="F119" s="960"/>
      <c r="G119" s="248"/>
      <c r="H119" s="398"/>
      <c r="I119" s="2029"/>
      <c r="J119" s="74"/>
      <c r="K119" s="526"/>
      <c r="L119" s="300"/>
    </row>
    <row r="120" spans="1:16">
      <c r="A120" s="737"/>
      <c r="B120" s="1918"/>
      <c r="C120" s="101"/>
      <c r="D120" s="2030"/>
      <c r="E120" s="3662"/>
      <c r="F120" s="3663"/>
      <c r="G120" s="3664"/>
      <c r="H120" s="3665"/>
      <c r="I120" s="3666"/>
      <c r="J120" s="3665"/>
      <c r="K120" s="3667"/>
      <c r="L120" s="300"/>
    </row>
    <row r="121" spans="1:16">
      <c r="A121" s="901"/>
      <c r="B121" s="139"/>
      <c r="C121" s="207"/>
      <c r="D121" s="3457"/>
      <c r="E121" s="198"/>
      <c r="F121" s="761"/>
      <c r="G121" s="478"/>
      <c r="H121" s="101"/>
      <c r="I121" s="902"/>
      <c r="J121" s="605"/>
      <c r="K121" s="528"/>
      <c r="L121" s="530"/>
      <c r="M121" s="188">
        <v>13483.8</v>
      </c>
      <c r="N121" s="188">
        <f t="shared" si="9"/>
        <v>13079.286</v>
      </c>
      <c r="O121" s="189">
        <v>7.0000000000000007E-2</v>
      </c>
      <c r="P121" s="170">
        <f t="shared" ref="P121:P127" si="10">(N121*O121)+N121</f>
        <v>13994.836020000001</v>
      </c>
    </row>
    <row r="122" spans="1:16">
      <c r="A122" s="901"/>
      <c r="B122" s="139"/>
      <c r="C122" s="207"/>
      <c r="D122" s="3457"/>
      <c r="E122" s="198"/>
      <c r="F122" s="761"/>
      <c r="G122" s="478"/>
      <c r="H122" s="101"/>
      <c r="I122" s="902"/>
      <c r="J122" s="605"/>
      <c r="K122" s="528"/>
      <c r="L122" s="530"/>
      <c r="M122" s="188">
        <v>12687.84</v>
      </c>
      <c r="N122" s="188">
        <f t="shared" si="9"/>
        <v>12307.2048</v>
      </c>
      <c r="O122" s="189">
        <v>7.0000000000000007E-2</v>
      </c>
      <c r="P122" s="170">
        <f t="shared" si="10"/>
        <v>13168.709135999999</v>
      </c>
    </row>
    <row r="123" spans="1:16">
      <c r="A123" s="901"/>
      <c r="B123" s="139"/>
      <c r="C123" s="207"/>
      <c r="D123" s="3457"/>
      <c r="E123" s="198"/>
      <c r="F123" s="761"/>
      <c r="G123" s="478"/>
      <c r="H123" s="101"/>
      <c r="I123" s="902"/>
      <c r="J123" s="605"/>
      <c r="K123" s="528"/>
      <c r="L123" s="300"/>
      <c r="M123" s="188">
        <v>16572.599999999999</v>
      </c>
      <c r="N123" s="188">
        <f t="shared" si="9"/>
        <v>16075.421999999999</v>
      </c>
      <c r="O123" s="189">
        <v>7.0000000000000007E-2</v>
      </c>
      <c r="P123" s="170">
        <f t="shared" si="10"/>
        <v>17200.701539999998</v>
      </c>
    </row>
    <row r="124" spans="1:16">
      <c r="A124" s="901"/>
      <c r="B124" s="139"/>
      <c r="C124" s="207"/>
      <c r="D124" s="3457"/>
      <c r="E124" s="198"/>
      <c r="F124" s="761"/>
      <c r="G124" s="478"/>
      <c r="H124" s="101"/>
      <c r="I124" s="902"/>
      <c r="J124" s="605"/>
      <c r="K124" s="528"/>
      <c r="L124" s="300"/>
      <c r="M124" s="188">
        <v>6021.12</v>
      </c>
      <c r="N124" s="188">
        <f t="shared" si="9"/>
        <v>5840.4863999999998</v>
      </c>
      <c r="O124" s="189">
        <v>7.0000000000000007E-2</v>
      </c>
      <c r="P124" s="170">
        <f t="shared" si="10"/>
        <v>6249.3204479999995</v>
      </c>
    </row>
    <row r="125" spans="1:16">
      <c r="A125" s="2465"/>
      <c r="B125" s="3468" t="s">
        <v>1357</v>
      </c>
      <c r="C125" s="341"/>
      <c r="D125" s="3457"/>
      <c r="E125" s="198"/>
      <c r="F125" s="381"/>
      <c r="G125" s="478"/>
      <c r="H125" s="101"/>
      <c r="I125" s="902"/>
      <c r="J125" s="605"/>
      <c r="K125" s="528"/>
      <c r="L125" s="300"/>
      <c r="M125" s="188">
        <v>8714.16</v>
      </c>
      <c r="N125" s="188">
        <f t="shared" si="9"/>
        <v>8452.7351999999992</v>
      </c>
      <c r="O125" s="189">
        <v>7.0000000000000007E-2</v>
      </c>
      <c r="P125" s="170">
        <f t="shared" si="10"/>
        <v>9044.4266639999987</v>
      </c>
    </row>
    <row r="126" spans="1:16">
      <c r="A126" s="2465"/>
      <c r="B126" s="3468"/>
      <c r="C126" s="341"/>
      <c r="D126" s="3457"/>
      <c r="E126" s="198"/>
      <c r="F126" s="381"/>
      <c r="G126" s="478"/>
      <c r="H126" s="101"/>
      <c r="I126" s="902"/>
      <c r="J126" s="605"/>
      <c r="K126" s="528"/>
      <c r="L126" s="300"/>
      <c r="M126" s="188">
        <v>18537.7</v>
      </c>
      <c r="N126" s="188">
        <f t="shared" si="9"/>
        <v>17981.569</v>
      </c>
      <c r="O126" s="189">
        <v>7.0000000000000007E-2</v>
      </c>
      <c r="P126" s="170">
        <f t="shared" si="10"/>
        <v>19240.278829999999</v>
      </c>
    </row>
    <row r="127" spans="1:16">
      <c r="A127" s="3461"/>
      <c r="B127" s="43"/>
      <c r="C127" s="207"/>
      <c r="D127" s="462"/>
      <c r="E127" s="198"/>
      <c r="F127" s="763"/>
      <c r="G127" s="478"/>
      <c r="H127" s="88"/>
      <c r="I127" s="456"/>
      <c r="J127" s="605"/>
      <c r="K127" s="528"/>
      <c r="L127" s="300"/>
      <c r="M127" s="188">
        <v>9031.68</v>
      </c>
      <c r="N127" s="188">
        <f t="shared" si="9"/>
        <v>8760.7296000000006</v>
      </c>
      <c r="O127" s="189">
        <v>7.0000000000000007E-2</v>
      </c>
      <c r="P127" s="170">
        <f t="shared" si="10"/>
        <v>9373.9806720000015</v>
      </c>
    </row>
    <row r="128" spans="1:16">
      <c r="A128" s="900"/>
      <c r="B128" s="43"/>
      <c r="C128" s="207"/>
      <c r="D128" s="462"/>
      <c r="E128" s="198"/>
      <c r="F128" s="763"/>
      <c r="G128" s="478"/>
      <c r="H128" s="88"/>
      <c r="I128" s="456"/>
      <c r="J128" s="605"/>
      <c r="K128" s="528"/>
      <c r="L128" s="300"/>
    </row>
    <row r="129" spans="1:16">
      <c r="A129" s="3461"/>
      <c r="B129" s="43"/>
      <c r="C129" s="207"/>
      <c r="D129" s="462"/>
      <c r="E129" s="198"/>
      <c r="F129" s="763"/>
      <c r="G129" s="478"/>
      <c r="H129" s="88"/>
      <c r="I129" s="456"/>
      <c r="J129" s="605"/>
      <c r="K129" s="528"/>
      <c r="L129" s="300"/>
    </row>
    <row r="130" spans="1:16">
      <c r="A130" s="3461"/>
      <c r="B130" s="43"/>
      <c r="C130" s="207"/>
      <c r="D130" s="462"/>
      <c r="E130" s="198"/>
      <c r="F130" s="763"/>
      <c r="G130" s="478"/>
      <c r="H130" s="88"/>
      <c r="I130" s="456"/>
      <c r="J130" s="605"/>
      <c r="K130" s="528"/>
      <c r="L130" s="300"/>
    </row>
    <row r="131" spans="1:16">
      <c r="A131" s="438"/>
      <c r="B131" s="43"/>
      <c r="C131" s="207"/>
      <c r="D131" s="462"/>
      <c r="E131" s="198"/>
      <c r="F131" s="763"/>
      <c r="G131" s="478"/>
      <c r="H131" s="88"/>
      <c r="I131" s="456"/>
      <c r="J131" s="605"/>
      <c r="K131" s="528"/>
      <c r="L131" s="300"/>
    </row>
    <row r="132" spans="1:16">
      <c r="A132" s="739"/>
      <c r="B132" s="1614"/>
      <c r="C132" s="877"/>
      <c r="D132" s="1615"/>
      <c r="E132" s="142"/>
      <c r="F132" s="381"/>
      <c r="G132" s="1616"/>
      <c r="H132" s="971"/>
      <c r="I132" s="506"/>
      <c r="J132" s="1617"/>
      <c r="K132" s="1618"/>
      <c r="L132" s="300"/>
    </row>
    <row r="133" spans="1:16">
      <c r="A133" s="737"/>
      <c r="B133" s="1814"/>
      <c r="C133" s="877"/>
      <c r="D133" s="1619"/>
      <c r="E133" s="142"/>
      <c r="F133" s="381"/>
      <c r="G133" s="1616"/>
      <c r="H133" s="971"/>
      <c r="I133" s="506"/>
      <c r="J133" s="1620"/>
      <c r="K133" s="1618"/>
      <c r="L133" s="300"/>
    </row>
    <row r="134" spans="1:16">
      <c r="A134" s="970"/>
      <c r="B134" s="1006"/>
      <c r="C134" s="877"/>
      <c r="D134" s="1619"/>
      <c r="E134" s="142"/>
      <c r="F134" s="381"/>
      <c r="G134" s="2412"/>
      <c r="H134" s="971"/>
      <c r="I134" s="506"/>
      <c r="J134" s="1620"/>
      <c r="K134" s="2384"/>
      <c r="L134" s="300"/>
    </row>
    <row r="135" spans="1:16">
      <c r="A135" s="970"/>
      <c r="B135" s="1006"/>
      <c r="C135" s="877"/>
      <c r="D135" s="1619"/>
      <c r="E135" s="142"/>
      <c r="F135" s="381"/>
      <c r="G135" s="2412"/>
      <c r="H135" s="971"/>
      <c r="I135" s="506"/>
      <c r="J135" s="1620"/>
      <c r="K135" s="2384"/>
      <c r="L135" s="300"/>
    </row>
    <row r="136" spans="1:16">
      <c r="A136" s="737"/>
      <c r="B136" s="89"/>
      <c r="C136" s="521"/>
      <c r="D136" s="740"/>
      <c r="E136" s="142"/>
      <c r="F136" s="381"/>
      <c r="G136" s="2412"/>
      <c r="H136" s="88"/>
      <c r="I136" s="456"/>
      <c r="J136" s="741"/>
      <c r="K136" s="738"/>
      <c r="L136" s="300"/>
    </row>
    <row r="137" spans="1:16">
      <c r="A137" s="3470"/>
      <c r="B137" s="3448"/>
      <c r="C137" s="207"/>
      <c r="D137" s="3457"/>
      <c r="E137" s="142"/>
      <c r="F137" s="381"/>
      <c r="G137" s="478"/>
      <c r="H137" s="101"/>
      <c r="I137" s="339"/>
      <c r="J137" s="586"/>
      <c r="K137" s="526"/>
      <c r="L137" s="75"/>
      <c r="M137" s="76"/>
      <c r="N137" s="76"/>
      <c r="O137" s="76"/>
      <c r="P137" s="76"/>
    </row>
    <row r="138" spans="1:16">
      <c r="A138" s="157"/>
      <c r="B138" s="81"/>
      <c r="C138" s="207"/>
      <c r="D138" s="391"/>
      <c r="E138" s="1409"/>
      <c r="F138" s="856"/>
      <c r="G138" s="887"/>
      <c r="H138" s="101"/>
      <c r="I138" s="1495"/>
      <c r="J138" s="3670"/>
      <c r="K138" s="3671"/>
      <c r="L138" s="75"/>
      <c r="M138" s="76"/>
      <c r="N138" s="76"/>
      <c r="O138" s="76"/>
      <c r="P138" s="76"/>
    </row>
    <row r="139" spans="1:16">
      <c r="A139" s="389"/>
      <c r="B139" s="382"/>
      <c r="C139" s="207"/>
      <c r="D139" s="322"/>
      <c r="E139" s="60"/>
      <c r="F139" s="381"/>
      <c r="G139" s="310"/>
      <c r="H139" s="150"/>
      <c r="I139" s="431"/>
      <c r="J139" s="586"/>
      <c r="K139" s="365"/>
      <c r="L139" s="75"/>
      <c r="M139" s="76"/>
      <c r="N139" s="76"/>
      <c r="O139" s="76"/>
      <c r="P139" s="76"/>
    </row>
    <row r="140" spans="1:16">
      <c r="A140" s="315"/>
      <c r="B140" s="599"/>
      <c r="C140" s="207"/>
      <c r="D140" s="3457"/>
      <c r="E140" s="142"/>
      <c r="F140" s="381"/>
      <c r="G140" s="478"/>
      <c r="H140" s="101"/>
      <c r="I140" s="600"/>
      <c r="J140" s="586"/>
      <c r="K140" s="527"/>
      <c r="L140" s="75"/>
      <c r="M140" s="76"/>
      <c r="N140" s="76"/>
      <c r="O140" s="76"/>
      <c r="P140" s="76"/>
    </row>
    <row r="141" spans="1:16">
      <c r="A141" s="157"/>
      <c r="B141" s="81"/>
      <c r="C141" s="207"/>
      <c r="D141" s="3457"/>
      <c r="E141" s="142"/>
      <c r="F141" s="381"/>
      <c r="G141" s="478"/>
      <c r="H141" s="101"/>
      <c r="I141" s="339"/>
      <c r="J141" s="586"/>
      <c r="K141" s="526"/>
      <c r="L141" s="75"/>
      <c r="M141" s="76"/>
      <c r="N141" s="76"/>
      <c r="O141" s="76"/>
      <c r="P141" s="76"/>
    </row>
    <row r="142" spans="1:16">
      <c r="A142" s="157"/>
      <c r="B142" s="81"/>
      <c r="C142" s="207"/>
      <c r="D142" s="3457"/>
      <c r="E142" s="100"/>
      <c r="F142" s="381"/>
      <c r="G142" s="478"/>
      <c r="H142" s="101"/>
      <c r="I142" s="600"/>
      <c r="J142" s="586"/>
      <c r="K142" s="526"/>
      <c r="L142" s="75"/>
      <c r="M142" s="76"/>
      <c r="N142" s="76"/>
      <c r="O142" s="76"/>
      <c r="P142" s="76"/>
    </row>
    <row r="143" spans="1:16">
      <c r="A143" s="157"/>
      <c r="B143" s="43"/>
      <c r="C143" s="207"/>
      <c r="D143" s="3457"/>
      <c r="E143" s="100"/>
      <c r="F143" s="381"/>
      <c r="G143" s="478"/>
      <c r="H143" s="74"/>
      <c r="I143" s="431"/>
      <c r="J143" s="586"/>
      <c r="K143" s="526"/>
      <c r="L143" s="75"/>
      <c r="M143" s="76"/>
      <c r="N143" s="76"/>
      <c r="O143" s="76"/>
      <c r="P143" s="76"/>
    </row>
    <row r="144" spans="1:16" s="114" customFormat="1">
      <c r="A144" s="44"/>
      <c r="B144" s="75"/>
      <c r="C144" s="104"/>
      <c r="D144" s="561"/>
      <c r="E144" s="2031"/>
      <c r="F144" s="2031"/>
      <c r="G144" s="2032"/>
      <c r="H144" s="2033"/>
      <c r="I144" s="2034"/>
      <c r="J144" s="2033"/>
      <c r="K144" s="2035"/>
      <c r="L144" s="595"/>
      <c r="M144" s="596"/>
      <c r="N144" s="596"/>
      <c r="O144" s="597"/>
      <c r="P144" s="576"/>
    </row>
    <row r="145" spans="1:16">
      <c r="A145" s="44" t="s">
        <v>0</v>
      </c>
      <c r="B145" s="127"/>
      <c r="C145" s="167"/>
      <c r="F145" s="376"/>
      <c r="L145" s="300"/>
    </row>
    <row r="146" spans="1:16" ht="35.25" customHeight="1">
      <c r="A146" s="112" t="s">
        <v>4339</v>
      </c>
      <c r="B146" s="112"/>
      <c r="C146" s="204"/>
      <c r="D146" s="109"/>
      <c r="F146" s="376"/>
      <c r="L146" s="300"/>
    </row>
    <row r="147" spans="1:16" ht="15.75" customHeight="1" thickBot="1">
      <c r="F147" s="376"/>
    </row>
    <row r="148" spans="1:16">
      <c r="A148" s="3511" t="s">
        <v>2</v>
      </c>
      <c r="B148" s="3512"/>
      <c r="C148" s="580" t="s">
        <v>3</v>
      </c>
      <c r="D148" s="261" t="s">
        <v>4</v>
      </c>
      <c r="E148" s="77" t="s">
        <v>5</v>
      </c>
      <c r="F148" s="758" t="s">
        <v>5</v>
      </c>
      <c r="G148" s="250" t="s">
        <v>6</v>
      </c>
      <c r="H148" s="140" t="s">
        <v>7</v>
      </c>
      <c r="I148" s="498" t="s">
        <v>1511</v>
      </c>
      <c r="J148" s="601" t="s">
        <v>9</v>
      </c>
      <c r="K148" s="346" t="s">
        <v>9</v>
      </c>
      <c r="L148" s="300" t="s">
        <v>2495</v>
      </c>
      <c r="M148" s="190"/>
    </row>
    <row r="149" spans="1:16" ht="35.25" thickBot="1">
      <c r="A149" s="155"/>
      <c r="B149" s="138"/>
      <c r="C149" s="337"/>
      <c r="D149" s="262" t="s">
        <v>10</v>
      </c>
      <c r="E149" s="79" t="s">
        <v>11</v>
      </c>
      <c r="F149" s="759" t="s">
        <v>12</v>
      </c>
      <c r="G149" s="476"/>
      <c r="H149" s="141" t="s">
        <v>13</v>
      </c>
      <c r="I149" s="499" t="s">
        <v>1512</v>
      </c>
      <c r="J149" s="602" t="s">
        <v>14</v>
      </c>
      <c r="K149" s="347" t="s">
        <v>15</v>
      </c>
      <c r="L149" s="300" t="s">
        <v>2496</v>
      </c>
      <c r="M149" s="190"/>
    </row>
    <row r="150" spans="1:16">
      <c r="A150" s="389"/>
      <c r="B150" s="382"/>
      <c r="C150" s="207"/>
      <c r="D150" s="322"/>
      <c r="E150" s="60"/>
      <c r="F150" s="381"/>
      <c r="G150" s="310"/>
      <c r="H150" s="150"/>
      <c r="I150" s="431"/>
      <c r="J150" s="586"/>
      <c r="K150" s="365"/>
      <c r="L150" s="300"/>
      <c r="M150" s="188">
        <v>3552</v>
      </c>
      <c r="N150" s="188">
        <f t="shared" ref="N150:N170" si="11">M150-(M150*0.03)</f>
        <v>3445.44</v>
      </c>
      <c r="O150" s="189">
        <v>7.0000000000000007E-2</v>
      </c>
      <c r="P150" s="170">
        <f t="shared" ref="P150:P158" si="12">(N150*O150)+N150</f>
        <v>3686.6208000000001</v>
      </c>
    </row>
    <row r="151" spans="1:16">
      <c r="A151" s="315"/>
      <c r="B151" s="599"/>
      <c r="C151" s="207"/>
      <c r="D151" s="3457"/>
      <c r="E151" s="142"/>
      <c r="F151" s="381"/>
      <c r="G151" s="478"/>
      <c r="H151" s="101"/>
      <c r="I151" s="600"/>
      <c r="J151" s="586"/>
      <c r="K151" s="527"/>
      <c r="L151" s="300"/>
      <c r="N151" s="188">
        <f t="shared" si="11"/>
        <v>0</v>
      </c>
      <c r="O151" s="189">
        <v>7.0000000000000007E-2</v>
      </c>
      <c r="P151" s="170">
        <f t="shared" si="12"/>
        <v>0</v>
      </c>
    </row>
    <row r="152" spans="1:16">
      <c r="A152" s="157"/>
      <c r="B152" s="81"/>
      <c r="C152" s="207"/>
      <c r="D152" s="3457"/>
      <c r="E152" s="142"/>
      <c r="F152" s="381"/>
      <c r="G152" s="478"/>
      <c r="H152" s="101"/>
      <c r="I152" s="600"/>
      <c r="J152" s="586"/>
      <c r="K152" s="526"/>
      <c r="L152" s="300"/>
      <c r="M152" s="188">
        <v>9498.06</v>
      </c>
      <c r="N152" s="188">
        <f t="shared" si="11"/>
        <v>9213.118199999999</v>
      </c>
      <c r="O152" s="189">
        <v>7.0000000000000007E-2</v>
      </c>
      <c r="P152" s="170">
        <f t="shared" si="12"/>
        <v>9858.0364739999986</v>
      </c>
    </row>
    <row r="153" spans="1:16">
      <c r="A153" s="157"/>
      <c r="B153" s="81"/>
      <c r="C153" s="207"/>
      <c r="D153" s="3457"/>
      <c r="E153" s="100"/>
      <c r="F153" s="381"/>
      <c r="G153" s="478"/>
      <c r="H153" s="101"/>
      <c r="I153" s="600"/>
      <c r="J153" s="586"/>
      <c r="K153" s="526"/>
      <c r="L153" s="300"/>
      <c r="N153" s="188">
        <f t="shared" si="11"/>
        <v>0</v>
      </c>
      <c r="O153" s="189">
        <v>7.0000000000000007E-2</v>
      </c>
      <c r="P153" s="170">
        <f t="shared" si="12"/>
        <v>0</v>
      </c>
    </row>
    <row r="154" spans="1:16">
      <c r="A154" s="157"/>
      <c r="B154" s="43"/>
      <c r="C154" s="207"/>
      <c r="D154" s="3457"/>
      <c r="E154" s="100"/>
      <c r="F154" s="381"/>
      <c r="G154" s="478"/>
      <c r="H154" s="74"/>
      <c r="I154" s="431"/>
      <c r="J154" s="586"/>
      <c r="K154" s="526"/>
      <c r="L154" s="300"/>
      <c r="N154" s="188">
        <f t="shared" si="11"/>
        <v>0</v>
      </c>
      <c r="O154" s="189">
        <v>7.0000000000000007E-2</v>
      </c>
      <c r="P154" s="170">
        <f t="shared" si="12"/>
        <v>0</v>
      </c>
    </row>
    <row r="155" spans="1:16">
      <c r="A155" s="577" t="s">
        <v>394</v>
      </c>
      <c r="B155" s="43"/>
      <c r="C155" s="207"/>
      <c r="D155" s="959"/>
      <c r="E155" s="298"/>
      <c r="F155" s="381"/>
      <c r="G155" s="478"/>
      <c r="H155" s="74"/>
      <c r="I155" s="431"/>
      <c r="J155" s="586"/>
      <c r="K155" s="526"/>
      <c r="L155" s="300"/>
      <c r="M155" s="188">
        <v>14700</v>
      </c>
      <c r="N155" s="188">
        <f t="shared" si="11"/>
        <v>14259</v>
      </c>
      <c r="O155" s="189">
        <v>7.0000000000000007E-2</v>
      </c>
      <c r="P155" s="170">
        <f t="shared" si="12"/>
        <v>15257.130000000001</v>
      </c>
    </row>
    <row r="156" spans="1:16">
      <c r="A156" s="157" t="s">
        <v>394</v>
      </c>
      <c r="B156" s="662"/>
      <c r="C156" s="207"/>
      <c r="D156" s="959"/>
      <c r="E156" s="298"/>
      <c r="F156" s="381"/>
      <c r="G156" s="887"/>
      <c r="H156" s="74"/>
      <c r="I156" s="431"/>
      <c r="J156" s="647"/>
      <c r="K156" s="780"/>
      <c r="L156" s="530"/>
      <c r="M156" s="188">
        <v>14582.7</v>
      </c>
      <c r="N156" s="188">
        <f t="shared" si="11"/>
        <v>14145.219000000001</v>
      </c>
      <c r="O156" s="189">
        <v>7.0000000000000007E-2</v>
      </c>
      <c r="P156" s="170">
        <f t="shared" si="12"/>
        <v>15135.384330000001</v>
      </c>
    </row>
    <row r="157" spans="1:16">
      <c r="A157" s="157"/>
      <c r="B157" s="781"/>
      <c r="C157" s="207"/>
      <c r="D157" s="959"/>
      <c r="E157" s="298"/>
      <c r="F157" s="381"/>
      <c r="G157" s="478"/>
      <c r="H157" s="74"/>
      <c r="I157" s="431"/>
      <c r="J157" s="647"/>
      <c r="K157" s="780"/>
      <c r="M157" s="188">
        <v>14244.12</v>
      </c>
      <c r="N157" s="188">
        <f t="shared" si="11"/>
        <v>13816.796400000001</v>
      </c>
      <c r="O157" s="189">
        <v>7.0000000000000007E-2</v>
      </c>
      <c r="P157" s="170">
        <f t="shared" si="12"/>
        <v>14783.972148000001</v>
      </c>
    </row>
    <row r="158" spans="1:16" ht="35.25" thickBot="1">
      <c r="A158" s="157"/>
      <c r="B158" s="662"/>
      <c r="C158" s="207"/>
      <c r="D158" s="959"/>
      <c r="E158" s="298"/>
      <c r="F158" s="381"/>
      <c r="G158" s="478"/>
      <c r="H158" s="74"/>
      <c r="I158" s="431"/>
      <c r="J158" s="647"/>
      <c r="K158" s="780"/>
      <c r="L158" s="300"/>
      <c r="M158" s="188">
        <v>3240</v>
      </c>
      <c r="N158" s="188">
        <f t="shared" si="11"/>
        <v>3142.8</v>
      </c>
      <c r="O158" s="189">
        <v>7.0000000000000007E-2</v>
      </c>
      <c r="P158" s="170">
        <f t="shared" si="12"/>
        <v>3362.7960000000003</v>
      </c>
    </row>
    <row r="159" spans="1:16">
      <c r="A159" s="157"/>
      <c r="B159" s="770"/>
      <c r="C159" s="207"/>
      <c r="D159" s="959"/>
      <c r="E159" s="1950"/>
      <c r="F159" s="2463"/>
      <c r="G159" s="2405"/>
      <c r="H159" s="224"/>
      <c r="I159" s="224"/>
      <c r="J159" s="647"/>
      <c r="K159" s="1154"/>
      <c r="L159" s="300"/>
    </row>
    <row r="160" spans="1:16">
      <c r="A160" s="157"/>
      <c r="B160" s="1000"/>
      <c r="C160" s="207"/>
      <c r="D160" s="959"/>
      <c r="E160" s="1950"/>
      <c r="F160" s="856"/>
      <c r="G160" s="312"/>
      <c r="H160" s="224"/>
      <c r="I160" s="224"/>
      <c r="J160" s="647"/>
      <c r="K160" s="780"/>
      <c r="L160" s="530"/>
      <c r="M160" s="188">
        <v>13483.8</v>
      </c>
      <c r="N160" s="188">
        <f t="shared" si="11"/>
        <v>13079.286</v>
      </c>
      <c r="O160" s="189">
        <v>7.0000000000000007E-2</v>
      </c>
      <c r="P160" s="170">
        <f t="shared" ref="P160:P167" si="13">(N160*O160)+N160</f>
        <v>13994.836020000001</v>
      </c>
    </row>
    <row r="161" spans="1:16">
      <c r="A161" s="157"/>
      <c r="B161" s="1000"/>
      <c r="C161" s="207"/>
      <c r="D161" s="959"/>
      <c r="E161" s="1950"/>
      <c r="F161" s="856"/>
      <c r="G161" s="2405"/>
      <c r="H161" s="224"/>
      <c r="I161" s="224"/>
      <c r="J161" s="647"/>
      <c r="K161" s="780"/>
      <c r="L161" s="530"/>
      <c r="M161" s="188">
        <v>12687.84</v>
      </c>
      <c r="N161" s="188">
        <f t="shared" si="11"/>
        <v>12307.2048</v>
      </c>
      <c r="O161" s="189">
        <v>7.0000000000000007E-2</v>
      </c>
      <c r="P161" s="170">
        <f t="shared" si="13"/>
        <v>13168.709135999999</v>
      </c>
    </row>
    <row r="162" spans="1:16">
      <c r="A162" s="448"/>
      <c r="B162" s="662"/>
      <c r="C162" s="207"/>
      <c r="D162" s="959"/>
      <c r="E162" s="1950"/>
      <c r="F162" s="856"/>
      <c r="G162" s="312"/>
      <c r="H162" s="224"/>
      <c r="I162" s="224"/>
      <c r="J162" s="647"/>
      <c r="K162" s="780"/>
      <c r="L162" s="171"/>
      <c r="N162" s="188">
        <f t="shared" si="11"/>
        <v>0</v>
      </c>
      <c r="O162" s="189">
        <v>7.0000000000000007E-2</v>
      </c>
      <c r="P162" s="170">
        <f t="shared" si="13"/>
        <v>0</v>
      </c>
    </row>
    <row r="163" spans="1:16">
      <c r="A163" s="81"/>
      <c r="B163" s="662"/>
      <c r="C163" s="207"/>
      <c r="D163" s="959"/>
      <c r="E163" s="1950"/>
      <c r="F163" s="856"/>
      <c r="G163" s="312"/>
      <c r="H163" s="224"/>
      <c r="I163" s="224"/>
      <c r="J163" s="647"/>
      <c r="K163" s="780"/>
      <c r="L163" s="1043"/>
      <c r="N163" s="188">
        <f t="shared" si="11"/>
        <v>0</v>
      </c>
      <c r="O163" s="189">
        <v>7.0000000000000007E-2</v>
      </c>
      <c r="P163" s="170">
        <f t="shared" si="13"/>
        <v>0</v>
      </c>
    </row>
    <row r="164" spans="1:16">
      <c r="A164" s="81"/>
      <c r="B164" s="770"/>
      <c r="C164" s="207"/>
      <c r="D164" s="959"/>
      <c r="E164" s="1950"/>
      <c r="F164" s="856"/>
      <c r="G164" s="2405"/>
      <c r="H164" s="224"/>
      <c r="I164" s="224"/>
      <c r="J164" s="647"/>
      <c r="K164" s="780"/>
      <c r="L164" s="171"/>
      <c r="N164" s="188">
        <f t="shared" si="11"/>
        <v>0</v>
      </c>
      <c r="O164" s="189">
        <v>7.0000000000000007E-2</v>
      </c>
      <c r="P164" s="170">
        <f t="shared" si="13"/>
        <v>0</v>
      </c>
    </row>
    <row r="165" spans="1:16">
      <c r="A165" s="315"/>
      <c r="B165" s="1000"/>
      <c r="C165" s="207"/>
      <c r="D165" s="959"/>
      <c r="E165" s="1950"/>
      <c r="F165" s="856"/>
      <c r="G165" s="312"/>
      <c r="H165" s="224"/>
      <c r="I165" s="224"/>
      <c r="J165" s="647"/>
      <c r="K165" s="780"/>
      <c r="L165" s="171"/>
      <c r="N165" s="188">
        <f t="shared" si="11"/>
        <v>0</v>
      </c>
      <c r="O165" s="189">
        <v>7.0000000000000007E-2</v>
      </c>
      <c r="P165" s="170">
        <f t="shared" si="13"/>
        <v>0</v>
      </c>
    </row>
    <row r="166" spans="1:16">
      <c r="A166" s="157"/>
      <c r="B166" s="1336"/>
      <c r="C166" s="207"/>
      <c r="D166" s="959"/>
      <c r="E166" s="1950"/>
      <c r="F166" s="856"/>
      <c r="G166" s="2405"/>
      <c r="H166" s="224"/>
      <c r="I166" s="224"/>
      <c r="J166" s="647"/>
      <c r="K166" s="780"/>
      <c r="L166" s="171"/>
      <c r="N166" s="188">
        <f t="shared" si="11"/>
        <v>0</v>
      </c>
      <c r="O166" s="189">
        <v>7.0000000000000007E-2</v>
      </c>
      <c r="P166" s="170">
        <f t="shared" si="13"/>
        <v>0</v>
      </c>
    </row>
    <row r="167" spans="1:16">
      <c r="A167" s="157"/>
      <c r="B167" s="43"/>
      <c r="C167" s="207"/>
      <c r="D167" s="959"/>
      <c r="E167" s="1950"/>
      <c r="F167" s="856"/>
      <c r="G167" s="2405"/>
      <c r="H167" s="224"/>
      <c r="I167" s="224"/>
      <c r="J167" s="647"/>
      <c r="K167" s="780"/>
      <c r="L167" s="171"/>
      <c r="N167" s="188">
        <f t="shared" si="11"/>
        <v>0</v>
      </c>
      <c r="O167" s="189">
        <v>7.0000000000000007E-2</v>
      </c>
      <c r="P167" s="170">
        <f t="shared" si="13"/>
        <v>0</v>
      </c>
    </row>
    <row r="168" spans="1:16">
      <c r="A168" s="755"/>
      <c r="B168" s="362"/>
      <c r="C168" s="207"/>
      <c r="D168" s="959"/>
      <c r="E168" s="1950"/>
      <c r="F168" s="856"/>
      <c r="G168" s="2405"/>
      <c r="H168" s="224"/>
      <c r="I168" s="224"/>
      <c r="J168" s="647"/>
      <c r="K168" s="780"/>
      <c r="L168" s="366"/>
      <c r="M168" s="76"/>
      <c r="N168" s="76"/>
      <c r="O168" s="76"/>
      <c r="P168" s="76"/>
    </row>
    <row r="169" spans="1:16">
      <c r="A169" s="157"/>
      <c r="B169" s="770"/>
      <c r="C169" s="341"/>
      <c r="D169" s="852"/>
      <c r="E169" s="1950"/>
      <c r="F169" s="856"/>
      <c r="G169" s="2405"/>
      <c r="H169" s="224"/>
      <c r="I169" s="224"/>
      <c r="J169" s="647"/>
      <c r="K169" s="780"/>
      <c r="L169" s="366"/>
      <c r="M169" s="76"/>
      <c r="N169" s="76"/>
      <c r="O169" s="76"/>
      <c r="P169" s="76"/>
    </row>
    <row r="170" spans="1:16">
      <c r="A170" s="2018" t="s">
        <v>4468</v>
      </c>
      <c r="B170" s="770"/>
      <c r="C170" s="341"/>
      <c r="D170" s="852"/>
      <c r="E170" s="1950"/>
      <c r="F170" s="856"/>
      <c r="G170" s="2405"/>
      <c r="H170" s="224"/>
      <c r="I170" s="224"/>
      <c r="J170" s="647"/>
      <c r="K170" s="780"/>
      <c r="L170" s="300"/>
      <c r="M170" s="188">
        <v>3813.12</v>
      </c>
      <c r="N170" s="188">
        <f t="shared" si="11"/>
        <v>3698.7264</v>
      </c>
      <c r="O170" s="189">
        <v>7.0000000000000007E-2</v>
      </c>
      <c r="P170" s="170">
        <f>(N170*O170)+N170</f>
        <v>3957.637248</v>
      </c>
    </row>
    <row r="171" spans="1:16">
      <c r="A171" s="662"/>
      <c r="B171" s="770"/>
      <c r="C171" s="341"/>
      <c r="D171" s="852"/>
      <c r="E171" s="1950"/>
      <c r="F171" s="856"/>
      <c r="G171" s="2405"/>
      <c r="H171" s="224"/>
      <c r="I171" s="224"/>
      <c r="J171" s="647"/>
      <c r="K171" s="780"/>
      <c r="L171" s="300"/>
    </row>
    <row r="172" spans="1:16">
      <c r="A172" s="753"/>
      <c r="B172" s="599"/>
      <c r="C172" s="207"/>
      <c r="D172" s="959"/>
      <c r="E172" s="1950"/>
      <c r="F172" s="2310"/>
      <c r="G172" s="478"/>
      <c r="H172" s="74"/>
      <c r="I172" s="224"/>
      <c r="J172" s="647"/>
      <c r="K172" s="780"/>
      <c r="L172" s="300"/>
    </row>
    <row r="173" spans="1:16">
      <c r="A173" s="58"/>
      <c r="B173" s="81"/>
      <c r="C173" s="207"/>
      <c r="D173" s="959"/>
      <c r="E173" s="1950"/>
      <c r="F173" s="2310"/>
      <c r="G173" s="887"/>
      <c r="H173" s="74"/>
      <c r="I173" s="224"/>
      <c r="J173" s="647"/>
      <c r="K173" s="780"/>
      <c r="L173" s="75"/>
      <c r="M173" s="76"/>
      <c r="N173" s="76"/>
      <c r="O173" s="76"/>
      <c r="P173" s="76"/>
    </row>
    <row r="174" spans="1:16">
      <c r="A174" s="58"/>
      <c r="B174" s="43"/>
      <c r="C174" s="207"/>
      <c r="D174" s="959"/>
      <c r="E174" s="1950"/>
      <c r="F174" s="2310"/>
      <c r="G174" s="887"/>
      <c r="H174" s="74"/>
      <c r="I174" s="224"/>
      <c r="J174" s="647"/>
      <c r="K174" s="780"/>
      <c r="L174" s="75"/>
      <c r="M174" s="76"/>
      <c r="N174" s="76"/>
      <c r="O174" s="76"/>
      <c r="P174" s="76"/>
    </row>
    <row r="175" spans="1:16">
      <c r="A175" s="157"/>
      <c r="B175" s="43"/>
      <c r="C175" s="207"/>
      <c r="D175" s="959"/>
      <c r="E175" s="1950"/>
      <c r="F175" s="2310"/>
      <c r="G175" s="887"/>
      <c r="H175" s="74"/>
      <c r="I175" s="224"/>
      <c r="J175" s="647"/>
      <c r="K175" s="780"/>
      <c r="L175" s="75"/>
      <c r="M175" s="76"/>
      <c r="N175" s="76"/>
      <c r="O175" s="76"/>
      <c r="P175" s="76"/>
    </row>
    <row r="176" spans="1:16" ht="35.25" thickBot="1">
      <c r="A176" s="157"/>
      <c r="B176" s="43"/>
      <c r="C176" s="207"/>
      <c r="D176" s="959"/>
      <c r="E176" s="1950"/>
      <c r="F176" s="2310"/>
      <c r="G176" s="887"/>
      <c r="H176" s="74"/>
      <c r="I176" s="224"/>
      <c r="J176" s="647"/>
      <c r="K176" s="780"/>
      <c r="L176" s="75"/>
      <c r="M176" s="76"/>
      <c r="N176" s="76"/>
      <c r="O176" s="76"/>
      <c r="P176" s="76"/>
    </row>
    <row r="177" spans="1:16" ht="35.25" thickBot="1">
      <c r="A177" s="157"/>
      <c r="B177" s="770"/>
      <c r="C177" s="207"/>
      <c r="D177" s="959"/>
      <c r="E177" s="1950"/>
      <c r="F177" s="856"/>
      <c r="G177" s="312"/>
      <c r="H177" s="224"/>
      <c r="I177" s="224"/>
      <c r="J177" s="647"/>
      <c r="K177" s="1154"/>
      <c r="L177" s="300"/>
    </row>
    <row r="178" spans="1:16" ht="35.25" thickBot="1">
      <c r="A178" s="157"/>
      <c r="B178" s="770"/>
      <c r="C178" s="207"/>
      <c r="D178" s="959"/>
      <c r="E178" s="1950"/>
      <c r="F178" s="856"/>
      <c r="H178" s="224"/>
      <c r="I178" s="224"/>
      <c r="J178" s="647"/>
      <c r="K178" s="1154"/>
      <c r="L178" s="300"/>
    </row>
    <row r="179" spans="1:16">
      <c r="A179" s="43"/>
      <c r="B179" s="770"/>
      <c r="C179" s="207"/>
      <c r="D179" s="959"/>
      <c r="E179" s="1950"/>
      <c r="F179" s="856"/>
      <c r="G179" s="312"/>
      <c r="H179" s="224"/>
      <c r="I179" s="224"/>
      <c r="J179" s="647"/>
      <c r="K179" s="1154"/>
      <c r="L179" s="300"/>
      <c r="N179" s="188">
        <f>M179-(M179*0.03)</f>
        <v>0</v>
      </c>
      <c r="O179" s="189">
        <v>7.0000000000000007E-2</v>
      </c>
      <c r="P179" s="170">
        <f>(N179*O179)+N179</f>
        <v>0</v>
      </c>
    </row>
    <row r="180" spans="1:16">
      <c r="A180" s="44"/>
      <c r="B180" s="44"/>
      <c r="C180" s="204"/>
      <c r="D180" s="44"/>
      <c r="E180" s="44"/>
      <c r="F180" s="376"/>
      <c r="G180" s="561"/>
      <c r="H180" s="75"/>
      <c r="I180" s="205"/>
      <c r="J180" s="736"/>
      <c r="L180" s="300"/>
    </row>
    <row r="181" spans="1:16">
      <c r="A181" s="44" t="s">
        <v>0</v>
      </c>
      <c r="B181" s="127"/>
      <c r="C181" s="167"/>
      <c r="F181" s="376"/>
      <c r="L181" s="300"/>
    </row>
    <row r="182" spans="1:16" ht="35.25" customHeight="1">
      <c r="A182" s="112" t="s">
        <v>4339</v>
      </c>
      <c r="B182" s="112"/>
      <c r="C182" s="204"/>
      <c r="D182" s="109"/>
      <c r="F182" s="376"/>
      <c r="L182" s="300"/>
    </row>
    <row r="183" spans="1:16" ht="21" customHeight="1" thickBot="1">
      <c r="F183" s="376"/>
    </row>
    <row r="184" spans="1:16">
      <c r="A184" s="3511" t="s">
        <v>2</v>
      </c>
      <c r="B184" s="3512"/>
      <c r="C184" s="580" t="s">
        <v>3</v>
      </c>
      <c r="D184" s="261" t="s">
        <v>4</v>
      </c>
      <c r="E184" s="77" t="s">
        <v>5</v>
      </c>
      <c r="F184" s="758" t="s">
        <v>5</v>
      </c>
      <c r="G184" s="250" t="s">
        <v>6</v>
      </c>
      <c r="H184" s="140" t="s">
        <v>7</v>
      </c>
      <c r="I184" s="498" t="s">
        <v>1511</v>
      </c>
      <c r="J184" s="601" t="s">
        <v>9</v>
      </c>
      <c r="K184" s="346" t="s">
        <v>9</v>
      </c>
      <c r="L184" s="300" t="s">
        <v>2495</v>
      </c>
      <c r="M184" s="190"/>
    </row>
    <row r="185" spans="1:16" ht="35.25" thickBot="1">
      <c r="A185" s="155"/>
      <c r="B185" s="138"/>
      <c r="C185" s="337"/>
      <c r="D185" s="262" t="s">
        <v>10</v>
      </c>
      <c r="E185" s="79" t="s">
        <v>11</v>
      </c>
      <c r="F185" s="759" t="s">
        <v>12</v>
      </c>
      <c r="G185" s="476"/>
      <c r="H185" s="141" t="s">
        <v>13</v>
      </c>
      <c r="I185" s="499" t="s">
        <v>1512</v>
      </c>
      <c r="J185" s="602" t="s">
        <v>14</v>
      </c>
      <c r="K185" s="347" t="s">
        <v>15</v>
      </c>
      <c r="L185" s="300" t="s">
        <v>2496</v>
      </c>
      <c r="M185" s="190"/>
    </row>
    <row r="186" spans="1:16">
      <c r="A186" s="615"/>
      <c r="B186" s="3452"/>
      <c r="C186" s="207"/>
      <c r="D186" s="3457"/>
      <c r="E186" s="142"/>
      <c r="F186" s="381"/>
      <c r="G186" s="478"/>
      <c r="H186" s="101"/>
      <c r="I186" s="339"/>
      <c r="J186" s="586"/>
      <c r="K186" s="526"/>
      <c r="L186" s="300"/>
      <c r="M186" s="188">
        <v>3552</v>
      </c>
      <c r="N186" s="188">
        <f t="shared" ref="N186:N206" si="14">M186-(M186*0.03)</f>
        <v>3445.44</v>
      </c>
      <c r="O186" s="189">
        <v>7.0000000000000007E-2</v>
      </c>
      <c r="P186" s="170">
        <f t="shared" ref="P186:P194" si="15">(N186*O186)+N186</f>
        <v>3686.6208000000001</v>
      </c>
    </row>
    <row r="187" spans="1:16">
      <c r="A187" s="157"/>
      <c r="B187" s="89"/>
      <c r="C187" s="515"/>
      <c r="D187" s="3457"/>
      <c r="E187" s="142"/>
      <c r="F187" s="381"/>
      <c r="G187" s="477"/>
      <c r="H187" s="74"/>
      <c r="I187" s="431"/>
      <c r="J187" s="590"/>
      <c r="K187" s="588"/>
      <c r="L187" s="300"/>
      <c r="N187" s="188">
        <f t="shared" si="14"/>
        <v>0</v>
      </c>
      <c r="O187" s="189">
        <v>7.0000000000000007E-2</v>
      </c>
      <c r="P187" s="170">
        <f t="shared" si="15"/>
        <v>0</v>
      </c>
    </row>
    <row r="188" spans="1:16">
      <c r="A188" s="157"/>
      <c r="B188" s="89"/>
      <c r="C188" s="207"/>
      <c r="D188" s="3457"/>
      <c r="E188" s="142"/>
      <c r="F188" s="381"/>
      <c r="G188" s="477"/>
      <c r="H188" s="74"/>
      <c r="I188" s="431"/>
      <c r="J188" s="590"/>
      <c r="K188" s="588"/>
      <c r="L188" s="300"/>
      <c r="M188" s="188">
        <v>9498.06</v>
      </c>
      <c r="N188" s="188">
        <f t="shared" si="14"/>
        <v>9213.118199999999</v>
      </c>
      <c r="O188" s="189">
        <v>7.0000000000000007E-2</v>
      </c>
      <c r="P188" s="170">
        <f t="shared" si="15"/>
        <v>9858.0364739999986</v>
      </c>
    </row>
    <row r="189" spans="1:16">
      <c r="A189" s="157"/>
      <c r="B189" s="89"/>
      <c r="C189" s="207"/>
      <c r="D189" s="3457"/>
      <c r="E189" s="142"/>
      <c r="F189" s="381"/>
      <c r="G189" s="477"/>
      <c r="H189" s="74"/>
      <c r="I189" s="431"/>
      <c r="J189" s="590"/>
      <c r="K189" s="588"/>
      <c r="L189" s="300"/>
      <c r="N189" s="188">
        <f t="shared" si="14"/>
        <v>0</v>
      </c>
      <c r="O189" s="189">
        <v>7.0000000000000007E-2</v>
      </c>
      <c r="P189" s="170">
        <f t="shared" si="15"/>
        <v>0</v>
      </c>
    </row>
    <row r="190" spans="1:16">
      <c r="A190" s="157"/>
      <c r="B190" s="89"/>
      <c r="C190" s="207"/>
      <c r="D190" s="3457"/>
      <c r="E190" s="142"/>
      <c r="F190" s="381"/>
      <c r="G190" s="477"/>
      <c r="H190" s="74"/>
      <c r="I190" s="431"/>
      <c r="J190" s="590"/>
      <c r="K190" s="588"/>
      <c r="L190" s="300"/>
      <c r="N190" s="188">
        <f t="shared" si="14"/>
        <v>0</v>
      </c>
      <c r="O190" s="189">
        <v>7.0000000000000007E-2</v>
      </c>
      <c r="P190" s="170">
        <f t="shared" si="15"/>
        <v>0</v>
      </c>
    </row>
    <row r="191" spans="1:16">
      <c r="A191" s="156"/>
      <c r="B191" s="89"/>
      <c r="C191" s="515"/>
      <c r="D191" s="3457"/>
      <c r="E191" s="142"/>
      <c r="F191" s="381"/>
      <c r="G191" s="477"/>
      <c r="H191" s="74"/>
      <c r="I191" s="431"/>
      <c r="J191" s="590"/>
      <c r="K191" s="588"/>
      <c r="L191" s="300"/>
      <c r="M191" s="188">
        <v>14700</v>
      </c>
      <c r="N191" s="188">
        <f t="shared" si="14"/>
        <v>14259</v>
      </c>
      <c r="O191" s="189">
        <v>7.0000000000000007E-2</v>
      </c>
      <c r="P191" s="170">
        <f t="shared" si="15"/>
        <v>15257.130000000001</v>
      </c>
    </row>
    <row r="192" spans="1:16">
      <c r="A192" s="158"/>
      <c r="B192" s="89"/>
      <c r="C192" s="207"/>
      <c r="D192" s="3457"/>
      <c r="E192" s="142"/>
      <c r="F192" s="381"/>
      <c r="G192" s="477"/>
      <c r="H192" s="74"/>
      <c r="I192" s="431"/>
      <c r="J192" s="590"/>
      <c r="K192" s="588"/>
      <c r="L192" s="530"/>
      <c r="M192" s="188">
        <v>14582.7</v>
      </c>
      <c r="N192" s="188">
        <f t="shared" si="14"/>
        <v>14145.219000000001</v>
      </c>
      <c r="O192" s="189">
        <v>7.0000000000000007E-2</v>
      </c>
      <c r="P192" s="170">
        <f t="shared" si="15"/>
        <v>15135.384330000001</v>
      </c>
    </row>
    <row r="193" spans="1:16">
      <c r="A193" s="158"/>
      <c r="B193" s="89"/>
      <c r="C193" s="207"/>
      <c r="D193" s="3457"/>
      <c r="E193" s="142"/>
      <c r="F193" s="381"/>
      <c r="G193" s="477"/>
      <c r="H193" s="74"/>
      <c r="I193" s="431"/>
      <c r="J193" s="590"/>
      <c r="K193" s="588"/>
      <c r="M193" s="188">
        <v>14244.12</v>
      </c>
      <c r="N193" s="188">
        <f t="shared" si="14"/>
        <v>13816.796400000001</v>
      </c>
      <c r="O193" s="189">
        <v>7.0000000000000007E-2</v>
      </c>
      <c r="P193" s="170">
        <f t="shared" si="15"/>
        <v>14783.972148000001</v>
      </c>
    </row>
    <row r="194" spans="1:16">
      <c r="A194" s="157"/>
      <c r="B194" s="89"/>
      <c r="C194" s="207"/>
      <c r="D194" s="3457"/>
      <c r="E194" s="142"/>
      <c r="F194" s="381"/>
      <c r="G194" s="477"/>
      <c r="H194" s="74"/>
      <c r="I194" s="431"/>
      <c r="J194" s="590"/>
      <c r="K194" s="588"/>
      <c r="L194" s="300"/>
      <c r="M194" s="188">
        <v>3240</v>
      </c>
      <c r="N194" s="188">
        <f t="shared" si="14"/>
        <v>3142.8</v>
      </c>
      <c r="O194" s="189">
        <v>7.0000000000000007E-2</v>
      </c>
      <c r="P194" s="170">
        <f t="shared" si="15"/>
        <v>3362.7960000000003</v>
      </c>
    </row>
    <row r="195" spans="1:16">
      <c r="A195" s="927"/>
      <c r="B195" s="89"/>
      <c r="C195" s="521"/>
      <c r="D195" s="740"/>
      <c r="E195" s="198"/>
      <c r="F195" s="381"/>
      <c r="G195" s="1892"/>
      <c r="H195" s="88"/>
      <c r="I195" s="456"/>
      <c r="J195" s="1910"/>
      <c r="K195" s="1911"/>
      <c r="L195" s="300"/>
    </row>
    <row r="196" spans="1:16" ht="35.25" thickBot="1">
      <c r="A196" s="157"/>
      <c r="B196" s="1905"/>
      <c r="C196" s="1912"/>
      <c r="D196" s="1913"/>
      <c r="E196" s="1914"/>
      <c r="F196" s="381"/>
      <c r="G196" s="1908"/>
      <c r="H196" s="1909"/>
      <c r="I196" s="1915"/>
      <c r="J196" s="1916"/>
      <c r="K196" s="1917"/>
      <c r="L196" s="530"/>
      <c r="M196" s="188">
        <v>13483.8</v>
      </c>
      <c r="N196" s="188">
        <f t="shared" si="14"/>
        <v>13079.286</v>
      </c>
      <c r="O196" s="189">
        <v>7.0000000000000007E-2</v>
      </c>
      <c r="P196" s="170">
        <f t="shared" ref="P196:P203" si="16">(N196*O196)+N196</f>
        <v>13994.836020000001</v>
      </c>
    </row>
    <row r="197" spans="1:16" ht="35.25" thickTop="1">
      <c r="A197" s="157"/>
      <c r="B197" s="81"/>
      <c r="C197" s="103"/>
      <c r="D197" s="322"/>
      <c r="E197" s="100"/>
      <c r="F197" s="381"/>
      <c r="G197" s="312"/>
      <c r="H197" s="224"/>
      <c r="I197" s="224"/>
      <c r="J197" s="647"/>
      <c r="K197" s="780"/>
      <c r="L197" s="530"/>
      <c r="M197" s="188">
        <v>12687.84</v>
      </c>
      <c r="N197" s="188">
        <f t="shared" si="14"/>
        <v>12307.2048</v>
      </c>
      <c r="O197" s="189">
        <v>7.0000000000000007E-2</v>
      </c>
      <c r="P197" s="170">
        <f t="shared" si="16"/>
        <v>13168.709135999999</v>
      </c>
    </row>
    <row r="198" spans="1:16">
      <c r="A198" s="157"/>
      <c r="B198" s="43"/>
      <c r="C198" s="101"/>
      <c r="D198" s="322"/>
      <c r="E198" s="100"/>
      <c r="F198" s="381"/>
      <c r="G198" s="312"/>
      <c r="H198" s="224"/>
      <c r="I198" s="224"/>
      <c r="J198" s="647"/>
      <c r="K198" s="780"/>
      <c r="L198" s="300"/>
      <c r="M198" s="188">
        <v>16572.599999999999</v>
      </c>
      <c r="N198" s="188">
        <f t="shared" si="14"/>
        <v>16075.421999999999</v>
      </c>
      <c r="O198" s="189">
        <v>7.0000000000000007E-2</v>
      </c>
      <c r="P198" s="170">
        <f t="shared" si="16"/>
        <v>17200.701539999998</v>
      </c>
    </row>
    <row r="199" spans="1:16">
      <c r="A199" s="157"/>
      <c r="B199" s="43"/>
      <c r="C199" s="101"/>
      <c r="D199" s="322"/>
      <c r="E199" s="100"/>
      <c r="F199" s="381"/>
      <c r="G199" s="312"/>
      <c r="H199" s="224"/>
      <c r="I199" s="224"/>
      <c r="J199" s="647"/>
      <c r="K199" s="780"/>
      <c r="L199" s="300"/>
      <c r="M199" s="188">
        <v>6021.12</v>
      </c>
      <c r="N199" s="188">
        <f t="shared" si="14"/>
        <v>5840.4863999999998</v>
      </c>
      <c r="O199" s="189">
        <v>7.0000000000000007E-2</v>
      </c>
      <c r="P199" s="170">
        <f t="shared" si="16"/>
        <v>6249.3204479999995</v>
      </c>
    </row>
    <row r="200" spans="1:16">
      <c r="A200" s="663"/>
      <c r="B200" s="43"/>
      <c r="C200" s="101"/>
      <c r="D200" s="322"/>
      <c r="E200" s="100"/>
      <c r="F200" s="381"/>
      <c r="G200" s="312"/>
      <c r="H200" s="224"/>
      <c r="I200" s="224"/>
      <c r="J200" s="647"/>
      <c r="K200" s="780"/>
      <c r="L200" s="550"/>
      <c r="M200" s="188">
        <v>8714.16</v>
      </c>
      <c r="N200" s="188">
        <f t="shared" si="14"/>
        <v>8452.7351999999992</v>
      </c>
      <c r="O200" s="189">
        <v>7.0000000000000007E-2</v>
      </c>
      <c r="P200" s="170">
        <f t="shared" si="16"/>
        <v>9044.4266639999987</v>
      </c>
    </row>
    <row r="201" spans="1:16">
      <c r="A201" s="398"/>
      <c r="B201" s="662"/>
      <c r="C201" s="101"/>
      <c r="D201" s="322"/>
      <c r="E201" s="100"/>
      <c r="F201" s="381"/>
      <c r="G201" s="312"/>
      <c r="H201" s="224"/>
      <c r="I201" s="224"/>
      <c r="J201" s="647"/>
      <c r="K201" s="780"/>
      <c r="L201" s="550"/>
      <c r="M201" s="188">
        <v>18537.7</v>
      </c>
      <c r="N201" s="188">
        <f t="shared" si="14"/>
        <v>17981.569</v>
      </c>
      <c r="O201" s="189">
        <v>7.0000000000000007E-2</v>
      </c>
      <c r="P201" s="170">
        <f t="shared" si="16"/>
        <v>19240.278829999999</v>
      </c>
    </row>
    <row r="202" spans="1:16">
      <c r="A202" s="398"/>
      <c r="B202" s="43"/>
      <c r="C202" s="101"/>
      <c r="D202" s="322"/>
      <c r="E202" s="100"/>
      <c r="F202" s="381"/>
      <c r="G202" s="312"/>
      <c r="H202" s="224"/>
      <c r="I202" s="224"/>
      <c r="J202" s="647"/>
      <c r="K202" s="780"/>
      <c r="L202" s="550"/>
      <c r="M202" s="188">
        <v>9031.68</v>
      </c>
      <c r="N202" s="188">
        <f t="shared" si="14"/>
        <v>8760.7296000000006</v>
      </c>
      <c r="O202" s="189">
        <v>7.0000000000000007E-2</v>
      </c>
      <c r="P202" s="170">
        <f t="shared" si="16"/>
        <v>9373.9806720000015</v>
      </c>
    </row>
    <row r="203" spans="1:16" ht="37.5">
      <c r="A203" s="398"/>
      <c r="B203" s="962"/>
      <c r="C203" s="101"/>
      <c r="D203" s="322"/>
      <c r="E203" s="100"/>
      <c r="F203" s="381"/>
      <c r="G203" s="312"/>
      <c r="H203" s="224"/>
      <c r="I203" s="224"/>
      <c r="J203" s="647"/>
      <c r="K203" s="780"/>
      <c r="L203" s="550"/>
      <c r="N203" s="188">
        <f t="shared" si="14"/>
        <v>0</v>
      </c>
      <c r="O203" s="189">
        <v>7.0000000000000007E-2</v>
      </c>
      <c r="P203" s="170">
        <f t="shared" si="16"/>
        <v>0</v>
      </c>
    </row>
    <row r="204" spans="1:16">
      <c r="A204" s="83"/>
      <c r="B204" s="43"/>
      <c r="C204" s="101"/>
      <c r="D204" s="322"/>
      <c r="E204" s="100"/>
      <c r="F204" s="381"/>
      <c r="G204" s="312"/>
      <c r="H204" s="224"/>
      <c r="I204" s="224"/>
      <c r="J204" s="647"/>
      <c r="K204" s="780"/>
      <c r="L204" s="550"/>
      <c r="M204" s="76"/>
      <c r="N204" s="76"/>
      <c r="O204" s="76"/>
      <c r="P204" s="76"/>
    </row>
    <row r="205" spans="1:16" ht="35.25" thickBot="1">
      <c r="A205" s="83"/>
      <c r="B205" s="1905"/>
      <c r="C205" s="1906"/>
      <c r="D205" s="322"/>
      <c r="E205" s="100"/>
      <c r="F205" s="381"/>
      <c r="G205" s="312"/>
      <c r="H205" s="224"/>
      <c r="I205" s="224"/>
      <c r="J205" s="647"/>
      <c r="K205" s="780"/>
      <c r="L205" s="550"/>
      <c r="M205" s="76"/>
      <c r="N205" s="76"/>
      <c r="O205" s="76"/>
      <c r="P205" s="76"/>
    </row>
    <row r="206" spans="1:16" ht="35.25" thickTop="1">
      <c r="A206" s="83"/>
      <c r="B206" s="1896"/>
      <c r="C206" s="1897"/>
      <c r="D206" s="1898"/>
      <c r="E206" s="1899"/>
      <c r="F206" s="1136"/>
      <c r="G206" s="1900"/>
      <c r="H206" s="1901"/>
      <c r="I206" s="1902"/>
      <c r="J206" s="1903"/>
      <c r="K206" s="1904"/>
      <c r="L206" s="550"/>
      <c r="M206" s="188">
        <v>3813.12</v>
      </c>
      <c r="N206" s="188">
        <f t="shared" si="14"/>
        <v>3698.7264</v>
      </c>
      <c r="O206" s="189">
        <v>7.0000000000000007E-2</v>
      </c>
      <c r="P206" s="170">
        <f>(N206*O206)+N206</f>
        <v>3957.637248</v>
      </c>
    </row>
    <row r="207" spans="1:16">
      <c r="A207" s="83"/>
      <c r="B207" s="481"/>
      <c r="C207" s="714"/>
      <c r="D207" s="813"/>
      <c r="E207" s="1899"/>
      <c r="F207" s="1136"/>
      <c r="G207" s="1900"/>
      <c r="H207" s="1901"/>
      <c r="I207" s="1902"/>
      <c r="J207" s="1903"/>
      <c r="K207" s="1904"/>
      <c r="L207" s="550"/>
    </row>
    <row r="208" spans="1:16">
      <c r="A208" s="83"/>
      <c r="B208" s="481"/>
      <c r="C208" s="714"/>
      <c r="D208" s="813"/>
      <c r="E208" s="1899"/>
      <c r="F208" s="1136"/>
      <c r="G208" s="1900"/>
      <c r="H208" s="1901"/>
      <c r="I208" s="1902"/>
      <c r="J208" s="1903"/>
      <c r="K208" s="1904"/>
      <c r="L208" s="550"/>
    </row>
    <row r="209" spans="1:16">
      <c r="A209" s="83"/>
      <c r="B209" s="481"/>
      <c r="C209" s="714"/>
      <c r="D209" s="813"/>
      <c r="E209" s="1899"/>
      <c r="F209" s="1136"/>
      <c r="G209" s="1900"/>
      <c r="H209" s="1901"/>
      <c r="I209" s="1902"/>
      <c r="J209" s="1903"/>
      <c r="K209" s="1904"/>
      <c r="L209" s="550"/>
      <c r="M209" s="76"/>
      <c r="N209" s="76"/>
      <c r="O209" s="76"/>
      <c r="P209" s="76"/>
    </row>
    <row r="210" spans="1:16">
      <c r="A210" s="83"/>
      <c r="B210" s="481"/>
      <c r="C210" s="714"/>
      <c r="D210" s="813"/>
      <c r="E210" s="1899"/>
      <c r="F210" s="1136"/>
      <c r="G210" s="1900"/>
      <c r="H210" s="1901"/>
      <c r="I210" s="1902"/>
      <c r="J210" s="1903"/>
      <c r="K210" s="1904"/>
      <c r="L210" s="550"/>
      <c r="M210" s="76"/>
      <c r="N210" s="76"/>
      <c r="O210" s="76"/>
      <c r="P210" s="76"/>
    </row>
    <row r="211" spans="1:16">
      <c r="A211" s="83"/>
      <c r="B211" s="481"/>
      <c r="C211" s="714"/>
      <c r="D211" s="1137"/>
      <c r="E211" s="1899"/>
      <c r="F211" s="1136"/>
      <c r="G211" s="1900"/>
      <c r="H211" s="1901"/>
      <c r="I211" s="1902"/>
      <c r="J211" s="1903"/>
      <c r="K211" s="1904"/>
      <c r="L211" s="550"/>
      <c r="M211" s="76"/>
      <c r="N211" s="76"/>
      <c r="O211" s="76"/>
      <c r="P211" s="76"/>
    </row>
    <row r="212" spans="1:16">
      <c r="A212" s="83"/>
      <c r="B212" s="43"/>
      <c r="C212" s="101"/>
      <c r="D212" s="322"/>
      <c r="E212" s="843"/>
      <c r="F212" s="853"/>
      <c r="G212" s="477"/>
      <c r="H212" s="74"/>
      <c r="I212" s="560"/>
      <c r="J212" s="547"/>
      <c r="K212" s="550"/>
      <c r="L212" s="550"/>
      <c r="M212" s="76"/>
      <c r="N212" s="76"/>
      <c r="O212" s="76"/>
      <c r="P212" s="76"/>
    </row>
    <row r="213" spans="1:16">
      <c r="A213" s="83"/>
      <c r="B213" s="43"/>
      <c r="C213" s="101"/>
      <c r="D213" s="322"/>
      <c r="E213" s="843"/>
      <c r="F213" s="853"/>
      <c r="G213" s="477"/>
      <c r="H213" s="74"/>
      <c r="I213" s="560"/>
      <c r="J213" s="547"/>
      <c r="K213" s="550"/>
      <c r="L213" s="550"/>
      <c r="M213" s="76"/>
      <c r="N213" s="76"/>
      <c r="O213" s="76"/>
      <c r="P213" s="76"/>
    </row>
    <row r="214" spans="1:16">
      <c r="A214" s="83"/>
      <c r="B214" s="43"/>
      <c r="C214" s="101"/>
      <c r="D214" s="322"/>
      <c r="E214" s="843"/>
      <c r="F214" s="853"/>
      <c r="G214" s="477"/>
      <c r="H214" s="74"/>
      <c r="I214" s="560"/>
      <c r="J214" s="547"/>
      <c r="K214" s="550"/>
      <c r="L214" s="550"/>
    </row>
    <row r="215" spans="1:16">
      <c r="A215" s="157"/>
      <c r="B215" s="89"/>
      <c r="C215" s="992"/>
      <c r="D215" s="414"/>
      <c r="E215" s="1890"/>
      <c r="F215" s="1891"/>
      <c r="G215" s="1892"/>
      <c r="H215" s="88"/>
      <c r="I215" s="1893"/>
      <c r="J215" s="1894"/>
      <c r="K215" s="1895"/>
      <c r="L215" s="300"/>
    </row>
    <row r="216" spans="1:16">
      <c r="A216" s="44"/>
      <c r="B216" s="93"/>
      <c r="C216" s="328"/>
      <c r="D216" s="510"/>
      <c r="E216" s="510"/>
      <c r="F216" s="328"/>
      <c r="G216" s="1638"/>
      <c r="H216" s="93"/>
      <c r="I216" s="1639"/>
      <c r="J216" s="1640"/>
      <c r="K216" s="1641"/>
    </row>
    <row r="217" spans="1:16">
      <c r="A217" s="44" t="s">
        <v>0</v>
      </c>
      <c r="B217" s="93"/>
      <c r="C217" s="328"/>
      <c r="D217" s="510"/>
      <c r="E217" s="510"/>
      <c r="F217" s="328"/>
      <c r="G217" s="1638"/>
      <c r="H217" s="93"/>
      <c r="I217" s="1639"/>
      <c r="J217" s="1640"/>
      <c r="K217" s="1641"/>
    </row>
    <row r="218" spans="1:16">
      <c r="A218" s="112" t="s">
        <v>4339</v>
      </c>
      <c r="B218" s="112"/>
      <c r="C218" s="204"/>
      <c r="D218" s="109"/>
      <c r="F218" s="376"/>
    </row>
    <row r="219" spans="1:16" ht="35.25" thickBot="1">
      <c r="F219" s="376"/>
    </row>
    <row r="220" spans="1:16">
      <c r="A220" s="3511" t="s">
        <v>2</v>
      </c>
      <c r="B220" s="3512"/>
      <c r="C220" s="580" t="s">
        <v>3</v>
      </c>
      <c r="D220" s="261" t="s">
        <v>4</v>
      </c>
      <c r="E220" s="77" t="s">
        <v>5</v>
      </c>
      <c r="F220" s="758" t="s">
        <v>5</v>
      </c>
      <c r="G220" s="250" t="s">
        <v>6</v>
      </c>
      <c r="H220" s="140" t="s">
        <v>7</v>
      </c>
      <c r="I220" s="498" t="s">
        <v>1511</v>
      </c>
      <c r="J220" s="601" t="s">
        <v>9</v>
      </c>
      <c r="K220" s="346" t="s">
        <v>9</v>
      </c>
    </row>
    <row r="221" spans="1:16" ht="35.25" thickBot="1">
      <c r="A221" s="155"/>
      <c r="B221" s="138"/>
      <c r="C221" s="337"/>
      <c r="D221" s="262" t="s">
        <v>10</v>
      </c>
      <c r="E221" s="79" t="s">
        <v>11</v>
      </c>
      <c r="F221" s="759" t="s">
        <v>12</v>
      </c>
      <c r="G221" s="476"/>
      <c r="H221" s="141" t="s">
        <v>13</v>
      </c>
      <c r="I221" s="499" t="s">
        <v>1512</v>
      </c>
      <c r="J221" s="602" t="s">
        <v>14</v>
      </c>
      <c r="K221" s="347" t="s">
        <v>15</v>
      </c>
    </row>
    <row r="222" spans="1:16">
      <c r="A222" s="663"/>
      <c r="B222" s="2328"/>
      <c r="C222" s="515"/>
      <c r="D222" s="196"/>
      <c r="E222" s="142"/>
      <c r="F222" s="381"/>
      <c r="G222" s="477"/>
      <c r="H222" s="74"/>
      <c r="I222" s="431"/>
      <c r="J222" s="586"/>
      <c r="K222" s="526"/>
    </row>
    <row r="223" spans="1:16">
      <c r="A223" s="398"/>
      <c r="B223" s="43"/>
      <c r="C223" s="101"/>
      <c r="D223" s="322"/>
      <c r="E223" s="99"/>
      <c r="F223" s="856"/>
      <c r="G223" s="2405"/>
      <c r="H223" s="224"/>
      <c r="I223" s="224"/>
      <c r="J223" s="647"/>
      <c r="K223" s="780"/>
    </row>
    <row r="224" spans="1:16">
      <c r="A224" s="398"/>
      <c r="B224" s="43"/>
      <c r="C224" s="101"/>
      <c r="D224" s="322"/>
      <c r="E224" s="99"/>
      <c r="F224" s="856"/>
      <c r="G224" s="2405"/>
      <c r="H224" s="224"/>
      <c r="I224" s="224"/>
      <c r="J224" s="647"/>
      <c r="K224" s="780"/>
    </row>
    <row r="225" spans="1:11">
      <c r="A225" s="398"/>
      <c r="B225" s="43"/>
      <c r="C225" s="101"/>
      <c r="D225" s="322"/>
      <c r="E225" s="99"/>
      <c r="F225" s="856"/>
      <c r="G225" s="2405"/>
      <c r="H225" s="224"/>
      <c r="I225" s="224"/>
      <c r="J225" s="647"/>
      <c r="K225" s="780"/>
    </row>
    <row r="226" spans="1:11">
      <c r="A226" s="83"/>
      <c r="B226" s="43"/>
      <c r="C226" s="101"/>
      <c r="D226" s="322"/>
      <c r="E226" s="99"/>
      <c r="F226" s="856"/>
      <c r="G226" s="2405"/>
      <c r="H226" s="224"/>
      <c r="I226" s="224"/>
      <c r="J226" s="647"/>
      <c r="K226" s="780"/>
    </row>
    <row r="227" spans="1:11">
      <c r="A227" s="83"/>
      <c r="B227" s="662"/>
      <c r="C227" s="101"/>
      <c r="D227" s="322"/>
      <c r="E227" s="99"/>
      <c r="F227" s="856"/>
      <c r="G227" s="2405"/>
      <c r="H227" s="224"/>
      <c r="I227" s="224"/>
      <c r="J227" s="647"/>
      <c r="K227" s="780"/>
    </row>
    <row r="228" spans="1:11">
      <c r="A228" s="83"/>
      <c r="B228" s="43"/>
      <c r="C228" s="101"/>
      <c r="D228" s="322"/>
      <c r="E228" s="99"/>
      <c r="F228" s="856"/>
      <c r="G228" s="2405"/>
      <c r="H228" s="224"/>
      <c r="I228" s="224"/>
      <c r="J228" s="647"/>
      <c r="K228" s="780"/>
    </row>
    <row r="229" spans="1:11" ht="37.5">
      <c r="A229" s="157"/>
      <c r="B229" s="962"/>
      <c r="C229" s="101"/>
      <c r="D229" s="322"/>
      <c r="E229" s="99"/>
      <c r="F229" s="856"/>
      <c r="G229" s="2405"/>
      <c r="H229" s="224"/>
      <c r="I229" s="224"/>
      <c r="J229" s="647"/>
      <c r="K229" s="780"/>
    </row>
    <row r="230" spans="1:11">
      <c r="A230" s="157"/>
      <c r="B230" s="43"/>
      <c r="C230" s="101"/>
      <c r="D230" s="322"/>
      <c r="E230" s="99"/>
      <c r="F230" s="856"/>
      <c r="G230" s="2405"/>
      <c r="H230" s="224"/>
      <c r="I230" s="224"/>
      <c r="J230" s="647"/>
      <c r="K230" s="780"/>
    </row>
    <row r="231" spans="1:11" ht="35.25" thickBot="1">
      <c r="A231" s="1952"/>
      <c r="B231" s="1905"/>
      <c r="C231" s="1906"/>
      <c r="D231" s="1907"/>
      <c r="E231" s="99"/>
      <c r="F231" s="856"/>
      <c r="G231" s="2405"/>
      <c r="H231" s="224"/>
      <c r="I231" s="224"/>
      <c r="J231" s="647"/>
      <c r="K231" s="780"/>
    </row>
    <row r="232" spans="1:11" ht="35.25" thickTop="1">
      <c r="A232" s="1951"/>
      <c r="B232" s="770"/>
      <c r="C232" s="103"/>
      <c r="D232" s="412"/>
      <c r="E232" s="1409"/>
      <c r="F232" s="856"/>
      <c r="G232" s="887"/>
      <c r="H232" s="224"/>
      <c r="I232" s="778"/>
      <c r="J232" s="609"/>
      <c r="K232" s="780"/>
    </row>
    <row r="233" spans="1:11">
      <c r="A233" s="958"/>
      <c r="B233" s="406"/>
      <c r="C233" s="101"/>
      <c r="D233" s="322"/>
      <c r="E233" s="1409"/>
      <c r="F233" s="856"/>
      <c r="G233" s="887"/>
      <c r="H233" s="224"/>
      <c r="I233" s="778"/>
      <c r="J233" s="609"/>
      <c r="K233" s="780"/>
    </row>
    <row r="234" spans="1:11">
      <c r="A234" s="81"/>
      <c r="B234" s="406"/>
      <c r="C234" s="101"/>
      <c r="D234" s="322"/>
      <c r="E234" s="249"/>
      <c r="F234" s="381"/>
      <c r="G234" s="478"/>
      <c r="H234" s="224"/>
      <c r="I234" s="778"/>
      <c r="J234" s="609"/>
      <c r="K234" s="780"/>
    </row>
    <row r="235" spans="1:11">
      <c r="A235" s="157"/>
      <c r="B235" s="406"/>
      <c r="C235" s="101"/>
      <c r="D235" s="322"/>
      <c r="E235" s="1409"/>
      <c r="F235" s="856"/>
      <c r="G235" s="887"/>
      <c r="H235" s="224"/>
      <c r="I235" s="778"/>
      <c r="J235" s="609"/>
      <c r="K235" s="780"/>
    </row>
    <row r="236" spans="1:11" ht="35.25" thickBot="1">
      <c r="A236" s="1952"/>
      <c r="B236" s="1905"/>
      <c r="C236" s="1906"/>
      <c r="D236" s="1907"/>
      <c r="E236" s="1409"/>
      <c r="F236" s="856"/>
      <c r="G236" s="887"/>
      <c r="H236" s="224"/>
      <c r="I236" s="778"/>
      <c r="J236" s="609"/>
      <c r="K236" s="780"/>
    </row>
    <row r="237" spans="1:11" ht="35.25" thickTop="1">
      <c r="A237" s="1951"/>
      <c r="B237" s="81"/>
      <c r="C237" s="103"/>
      <c r="D237" s="412"/>
      <c r="E237" s="1957"/>
      <c r="F237" s="2413"/>
      <c r="G237" s="887"/>
      <c r="H237" s="224"/>
      <c r="I237" s="778"/>
      <c r="J237" s="609"/>
      <c r="K237" s="1966"/>
    </row>
    <row r="238" spans="1:11">
      <c r="A238" s="1954"/>
      <c r="B238" s="43"/>
      <c r="C238" s="101"/>
      <c r="D238" s="322"/>
      <c r="E238" s="1957"/>
      <c r="F238" s="2413"/>
      <c r="G238" s="887"/>
      <c r="H238" s="224"/>
      <c r="I238" s="778"/>
      <c r="J238" s="609"/>
      <c r="K238" s="1966"/>
    </row>
    <row r="239" spans="1:11" ht="35.25" thickBot="1">
      <c r="A239" s="1956"/>
      <c r="B239" s="1922"/>
      <c r="C239" s="1906"/>
      <c r="D239" s="1907"/>
      <c r="E239" s="1957"/>
      <c r="F239" s="2413"/>
      <c r="G239" s="887"/>
      <c r="H239" s="224"/>
      <c r="I239" s="778"/>
      <c r="J239" s="609"/>
      <c r="K239" s="1966"/>
    </row>
    <row r="240" spans="1:11" ht="35.25" thickTop="1">
      <c r="A240" s="316"/>
      <c r="B240" s="406"/>
      <c r="C240" s="101"/>
      <c r="D240" s="322"/>
      <c r="E240" s="1957"/>
      <c r="F240" s="2413"/>
      <c r="G240" s="887"/>
      <c r="H240" s="224"/>
      <c r="I240" s="778"/>
      <c r="J240" s="609"/>
      <c r="K240" s="1966"/>
    </row>
    <row r="241" spans="1:11">
      <c r="A241" s="58"/>
      <c r="B241" s="770"/>
      <c r="C241" s="103"/>
      <c r="D241" s="412"/>
      <c r="E241" s="1957"/>
      <c r="F241" s="2413"/>
      <c r="G241" s="2428"/>
      <c r="H241" s="971"/>
      <c r="I241" s="1959"/>
      <c r="J241" s="609"/>
      <c r="K241" s="1966"/>
    </row>
    <row r="242" spans="1:11">
      <c r="A242" s="58"/>
      <c r="B242" s="770"/>
      <c r="C242" s="103"/>
      <c r="D242" s="412"/>
      <c r="E242" s="1957"/>
      <c r="F242" s="2427"/>
      <c r="G242" s="1958"/>
      <c r="H242" s="971"/>
      <c r="I242" s="1959"/>
      <c r="J242" s="1960"/>
      <c r="K242" s="1961"/>
    </row>
    <row r="243" spans="1:11">
      <c r="A243" s="1945"/>
      <c r="B243" s="406"/>
      <c r="C243" s="101"/>
      <c r="D243" s="322"/>
      <c r="E243" s="1957"/>
      <c r="F243" s="2427"/>
      <c r="G243" s="2428"/>
      <c r="H243" s="971"/>
      <c r="I243" s="1959"/>
      <c r="J243" s="1960"/>
      <c r="K243" s="1961"/>
    </row>
    <row r="244" spans="1:11" ht="35.25" thickBot="1">
      <c r="A244" s="157"/>
      <c r="B244" s="1955"/>
      <c r="C244" s="1906"/>
      <c r="D244" s="1923"/>
      <c r="E244" s="1957"/>
      <c r="F244" s="2362"/>
      <c r="G244" s="2464"/>
      <c r="H244" s="1962"/>
      <c r="I244" s="1963"/>
      <c r="J244" s="1964"/>
      <c r="K244" s="1965"/>
    </row>
    <row r="245" spans="1:11" ht="35.25" thickTop="1">
      <c r="A245" s="157"/>
      <c r="B245" s="1918"/>
      <c r="C245" s="117"/>
      <c r="D245" s="1144"/>
      <c r="E245" s="1931"/>
      <c r="F245" s="1932"/>
      <c r="G245" s="1714"/>
      <c r="H245" s="82"/>
      <c r="I245" s="432"/>
      <c r="J245" s="1920"/>
      <c r="K245" s="1921"/>
    </row>
    <row r="246" spans="1:11">
      <c r="A246" s="157"/>
      <c r="B246" s="662"/>
      <c r="C246" s="207"/>
      <c r="D246" s="959"/>
      <c r="E246" s="1950"/>
      <c r="F246" s="856"/>
      <c r="G246" s="2405"/>
      <c r="H246" s="224"/>
      <c r="I246" s="224"/>
      <c r="J246" s="647"/>
      <c r="K246" s="780"/>
    </row>
    <row r="247" spans="1:11">
      <c r="A247" s="156"/>
      <c r="B247" s="662"/>
      <c r="C247" s="207"/>
      <c r="D247" s="959"/>
      <c r="E247" s="1950"/>
      <c r="F247" s="856"/>
      <c r="G247" s="312"/>
      <c r="H247" s="224"/>
      <c r="I247" s="224"/>
      <c r="J247" s="647"/>
      <c r="K247" s="780"/>
    </row>
    <row r="248" spans="1:11">
      <c r="A248" s="156"/>
      <c r="B248" s="662"/>
      <c r="C248" s="207"/>
      <c r="D248" s="959"/>
      <c r="E248" s="1950"/>
      <c r="F248" s="856"/>
      <c r="G248" s="312"/>
      <c r="H248" s="224"/>
      <c r="I248" s="224"/>
      <c r="J248" s="647"/>
      <c r="K248" s="780"/>
    </row>
    <row r="249" spans="1:11">
      <c r="A249" s="157"/>
      <c r="B249" s="662"/>
      <c r="C249" s="207"/>
      <c r="D249" s="959"/>
      <c r="E249" s="1950"/>
      <c r="F249" s="856"/>
      <c r="G249" s="312"/>
      <c r="H249" s="224"/>
      <c r="I249" s="224"/>
      <c r="J249" s="647"/>
      <c r="K249" s="780"/>
    </row>
    <row r="250" spans="1:11">
      <c r="A250" s="58"/>
      <c r="B250" s="74"/>
      <c r="C250" s="320"/>
      <c r="D250" s="101"/>
      <c r="E250" s="2324"/>
      <c r="F250" s="856"/>
      <c r="G250" s="887"/>
      <c r="H250" s="74"/>
      <c r="I250" s="431"/>
      <c r="J250" s="590"/>
      <c r="K250" s="588"/>
    </row>
    <row r="251" spans="1:11">
      <c r="A251" s="44"/>
      <c r="B251" s="1918"/>
      <c r="C251" s="1919"/>
      <c r="D251" s="1144"/>
      <c r="E251" s="1931"/>
      <c r="F251" s="1147"/>
      <c r="G251" s="1714"/>
      <c r="H251" s="82"/>
      <c r="I251" s="432"/>
      <c r="J251" s="1920"/>
      <c r="K251" s="1921"/>
    </row>
    <row r="252" spans="1:11">
      <c r="A252" s="44" t="s">
        <v>0</v>
      </c>
      <c r="B252" s="127"/>
      <c r="C252" s="167"/>
      <c r="F252" s="376"/>
    </row>
    <row r="253" spans="1:11">
      <c r="A253" s="112" t="s">
        <v>4339</v>
      </c>
      <c r="B253" s="112"/>
      <c r="C253" s="204"/>
      <c r="D253" s="109"/>
      <c r="F253" s="376"/>
    </row>
    <row r="254" spans="1:11" ht="35.25" thickBot="1">
      <c r="F254" s="376"/>
    </row>
    <row r="255" spans="1:11">
      <c r="A255" s="3511" t="s">
        <v>2</v>
      </c>
      <c r="B255" s="3512"/>
      <c r="C255" s="580" t="s">
        <v>3</v>
      </c>
      <c r="D255" s="261" t="s">
        <v>4</v>
      </c>
      <c r="E255" s="77" t="s">
        <v>5</v>
      </c>
      <c r="F255" s="758" t="s">
        <v>5</v>
      </c>
      <c r="G255" s="250" t="s">
        <v>6</v>
      </c>
      <c r="H255" s="140" t="s">
        <v>7</v>
      </c>
      <c r="I255" s="498" t="s">
        <v>1511</v>
      </c>
      <c r="J255" s="601" t="s">
        <v>9</v>
      </c>
      <c r="K255" s="346" t="s">
        <v>9</v>
      </c>
    </row>
    <row r="256" spans="1:11" ht="35.25" thickBot="1">
      <c r="A256" s="155"/>
      <c r="B256" s="138"/>
      <c r="C256" s="337"/>
      <c r="D256" s="262" t="s">
        <v>10</v>
      </c>
      <c r="E256" s="79" t="s">
        <v>11</v>
      </c>
      <c r="F256" s="759" t="s">
        <v>12</v>
      </c>
      <c r="G256" s="476"/>
      <c r="H256" s="141" t="s">
        <v>13</v>
      </c>
      <c r="I256" s="499" t="s">
        <v>1512</v>
      </c>
      <c r="J256" s="602" t="s">
        <v>14</v>
      </c>
      <c r="K256" s="347" t="s">
        <v>15</v>
      </c>
    </row>
    <row r="257" spans="1:11">
      <c r="A257" s="1513" t="e">
        <f ca="1">A257:J269  พงษ์สิทธิ์ (เฮียซ้ง)</f>
        <v>#NAME?</v>
      </c>
      <c r="B257" s="2328"/>
      <c r="C257" s="101"/>
      <c r="D257" s="322"/>
      <c r="E257" s="843"/>
      <c r="F257" s="853"/>
      <c r="G257" s="477"/>
      <c r="H257" s="74"/>
      <c r="I257" s="560"/>
      <c r="J257" s="547"/>
      <c r="K257" s="550"/>
    </row>
    <row r="258" spans="1:11">
      <c r="A258" s="398"/>
      <c r="B258" s="89"/>
      <c r="C258" s="207"/>
      <c r="D258" s="3457"/>
      <c r="E258" s="142"/>
      <c r="F258" s="381"/>
      <c r="G258" s="887"/>
      <c r="H258" s="74"/>
      <c r="I258" s="431"/>
      <c r="J258" s="590"/>
      <c r="K258" s="588"/>
    </row>
    <row r="259" spans="1:11">
      <c r="A259" s="398"/>
      <c r="B259" s="89"/>
      <c r="C259" s="207"/>
      <c r="D259" s="3457"/>
      <c r="E259" s="142"/>
      <c r="F259" s="381"/>
      <c r="G259" s="887"/>
      <c r="H259" s="74"/>
      <c r="I259" s="431"/>
      <c r="J259" s="590"/>
      <c r="K259" s="588"/>
    </row>
    <row r="260" spans="1:11">
      <c r="A260" s="398"/>
      <c r="B260" s="89"/>
      <c r="C260" s="207"/>
      <c r="D260" s="3457"/>
      <c r="E260" s="142"/>
      <c r="F260" s="381"/>
      <c r="G260" s="887"/>
      <c r="H260" s="74"/>
      <c r="I260" s="431"/>
      <c r="J260" s="590"/>
      <c r="K260" s="588"/>
    </row>
    <row r="261" spans="1:11">
      <c r="A261" s="398"/>
      <c r="B261" s="89"/>
      <c r="C261" s="207"/>
      <c r="D261" s="3457"/>
      <c r="E261" s="142"/>
      <c r="F261" s="381"/>
      <c r="G261" s="887"/>
      <c r="H261" s="74"/>
      <c r="I261" s="431"/>
      <c r="J261" s="590"/>
      <c r="K261" s="588"/>
    </row>
    <row r="262" spans="1:11">
      <c r="A262" s="315"/>
      <c r="B262" s="89"/>
      <c r="C262" s="207"/>
      <c r="D262" s="3457"/>
      <c r="E262" s="142"/>
      <c r="F262" s="381"/>
      <c r="G262" s="887"/>
      <c r="H262" s="74"/>
      <c r="I262" s="431"/>
      <c r="J262" s="590"/>
      <c r="K262" s="588"/>
    </row>
    <row r="263" spans="1:11">
      <c r="A263" s="157"/>
      <c r="B263" s="89"/>
      <c r="C263" s="207"/>
      <c r="D263" s="3457"/>
      <c r="E263" s="142"/>
      <c r="F263" s="381"/>
      <c r="G263" s="887"/>
      <c r="H263" s="74"/>
      <c r="I263" s="431"/>
      <c r="J263" s="590"/>
      <c r="K263" s="588"/>
    </row>
    <row r="264" spans="1:11">
      <c r="A264" s="157"/>
      <c r="B264" s="89"/>
      <c r="C264" s="207"/>
      <c r="D264" s="3457"/>
      <c r="E264" s="142"/>
      <c r="F264" s="381"/>
      <c r="G264" s="887"/>
      <c r="H264" s="74"/>
      <c r="I264" s="431"/>
      <c r="J264" s="590"/>
      <c r="K264" s="588"/>
    </row>
    <row r="265" spans="1:11">
      <c r="A265" s="157"/>
      <c r="B265" s="770"/>
      <c r="C265" s="320"/>
      <c r="D265" s="3457"/>
      <c r="E265" s="142"/>
      <c r="F265" s="381"/>
      <c r="G265" s="887"/>
      <c r="H265" s="74"/>
      <c r="I265" s="431"/>
      <c r="J265" s="590"/>
      <c r="K265" s="588"/>
    </row>
    <row r="266" spans="1:11">
      <c r="A266" s="157"/>
      <c r="B266" s="770"/>
      <c r="C266" s="320"/>
      <c r="D266" s="3457"/>
      <c r="E266" s="142"/>
      <c r="F266" s="381"/>
      <c r="G266" s="887"/>
      <c r="H266" s="74"/>
      <c r="I266" s="431"/>
      <c r="J266" s="590"/>
      <c r="K266" s="588"/>
    </row>
    <row r="267" spans="1:11">
      <c r="A267" s="976"/>
      <c r="B267" s="89"/>
      <c r="C267" s="207"/>
      <c r="D267" s="3457"/>
      <c r="E267" s="142"/>
      <c r="F267" s="381"/>
      <c r="G267" s="887"/>
      <c r="H267" s="74"/>
      <c r="I267" s="431"/>
      <c r="J267" s="590"/>
      <c r="K267" s="588"/>
    </row>
    <row r="268" spans="1:11">
      <c r="A268" s="958"/>
      <c r="B268" s="89"/>
      <c r="C268" s="207"/>
      <c r="D268" s="3457"/>
      <c r="E268" s="142"/>
      <c r="F268" s="381"/>
      <c r="G268" s="887"/>
      <c r="H268" s="74"/>
      <c r="I268" s="431"/>
      <c r="J268" s="590"/>
      <c r="K268" s="588"/>
    </row>
    <row r="269" spans="1:11">
      <c r="A269" s="81"/>
      <c r="B269" s="89"/>
      <c r="C269" s="207"/>
      <c r="D269" s="3457"/>
      <c r="E269" s="142"/>
      <c r="F269" s="381"/>
      <c r="G269" s="887"/>
      <c r="H269" s="74"/>
      <c r="I269" s="431"/>
      <c r="J269" s="590"/>
      <c r="K269" s="588"/>
    </row>
    <row r="270" spans="1:11">
      <c r="A270" s="157"/>
      <c r="B270" s="89"/>
      <c r="C270" s="207"/>
      <c r="D270" s="3457"/>
      <c r="E270" s="142"/>
      <c r="F270" s="381"/>
      <c r="G270" s="887"/>
      <c r="H270" s="74"/>
      <c r="I270" s="431"/>
      <c r="J270" s="590"/>
      <c r="K270" s="588"/>
    </row>
    <row r="271" spans="1:11">
      <c r="A271" s="157"/>
      <c r="B271" s="770"/>
      <c r="C271" s="320"/>
      <c r="D271" s="3457"/>
      <c r="E271" s="142"/>
      <c r="F271" s="381"/>
      <c r="G271" s="887"/>
      <c r="H271" s="74"/>
      <c r="I271" s="431"/>
      <c r="J271" s="590"/>
      <c r="K271" s="588"/>
    </row>
    <row r="272" spans="1:11">
      <c r="A272" s="976"/>
      <c r="B272" s="89"/>
      <c r="C272" s="515"/>
      <c r="D272" s="3457"/>
      <c r="E272" s="142"/>
      <c r="F272" s="381"/>
      <c r="G272" s="887"/>
      <c r="H272" s="74"/>
      <c r="I272" s="431"/>
      <c r="J272" s="590"/>
      <c r="K272" s="588"/>
    </row>
    <row r="273" spans="1:12">
      <c r="A273" s="158"/>
      <c r="B273" s="770"/>
      <c r="C273" s="320"/>
      <c r="D273" s="3457"/>
      <c r="E273" s="142"/>
      <c r="F273" s="381"/>
      <c r="G273" s="887"/>
      <c r="H273" s="74"/>
      <c r="I273" s="431"/>
      <c r="J273" s="590"/>
      <c r="K273" s="588"/>
    </row>
    <row r="274" spans="1:12">
      <c r="A274" s="200"/>
      <c r="B274" s="89"/>
      <c r="C274" s="207"/>
      <c r="D274" s="3457"/>
      <c r="E274" s="142"/>
      <c r="F274" s="381"/>
      <c r="G274" s="887"/>
      <c r="H274" s="74"/>
      <c r="I274" s="431"/>
      <c r="J274" s="590"/>
      <c r="K274" s="588"/>
    </row>
    <row r="275" spans="1:12">
      <c r="A275" s="389"/>
      <c r="B275" s="89"/>
      <c r="C275" s="207"/>
      <c r="D275" s="3457"/>
      <c r="E275" s="142"/>
      <c r="F275" s="381"/>
      <c r="G275" s="478"/>
      <c r="H275" s="74"/>
      <c r="I275" s="431"/>
      <c r="J275" s="590"/>
      <c r="K275" s="588"/>
    </row>
    <row r="276" spans="1:12">
      <c r="A276" s="315"/>
      <c r="B276" s="89"/>
      <c r="C276" s="207"/>
      <c r="D276" s="3457"/>
      <c r="E276" s="142"/>
      <c r="F276" s="381"/>
      <c r="G276" s="887"/>
      <c r="H276" s="74"/>
      <c r="I276" s="431"/>
      <c r="J276" s="590"/>
      <c r="K276" s="588"/>
    </row>
    <row r="277" spans="1:12">
      <c r="A277" s="157"/>
      <c r="B277" s="1918"/>
      <c r="C277" s="1919"/>
      <c r="D277" s="1144"/>
      <c r="E277" s="1146"/>
      <c r="F277" s="1147"/>
      <c r="G277" s="1714"/>
      <c r="H277" s="82"/>
      <c r="I277" s="432"/>
      <c r="J277" s="1920"/>
      <c r="K277" s="1921"/>
    </row>
    <row r="278" spans="1:12">
      <c r="A278" s="157"/>
      <c r="B278" s="1918"/>
      <c r="C278" s="1919"/>
      <c r="D278" s="1144"/>
      <c r="E278" s="1146"/>
      <c r="F278" s="1147"/>
      <c r="G278" s="1714"/>
      <c r="H278" s="82"/>
      <c r="I278" s="432"/>
      <c r="J278" s="1920"/>
      <c r="K278" s="1921"/>
    </row>
    <row r="279" spans="1:12">
      <c r="A279" s="157"/>
      <c r="B279" s="1447"/>
      <c r="C279" s="320"/>
      <c r="D279" s="413"/>
      <c r="E279" s="843"/>
      <c r="F279" s="853"/>
      <c r="G279" s="477"/>
      <c r="H279" s="74"/>
      <c r="I279" s="560"/>
      <c r="J279" s="547"/>
      <c r="K279" s="550"/>
    </row>
    <row r="280" spans="1:12">
      <c r="A280" s="157"/>
      <c r="B280" s="662"/>
      <c r="C280" s="3457"/>
      <c r="D280" s="1007"/>
      <c r="E280" s="84"/>
      <c r="F280" s="856"/>
      <c r="G280" s="1143"/>
      <c r="H280" s="431"/>
      <c r="I280" s="2367"/>
      <c r="J280" s="2016"/>
      <c r="K280" s="2368"/>
    </row>
    <row r="281" spans="1:12">
      <c r="A281" s="156"/>
      <c r="B281" s="406"/>
      <c r="C281" s="320"/>
      <c r="D281" s="413"/>
      <c r="E281" s="3659"/>
      <c r="F281" s="2366"/>
      <c r="G281" s="478"/>
      <c r="H281" s="224"/>
      <c r="I281" s="778"/>
      <c r="J281" s="937"/>
      <c r="K281" s="2369"/>
    </row>
    <row r="282" spans="1:12">
      <c r="A282" s="156"/>
      <c r="B282" s="406"/>
      <c r="C282" s="320"/>
      <c r="D282" s="413"/>
      <c r="E282" s="843"/>
      <c r="F282" s="853"/>
      <c r="G282" s="477"/>
      <c r="H282" s="74"/>
      <c r="I282" s="778"/>
      <c r="J282" s="694"/>
      <c r="K282" s="2370"/>
    </row>
    <row r="283" spans="1:12">
      <c r="A283" s="157"/>
      <c r="B283" s="43"/>
      <c r="C283" s="101"/>
      <c r="D283" s="3458"/>
      <c r="E283" s="143"/>
      <c r="F283" s="144"/>
      <c r="G283" s="483"/>
      <c r="H283" s="74"/>
      <c r="I283" s="105"/>
      <c r="J283" s="126"/>
      <c r="K283" s="375"/>
    </row>
    <row r="284" spans="1:12">
      <c r="A284" s="157"/>
      <c r="B284" s="1447"/>
      <c r="C284" s="101"/>
      <c r="D284" s="322"/>
      <c r="E284" s="843"/>
      <c r="F284" s="853"/>
      <c r="G284" s="477"/>
      <c r="H284" s="74"/>
      <c r="I284" s="560"/>
      <c r="J284" s="547"/>
      <c r="K284" s="550"/>
    </row>
    <row r="285" spans="1:12">
      <c r="A285" s="157"/>
      <c r="B285" s="662"/>
      <c r="C285" s="3457"/>
      <c r="D285" s="1007"/>
      <c r="E285" s="84"/>
      <c r="F285" s="856"/>
      <c r="G285" s="1143"/>
      <c r="H285" s="431"/>
      <c r="I285" s="881"/>
      <c r="J285" s="365"/>
      <c r="K285" s="527"/>
    </row>
    <row r="286" spans="1:12">
      <c r="A286" s="157"/>
      <c r="B286" s="770"/>
      <c r="C286" s="515"/>
      <c r="D286" s="196"/>
      <c r="E286" s="142"/>
      <c r="F286" s="381"/>
      <c r="G286" s="477"/>
      <c r="H286" s="74"/>
      <c r="I286" s="431"/>
      <c r="J286" s="586"/>
      <c r="K286" s="526"/>
    </row>
    <row r="287" spans="1:12">
      <c r="A287" s="44"/>
      <c r="B287" s="44"/>
      <c r="C287" s="204"/>
      <c r="D287" s="44"/>
      <c r="E287" s="44"/>
      <c r="F287" s="376"/>
      <c r="G287" s="561"/>
      <c r="H287" s="75"/>
      <c r="I287" s="205"/>
      <c r="J287" s="736"/>
      <c r="L287" s="171"/>
    </row>
    <row r="288" spans="1:12">
      <c r="A288" s="44" t="s">
        <v>0</v>
      </c>
      <c r="B288" s="127"/>
      <c r="C288" s="167"/>
      <c r="F288" s="376"/>
      <c r="L288" s="171"/>
    </row>
    <row r="289" spans="1:13">
      <c r="A289" s="112" t="s">
        <v>4339</v>
      </c>
      <c r="B289" s="112"/>
      <c r="C289" s="204"/>
      <c r="D289" s="109"/>
      <c r="F289" s="376"/>
      <c r="L289" s="171"/>
    </row>
    <row r="290" spans="1:13" ht="35.25" thickBot="1">
      <c r="F290" s="376"/>
      <c r="L290" s="171"/>
      <c r="M290" s="191"/>
    </row>
    <row r="291" spans="1:13">
      <c r="A291" s="3511" t="s">
        <v>2</v>
      </c>
      <c r="B291" s="3512"/>
      <c r="C291" s="580" t="s">
        <v>3</v>
      </c>
      <c r="D291" s="261" t="s">
        <v>4</v>
      </c>
      <c r="E291" s="77" t="s">
        <v>5</v>
      </c>
      <c r="F291" s="758" t="s">
        <v>5</v>
      </c>
      <c r="G291" s="250" t="s">
        <v>6</v>
      </c>
      <c r="H291" s="140" t="s">
        <v>7</v>
      </c>
      <c r="I291" s="592" t="s">
        <v>1511</v>
      </c>
      <c r="J291" s="584" t="s">
        <v>9</v>
      </c>
      <c r="K291" s="346" t="s">
        <v>9</v>
      </c>
      <c r="L291" s="177"/>
      <c r="M291" s="191"/>
    </row>
    <row r="292" spans="1:13" ht="35.25" thickBot="1">
      <c r="A292" s="155"/>
      <c r="B292" s="138"/>
      <c r="C292" s="337"/>
      <c r="D292" s="262" t="s">
        <v>10</v>
      </c>
      <c r="E292" s="79" t="s">
        <v>11</v>
      </c>
      <c r="F292" s="759" t="s">
        <v>12</v>
      </c>
      <c r="G292" s="476"/>
      <c r="H292" s="141" t="s">
        <v>13</v>
      </c>
      <c r="I292" s="593" t="s">
        <v>1512</v>
      </c>
      <c r="J292" s="585" t="s">
        <v>14</v>
      </c>
      <c r="K292" s="347" t="s">
        <v>15</v>
      </c>
      <c r="L292" s="177"/>
      <c r="M292" s="191"/>
    </row>
    <row r="293" spans="1:13" ht="38.25">
      <c r="A293" s="963"/>
      <c r="B293" s="963"/>
      <c r="C293" s="207"/>
      <c r="D293" s="3457"/>
      <c r="E293" s="142"/>
      <c r="F293" s="381"/>
      <c r="G293" s="206"/>
      <c r="H293" s="74"/>
      <c r="I293" s="183"/>
      <c r="J293" s="175"/>
      <c r="K293" s="526"/>
      <c r="L293" s="453"/>
      <c r="M293" s="191"/>
    </row>
    <row r="294" spans="1:13">
      <c r="A294" s="662"/>
      <c r="B294" s="662"/>
      <c r="C294" s="3457"/>
      <c r="D294" s="1007"/>
      <c r="E294" s="84"/>
      <c r="F294" s="856"/>
      <c r="G294" s="1143"/>
      <c r="H294" s="431"/>
      <c r="I294" s="881"/>
      <c r="J294" s="365"/>
      <c r="K294" s="527"/>
      <c r="L294" s="453"/>
      <c r="M294" s="191"/>
    </row>
    <row r="295" spans="1:13">
      <c r="A295" s="398"/>
      <c r="B295" s="43"/>
      <c r="C295" s="101"/>
      <c r="D295" s="322"/>
      <c r="E295" s="843"/>
      <c r="F295" s="853"/>
      <c r="G295" s="477"/>
      <c r="H295" s="74"/>
      <c r="I295" s="560"/>
      <c r="J295" s="547"/>
      <c r="K295" s="550"/>
      <c r="L295" s="453"/>
      <c r="M295" s="191"/>
    </row>
    <row r="296" spans="1:13">
      <c r="A296" s="398"/>
      <c r="B296" s="43"/>
      <c r="C296" s="101"/>
      <c r="D296" s="322"/>
      <c r="E296" s="843"/>
      <c r="F296" s="853"/>
      <c r="G296" s="477"/>
      <c r="H296" s="74"/>
      <c r="I296" s="560"/>
      <c r="J296" s="547"/>
      <c r="K296" s="550"/>
      <c r="L296" s="453"/>
      <c r="M296" s="191"/>
    </row>
    <row r="297" spans="1:13">
      <c r="A297" s="398"/>
      <c r="B297" s="662"/>
      <c r="C297" s="3457"/>
      <c r="D297" s="1007"/>
      <c r="E297" s="84"/>
      <c r="F297" s="856"/>
      <c r="G297" s="2414"/>
      <c r="H297" s="431"/>
      <c r="I297" s="586"/>
      <c r="J297" s="365"/>
      <c r="K297" s="526"/>
      <c r="L297" s="453"/>
      <c r="M297" s="191"/>
    </row>
    <row r="298" spans="1:13">
      <c r="A298" s="315"/>
      <c r="B298" s="662"/>
      <c r="C298" s="3457"/>
      <c r="D298" s="1007"/>
      <c r="E298" s="84"/>
      <c r="F298" s="856"/>
      <c r="G298" s="2414"/>
      <c r="H298" s="431"/>
      <c r="I298" s="586"/>
      <c r="J298" s="365"/>
      <c r="K298" s="526"/>
      <c r="L298" s="1042"/>
      <c r="M298" s="191"/>
    </row>
    <row r="299" spans="1:13">
      <c r="A299" s="157"/>
      <c r="B299" s="43"/>
      <c r="C299" s="3457"/>
      <c r="D299" s="1007"/>
      <c r="E299" s="84"/>
      <c r="F299" s="856"/>
      <c r="G299" s="2414"/>
      <c r="H299" s="431"/>
      <c r="I299" s="586"/>
      <c r="J299" s="365"/>
      <c r="K299" s="526"/>
      <c r="L299" s="1042"/>
      <c r="M299" s="191"/>
    </row>
    <row r="300" spans="1:13">
      <c r="A300" s="157"/>
      <c r="B300" s="662"/>
      <c r="C300" s="3457"/>
      <c r="D300" s="1007"/>
      <c r="E300" s="84"/>
      <c r="F300" s="856"/>
      <c r="G300" s="2414"/>
      <c r="H300" s="431"/>
      <c r="I300" s="586"/>
      <c r="J300" s="365"/>
      <c r="K300" s="526"/>
      <c r="L300" s="453"/>
      <c r="M300" s="191"/>
    </row>
    <row r="301" spans="1:13">
      <c r="A301" s="157"/>
      <c r="B301" s="81"/>
      <c r="C301" s="1144"/>
      <c r="D301" s="1145"/>
      <c r="E301" s="84"/>
      <c r="F301" s="856"/>
      <c r="G301" s="2414"/>
      <c r="H301" s="431"/>
      <c r="I301" s="586"/>
      <c r="J301" s="365"/>
      <c r="K301" s="526"/>
      <c r="L301" s="1042"/>
      <c r="M301" s="191"/>
    </row>
    <row r="302" spans="1:13">
      <c r="A302" s="157"/>
      <c r="B302" s="43"/>
      <c r="C302" s="1144"/>
      <c r="D302" s="1145"/>
      <c r="E302" s="84"/>
      <c r="F302" s="856"/>
      <c r="G302" s="2414"/>
      <c r="H302" s="431"/>
      <c r="I302" s="586"/>
      <c r="J302" s="365"/>
      <c r="K302" s="526"/>
      <c r="L302" s="1042"/>
      <c r="M302" s="191"/>
    </row>
    <row r="303" spans="1:13">
      <c r="A303" s="976"/>
      <c r="B303" s="43"/>
      <c r="C303" s="3457"/>
      <c r="D303" s="1007"/>
      <c r="E303" s="84"/>
      <c r="F303" s="856"/>
      <c r="G303" s="2414"/>
      <c r="H303" s="431"/>
      <c r="I303" s="586"/>
      <c r="J303" s="365"/>
      <c r="K303" s="526"/>
      <c r="L303" s="1043"/>
      <c r="M303" s="191"/>
    </row>
    <row r="304" spans="1:13">
      <c r="A304" s="958"/>
      <c r="B304" s="406"/>
      <c r="C304" s="3457"/>
      <c r="D304" s="1007"/>
      <c r="E304" s="84"/>
      <c r="F304" s="856"/>
      <c r="G304" s="2414"/>
      <c r="H304" s="431"/>
      <c r="I304" s="586"/>
      <c r="J304" s="365"/>
      <c r="K304" s="526"/>
      <c r="L304" s="453"/>
      <c r="M304" s="191"/>
    </row>
    <row r="305" spans="1:13">
      <c r="A305" s="81"/>
      <c r="B305" s="43"/>
      <c r="C305" s="3457"/>
      <c r="D305" s="1007"/>
      <c r="E305" s="84"/>
      <c r="F305" s="856"/>
      <c r="G305" s="2414"/>
      <c r="H305" s="431"/>
      <c r="I305" s="586"/>
      <c r="J305" s="365"/>
      <c r="K305" s="526"/>
      <c r="L305" s="1042"/>
      <c r="M305" s="191"/>
    </row>
    <row r="306" spans="1:13">
      <c r="A306" s="157"/>
      <c r="B306" s="1150"/>
      <c r="C306" s="3457"/>
      <c r="D306" s="1007"/>
      <c r="E306" s="84"/>
      <c r="F306" s="856"/>
      <c r="G306" s="2414"/>
      <c r="H306" s="431"/>
      <c r="I306" s="586"/>
      <c r="J306" s="365"/>
      <c r="K306" s="526"/>
      <c r="L306" s="1043"/>
      <c r="M306" s="191"/>
    </row>
    <row r="307" spans="1:13" ht="35.25" thickBot="1">
      <c r="A307" s="157"/>
      <c r="B307" s="1922"/>
      <c r="C307" s="1913"/>
      <c r="D307" s="1933"/>
      <c r="E307" s="1934"/>
      <c r="F307" s="1935"/>
      <c r="G307" s="1936"/>
      <c r="H307" s="1915"/>
      <c r="I307" s="1937"/>
      <c r="J307" s="1938"/>
      <c r="K307" s="1939"/>
      <c r="L307" s="366"/>
      <c r="M307" s="191"/>
    </row>
    <row r="308" spans="1:13" ht="35.25" thickTop="1">
      <c r="A308" s="976"/>
      <c r="B308" s="1150"/>
      <c r="C308" s="1144"/>
      <c r="D308" s="1007"/>
      <c r="E308" s="1931"/>
      <c r="F308" s="1932"/>
      <c r="G308" s="1714"/>
      <c r="H308" s="82"/>
      <c r="I308" s="432"/>
      <c r="J308" s="702"/>
      <c r="K308" s="1148"/>
      <c r="L308" s="366"/>
      <c r="M308" s="191"/>
    </row>
    <row r="309" spans="1:13">
      <c r="A309" s="158"/>
      <c r="B309" s="788"/>
      <c r="C309" s="3457"/>
      <c r="D309" s="1007"/>
      <c r="E309" s="1931"/>
      <c r="F309" s="1932"/>
      <c r="G309" s="1072"/>
      <c r="H309" s="82"/>
      <c r="I309" s="432"/>
      <c r="J309" s="702"/>
      <c r="K309" s="1148"/>
      <c r="L309" s="1043"/>
      <c r="M309" s="191"/>
    </row>
    <row r="310" spans="1:13" ht="35.25" thickBot="1">
      <c r="A310" s="200"/>
      <c r="B310" s="1922"/>
      <c r="C310" s="1913"/>
      <c r="D310" s="1007"/>
      <c r="E310" s="1934"/>
      <c r="F310" s="1935"/>
      <c r="G310" s="2420"/>
      <c r="H310" s="82"/>
      <c r="I310" s="432"/>
      <c r="J310" s="702"/>
      <c r="K310" s="1148"/>
      <c r="L310" s="1043"/>
      <c r="M310" s="191"/>
    </row>
    <row r="311" spans="1:13" ht="35.25" thickTop="1">
      <c r="A311" s="389"/>
      <c r="B311" s="770"/>
      <c r="C311" s="1144"/>
      <c r="D311" s="1145"/>
      <c r="E311" s="1931"/>
      <c r="F311" s="1932"/>
      <c r="G311" s="1072"/>
      <c r="H311" s="82"/>
      <c r="I311" s="432"/>
      <c r="J311" s="370"/>
      <c r="K311" s="369"/>
      <c r="L311" s="427"/>
      <c r="M311" s="191"/>
    </row>
    <row r="312" spans="1:13">
      <c r="A312" s="315"/>
      <c r="B312" s="81"/>
      <c r="C312" s="3457"/>
      <c r="D312" s="1007"/>
      <c r="E312" s="84"/>
      <c r="F312" s="856"/>
      <c r="G312" s="477"/>
      <c r="H312" s="74"/>
      <c r="I312" s="431"/>
      <c r="J312" s="734"/>
      <c r="K312" s="365"/>
      <c r="L312" s="427"/>
      <c r="M312" s="191"/>
    </row>
    <row r="313" spans="1:13">
      <c r="A313" s="157"/>
      <c r="B313" s="81"/>
      <c r="C313" s="3457"/>
      <c r="D313" s="1007"/>
      <c r="E313" s="84"/>
      <c r="F313" s="856"/>
      <c r="G313" s="477"/>
      <c r="H313" s="74"/>
      <c r="I313" s="431"/>
      <c r="J313" s="734"/>
      <c r="K313" s="365"/>
      <c r="L313" s="1043"/>
      <c r="M313" s="191"/>
    </row>
    <row r="314" spans="1:13" ht="35.25" thickBot="1">
      <c r="A314" s="157"/>
      <c r="B314" s="1905"/>
      <c r="C314" s="1913"/>
      <c r="D314" s="1933"/>
      <c r="E314" s="1934"/>
      <c r="F314" s="1935"/>
      <c r="G314" s="1908"/>
      <c r="H314" s="1909"/>
      <c r="I314" s="1915"/>
      <c r="J314" s="3660"/>
      <c r="K314" s="1938"/>
      <c r="L314" s="171"/>
      <c r="M314" s="191"/>
    </row>
    <row r="315" spans="1:13" ht="35.25" thickTop="1">
      <c r="A315" s="157"/>
      <c r="B315" s="43"/>
      <c r="C315" s="1144"/>
      <c r="D315" s="1145"/>
      <c r="E315" s="1931"/>
      <c r="F315" s="1932"/>
      <c r="G315" s="1072"/>
      <c r="H315" s="82"/>
      <c r="I315" s="432"/>
      <c r="J315" s="370"/>
      <c r="K315" s="369"/>
      <c r="L315" s="171"/>
      <c r="M315" s="191"/>
    </row>
    <row r="316" spans="1:13">
      <c r="A316" s="157"/>
      <c r="B316" s="43"/>
      <c r="C316" s="1144"/>
      <c r="D316" s="1145"/>
      <c r="E316" s="1931"/>
      <c r="F316" s="1932"/>
      <c r="G316" s="1072"/>
      <c r="H316" s="82"/>
      <c r="I316" s="432"/>
      <c r="J316" s="370"/>
      <c r="K316" s="369"/>
      <c r="L316" s="380"/>
      <c r="M316" s="191"/>
    </row>
    <row r="317" spans="1:13">
      <c r="A317" s="156"/>
      <c r="B317" s="81"/>
      <c r="C317" s="3457"/>
      <c r="D317" s="1007"/>
      <c r="E317" s="84"/>
      <c r="F317" s="856"/>
      <c r="G317" s="477"/>
      <c r="H317" s="74"/>
      <c r="I317" s="432"/>
      <c r="J317" s="734"/>
      <c r="K317" s="365"/>
      <c r="L317" s="380"/>
      <c r="M317" s="191"/>
    </row>
    <row r="318" spans="1:13">
      <c r="A318" s="156"/>
      <c r="B318" s="81"/>
      <c r="C318" s="3457"/>
      <c r="D318" s="1007"/>
      <c r="E318" s="84"/>
      <c r="F318" s="856"/>
      <c r="G318" s="477"/>
      <c r="H318" s="74"/>
      <c r="I318" s="432"/>
      <c r="J318" s="734"/>
      <c r="K318" s="365"/>
      <c r="L318" s="380"/>
      <c r="M318" s="191"/>
    </row>
    <row r="319" spans="1:13">
      <c r="A319" s="157"/>
      <c r="B319" s="770"/>
      <c r="C319" s="1144"/>
      <c r="D319" s="1145"/>
      <c r="E319" s="1931"/>
      <c r="F319" s="1932"/>
      <c r="G319" s="1072"/>
      <c r="H319" s="82"/>
      <c r="I319" s="432"/>
      <c r="J319" s="82"/>
      <c r="K319" s="369"/>
      <c r="L319" s="380"/>
      <c r="M319" s="191"/>
    </row>
    <row r="320" spans="1:13">
      <c r="A320" s="157"/>
      <c r="B320" s="770"/>
      <c r="C320" s="1144"/>
      <c r="D320" s="1145"/>
      <c r="E320" s="1931"/>
      <c r="F320" s="1932"/>
      <c r="G320" s="1072"/>
      <c r="H320" s="82"/>
      <c r="I320" s="432"/>
      <c r="J320" s="82"/>
      <c r="K320" s="369"/>
      <c r="L320" s="380"/>
      <c r="M320" s="191"/>
    </row>
    <row r="321" spans="1:13">
      <c r="A321" s="157"/>
      <c r="B321" s="770"/>
      <c r="C321" s="1144"/>
      <c r="D321" s="1145"/>
      <c r="E321" s="1931"/>
      <c r="F321" s="1932"/>
      <c r="G321" s="1072"/>
      <c r="H321" s="82"/>
      <c r="I321" s="432"/>
      <c r="J321" s="82"/>
      <c r="K321" s="369"/>
      <c r="L321" s="171"/>
      <c r="M321" s="191"/>
    </row>
    <row r="322" spans="1:13">
      <c r="A322" s="157"/>
      <c r="B322" s="770"/>
      <c r="C322" s="1144"/>
      <c r="D322" s="1145"/>
      <c r="E322" s="1931"/>
      <c r="F322" s="1932"/>
      <c r="G322" s="1072"/>
      <c r="H322" s="82"/>
      <c r="I322" s="432"/>
      <c r="J322" s="82"/>
      <c r="K322" s="369"/>
      <c r="L322" s="171"/>
      <c r="M322" s="191"/>
    </row>
    <row r="323" spans="1:13">
      <c r="A323" s="44"/>
      <c r="B323" s="44"/>
      <c r="C323" s="204"/>
      <c r="D323" s="44"/>
      <c r="E323" s="44"/>
      <c r="F323" s="376"/>
      <c r="G323" s="561"/>
      <c r="H323" s="75"/>
      <c r="I323" s="205"/>
      <c r="J323" s="736"/>
    </row>
    <row r="324" spans="1:13">
      <c r="A324" s="44" t="s">
        <v>0</v>
      </c>
      <c r="B324" s="127"/>
      <c r="C324" s="167"/>
      <c r="F324" s="376"/>
    </row>
    <row r="325" spans="1:13">
      <c r="A325" s="112" t="s">
        <v>4339</v>
      </c>
      <c r="B325" s="112"/>
      <c r="C325" s="204"/>
      <c r="D325" s="109"/>
      <c r="F325" s="376"/>
    </row>
    <row r="326" spans="1:13" ht="35.25" thickBot="1">
      <c r="F326" s="376"/>
    </row>
    <row r="327" spans="1:13">
      <c r="A327" s="3511" t="s">
        <v>2</v>
      </c>
      <c r="B327" s="3512"/>
      <c r="C327" s="580" t="s">
        <v>3</v>
      </c>
      <c r="D327" s="261" t="s">
        <v>4</v>
      </c>
      <c r="E327" s="77" t="s">
        <v>5</v>
      </c>
      <c r="F327" s="758" t="s">
        <v>5</v>
      </c>
      <c r="G327" s="250" t="s">
        <v>6</v>
      </c>
      <c r="H327" s="140" t="s">
        <v>7</v>
      </c>
      <c r="I327" s="592" t="s">
        <v>1511</v>
      </c>
      <c r="J327" s="3716" t="s">
        <v>9</v>
      </c>
      <c r="K327" s="3702" t="s">
        <v>9</v>
      </c>
    </row>
    <row r="328" spans="1:13" ht="35.25" thickBot="1">
      <c r="A328" s="155"/>
      <c r="B328" s="138"/>
      <c r="C328" s="337"/>
      <c r="D328" s="262" t="s">
        <v>10</v>
      </c>
      <c r="E328" s="79" t="s">
        <v>11</v>
      </c>
      <c r="F328" s="759" t="s">
        <v>12</v>
      </c>
      <c r="G328" s="476"/>
      <c r="H328" s="141" t="s">
        <v>13</v>
      </c>
      <c r="I328" s="593" t="s">
        <v>1512</v>
      </c>
      <c r="J328" s="3717" t="s">
        <v>14</v>
      </c>
      <c r="K328" s="3703" t="s">
        <v>15</v>
      </c>
    </row>
    <row r="329" spans="1:13">
      <c r="A329" s="3447"/>
      <c r="B329" s="2535" t="s">
        <v>1105</v>
      </c>
      <c r="C329" s="2536"/>
      <c r="D329" s="339"/>
      <c r="E329" s="2537"/>
      <c r="F329" s="2538"/>
      <c r="G329" s="310"/>
      <c r="H329" s="130"/>
      <c r="I329" s="431"/>
      <c r="J329" s="3718"/>
      <c r="K329" s="2539"/>
    </row>
    <row r="330" spans="1:13">
      <c r="A330" s="196"/>
      <c r="B330" s="233" t="s">
        <v>1106</v>
      </c>
      <c r="C330" s="130" t="s">
        <v>192</v>
      </c>
      <c r="D330" s="130" t="s">
        <v>1051</v>
      </c>
      <c r="E330" s="3719">
        <v>24</v>
      </c>
      <c r="F330" s="3720" t="s">
        <v>1107</v>
      </c>
      <c r="G330" s="3721" t="s">
        <v>1108</v>
      </c>
      <c r="H330" s="3722">
        <v>510.7</v>
      </c>
      <c r="I330" s="3723"/>
      <c r="J330" s="2540">
        <v>546.45000000000005</v>
      </c>
      <c r="K330" s="2540">
        <v>21.85</v>
      </c>
    </row>
    <row r="331" spans="1:13">
      <c r="A331" s="330"/>
      <c r="B331" s="233" t="s">
        <v>1109</v>
      </c>
      <c r="C331" s="130" t="s">
        <v>192</v>
      </c>
      <c r="D331" s="130" t="s">
        <v>1051</v>
      </c>
      <c r="E331" s="3719">
        <v>25</v>
      </c>
      <c r="F331" s="3720" t="s">
        <v>1107</v>
      </c>
      <c r="G331" s="3724" t="s">
        <v>110</v>
      </c>
      <c r="H331" s="3722">
        <v>556.86</v>
      </c>
      <c r="I331" s="3723"/>
      <c r="J331" s="2540">
        <v>595.84</v>
      </c>
      <c r="K331" s="2540">
        <v>23.83</v>
      </c>
    </row>
    <row r="332" spans="1:13">
      <c r="A332" s="330"/>
      <c r="B332" s="233" t="s">
        <v>1110</v>
      </c>
      <c r="C332" s="130" t="s">
        <v>192</v>
      </c>
      <c r="D332" s="130" t="s">
        <v>1111</v>
      </c>
      <c r="E332" s="3719">
        <v>24</v>
      </c>
      <c r="F332" s="3720" t="s">
        <v>1107</v>
      </c>
      <c r="G332" s="3721" t="s">
        <v>1112</v>
      </c>
      <c r="H332" s="3722">
        <v>510.7</v>
      </c>
      <c r="I332" s="3723"/>
      <c r="J332" s="2540">
        <v>550</v>
      </c>
      <c r="K332" s="2540">
        <v>22</v>
      </c>
    </row>
    <row r="333" spans="1:13">
      <c r="A333" s="196"/>
      <c r="B333" s="233" t="s">
        <v>1113</v>
      </c>
      <c r="C333" s="126"/>
      <c r="D333" s="462" t="s">
        <v>957</v>
      </c>
      <c r="E333" s="2541">
        <v>19</v>
      </c>
      <c r="F333" s="2542"/>
      <c r="G333" s="248" t="s">
        <v>1114</v>
      </c>
      <c r="H333" s="130">
        <v>607.48</v>
      </c>
      <c r="I333" s="2543"/>
      <c r="J333" s="2544">
        <v>650</v>
      </c>
      <c r="K333" s="2545">
        <v>16.25</v>
      </c>
    </row>
    <row r="334" spans="1:13">
      <c r="A334" s="254"/>
      <c r="B334" s="233" t="s">
        <v>1115</v>
      </c>
      <c r="C334" s="3725"/>
      <c r="D334" s="3610" t="s">
        <v>390</v>
      </c>
      <c r="E334" s="3726"/>
      <c r="F334" s="3727"/>
      <c r="G334" s="3721"/>
      <c r="H334" s="3722"/>
      <c r="I334" s="3723"/>
      <c r="J334" s="2540" t="s">
        <v>1116</v>
      </c>
      <c r="K334" s="2540" t="s">
        <v>1117</v>
      </c>
    </row>
    <row r="335" spans="1:13">
      <c r="A335" s="3447"/>
      <c r="B335" s="2535" t="s">
        <v>1049</v>
      </c>
      <c r="C335" s="2536"/>
      <c r="D335" s="339"/>
      <c r="E335" s="2537"/>
      <c r="F335" s="2538"/>
      <c r="G335" s="310"/>
      <c r="H335" s="130"/>
      <c r="I335" s="431"/>
      <c r="J335" s="3718"/>
      <c r="K335" s="2539"/>
    </row>
    <row r="336" spans="1:13">
      <c r="A336" s="196"/>
      <c r="B336" s="233" t="s">
        <v>4469</v>
      </c>
      <c r="C336" s="130" t="s">
        <v>192</v>
      </c>
      <c r="D336" s="130" t="s">
        <v>1051</v>
      </c>
      <c r="E336" s="2537"/>
      <c r="F336" s="2538"/>
      <c r="G336" s="310" t="s">
        <v>4470</v>
      </c>
      <c r="H336" s="130">
        <v>522</v>
      </c>
      <c r="I336" s="431"/>
      <c r="J336" s="3728">
        <v>558.54</v>
      </c>
      <c r="K336" s="3728">
        <v>22.34</v>
      </c>
    </row>
    <row r="337" spans="1:11">
      <c r="A337" s="254"/>
      <c r="B337" s="161"/>
      <c r="C337" s="824"/>
      <c r="D337" s="3469"/>
      <c r="E337" s="2546"/>
      <c r="F337" s="532"/>
      <c r="G337" s="312"/>
      <c r="H337" s="824"/>
      <c r="I337" s="505"/>
      <c r="J337" s="3718"/>
      <c r="K337" s="2547"/>
    </row>
    <row r="338" spans="1:11">
      <c r="A338" s="254"/>
      <c r="B338" s="2535" t="s">
        <v>1118</v>
      </c>
      <c r="C338" s="2536"/>
      <c r="D338" s="3469"/>
      <c r="E338" s="2546"/>
      <c r="F338" s="532"/>
      <c r="G338" s="312"/>
      <c r="H338" s="824"/>
      <c r="I338" s="505"/>
      <c r="J338" s="3718"/>
      <c r="K338" s="2547"/>
    </row>
    <row r="339" spans="1:11">
      <c r="A339" s="3462"/>
      <c r="B339" s="161" t="s">
        <v>1068</v>
      </c>
      <c r="C339" s="130" t="s">
        <v>1119</v>
      </c>
      <c r="D339" s="339" t="s">
        <v>1120</v>
      </c>
      <c r="E339" s="2537"/>
      <c r="F339" s="2538"/>
      <c r="G339" s="310" t="s">
        <v>1121</v>
      </c>
      <c r="H339" s="130" t="s">
        <v>1122</v>
      </c>
      <c r="I339" s="431"/>
      <c r="J339" s="3728" t="s">
        <v>1123</v>
      </c>
      <c r="K339" s="3729" t="s">
        <v>1124</v>
      </c>
    </row>
    <row r="340" spans="1:11">
      <c r="A340" s="3696"/>
      <c r="B340" s="161"/>
      <c r="C340" s="824"/>
      <c r="D340" s="3469"/>
      <c r="E340" s="2548"/>
      <c r="F340" s="2549"/>
      <c r="G340" s="312"/>
      <c r="H340" s="824"/>
      <c r="I340" s="505"/>
      <c r="J340" s="3718"/>
      <c r="K340" s="2547"/>
    </row>
    <row r="341" spans="1:11">
      <c r="A341" s="330"/>
      <c r="B341" s="3468"/>
      <c r="C341" s="824"/>
      <c r="D341" s="531"/>
      <c r="E341" s="2548"/>
      <c r="F341" s="2549"/>
      <c r="G341" s="312"/>
      <c r="H341" s="928"/>
      <c r="I341" s="3469"/>
      <c r="J341" s="3718"/>
      <c r="K341" s="3730"/>
    </row>
    <row r="342" spans="1:11">
      <c r="A342" s="3462"/>
      <c r="B342" s="3731" t="s">
        <v>4471</v>
      </c>
      <c r="C342" s="3732" t="s">
        <v>4472</v>
      </c>
      <c r="D342" s="3733"/>
      <c r="E342" s="2548"/>
      <c r="F342" s="2549"/>
      <c r="G342" s="310"/>
      <c r="H342" s="130"/>
      <c r="I342" s="431"/>
      <c r="J342" s="3718"/>
      <c r="K342" s="2539"/>
    </row>
    <row r="343" spans="1:11">
      <c r="A343" s="3462"/>
      <c r="B343" s="2282" t="s">
        <v>1029</v>
      </c>
      <c r="C343" s="824" t="s">
        <v>192</v>
      </c>
      <c r="D343" s="3469" t="s">
        <v>309</v>
      </c>
      <c r="E343" s="2548" t="s">
        <v>1030</v>
      </c>
      <c r="F343" s="2549" t="s">
        <v>1031</v>
      </c>
      <c r="G343" s="312" t="s">
        <v>1032</v>
      </c>
      <c r="H343" s="824">
        <v>275</v>
      </c>
      <c r="I343" s="553" t="s">
        <v>1033</v>
      </c>
      <c r="J343" s="3718">
        <v>282</v>
      </c>
      <c r="K343" s="3730">
        <v>28.2</v>
      </c>
    </row>
    <row r="344" spans="1:11">
      <c r="A344" s="3462"/>
      <c r="B344" s="2282" t="s">
        <v>1029</v>
      </c>
      <c r="C344" s="824" t="s">
        <v>1034</v>
      </c>
      <c r="D344" s="3469" t="s">
        <v>317</v>
      </c>
      <c r="E344" s="2548" t="s">
        <v>1035</v>
      </c>
      <c r="F344" s="2549" t="s">
        <v>1036</v>
      </c>
      <c r="G344" s="312" t="s">
        <v>1037</v>
      </c>
      <c r="H344" s="824">
        <v>285</v>
      </c>
      <c r="I344" s="553" t="s">
        <v>1033</v>
      </c>
      <c r="J344" s="3718">
        <v>292</v>
      </c>
      <c r="K344" s="3730">
        <v>29.2</v>
      </c>
    </row>
    <row r="345" spans="1:11">
      <c r="A345" s="3462"/>
      <c r="B345" s="2550"/>
      <c r="C345" s="824"/>
      <c r="D345" s="3469"/>
      <c r="E345" s="2548"/>
      <c r="F345" s="2549"/>
      <c r="G345" s="312"/>
      <c r="H345" s="928"/>
      <c r="I345" s="3469"/>
      <c r="J345" s="3718"/>
      <c r="K345" s="3730"/>
    </row>
    <row r="346" spans="1:11">
      <c r="A346" s="2465"/>
      <c r="B346" s="3448" t="s">
        <v>1038</v>
      </c>
      <c r="C346" s="3530" t="s">
        <v>1039</v>
      </c>
      <c r="D346" s="3531"/>
      <c r="E346" s="2548"/>
      <c r="F346" s="2549"/>
      <c r="G346" s="312"/>
      <c r="H346" s="928"/>
      <c r="I346" s="3469"/>
      <c r="J346" s="3718"/>
      <c r="K346" s="3730"/>
    </row>
    <row r="347" spans="1:11">
      <c r="A347" s="254"/>
      <c r="B347" s="2550" t="s">
        <v>1021</v>
      </c>
      <c r="C347" s="824" t="s">
        <v>192</v>
      </c>
      <c r="D347" s="339" t="s">
        <v>309</v>
      </c>
      <c r="E347" s="2548">
        <v>32</v>
      </c>
      <c r="F347" s="2549">
        <v>300</v>
      </c>
      <c r="G347" s="312" t="s">
        <v>1022</v>
      </c>
      <c r="H347" s="928">
        <v>280</v>
      </c>
      <c r="I347" s="752" t="s">
        <v>1023</v>
      </c>
      <c r="J347" s="3718">
        <v>284.5</v>
      </c>
      <c r="K347" s="3730">
        <v>28.5</v>
      </c>
    </row>
    <row r="348" spans="1:11">
      <c r="A348" s="254"/>
      <c r="B348" s="3471"/>
      <c r="C348" s="928"/>
      <c r="D348" s="462"/>
      <c r="E348" s="2548"/>
      <c r="F348" s="2549"/>
      <c r="G348" s="310"/>
      <c r="H348" s="105"/>
      <c r="I348" s="431"/>
      <c r="J348" s="3728"/>
      <c r="K348" s="3729"/>
    </row>
    <row r="349" spans="1:11">
      <c r="A349" s="3462"/>
      <c r="B349" s="2535" t="s">
        <v>1024</v>
      </c>
      <c r="C349" s="928"/>
      <c r="D349" s="462"/>
      <c r="E349" s="2548"/>
      <c r="F349" s="2549"/>
      <c r="G349" s="310"/>
      <c r="H349" s="105"/>
      <c r="I349" s="431"/>
      <c r="J349" s="3728"/>
      <c r="K349" s="3729"/>
    </row>
    <row r="350" spans="1:11">
      <c r="A350" s="254"/>
      <c r="B350" s="2550" t="s">
        <v>1025</v>
      </c>
      <c r="C350" s="928" t="s">
        <v>565</v>
      </c>
      <c r="D350" s="531" t="s">
        <v>309</v>
      </c>
      <c r="E350" s="2548">
        <v>32</v>
      </c>
      <c r="F350" s="2549">
        <v>300</v>
      </c>
      <c r="G350" s="312" t="s">
        <v>1026</v>
      </c>
      <c r="H350" s="928"/>
      <c r="I350" s="505"/>
      <c r="J350" s="3718">
        <v>275</v>
      </c>
      <c r="K350" s="3730">
        <v>27.5</v>
      </c>
    </row>
    <row r="351" spans="1:11">
      <c r="A351" s="2551"/>
      <c r="B351" s="2550" t="s">
        <v>1027</v>
      </c>
      <c r="C351" s="928" t="s">
        <v>565</v>
      </c>
      <c r="D351" s="531" t="s">
        <v>309</v>
      </c>
      <c r="E351" s="2548">
        <v>32</v>
      </c>
      <c r="F351" s="2549">
        <v>300</v>
      </c>
      <c r="G351" s="312" t="s">
        <v>1026</v>
      </c>
      <c r="H351" s="928"/>
      <c r="I351" s="505"/>
      <c r="J351" s="3718">
        <v>275</v>
      </c>
      <c r="K351" s="3730">
        <v>27.5</v>
      </c>
    </row>
    <row r="352" spans="1:11">
      <c r="A352" s="2551"/>
      <c r="B352" s="2550"/>
      <c r="C352" s="2552"/>
      <c r="D352" s="196"/>
      <c r="E352" s="2548"/>
      <c r="F352" s="2549"/>
      <c r="G352" s="310"/>
      <c r="H352" s="105"/>
      <c r="I352" s="431"/>
      <c r="J352" s="3734"/>
      <c r="K352" s="3729"/>
    </row>
    <row r="353" spans="1:11">
      <c r="A353" s="2553"/>
      <c r="B353" s="2535" t="s">
        <v>1040</v>
      </c>
      <c r="C353" s="2552"/>
      <c r="D353" s="196"/>
      <c r="E353" s="2548"/>
      <c r="F353" s="2549"/>
      <c r="G353" s="310"/>
      <c r="H353" s="105"/>
      <c r="I353" s="431"/>
      <c r="J353" s="3734"/>
      <c r="K353" s="3729"/>
    </row>
    <row r="354" spans="1:11">
      <c r="A354" s="2553"/>
      <c r="B354" s="551" t="s">
        <v>1041</v>
      </c>
      <c r="C354" s="2552" t="s">
        <v>284</v>
      </c>
      <c r="D354" s="339" t="s">
        <v>1042</v>
      </c>
      <c r="E354" s="2548" t="s">
        <v>1043</v>
      </c>
      <c r="F354" s="2554" t="s">
        <v>1044</v>
      </c>
      <c r="G354" s="310" t="s">
        <v>1045</v>
      </c>
      <c r="H354" s="105">
        <v>1125</v>
      </c>
      <c r="I354" s="431" t="s">
        <v>1046</v>
      </c>
      <c r="J354" s="3734" t="s">
        <v>1047</v>
      </c>
      <c r="K354" s="3729" t="s">
        <v>1048</v>
      </c>
    </row>
    <row r="355" spans="1:11">
      <c r="A355" s="156"/>
      <c r="B355" s="406"/>
      <c r="C355" s="224"/>
      <c r="D355" s="1506"/>
      <c r="E355" s="2422"/>
      <c r="F355" s="2423"/>
      <c r="G355" s="2424"/>
      <c r="H355" s="3735"/>
      <c r="I355" s="2425"/>
      <c r="J355" s="3736"/>
      <c r="K355" s="2426"/>
    </row>
    <row r="356" spans="1:11">
      <c r="A356" s="156"/>
      <c r="B356" s="958"/>
      <c r="C356" s="320"/>
      <c r="D356" s="321"/>
      <c r="E356" s="142"/>
      <c r="F356" s="381"/>
      <c r="G356" s="478"/>
      <c r="H356" s="224"/>
      <c r="I356" s="505"/>
      <c r="J356" s="3046"/>
      <c r="K356" s="3687"/>
    </row>
    <row r="357" spans="1:11">
      <c r="A357" s="157"/>
      <c r="B357" s="770"/>
      <c r="C357" s="341"/>
      <c r="D357" s="321"/>
      <c r="E357" s="142"/>
      <c r="F357" s="381"/>
      <c r="G357" s="478"/>
      <c r="H357" s="974"/>
      <c r="I357" s="505"/>
      <c r="J357" s="3046"/>
      <c r="K357" s="3685"/>
    </row>
    <row r="358" spans="1:11">
      <c r="A358" s="157"/>
      <c r="B358" s="770"/>
      <c r="C358" s="515"/>
      <c r="D358" s="196"/>
      <c r="E358" s="142"/>
      <c r="F358" s="381"/>
      <c r="G358" s="477"/>
      <c r="H358" s="74"/>
      <c r="I358" s="431"/>
      <c r="J358" s="3670"/>
      <c r="K358" s="3667"/>
    </row>
    <row r="359" spans="1:11">
      <c r="A359" s="44"/>
      <c r="B359" s="44"/>
      <c r="C359" s="204"/>
      <c r="D359" s="44"/>
      <c r="E359" s="44"/>
      <c r="F359" s="376"/>
      <c r="G359" s="561"/>
      <c r="H359" s="75"/>
      <c r="I359" s="205"/>
      <c r="J359" s="736"/>
    </row>
    <row r="360" spans="1:11">
      <c r="A360" s="44" t="s">
        <v>0</v>
      </c>
      <c r="B360" s="127"/>
      <c r="C360" s="167"/>
      <c r="F360" s="376"/>
    </row>
    <row r="361" spans="1:11">
      <c r="A361" s="112" t="s">
        <v>4339</v>
      </c>
      <c r="B361" s="112"/>
      <c r="C361" s="204"/>
      <c r="D361" s="109"/>
      <c r="F361" s="376"/>
    </row>
    <row r="362" spans="1:11" ht="35.25" thickBot="1">
      <c r="F362" s="376"/>
    </row>
    <row r="363" spans="1:11">
      <c r="A363" s="3511" t="s">
        <v>2</v>
      </c>
      <c r="B363" s="3512"/>
      <c r="C363" s="580" t="s">
        <v>3</v>
      </c>
      <c r="D363" s="261" t="s">
        <v>4</v>
      </c>
      <c r="E363" s="77" t="s">
        <v>5</v>
      </c>
      <c r="F363" s="758" t="s">
        <v>5</v>
      </c>
      <c r="G363" s="250" t="s">
        <v>6</v>
      </c>
      <c r="H363" s="140" t="s">
        <v>7</v>
      </c>
      <c r="I363" s="592" t="s">
        <v>1511</v>
      </c>
      <c r="J363" s="584" t="s">
        <v>9</v>
      </c>
      <c r="K363" s="346" t="s">
        <v>9</v>
      </c>
    </row>
    <row r="364" spans="1:11" ht="35.25" thickBot="1">
      <c r="A364" s="155"/>
      <c r="B364" s="138"/>
      <c r="C364" s="337"/>
      <c r="D364" s="262" t="s">
        <v>10</v>
      </c>
      <c r="E364" s="79" t="s">
        <v>11</v>
      </c>
      <c r="F364" s="759" t="s">
        <v>12</v>
      </c>
      <c r="G364" s="476"/>
      <c r="H364" s="141" t="s">
        <v>13</v>
      </c>
      <c r="I364" s="593" t="s">
        <v>1512</v>
      </c>
      <c r="J364" s="585" t="s">
        <v>14</v>
      </c>
      <c r="K364" s="347" t="s">
        <v>15</v>
      </c>
    </row>
    <row r="365" spans="1:11">
      <c r="A365" s="995"/>
      <c r="B365" s="3697" t="s">
        <v>2556</v>
      </c>
      <c r="C365" s="3698"/>
      <c r="D365" s="322"/>
      <c r="E365" s="728"/>
      <c r="F365" s="767"/>
      <c r="G365" s="310"/>
      <c r="H365" s="207"/>
      <c r="I365" s="431"/>
      <c r="J365" s="604"/>
      <c r="K365" s="394"/>
    </row>
    <row r="366" spans="1:11">
      <c r="A366" s="315"/>
      <c r="B366" s="1000" t="s">
        <v>4473</v>
      </c>
      <c r="C366" s="341" t="s">
        <v>192</v>
      </c>
      <c r="D366" s="413" t="s">
        <v>590</v>
      </c>
      <c r="E366" s="831">
        <v>35</v>
      </c>
      <c r="F366" s="852" t="s">
        <v>4474</v>
      </c>
      <c r="G366" s="2405" t="s">
        <v>4475</v>
      </c>
      <c r="H366" s="341">
        <v>447</v>
      </c>
      <c r="I366" s="553" t="s">
        <v>4476</v>
      </c>
      <c r="J366" s="604">
        <v>438.43</v>
      </c>
      <c r="K366" s="378">
        <v>29.22</v>
      </c>
    </row>
    <row r="367" spans="1:11">
      <c r="A367" s="330"/>
      <c r="B367" s="362" t="s">
        <v>4477</v>
      </c>
      <c r="C367" s="207"/>
      <c r="D367" s="322" t="s">
        <v>40</v>
      </c>
      <c r="E367" s="728">
        <v>165</v>
      </c>
      <c r="F367" s="767"/>
      <c r="G367" s="478" t="s">
        <v>3013</v>
      </c>
      <c r="H367" s="320">
        <v>864</v>
      </c>
      <c r="I367" s="3469"/>
      <c r="J367" s="604">
        <v>903.08</v>
      </c>
      <c r="K367" s="527">
        <v>150.51</v>
      </c>
    </row>
    <row r="368" spans="1:11">
      <c r="A368" s="330"/>
      <c r="B368" s="362" t="s">
        <v>4478</v>
      </c>
      <c r="C368" s="341"/>
      <c r="D368" s="413" t="s">
        <v>40</v>
      </c>
      <c r="E368" s="831">
        <v>165</v>
      </c>
      <c r="F368" s="852"/>
      <c r="G368" s="478" t="s">
        <v>3013</v>
      </c>
      <c r="H368" s="320">
        <v>864</v>
      </c>
      <c r="I368" s="3469"/>
      <c r="J368" s="604">
        <v>903.08</v>
      </c>
      <c r="K368" s="527">
        <v>150.51</v>
      </c>
    </row>
    <row r="369" spans="1:11">
      <c r="A369" s="315"/>
      <c r="B369" s="362" t="s">
        <v>4479</v>
      </c>
      <c r="C369" s="341"/>
      <c r="D369" s="413" t="s">
        <v>40</v>
      </c>
      <c r="E369" s="831">
        <v>165</v>
      </c>
      <c r="F369" s="852"/>
      <c r="G369" s="478" t="s">
        <v>3013</v>
      </c>
      <c r="H369" s="320">
        <v>864</v>
      </c>
      <c r="I369" s="3469"/>
      <c r="J369" s="604">
        <v>903.08</v>
      </c>
      <c r="K369" s="527">
        <v>150.51</v>
      </c>
    </row>
    <row r="370" spans="1:11">
      <c r="A370" s="438"/>
      <c r="B370" s="1009"/>
      <c r="C370" s="207"/>
      <c r="D370" s="322"/>
      <c r="E370" s="728"/>
      <c r="F370" s="767"/>
      <c r="G370" s="478"/>
      <c r="H370" s="320"/>
      <c r="I370" s="3469"/>
      <c r="J370" s="604"/>
      <c r="K370" s="527"/>
    </row>
    <row r="371" spans="1:11">
      <c r="A371" s="995"/>
      <c r="B371" s="459" t="s">
        <v>1706</v>
      </c>
      <c r="C371" s="662" t="s">
        <v>4480</v>
      </c>
      <c r="D371" s="3457"/>
      <c r="E371" s="142"/>
      <c r="F371" s="381"/>
      <c r="G371" s="477"/>
      <c r="H371" s="74"/>
      <c r="I371" s="431"/>
      <c r="J371" s="586"/>
      <c r="K371" s="365"/>
    </row>
    <row r="372" spans="1:11">
      <c r="A372" s="315"/>
      <c r="B372" s="81" t="s">
        <v>4481</v>
      </c>
      <c r="C372" s="101" t="s">
        <v>26</v>
      </c>
      <c r="D372" s="3457" t="s">
        <v>23</v>
      </c>
      <c r="E372" s="142">
        <v>38</v>
      </c>
      <c r="F372" s="763" t="s">
        <v>4482</v>
      </c>
      <c r="G372" s="477" t="s">
        <v>3466</v>
      </c>
      <c r="H372" s="74">
        <v>444</v>
      </c>
      <c r="I372" s="431" t="s">
        <v>4483</v>
      </c>
      <c r="J372" s="586">
        <v>395.01</v>
      </c>
      <c r="K372" s="365">
        <f>J372/12</f>
        <v>32.917499999999997</v>
      </c>
    </row>
    <row r="373" spans="1:11">
      <c r="A373" s="438"/>
      <c r="B373" s="958"/>
      <c r="C373" s="880"/>
      <c r="D373" s="321"/>
      <c r="E373" s="221"/>
      <c r="F373" s="967"/>
      <c r="G373" s="478"/>
      <c r="H373" s="224"/>
      <c r="I373" s="505"/>
      <c r="J373" s="604"/>
      <c r="K373" s="378"/>
    </row>
    <row r="374" spans="1:11">
      <c r="A374" s="438"/>
      <c r="B374" s="996" t="s">
        <v>4484</v>
      </c>
      <c r="C374" s="662"/>
      <c r="D374" s="3457"/>
      <c r="E374" s="142"/>
      <c r="F374" s="381"/>
      <c r="G374" s="477"/>
      <c r="H374" s="74"/>
      <c r="I374" s="431"/>
      <c r="J374" s="586"/>
      <c r="K374" s="365"/>
    </row>
    <row r="375" spans="1:11">
      <c r="A375" s="221"/>
      <c r="B375" s="81" t="s">
        <v>4161</v>
      </c>
      <c r="C375" s="515"/>
      <c r="D375" s="196"/>
      <c r="E375" s="142"/>
      <c r="F375" s="381"/>
      <c r="G375" s="477" t="s">
        <v>1913</v>
      </c>
      <c r="H375" s="74"/>
      <c r="I375" s="431"/>
      <c r="J375" s="590">
        <v>425</v>
      </c>
      <c r="K375" s="526">
        <v>35.409999999999997</v>
      </c>
    </row>
    <row r="376" spans="1:11">
      <c r="A376" s="3696"/>
      <c r="B376" s="81" t="s">
        <v>4163</v>
      </c>
      <c r="C376" s="515"/>
      <c r="D376" s="196"/>
      <c r="E376" s="142"/>
      <c r="F376" s="381"/>
      <c r="G376" s="477" t="s">
        <v>1913</v>
      </c>
      <c r="H376" s="74"/>
      <c r="I376" s="431"/>
      <c r="J376" s="590">
        <v>425</v>
      </c>
      <c r="K376" s="526">
        <v>35.409999999999997</v>
      </c>
    </row>
    <row r="377" spans="1:11">
      <c r="A377" s="330"/>
      <c r="B377" s="81" t="s">
        <v>4162</v>
      </c>
      <c r="C377" s="515"/>
      <c r="D377" s="196"/>
      <c r="E377" s="142"/>
      <c r="F377" s="381"/>
      <c r="G377" s="477" t="s">
        <v>1913</v>
      </c>
      <c r="H377" s="74"/>
      <c r="I377" s="431"/>
      <c r="J377" s="590">
        <v>425</v>
      </c>
      <c r="K377" s="526">
        <v>35.409999999999997</v>
      </c>
    </row>
    <row r="378" spans="1:11">
      <c r="A378" s="221"/>
      <c r="B378" s="406"/>
      <c r="C378" s="224"/>
      <c r="D378" s="1506"/>
      <c r="E378" s="142"/>
      <c r="F378" s="381"/>
      <c r="G378" s="223"/>
      <c r="H378" s="647"/>
      <c r="I378" s="925"/>
      <c r="J378" s="937"/>
      <c r="K378" s="378"/>
    </row>
    <row r="379" spans="1:11">
      <c r="A379" s="221"/>
      <c r="B379" s="996" t="s">
        <v>4485</v>
      </c>
      <c r="C379" s="320"/>
      <c r="D379" s="321"/>
      <c r="E379" s="142"/>
      <c r="F379" s="381"/>
      <c r="G379" s="478"/>
      <c r="H379" s="224"/>
      <c r="I379" s="505"/>
      <c r="J379" s="604"/>
      <c r="K379" s="378"/>
    </row>
    <row r="380" spans="1:11">
      <c r="A380" s="221"/>
      <c r="B380" s="770" t="s">
        <v>4486</v>
      </c>
      <c r="C380" s="341"/>
      <c r="D380" s="321"/>
      <c r="E380" s="142"/>
      <c r="F380" s="381"/>
      <c r="G380" s="478" t="s">
        <v>2484</v>
      </c>
      <c r="H380" s="974"/>
      <c r="I380" s="505"/>
      <c r="J380" s="604" t="s">
        <v>4487</v>
      </c>
      <c r="K380" s="527">
        <v>2.66</v>
      </c>
    </row>
    <row r="381" spans="1:11">
      <c r="A381" s="927"/>
      <c r="B381" s="770" t="s">
        <v>4488</v>
      </c>
      <c r="C381" s="515"/>
      <c r="D381" s="196"/>
      <c r="E381" s="142"/>
      <c r="F381" s="381"/>
      <c r="G381" s="477" t="s">
        <v>2484</v>
      </c>
      <c r="H381" s="74"/>
      <c r="I381" s="431"/>
      <c r="J381" s="586" t="s">
        <v>4489</v>
      </c>
      <c r="K381" s="526">
        <v>3.75</v>
      </c>
    </row>
    <row r="382" spans="1:11">
      <c r="A382" s="970"/>
      <c r="B382" s="406"/>
      <c r="C382" s="966"/>
      <c r="D382" s="3458"/>
      <c r="E382" s="145"/>
      <c r="F382" s="381"/>
      <c r="G382" s="478"/>
      <c r="H382" s="971"/>
      <c r="I382" s="506"/>
      <c r="J382" s="972"/>
      <c r="K382" s="973"/>
    </row>
    <row r="383" spans="1:11">
      <c r="A383" s="438"/>
      <c r="B383" s="958"/>
      <c r="C383" s="880"/>
      <c r="D383" s="3458"/>
      <c r="E383" s="145"/>
      <c r="F383" s="381"/>
      <c r="G383" s="478"/>
      <c r="H383" s="224"/>
      <c r="I383" s="505"/>
      <c r="J383" s="604"/>
      <c r="K383" s="378"/>
    </row>
    <row r="384" spans="1:11">
      <c r="A384" s="438"/>
      <c r="B384" s="996" t="s">
        <v>4490</v>
      </c>
      <c r="C384" s="966"/>
      <c r="D384" s="196"/>
      <c r="E384" s="142"/>
      <c r="F384" s="381"/>
      <c r="G384" s="477"/>
      <c r="H384" s="74"/>
      <c r="I384" s="431"/>
      <c r="J384" s="590"/>
      <c r="K384" s="526"/>
    </row>
    <row r="385" spans="1:11">
      <c r="A385" s="221"/>
      <c r="B385" s="770" t="s">
        <v>4491</v>
      </c>
      <c r="C385" s="966" t="s">
        <v>3941</v>
      </c>
      <c r="D385" s="196" t="s">
        <v>3942</v>
      </c>
      <c r="E385" s="142"/>
      <c r="F385" s="381"/>
      <c r="G385" s="477" t="s">
        <v>4492</v>
      </c>
      <c r="H385" s="74"/>
      <c r="I385" s="431"/>
      <c r="J385" s="590">
        <v>7500</v>
      </c>
      <c r="K385" s="526" t="s">
        <v>4493</v>
      </c>
    </row>
    <row r="386" spans="1:11">
      <c r="A386" s="157"/>
      <c r="B386" s="43"/>
      <c r="C386" s="74"/>
      <c r="D386" s="514"/>
      <c r="E386" s="392"/>
      <c r="F386" s="69"/>
      <c r="G386" s="206"/>
      <c r="H386" s="150"/>
      <c r="I386" s="115"/>
      <c r="J386" s="694"/>
      <c r="K386" s="365"/>
    </row>
    <row r="387" spans="1:11">
      <c r="A387" s="157"/>
      <c r="B387" s="81"/>
      <c r="C387" s="515"/>
      <c r="D387" s="3458"/>
      <c r="E387" s="145"/>
      <c r="F387" s="381"/>
      <c r="G387" s="477"/>
      <c r="H387" s="74"/>
      <c r="I387" s="431"/>
      <c r="J387" s="586"/>
      <c r="K387" s="526"/>
    </row>
    <row r="388" spans="1:11">
      <c r="A388" s="157"/>
      <c r="B388" s="1814" t="s">
        <v>4494</v>
      </c>
      <c r="C388" s="207"/>
      <c r="D388" s="3458"/>
      <c r="E388" s="145"/>
      <c r="F388" s="381"/>
      <c r="G388" s="310"/>
      <c r="H388" s="74"/>
      <c r="I388" s="431"/>
      <c r="J388" s="587"/>
      <c r="K388" s="375"/>
    </row>
    <row r="389" spans="1:11">
      <c r="A389" s="156"/>
      <c r="B389" s="89" t="s">
        <v>4495</v>
      </c>
      <c r="C389" s="207" t="s">
        <v>1809</v>
      </c>
      <c r="D389" s="2207" t="s">
        <v>4496</v>
      </c>
      <c r="E389" s="145"/>
      <c r="F389" s="381"/>
      <c r="G389" s="310" t="s">
        <v>3765</v>
      </c>
      <c r="H389" s="74"/>
      <c r="I389" s="431"/>
      <c r="J389" s="587">
        <v>1000</v>
      </c>
      <c r="K389" s="375" t="s">
        <v>4497</v>
      </c>
    </row>
    <row r="390" spans="1:11">
      <c r="A390" s="156"/>
      <c r="B390" s="89"/>
      <c r="C390" s="207"/>
      <c r="D390" s="196"/>
      <c r="E390" s="142"/>
      <c r="F390" s="381"/>
      <c r="G390" s="477"/>
      <c r="H390" s="74"/>
      <c r="I390" s="431"/>
      <c r="J390" s="587"/>
      <c r="K390" s="375"/>
    </row>
    <row r="391" spans="1:11">
      <c r="A391" s="156"/>
      <c r="B391" s="89"/>
      <c r="C391" s="207"/>
      <c r="D391" s="196"/>
      <c r="E391" s="142"/>
      <c r="F391" s="381"/>
      <c r="G391" s="477"/>
      <c r="H391" s="74"/>
      <c r="I391" s="431"/>
      <c r="J391" s="594"/>
      <c r="K391" s="375"/>
    </row>
    <row r="392" spans="1:11">
      <c r="A392" s="156"/>
      <c r="B392" s="1814" t="s">
        <v>199</v>
      </c>
      <c r="C392" s="207"/>
      <c r="D392" s="3458"/>
      <c r="E392" s="145"/>
      <c r="F392" s="381"/>
      <c r="G392" s="310"/>
      <c r="H392" s="74"/>
      <c r="I392" s="431"/>
      <c r="J392" s="594"/>
      <c r="K392" s="375"/>
    </row>
    <row r="393" spans="1:11">
      <c r="A393" s="157"/>
      <c r="B393" s="139" t="s">
        <v>200</v>
      </c>
      <c r="C393" s="207" t="s">
        <v>201</v>
      </c>
      <c r="D393" s="3458" t="s">
        <v>1169</v>
      </c>
      <c r="E393" s="145"/>
      <c r="F393" s="381"/>
      <c r="G393" s="310" t="s">
        <v>4498</v>
      </c>
      <c r="H393" s="74" t="s">
        <v>4499</v>
      </c>
      <c r="I393" s="2323" t="s">
        <v>4500</v>
      </c>
      <c r="J393" s="3683" t="s">
        <v>4501</v>
      </c>
      <c r="K393" s="3669" t="s">
        <v>4502</v>
      </c>
    </row>
    <row r="394" spans="1:11">
      <c r="A394" s="157"/>
      <c r="B394" s="154"/>
      <c r="C394" s="515"/>
      <c r="D394" s="3458"/>
      <c r="E394" s="145"/>
      <c r="F394" s="381"/>
      <c r="G394" s="310"/>
      <c r="H394" s="74"/>
      <c r="I394" s="431"/>
      <c r="J394" s="586"/>
      <c r="K394" s="526"/>
    </row>
    <row r="395" spans="1:11">
      <c r="A395" s="44"/>
      <c r="B395" s="44"/>
      <c r="C395" s="204"/>
      <c r="D395" s="44"/>
      <c r="E395" s="44"/>
      <c r="F395" s="376"/>
      <c r="G395" s="561"/>
      <c r="H395" s="75"/>
      <c r="I395" s="205"/>
      <c r="J395" s="736"/>
    </row>
    <row r="396" spans="1:11">
      <c r="A396" s="44" t="s">
        <v>0</v>
      </c>
      <c r="B396" s="127"/>
      <c r="C396" s="167"/>
      <c r="F396" s="376"/>
    </row>
    <row r="397" spans="1:11">
      <c r="A397" s="112" t="s">
        <v>4339</v>
      </c>
      <c r="B397" s="112"/>
      <c r="C397" s="204"/>
      <c r="D397" s="109"/>
      <c r="F397" s="376"/>
    </row>
    <row r="398" spans="1:11" ht="35.25" thickBot="1">
      <c r="F398" s="376"/>
    </row>
    <row r="399" spans="1:11">
      <c r="A399" s="3511" t="s">
        <v>2</v>
      </c>
      <c r="B399" s="3512"/>
      <c r="C399" s="580" t="s">
        <v>3</v>
      </c>
      <c r="D399" s="261" t="s">
        <v>4</v>
      </c>
      <c r="E399" s="77" t="s">
        <v>5</v>
      </c>
      <c r="F399" s="758" t="s">
        <v>5</v>
      </c>
      <c r="G399" s="250" t="s">
        <v>6</v>
      </c>
      <c r="H399" s="140" t="s">
        <v>7</v>
      </c>
      <c r="I399" s="592" t="s">
        <v>1511</v>
      </c>
      <c r="J399" s="584" t="s">
        <v>9</v>
      </c>
      <c r="K399" s="346" t="s">
        <v>9</v>
      </c>
    </row>
    <row r="400" spans="1:11" ht="35.25" thickBot="1">
      <c r="A400" s="155"/>
      <c r="B400" s="138"/>
      <c r="C400" s="337"/>
      <c r="D400" s="262" t="s">
        <v>10</v>
      </c>
      <c r="E400" s="79" t="s">
        <v>11</v>
      </c>
      <c r="F400" s="759" t="s">
        <v>12</v>
      </c>
      <c r="G400" s="476"/>
      <c r="H400" s="141" t="s">
        <v>13</v>
      </c>
      <c r="I400" s="593" t="s">
        <v>1512</v>
      </c>
      <c r="J400" s="585" t="s">
        <v>14</v>
      </c>
      <c r="K400" s="347" t="s">
        <v>15</v>
      </c>
    </row>
    <row r="401" spans="1:11">
      <c r="A401" s="995"/>
      <c r="B401" s="996" t="s">
        <v>1125</v>
      </c>
      <c r="C401" s="341"/>
      <c r="D401" s="322"/>
      <c r="E401" s="142"/>
      <c r="F401" s="381"/>
      <c r="G401" s="310"/>
      <c r="H401" s="207"/>
      <c r="I401" s="431"/>
      <c r="J401" s="604"/>
      <c r="K401" s="394"/>
    </row>
    <row r="402" spans="1:11">
      <c r="A402" s="315"/>
      <c r="B402" s="81" t="s">
        <v>4503</v>
      </c>
      <c r="C402" s="207" t="s">
        <v>1127</v>
      </c>
      <c r="D402" s="322" t="s">
        <v>18</v>
      </c>
      <c r="E402" s="142">
        <v>200</v>
      </c>
      <c r="F402" s="381"/>
      <c r="G402" s="310" t="s">
        <v>943</v>
      </c>
      <c r="H402" s="207">
        <v>180</v>
      </c>
      <c r="I402" s="2323" t="s">
        <v>4504</v>
      </c>
      <c r="J402" s="586" t="s">
        <v>4505</v>
      </c>
      <c r="K402" s="365">
        <v>152</v>
      </c>
    </row>
    <row r="403" spans="1:11">
      <c r="A403" s="330"/>
      <c r="B403" s="81" t="s">
        <v>1131</v>
      </c>
      <c r="C403" s="207" t="s">
        <v>1132</v>
      </c>
      <c r="D403" s="322"/>
      <c r="E403" s="142"/>
      <c r="F403" s="381"/>
      <c r="G403" s="310" t="s">
        <v>277</v>
      </c>
      <c r="H403" s="207">
        <v>420</v>
      </c>
      <c r="I403" s="553" t="s">
        <v>1133</v>
      </c>
      <c r="J403" s="604"/>
      <c r="K403" s="394"/>
    </row>
    <row r="404" spans="1:11">
      <c r="A404" s="330"/>
      <c r="B404" s="81"/>
      <c r="C404" s="207"/>
      <c r="D404" s="322"/>
      <c r="E404" s="142"/>
      <c r="F404" s="381"/>
      <c r="G404" s="310"/>
      <c r="H404" s="207"/>
      <c r="I404" s="553" t="s">
        <v>1134</v>
      </c>
      <c r="J404" s="604"/>
      <c r="K404" s="394"/>
    </row>
    <row r="405" spans="1:11">
      <c r="A405" s="315"/>
      <c r="B405" s="81"/>
      <c r="C405" s="207"/>
      <c r="D405" s="196"/>
      <c r="E405" s="142"/>
      <c r="F405" s="381"/>
      <c r="G405" s="310"/>
      <c r="H405" s="207"/>
      <c r="I405" s="474" t="s">
        <v>1135</v>
      </c>
      <c r="J405" s="707"/>
      <c r="K405" s="394"/>
    </row>
    <row r="406" spans="1:11">
      <c r="A406" s="438"/>
      <c r="B406" s="1000"/>
      <c r="C406" s="341"/>
      <c r="D406" s="196"/>
      <c r="E406" s="142"/>
      <c r="F406" s="381"/>
      <c r="G406" s="312"/>
      <c r="H406" s="341"/>
      <c r="I406" s="794" t="s">
        <v>1136</v>
      </c>
      <c r="J406" s="604"/>
      <c r="K406" s="779"/>
    </row>
    <row r="407" spans="1:11">
      <c r="A407" s="995"/>
      <c r="B407" s="958"/>
      <c r="C407" s="341"/>
      <c r="D407" s="3458"/>
      <c r="E407" s="142"/>
      <c r="F407" s="381"/>
      <c r="G407" s="312"/>
      <c r="H407" s="341"/>
      <c r="I407" s="505" t="s">
        <v>1137</v>
      </c>
      <c r="J407" s="604"/>
      <c r="K407" s="779"/>
    </row>
    <row r="408" spans="1:11">
      <c r="A408" s="315"/>
      <c r="B408" s="1009"/>
      <c r="C408" s="207"/>
      <c r="D408" s="3458"/>
      <c r="E408" s="142"/>
      <c r="F408" s="381"/>
      <c r="G408" s="310"/>
      <c r="H408" s="207"/>
      <c r="I408" s="431" t="s">
        <v>1138</v>
      </c>
      <c r="J408" s="707"/>
      <c r="K408" s="394"/>
    </row>
    <row r="409" spans="1:11">
      <c r="A409" s="438"/>
      <c r="B409" s="770" t="s">
        <v>1139</v>
      </c>
      <c r="C409" s="341" t="s">
        <v>1140</v>
      </c>
      <c r="D409" s="531" t="s">
        <v>1141</v>
      </c>
      <c r="E409" s="142">
        <v>450</v>
      </c>
      <c r="F409" s="381"/>
      <c r="G409" s="478" t="s">
        <v>1142</v>
      </c>
      <c r="H409" s="224">
        <v>380</v>
      </c>
      <c r="I409" s="505"/>
      <c r="J409" s="591">
        <v>4494</v>
      </c>
      <c r="K409" s="527">
        <v>374.5</v>
      </c>
    </row>
    <row r="410" spans="1:11">
      <c r="A410" s="438"/>
      <c r="B410" s="1009" t="s">
        <v>1143</v>
      </c>
      <c r="C410" s="341" t="s">
        <v>1144</v>
      </c>
      <c r="D410" s="531" t="s">
        <v>1141</v>
      </c>
      <c r="E410" s="142">
        <v>490</v>
      </c>
      <c r="F410" s="381"/>
      <c r="G410" s="312" t="s">
        <v>1145</v>
      </c>
      <c r="H410" s="341">
        <v>410</v>
      </c>
      <c r="I410" s="604" t="s">
        <v>1146</v>
      </c>
      <c r="J410" s="604">
        <v>4970</v>
      </c>
      <c r="K410" s="779">
        <v>414.17</v>
      </c>
    </row>
    <row r="411" spans="1:11" ht="35.25" thickBot="1">
      <c r="A411" s="221"/>
      <c r="B411" s="406" t="s">
        <v>1147</v>
      </c>
      <c r="C411" s="341" t="s">
        <v>1148</v>
      </c>
      <c r="D411" s="531" t="s">
        <v>1141</v>
      </c>
      <c r="E411" s="142">
        <v>440</v>
      </c>
      <c r="F411" s="381"/>
      <c r="G411" s="478" t="s">
        <v>1145</v>
      </c>
      <c r="H411" s="320">
        <v>720</v>
      </c>
      <c r="I411" s="604" t="s">
        <v>1149</v>
      </c>
      <c r="J411" s="604">
        <v>4370</v>
      </c>
      <c r="K411" s="527">
        <v>364.17</v>
      </c>
    </row>
    <row r="412" spans="1:11">
      <c r="A412" s="3696"/>
      <c r="B412" s="1482"/>
      <c r="C412" s="1483"/>
      <c r="D412" s="1484"/>
      <c r="E412" s="142"/>
      <c r="F412" s="381"/>
      <c r="G412" s="1485"/>
      <c r="H412" s="1486"/>
      <c r="I412" s="1487"/>
      <c r="J412" s="1488"/>
      <c r="K412" s="1489"/>
    </row>
    <row r="413" spans="1:11">
      <c r="A413" s="330"/>
      <c r="B413" s="1490"/>
      <c r="C413" s="1491"/>
      <c r="D413" s="1492"/>
      <c r="E413" s="142"/>
      <c r="F413" s="381"/>
      <c r="G413" s="1485"/>
      <c r="H413" s="1486"/>
      <c r="I413" s="1487"/>
      <c r="J413" s="1493"/>
      <c r="K413" s="1489"/>
    </row>
    <row r="414" spans="1:11">
      <c r="A414" s="221"/>
      <c r="B414" s="1490"/>
      <c r="C414" s="1491"/>
      <c r="D414" s="1492"/>
      <c r="E414" s="142"/>
      <c r="F414" s="381"/>
      <c r="G414" s="1485"/>
      <c r="H414" s="1486"/>
      <c r="I414" s="1487"/>
      <c r="J414" s="1493"/>
      <c r="K414" s="1489"/>
    </row>
    <row r="415" spans="1:11">
      <c r="A415" s="221"/>
      <c r="B415" s="996" t="s">
        <v>4506</v>
      </c>
      <c r="C415" s="320"/>
      <c r="D415" s="321"/>
      <c r="E415" s="142"/>
      <c r="F415" s="381"/>
      <c r="G415" s="478"/>
      <c r="H415" s="224"/>
      <c r="I415" s="505"/>
      <c r="J415" s="604"/>
      <c r="K415" s="378"/>
    </row>
    <row r="416" spans="1:11">
      <c r="A416" s="221"/>
      <c r="B416" s="770" t="s">
        <v>4507</v>
      </c>
      <c r="C416" s="515"/>
      <c r="D416" s="462"/>
      <c r="E416" s="142">
        <v>68</v>
      </c>
      <c r="F416" s="381">
        <v>655</v>
      </c>
      <c r="G416" s="477" t="s">
        <v>4508</v>
      </c>
      <c r="H416" s="74"/>
      <c r="I416" s="431"/>
      <c r="J416" s="590">
        <v>624</v>
      </c>
      <c r="K416" s="526"/>
    </row>
    <row r="417" spans="1:11">
      <c r="A417" s="927"/>
      <c r="B417" s="770" t="s">
        <v>4509</v>
      </c>
      <c r="C417" s="515"/>
      <c r="D417" s="462"/>
      <c r="E417" s="142">
        <v>68</v>
      </c>
      <c r="F417" s="381">
        <v>655</v>
      </c>
      <c r="G417" s="477" t="s">
        <v>4508</v>
      </c>
      <c r="H417" s="74"/>
      <c r="I417" s="431"/>
      <c r="J417" s="590">
        <v>624</v>
      </c>
      <c r="K417" s="526"/>
    </row>
    <row r="418" spans="1:11">
      <c r="A418" s="970"/>
      <c r="B418" s="406" t="s">
        <v>4510</v>
      </c>
      <c r="C418" s="966"/>
      <c r="D418" s="3458"/>
      <c r="E418" s="145">
        <v>50</v>
      </c>
      <c r="F418" s="381">
        <v>475</v>
      </c>
      <c r="G418" s="478" t="s">
        <v>4508</v>
      </c>
      <c r="H418" s="971"/>
      <c r="I418" s="506"/>
      <c r="J418" s="972">
        <v>452</v>
      </c>
      <c r="K418" s="973"/>
    </row>
    <row r="419" spans="1:11">
      <c r="A419" s="438"/>
      <c r="B419" s="406" t="s">
        <v>4511</v>
      </c>
      <c r="C419" s="880"/>
      <c r="D419" s="3458"/>
      <c r="E419" s="145">
        <v>50</v>
      </c>
      <c r="F419" s="381">
        <v>475</v>
      </c>
      <c r="G419" s="478" t="s">
        <v>4508</v>
      </c>
      <c r="H419" s="224"/>
      <c r="I419" s="505"/>
      <c r="J419" s="604">
        <v>452</v>
      </c>
      <c r="K419" s="378"/>
    </row>
    <row r="420" spans="1:11">
      <c r="A420" s="438"/>
      <c r="B420" s="382"/>
      <c r="C420" s="74"/>
      <c r="D420" s="514"/>
      <c r="E420" s="392"/>
      <c r="F420" s="61"/>
      <c r="G420" s="206"/>
      <c r="H420" s="150"/>
      <c r="I420" s="115"/>
      <c r="J420" s="644"/>
      <c r="K420" s="365"/>
    </row>
    <row r="421" spans="1:11">
      <c r="A421" s="221"/>
      <c r="B421" s="43"/>
      <c r="C421" s="74"/>
      <c r="D421" s="514"/>
      <c r="E421" s="392"/>
      <c r="F421" s="69"/>
      <c r="G421" s="206"/>
      <c r="H421" s="150"/>
      <c r="I421" s="115"/>
      <c r="J421" s="694"/>
      <c r="K421" s="365"/>
    </row>
    <row r="422" spans="1:11">
      <c r="A422" s="157"/>
      <c r="B422" s="43"/>
      <c r="C422" s="74"/>
      <c r="D422" s="514"/>
      <c r="E422" s="392"/>
      <c r="F422" s="69"/>
      <c r="G422" s="206"/>
      <c r="H422" s="150"/>
      <c r="I422" s="115"/>
      <c r="J422" s="694"/>
      <c r="K422" s="365"/>
    </row>
    <row r="423" spans="1:11">
      <c r="A423" s="157"/>
      <c r="B423" s="81"/>
      <c r="C423" s="515"/>
      <c r="D423" s="3458"/>
      <c r="E423" s="145"/>
      <c r="F423" s="381"/>
      <c r="G423" s="477"/>
      <c r="H423" s="74"/>
      <c r="I423" s="431"/>
      <c r="J423" s="586"/>
      <c r="K423" s="526"/>
    </row>
    <row r="424" spans="1:11">
      <c r="A424" s="157"/>
      <c r="B424" s="89"/>
      <c r="C424" s="207"/>
      <c r="D424" s="3458"/>
      <c r="E424" s="145"/>
      <c r="F424" s="381"/>
      <c r="G424" s="310"/>
      <c r="H424" s="74"/>
      <c r="I424" s="431"/>
      <c r="J424" s="587"/>
      <c r="K424" s="375"/>
    </row>
    <row r="425" spans="1:11">
      <c r="A425" s="156"/>
      <c r="B425" s="89"/>
      <c r="C425" s="207"/>
      <c r="D425" s="3458"/>
      <c r="E425" s="145"/>
      <c r="F425" s="381"/>
      <c r="G425" s="310"/>
      <c r="H425" s="74"/>
      <c r="I425" s="431"/>
      <c r="J425" s="587"/>
      <c r="K425" s="375"/>
    </row>
    <row r="426" spans="1:11">
      <c r="A426" s="156"/>
      <c r="B426" s="89"/>
      <c r="C426" s="207"/>
      <c r="D426" s="196"/>
      <c r="E426" s="142"/>
      <c r="F426" s="381"/>
      <c r="G426" s="477"/>
      <c r="H426" s="74"/>
      <c r="I426" s="431"/>
      <c r="J426" s="587"/>
      <c r="K426" s="375"/>
    </row>
    <row r="427" spans="1:11">
      <c r="A427" s="156"/>
      <c r="B427" s="89"/>
      <c r="C427" s="207"/>
      <c r="D427" s="196"/>
      <c r="E427" s="142"/>
      <c r="F427" s="381"/>
      <c r="G427" s="477"/>
      <c r="H427" s="74"/>
      <c r="I427" s="431"/>
      <c r="J427" s="594"/>
      <c r="K427" s="375"/>
    </row>
    <row r="428" spans="1:11">
      <c r="A428" s="156"/>
      <c r="B428" s="89"/>
      <c r="C428" s="207"/>
      <c r="D428" s="3458"/>
      <c r="E428" s="145"/>
      <c r="F428" s="381"/>
      <c r="G428" s="310"/>
      <c r="H428" s="74"/>
      <c r="I428" s="431"/>
      <c r="J428" s="594"/>
      <c r="K428" s="375"/>
    </row>
    <row r="429" spans="1:11">
      <c r="A429" s="157"/>
      <c r="B429" s="154"/>
      <c r="C429" s="515"/>
      <c r="D429" s="3458"/>
      <c r="E429" s="145"/>
      <c r="F429" s="381"/>
      <c r="G429" s="310"/>
      <c r="H429" s="74"/>
      <c r="I429" s="431"/>
      <c r="J429" s="586"/>
      <c r="K429" s="526"/>
    </row>
    <row r="430" spans="1:11">
      <c r="A430" s="157"/>
      <c r="B430" s="154"/>
      <c r="C430" s="515"/>
      <c r="D430" s="3458"/>
      <c r="E430" s="145"/>
      <c r="F430" s="381"/>
      <c r="G430" s="310"/>
      <c r="H430" s="74"/>
      <c r="I430" s="431"/>
      <c r="J430" s="586"/>
      <c r="K430" s="526"/>
    </row>
  </sheetData>
  <mergeCells count="16">
    <mergeCell ref="A399:B399"/>
    <mergeCell ref="A363:B363"/>
    <mergeCell ref="A327:B327"/>
    <mergeCell ref="A291:B291"/>
    <mergeCell ref="A255:B255"/>
    <mergeCell ref="C346:D346"/>
    <mergeCell ref="C342:D342"/>
    <mergeCell ref="A112:B112"/>
    <mergeCell ref="A5:B5"/>
    <mergeCell ref="A41:B41"/>
    <mergeCell ref="A77:B77"/>
    <mergeCell ref="A220:B220"/>
    <mergeCell ref="A92:B92"/>
    <mergeCell ref="A70:B70"/>
    <mergeCell ref="A148:B148"/>
    <mergeCell ref="A184:B184"/>
  </mergeCells>
  <phoneticPr fontId="6" type="noConversion"/>
  <hyperlinks>
    <hyperlink ref="I23" r:id="rId1" xr:uid="{A053302D-5093-4F51-8440-4BD0E6C90C83}"/>
    <hyperlink ref="I8" r:id="rId2" xr:uid="{426CF1D3-B37A-403D-A014-72A5FD69415B}"/>
    <hyperlink ref="I9" r:id="rId3" xr:uid="{D1F97931-38D5-4513-9031-B219B084B11E}"/>
    <hyperlink ref="I25" r:id="rId4" xr:uid="{B542EA36-032D-4070-85CE-DBE8BFF16CA9}"/>
    <hyperlink ref="I24" r:id="rId5" xr:uid="{DE15CBED-8ED1-4C73-9BEA-C0E6052C945C}"/>
    <hyperlink ref="I26" r:id="rId6" xr:uid="{F8671DC7-263A-4ECF-9BEE-E5C495096BAB}"/>
  </hyperlinks>
  <pageMargins left="0.31496062992125984" right="0.15748031496062992" top="0.15748031496062992" bottom="0.23622047244094491" header="0.15748031496062992" footer="0.11811023622047245"/>
  <pageSetup paperSize="9" scale="64" orientation="portrait" r:id="rId7"/>
  <headerFooter alignWithMargins="0"/>
  <rowBreaks count="7" manualBreakCount="7">
    <brk id="36" max="15" man="1"/>
    <brk id="72" max="15" man="1"/>
    <brk id="107" max="16383" man="1"/>
    <brk id="143" max="15" man="1"/>
    <brk id="179" max="15" man="1"/>
    <brk id="215" max="15" man="1"/>
    <brk id="250" max="15" man="1"/>
  </rowBreaks>
  <colBreaks count="1" manualBreakCount="1">
    <brk id="1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C329-A3EA-45E6-A245-B34A9AEF5EC6}">
  <sheetPr>
    <tabColor indexed="25"/>
  </sheetPr>
  <dimension ref="A1:L536"/>
  <sheetViews>
    <sheetView view="pageBreakPreview" topLeftCell="B91" zoomScale="91" zoomScaleNormal="93" workbookViewId="0">
      <selection activeCell="G99" sqref="G99"/>
    </sheetView>
  </sheetViews>
  <sheetFormatPr defaultRowHeight="34.5"/>
  <cols>
    <col min="1" max="1" width="1.85546875" style="75" customWidth="1"/>
    <col min="2" max="2" width="34.140625" style="76" customWidth="1"/>
    <col min="3" max="3" width="11.140625" style="102" customWidth="1"/>
    <col min="4" max="4" width="11.42578125" style="76" customWidth="1"/>
    <col min="5" max="5" width="10.28515625" style="45" customWidth="1"/>
    <col min="6" max="6" width="10.140625" style="149" customWidth="1"/>
    <col min="7" max="7" width="13.85546875" style="407" customWidth="1"/>
    <col min="8" max="8" width="11.42578125" style="76" customWidth="1"/>
    <col min="9" max="9" width="21.42578125" style="125" customWidth="1"/>
    <col min="10" max="10" width="12.28515625" style="486" customWidth="1"/>
    <col min="11" max="11" width="9.140625" style="380"/>
    <col min="12" max="12" width="9.7109375" style="76" customWidth="1"/>
    <col min="13" max="16384" width="9.140625" style="76"/>
  </cols>
  <sheetData>
    <row r="1" spans="1:12" ht="24.75" customHeight="1">
      <c r="F1" s="44"/>
      <c r="K1" s="380">
        <v>1</v>
      </c>
    </row>
    <row r="2" spans="1:12">
      <c r="A2" s="45" t="s">
        <v>0</v>
      </c>
      <c r="B2" s="45"/>
      <c r="C2" s="68"/>
      <c r="D2" s="102"/>
      <c r="F2" s="44"/>
      <c r="G2" s="482"/>
      <c r="H2" s="45"/>
      <c r="I2" s="127"/>
      <c r="L2" s="45"/>
    </row>
    <row r="3" spans="1:12">
      <c r="A3" s="44" t="s">
        <v>4512</v>
      </c>
      <c r="B3" s="45"/>
      <c r="C3" s="46"/>
      <c r="D3" s="104"/>
      <c r="F3" s="44"/>
      <c r="G3" s="482"/>
      <c r="H3" s="45"/>
      <c r="I3" s="127"/>
      <c r="L3" s="45"/>
    </row>
    <row r="4" spans="1:12" ht="22.5" customHeight="1" thickBot="1">
      <c r="D4" s="102"/>
      <c r="F4" s="44"/>
    </row>
    <row r="5" spans="1:12">
      <c r="A5" s="3453"/>
      <c r="B5" s="3446" t="s">
        <v>2</v>
      </c>
      <c r="C5" s="48" t="s">
        <v>3</v>
      </c>
      <c r="D5" s="110" t="s">
        <v>4</v>
      </c>
      <c r="E5" s="78" t="s">
        <v>5</v>
      </c>
      <c r="F5" s="78" t="s">
        <v>5</v>
      </c>
      <c r="G5" s="241" t="s">
        <v>6</v>
      </c>
      <c r="H5" s="48" t="s">
        <v>7</v>
      </c>
      <c r="I5" s="48" t="s">
        <v>8</v>
      </c>
      <c r="J5" s="48" t="s">
        <v>9</v>
      </c>
      <c r="K5" s="628" t="s">
        <v>9</v>
      </c>
      <c r="L5" s="46"/>
    </row>
    <row r="6" spans="1:12" ht="35.25" thickBot="1">
      <c r="A6" s="155"/>
      <c r="B6" s="72"/>
      <c r="C6" s="50"/>
      <c r="D6" s="111" t="s">
        <v>10</v>
      </c>
      <c r="E6" s="80" t="s">
        <v>11</v>
      </c>
      <c r="F6" s="80" t="s">
        <v>12</v>
      </c>
      <c r="G6" s="242"/>
      <c r="H6" s="50" t="s">
        <v>13</v>
      </c>
      <c r="I6" s="137"/>
      <c r="J6" s="50" t="s">
        <v>14</v>
      </c>
      <c r="K6" s="629" t="s">
        <v>15</v>
      </c>
      <c r="L6" s="46"/>
    </row>
    <row r="7" spans="1:12">
      <c r="A7" s="480" t="s">
        <v>2090</v>
      </c>
      <c r="B7" s="481"/>
      <c r="C7" s="101"/>
      <c r="D7" s="3457"/>
      <c r="E7" s="92"/>
      <c r="F7" s="92"/>
      <c r="G7" s="483"/>
      <c r="H7" s="74"/>
      <c r="I7" s="105"/>
      <c r="J7" s="295"/>
      <c r="K7" s="375"/>
    </row>
    <row r="8" spans="1:12">
      <c r="A8" s="156"/>
      <c r="B8" s="43" t="s">
        <v>4513</v>
      </c>
      <c r="C8" s="101" t="s">
        <v>4514</v>
      </c>
      <c r="D8" s="3458" t="s">
        <v>23</v>
      </c>
      <c r="E8" s="92">
        <v>179</v>
      </c>
      <c r="F8" s="92"/>
      <c r="G8" s="483"/>
      <c r="H8" s="74"/>
      <c r="I8" s="105"/>
      <c r="J8" s="295"/>
      <c r="K8" s="375"/>
    </row>
    <row r="9" spans="1:12">
      <c r="A9" s="156"/>
      <c r="B9" s="43" t="s">
        <v>4515</v>
      </c>
      <c r="C9" s="101" t="s">
        <v>1740</v>
      </c>
      <c r="D9" s="3458" t="s">
        <v>23</v>
      </c>
      <c r="E9" s="92">
        <v>120</v>
      </c>
      <c r="F9" s="92"/>
      <c r="G9" s="483" t="s">
        <v>4516</v>
      </c>
      <c r="H9" s="74">
        <v>1350</v>
      </c>
      <c r="I9" s="105" t="s">
        <v>4517</v>
      </c>
      <c r="J9" s="295">
        <v>1242.27</v>
      </c>
      <c r="K9" s="375">
        <v>103.52</v>
      </c>
    </row>
    <row r="10" spans="1:12">
      <c r="A10" s="156"/>
      <c r="B10" s="742" t="s">
        <v>4515</v>
      </c>
      <c r="C10" s="661" t="s">
        <v>4518</v>
      </c>
      <c r="D10" s="1797" t="s">
        <v>23</v>
      </c>
      <c r="E10" s="1798">
        <v>155</v>
      </c>
      <c r="F10" s="1798"/>
      <c r="G10" s="1799" t="s">
        <v>4519</v>
      </c>
      <c r="H10" s="1800">
        <v>1650</v>
      </c>
      <c r="I10" s="1801" t="s">
        <v>4520</v>
      </c>
      <c r="J10" s="1802">
        <v>1615.7</v>
      </c>
      <c r="K10" s="1803">
        <v>134.63999999999999</v>
      </c>
    </row>
    <row r="11" spans="1:12">
      <c r="A11" s="156"/>
      <c r="B11" s="742" t="s">
        <v>4521</v>
      </c>
      <c r="C11" s="661" t="s">
        <v>280</v>
      </c>
      <c r="D11" s="1797" t="s">
        <v>23</v>
      </c>
      <c r="E11" s="1804">
        <v>179</v>
      </c>
      <c r="F11" s="1804"/>
      <c r="G11" s="1799" t="s">
        <v>4519</v>
      </c>
      <c r="H11" s="1424">
        <v>1890</v>
      </c>
      <c r="I11" s="1801" t="s">
        <v>4522</v>
      </c>
      <c r="J11" s="1802">
        <v>1893.9</v>
      </c>
      <c r="K11" s="1803">
        <v>157.82</v>
      </c>
    </row>
    <row r="12" spans="1:12">
      <c r="A12" s="156"/>
      <c r="B12" s="481" t="s">
        <v>4523</v>
      </c>
      <c r="C12" s="714" t="s">
        <v>2624</v>
      </c>
      <c r="D12" s="2611" t="s">
        <v>317</v>
      </c>
      <c r="E12" s="2612">
        <v>39</v>
      </c>
      <c r="F12" s="2612"/>
      <c r="G12" s="2320" t="s">
        <v>4519</v>
      </c>
      <c r="H12" s="765">
        <v>624</v>
      </c>
      <c r="I12" s="2182" t="s">
        <v>4524</v>
      </c>
      <c r="J12" s="2613">
        <v>648.41999999999996</v>
      </c>
      <c r="K12" s="720">
        <v>32.42</v>
      </c>
    </row>
    <row r="13" spans="1:12">
      <c r="A13" s="156"/>
      <c r="B13" s="481" t="s">
        <v>4525</v>
      </c>
      <c r="C13" s="714" t="s">
        <v>2624</v>
      </c>
      <c r="D13" s="2611" t="s">
        <v>317</v>
      </c>
      <c r="E13" s="2612">
        <v>39</v>
      </c>
      <c r="F13" s="2612"/>
      <c r="G13" s="2320" t="s">
        <v>4519</v>
      </c>
      <c r="H13" s="765">
        <v>624</v>
      </c>
      <c r="I13" s="2182" t="s">
        <v>4524</v>
      </c>
      <c r="J13" s="2613">
        <v>648.41999999999996</v>
      </c>
      <c r="K13" s="720">
        <v>32.42</v>
      </c>
    </row>
    <row r="14" spans="1:12">
      <c r="A14" s="156"/>
      <c r="B14" s="481" t="s">
        <v>4526</v>
      </c>
      <c r="C14" s="714" t="s">
        <v>2624</v>
      </c>
      <c r="D14" s="2611" t="s">
        <v>317</v>
      </c>
      <c r="E14" s="2612">
        <v>39</v>
      </c>
      <c r="F14" s="2612"/>
      <c r="G14" s="2320" t="s">
        <v>4519</v>
      </c>
      <c r="H14" s="765">
        <v>624</v>
      </c>
      <c r="I14" s="2182" t="s">
        <v>4524</v>
      </c>
      <c r="J14" s="2613">
        <v>648.41999999999996</v>
      </c>
      <c r="K14" s="720">
        <v>32.42</v>
      </c>
    </row>
    <row r="15" spans="1:12">
      <c r="A15" s="156"/>
      <c r="B15" s="43" t="s">
        <v>4527</v>
      </c>
      <c r="C15" s="101" t="s">
        <v>624</v>
      </c>
      <c r="D15" s="3458" t="s">
        <v>317</v>
      </c>
      <c r="E15" s="145">
        <v>42</v>
      </c>
      <c r="F15" s="92"/>
      <c r="G15" s="1505" t="s">
        <v>3891</v>
      </c>
      <c r="H15" s="74">
        <v>700</v>
      </c>
      <c r="I15" s="105" t="s">
        <v>4528</v>
      </c>
      <c r="J15" s="295">
        <v>740.44</v>
      </c>
      <c r="K15" s="375">
        <v>37</v>
      </c>
    </row>
    <row r="16" spans="1:12">
      <c r="A16" s="157"/>
      <c r="B16" s="43" t="s">
        <v>4529</v>
      </c>
      <c r="C16" s="101" t="s">
        <v>624</v>
      </c>
      <c r="D16" s="3458" t="s">
        <v>317</v>
      </c>
      <c r="E16" s="145">
        <v>35</v>
      </c>
      <c r="F16" s="92"/>
      <c r="G16" s="314" t="s">
        <v>4530</v>
      </c>
      <c r="H16" s="74">
        <v>566</v>
      </c>
      <c r="I16" s="105" t="s">
        <v>4531</v>
      </c>
      <c r="J16" s="295">
        <v>595.99</v>
      </c>
      <c r="K16" s="365">
        <v>29.8</v>
      </c>
    </row>
    <row r="17" spans="1:11">
      <c r="A17" s="156"/>
      <c r="B17" s="43" t="s">
        <v>4532</v>
      </c>
      <c r="C17" s="101" t="s">
        <v>247</v>
      </c>
      <c r="D17" s="3458" t="s">
        <v>812</v>
      </c>
      <c r="E17" s="145">
        <v>28</v>
      </c>
      <c r="F17" s="92"/>
      <c r="G17" s="1505" t="s">
        <v>3891</v>
      </c>
      <c r="H17" s="74">
        <v>690</v>
      </c>
      <c r="I17" s="105" t="s">
        <v>4533</v>
      </c>
      <c r="J17" s="295">
        <v>726.53</v>
      </c>
      <c r="K17" s="365">
        <v>24.22</v>
      </c>
    </row>
    <row r="18" spans="1:11">
      <c r="A18" s="156"/>
      <c r="B18" s="1006" t="s">
        <v>4534</v>
      </c>
      <c r="C18" s="320" t="s">
        <v>339</v>
      </c>
      <c r="D18" s="2610" t="s">
        <v>1383</v>
      </c>
      <c r="E18" s="1850">
        <v>10</v>
      </c>
      <c r="F18" s="1925" t="s">
        <v>4535</v>
      </c>
      <c r="G18" s="1505" t="s">
        <v>3891</v>
      </c>
      <c r="H18" s="1486">
        <v>810</v>
      </c>
      <c r="I18" s="1851" t="s">
        <v>4536</v>
      </c>
      <c r="J18" s="1852" t="s">
        <v>4537</v>
      </c>
      <c r="K18" s="1924" t="s">
        <v>4538</v>
      </c>
    </row>
    <row r="19" spans="1:11">
      <c r="A19" s="156"/>
      <c r="B19" s="1006" t="s">
        <v>4539</v>
      </c>
      <c r="C19" s="320" t="s">
        <v>1595</v>
      </c>
      <c r="D19" s="2610" t="s">
        <v>1383</v>
      </c>
      <c r="E19" s="1850">
        <v>10</v>
      </c>
      <c r="F19" s="1925" t="s">
        <v>4535</v>
      </c>
      <c r="G19" s="1505" t="s">
        <v>3891</v>
      </c>
      <c r="H19" s="1486">
        <v>810</v>
      </c>
      <c r="I19" s="1851" t="s">
        <v>4536</v>
      </c>
      <c r="J19" s="1852" t="s">
        <v>4537</v>
      </c>
      <c r="K19" s="1924" t="s">
        <v>4538</v>
      </c>
    </row>
    <row r="20" spans="1:11">
      <c r="A20" s="156"/>
      <c r="B20" s="1006" t="s">
        <v>4540</v>
      </c>
      <c r="C20" s="320" t="s">
        <v>1595</v>
      </c>
      <c r="D20" s="2610" t="s">
        <v>1383</v>
      </c>
      <c r="E20" s="1850">
        <v>10</v>
      </c>
      <c r="F20" s="1925" t="s">
        <v>4535</v>
      </c>
      <c r="G20" s="1505" t="s">
        <v>3891</v>
      </c>
      <c r="H20" s="1486">
        <v>810</v>
      </c>
      <c r="I20" s="1851" t="s">
        <v>4536</v>
      </c>
      <c r="J20" s="1852" t="s">
        <v>4537</v>
      </c>
      <c r="K20" s="1924" t="s">
        <v>4538</v>
      </c>
    </row>
    <row r="21" spans="1:11">
      <c r="A21" s="156"/>
      <c r="B21" s="1847" t="s">
        <v>4541</v>
      </c>
      <c r="C21" s="1848" t="s">
        <v>4542</v>
      </c>
      <c r="D21" s="1849" t="s">
        <v>1383</v>
      </c>
      <c r="E21" s="1850">
        <v>10</v>
      </c>
      <c r="F21" s="1925" t="s">
        <v>4535</v>
      </c>
      <c r="G21" s="1505" t="s">
        <v>3891</v>
      </c>
      <c r="H21" s="1486">
        <v>810</v>
      </c>
      <c r="I21" s="1851" t="s">
        <v>4536</v>
      </c>
      <c r="J21" s="1852" t="s">
        <v>4537</v>
      </c>
      <c r="K21" s="1924" t="s">
        <v>4538</v>
      </c>
    </row>
    <row r="22" spans="1:11">
      <c r="A22" s="156"/>
      <c r="B22" s="1847" t="s">
        <v>4543</v>
      </c>
      <c r="C22" s="1848" t="s">
        <v>4542</v>
      </c>
      <c r="D22" s="1849" t="s">
        <v>1383</v>
      </c>
      <c r="E22" s="1850">
        <v>10</v>
      </c>
      <c r="F22" s="1925" t="s">
        <v>4535</v>
      </c>
      <c r="G22" s="1505" t="s">
        <v>3891</v>
      </c>
      <c r="H22" s="1486">
        <v>810</v>
      </c>
      <c r="I22" s="1851" t="s">
        <v>4536</v>
      </c>
      <c r="J22" s="1852" t="s">
        <v>4537</v>
      </c>
      <c r="K22" s="1924" t="s">
        <v>4538</v>
      </c>
    </row>
    <row r="23" spans="1:11">
      <c r="A23" s="156"/>
      <c r="B23" s="1926" t="s">
        <v>4534</v>
      </c>
      <c r="C23" s="1848" t="s">
        <v>4544</v>
      </c>
      <c r="D23" s="1849" t="s">
        <v>1383</v>
      </c>
      <c r="E23" s="1850">
        <v>10</v>
      </c>
      <c r="F23" s="1925" t="s">
        <v>4535</v>
      </c>
      <c r="G23" s="1505" t="s">
        <v>3891</v>
      </c>
      <c r="H23" s="1486">
        <v>810</v>
      </c>
      <c r="I23" s="1851" t="s">
        <v>4536</v>
      </c>
      <c r="J23" s="1852" t="s">
        <v>4537</v>
      </c>
      <c r="K23" s="1924" t="s">
        <v>4538</v>
      </c>
    </row>
    <row r="24" spans="1:11">
      <c r="A24" s="156"/>
      <c r="B24" s="1430" t="s">
        <v>4539</v>
      </c>
      <c r="C24" s="661" t="s">
        <v>4545</v>
      </c>
      <c r="D24" s="1807" t="s">
        <v>18</v>
      </c>
      <c r="E24" s="496">
        <v>30</v>
      </c>
      <c r="F24" s="1808"/>
      <c r="G24" s="1799" t="s">
        <v>4546</v>
      </c>
      <c r="H24" s="1424">
        <v>618</v>
      </c>
      <c r="I24" s="1805" t="s">
        <v>4547</v>
      </c>
      <c r="J24" s="1806" t="s">
        <v>4548</v>
      </c>
      <c r="K24" s="1803">
        <v>25.32</v>
      </c>
    </row>
    <row r="25" spans="1:11">
      <c r="A25" s="221"/>
      <c r="B25" s="1430" t="s">
        <v>4534</v>
      </c>
      <c r="C25" s="661" t="s">
        <v>617</v>
      </c>
      <c r="D25" s="1807" t="s">
        <v>18</v>
      </c>
      <c r="E25" s="496">
        <v>30</v>
      </c>
      <c r="F25" s="1808"/>
      <c r="G25" s="1799" t="s">
        <v>4546</v>
      </c>
      <c r="H25" s="1424">
        <v>618</v>
      </c>
      <c r="I25" s="1805" t="s">
        <v>4547</v>
      </c>
      <c r="J25" s="1806" t="s">
        <v>4548</v>
      </c>
      <c r="K25" s="1803">
        <v>25.32</v>
      </c>
    </row>
    <row r="26" spans="1:11">
      <c r="A26" s="1007"/>
      <c r="B26" s="1430" t="s">
        <v>4549</v>
      </c>
      <c r="C26" s="661" t="s">
        <v>617</v>
      </c>
      <c r="D26" s="1807" t="s">
        <v>18</v>
      </c>
      <c r="E26" s="496">
        <v>30</v>
      </c>
      <c r="F26" s="1808"/>
      <c r="G26" s="1799" t="s">
        <v>4550</v>
      </c>
      <c r="H26" s="1424">
        <v>618</v>
      </c>
      <c r="I26" s="1805" t="s">
        <v>4547</v>
      </c>
      <c r="J26" s="1806" t="s">
        <v>4548</v>
      </c>
      <c r="K26" s="1803">
        <v>25.32</v>
      </c>
    </row>
    <row r="27" spans="1:11" ht="37.5">
      <c r="A27" s="1007"/>
      <c r="B27" s="1002" t="s">
        <v>4551</v>
      </c>
      <c r="C27" s="1003"/>
      <c r="D27" s="1004"/>
      <c r="E27" s="90"/>
      <c r="F27" s="92"/>
      <c r="G27" s="483"/>
      <c r="H27" s="74"/>
      <c r="I27" s="105"/>
      <c r="J27" s="295"/>
      <c r="K27" s="375"/>
    </row>
    <row r="28" spans="1:11">
      <c r="A28" s="976"/>
      <c r="B28" s="43" t="s">
        <v>4552</v>
      </c>
      <c r="C28" s="101" t="s">
        <v>617</v>
      </c>
      <c r="D28" s="3458" t="s">
        <v>23</v>
      </c>
      <c r="E28" s="90">
        <v>50</v>
      </c>
      <c r="F28" s="1743">
        <v>39</v>
      </c>
      <c r="G28" s="483" t="s">
        <v>1014</v>
      </c>
      <c r="H28" s="74">
        <v>393.64</v>
      </c>
      <c r="I28" s="1940" t="s">
        <v>4553</v>
      </c>
      <c r="J28" s="295">
        <v>421.19</v>
      </c>
      <c r="K28" s="375">
        <v>35</v>
      </c>
    </row>
    <row r="29" spans="1:11">
      <c r="A29" s="156"/>
      <c r="B29" s="43" t="s">
        <v>4554</v>
      </c>
      <c r="C29" s="101" t="s">
        <v>617</v>
      </c>
      <c r="D29" s="3458" t="s">
        <v>23</v>
      </c>
      <c r="E29" s="90">
        <v>50</v>
      </c>
      <c r="F29" s="1743">
        <v>39</v>
      </c>
      <c r="G29" s="483" t="s">
        <v>1014</v>
      </c>
      <c r="H29" s="74">
        <v>393.64</v>
      </c>
      <c r="I29" s="1940" t="s">
        <v>4553</v>
      </c>
      <c r="J29" s="295">
        <v>421.19</v>
      </c>
      <c r="K29" s="375">
        <v>35</v>
      </c>
    </row>
    <row r="30" spans="1:11">
      <c r="A30" s="156"/>
      <c r="B30" s="43" t="s">
        <v>4552</v>
      </c>
      <c r="C30" s="101" t="s">
        <v>4555</v>
      </c>
      <c r="D30" s="3458" t="s">
        <v>23</v>
      </c>
      <c r="E30" s="145">
        <v>20</v>
      </c>
      <c r="F30" s="1743"/>
      <c r="G30" s="483" t="s">
        <v>1014</v>
      </c>
      <c r="H30" s="74"/>
      <c r="I30" s="151"/>
      <c r="J30" s="295">
        <v>201.16</v>
      </c>
      <c r="K30" s="375">
        <v>16.760000000000002</v>
      </c>
    </row>
    <row r="31" spans="1:11">
      <c r="A31" s="156"/>
      <c r="B31" s="43" t="s">
        <v>4554</v>
      </c>
      <c r="C31" s="101" t="s">
        <v>4555</v>
      </c>
      <c r="D31" s="3458" t="s">
        <v>23</v>
      </c>
      <c r="E31" s="145">
        <v>20</v>
      </c>
      <c r="F31" s="1743"/>
      <c r="G31" s="483" t="s">
        <v>1014</v>
      </c>
      <c r="H31" s="74"/>
      <c r="I31" s="151"/>
      <c r="J31" s="295">
        <v>201.16</v>
      </c>
      <c r="K31" s="375">
        <v>16.760000000000002</v>
      </c>
    </row>
    <row r="32" spans="1:11">
      <c r="A32" s="156"/>
      <c r="B32" s="89" t="s">
        <v>4556</v>
      </c>
      <c r="C32" s="101" t="s">
        <v>4557</v>
      </c>
      <c r="D32" s="3458" t="s">
        <v>23</v>
      </c>
      <c r="E32" s="145">
        <v>155</v>
      </c>
      <c r="F32" s="92"/>
      <c r="G32" s="483" t="s">
        <v>1014</v>
      </c>
      <c r="H32" s="74">
        <v>1695</v>
      </c>
      <c r="I32" s="151"/>
      <c r="J32" s="295">
        <v>1741.65</v>
      </c>
      <c r="K32" s="375">
        <v>145.13999999999999</v>
      </c>
    </row>
    <row r="33" spans="1:12">
      <c r="A33" s="1001"/>
      <c r="B33" s="1005" t="s">
        <v>4558</v>
      </c>
      <c r="C33" s="101"/>
      <c r="D33" s="3458"/>
      <c r="E33" s="145"/>
      <c r="F33" s="92"/>
      <c r="G33" s="483"/>
      <c r="H33" s="74"/>
      <c r="I33" s="105"/>
      <c r="J33" s="295"/>
      <c r="K33" s="375"/>
    </row>
    <row r="34" spans="1:12">
      <c r="A34" s="156"/>
      <c r="B34" s="89" t="s">
        <v>4559</v>
      </c>
      <c r="C34" s="101" t="s">
        <v>4560</v>
      </c>
      <c r="D34" s="3458" t="s">
        <v>18</v>
      </c>
      <c r="E34" s="145">
        <v>25</v>
      </c>
      <c r="F34" s="92"/>
      <c r="G34" s="483" t="s">
        <v>4561</v>
      </c>
      <c r="H34" s="74">
        <v>426.17</v>
      </c>
      <c r="I34" s="151" t="s">
        <v>4562</v>
      </c>
      <c r="J34" s="295">
        <v>456</v>
      </c>
      <c r="K34" s="375">
        <v>19</v>
      </c>
    </row>
    <row r="35" spans="1:12">
      <c r="A35" s="156"/>
      <c r="B35" s="1941" t="s">
        <v>4563</v>
      </c>
      <c r="C35" s="101" t="s">
        <v>4564</v>
      </c>
      <c r="D35" s="3458" t="s">
        <v>18</v>
      </c>
      <c r="E35" s="145">
        <v>35</v>
      </c>
      <c r="F35" s="1743">
        <v>25</v>
      </c>
      <c r="G35" s="483" t="s">
        <v>4561</v>
      </c>
      <c r="H35" s="74">
        <v>484.95</v>
      </c>
      <c r="I35" s="151" t="s">
        <v>4565</v>
      </c>
      <c r="J35" s="295">
        <v>518.89</v>
      </c>
      <c r="K35" s="375">
        <v>21.62</v>
      </c>
    </row>
    <row r="36" spans="1:12">
      <c r="A36" s="104"/>
      <c r="B36" s="89" t="s">
        <v>4566</v>
      </c>
      <c r="C36" s="101" t="s">
        <v>2687</v>
      </c>
      <c r="D36" s="3458" t="s">
        <v>18</v>
      </c>
      <c r="E36" s="145">
        <v>20</v>
      </c>
      <c r="F36" s="92"/>
      <c r="G36" s="483" t="s">
        <v>4561</v>
      </c>
      <c r="H36" s="74">
        <v>391.22</v>
      </c>
      <c r="I36" s="474" t="s">
        <v>4567</v>
      </c>
      <c r="J36" s="295">
        <v>418.6</v>
      </c>
      <c r="K36" s="375">
        <v>17.440000000000001</v>
      </c>
    </row>
    <row r="37" spans="1:12">
      <c r="A37" s="104"/>
      <c r="B37" s="89" t="s">
        <v>4568</v>
      </c>
      <c r="C37" s="101" t="s">
        <v>617</v>
      </c>
      <c r="D37" s="3458" t="s">
        <v>18</v>
      </c>
      <c r="E37" s="145">
        <v>40</v>
      </c>
      <c r="F37" s="92"/>
      <c r="G37" s="483" t="s">
        <v>4561</v>
      </c>
      <c r="H37" s="74">
        <v>537.92999999999995</v>
      </c>
      <c r="I37" s="151"/>
      <c r="J37" s="295">
        <v>575.58000000000004</v>
      </c>
      <c r="K37" s="375">
        <v>23.98</v>
      </c>
      <c r="L37" s="45"/>
    </row>
    <row r="38" spans="1:12">
      <c r="A38" s="45" t="s">
        <v>0</v>
      </c>
      <c r="B38" s="45"/>
      <c r="C38" s="68"/>
      <c r="D38" s="102"/>
      <c r="F38" s="44"/>
      <c r="G38" s="482"/>
      <c r="H38" s="45"/>
      <c r="I38" s="127"/>
      <c r="L38" s="45"/>
    </row>
    <row r="39" spans="1:12">
      <c r="A39" s="44" t="s">
        <v>4569</v>
      </c>
      <c r="B39" s="45"/>
      <c r="C39" s="46"/>
      <c r="D39" s="104"/>
      <c r="F39" s="44"/>
      <c r="G39" s="482"/>
      <c r="H39" s="45"/>
      <c r="I39" s="127"/>
      <c r="L39" s="45"/>
    </row>
    <row r="40" spans="1:12" ht="24" customHeight="1" thickBot="1">
      <c r="D40" s="102"/>
      <c r="F40" s="44"/>
    </row>
    <row r="41" spans="1:12">
      <c r="A41" s="3453"/>
      <c r="B41" s="3446" t="s">
        <v>2</v>
      </c>
      <c r="C41" s="48" t="s">
        <v>3</v>
      </c>
      <c r="D41" s="3445" t="s">
        <v>4</v>
      </c>
      <c r="E41" s="77" t="s">
        <v>5</v>
      </c>
      <c r="F41" s="78" t="s">
        <v>5</v>
      </c>
      <c r="G41" s="241" t="s">
        <v>6</v>
      </c>
      <c r="H41" s="48" t="s">
        <v>7</v>
      </c>
      <c r="I41" s="48" t="s">
        <v>8</v>
      </c>
      <c r="J41" s="48" t="s">
        <v>9</v>
      </c>
      <c r="K41" s="628" t="s">
        <v>9</v>
      </c>
      <c r="L41" s="46"/>
    </row>
    <row r="42" spans="1:12" ht="35.25" thickBot="1">
      <c r="A42" s="155"/>
      <c r="B42" s="72"/>
      <c r="C42" s="50"/>
      <c r="D42" s="51" t="s">
        <v>10</v>
      </c>
      <c r="E42" s="79" t="s">
        <v>12</v>
      </c>
      <c r="F42" s="80" t="s">
        <v>11</v>
      </c>
      <c r="G42" s="242"/>
      <c r="H42" s="50" t="s">
        <v>13</v>
      </c>
      <c r="I42" s="50"/>
      <c r="J42" s="50" t="s">
        <v>14</v>
      </c>
      <c r="K42" s="629" t="s">
        <v>15</v>
      </c>
      <c r="L42" s="46"/>
    </row>
    <row r="43" spans="1:12">
      <c r="A43" s="480" t="s">
        <v>4570</v>
      </c>
      <c r="B43" s="481"/>
      <c r="C43" s="101"/>
      <c r="D43" s="3457"/>
      <c r="E43" s="142"/>
      <c r="F43" s="92"/>
      <c r="G43" s="483"/>
      <c r="H43" s="74"/>
      <c r="I43" s="105"/>
      <c r="J43" s="376"/>
      <c r="K43" s="375"/>
    </row>
    <row r="44" spans="1:12">
      <c r="A44" s="156"/>
      <c r="B44" s="43" t="s">
        <v>545</v>
      </c>
      <c r="C44" s="101" t="s">
        <v>546</v>
      </c>
      <c r="D44" s="3458" t="s">
        <v>547</v>
      </c>
      <c r="E44" s="143">
        <v>70</v>
      </c>
      <c r="F44" s="144"/>
      <c r="G44" s="483" t="s">
        <v>548</v>
      </c>
      <c r="H44" s="74">
        <v>900</v>
      </c>
      <c r="I44" s="105" t="s">
        <v>549</v>
      </c>
      <c r="J44" s="126" t="s">
        <v>550</v>
      </c>
      <c r="K44" s="375">
        <v>58.44</v>
      </c>
    </row>
    <row r="45" spans="1:12">
      <c r="A45" s="156"/>
      <c r="B45" s="406" t="s">
        <v>543</v>
      </c>
      <c r="C45" s="320" t="s">
        <v>192</v>
      </c>
      <c r="D45" s="413" t="s">
        <v>309</v>
      </c>
      <c r="E45" s="843">
        <v>190</v>
      </c>
      <c r="F45" s="853"/>
      <c r="G45" s="477" t="s">
        <v>542</v>
      </c>
      <c r="H45" s="74">
        <v>1650</v>
      </c>
      <c r="I45" s="778" t="s">
        <v>540</v>
      </c>
      <c r="J45" s="694" t="s">
        <v>544</v>
      </c>
      <c r="K45" s="2370">
        <v>168.5</v>
      </c>
    </row>
    <row r="46" spans="1:12">
      <c r="A46" s="156"/>
      <c r="B46" s="43" t="s">
        <v>4571</v>
      </c>
      <c r="C46" s="101"/>
      <c r="D46" s="3458"/>
      <c r="E46" s="143"/>
      <c r="F46" s="144"/>
      <c r="G46" s="483" t="s">
        <v>4572</v>
      </c>
      <c r="H46" s="74"/>
      <c r="I46" s="105"/>
      <c r="J46" s="126"/>
      <c r="K46" s="375">
        <v>42</v>
      </c>
    </row>
    <row r="47" spans="1:12">
      <c r="A47" s="156"/>
      <c r="B47" s="43" t="s">
        <v>4573</v>
      </c>
      <c r="C47" s="101" t="s">
        <v>4574</v>
      </c>
      <c r="D47" s="3458"/>
      <c r="E47" s="143"/>
      <c r="F47" s="144"/>
      <c r="G47" s="483" t="s">
        <v>4575</v>
      </c>
      <c r="H47" s="74"/>
      <c r="I47" s="105" t="s">
        <v>4576</v>
      </c>
      <c r="J47" s="126" t="s">
        <v>4489</v>
      </c>
      <c r="K47" s="1415">
        <v>3.75</v>
      </c>
    </row>
    <row r="48" spans="1:12">
      <c r="A48" s="156"/>
      <c r="B48" s="43" t="s">
        <v>4571</v>
      </c>
      <c r="C48" s="101"/>
      <c r="D48" s="3458"/>
      <c r="E48" s="143"/>
      <c r="F48" s="144"/>
      <c r="G48" s="483" t="s">
        <v>4572</v>
      </c>
      <c r="H48" s="74"/>
      <c r="I48" s="105"/>
      <c r="J48" s="126"/>
      <c r="K48" s="375">
        <v>42</v>
      </c>
    </row>
    <row r="49" spans="1:11">
      <c r="A49" s="156"/>
      <c r="B49" s="43" t="s">
        <v>4573</v>
      </c>
      <c r="C49" s="101" t="s">
        <v>4574</v>
      </c>
      <c r="D49" s="3458"/>
      <c r="E49" s="143"/>
      <c r="F49" s="144"/>
      <c r="G49" s="483" t="s">
        <v>4575</v>
      </c>
      <c r="H49" s="74"/>
      <c r="I49" s="105" t="s">
        <v>4576</v>
      </c>
      <c r="J49" s="126" t="s">
        <v>4489</v>
      </c>
      <c r="K49" s="1415">
        <v>3.75</v>
      </c>
    </row>
    <row r="50" spans="1:11">
      <c r="A50" s="156"/>
      <c r="B50" s="43" t="s">
        <v>4577</v>
      </c>
      <c r="C50" s="101" t="s">
        <v>4578</v>
      </c>
      <c r="D50" s="3458"/>
      <c r="E50" s="145"/>
      <c r="F50" s="92"/>
      <c r="G50" s="483" t="s">
        <v>4579</v>
      </c>
      <c r="H50" s="74"/>
      <c r="I50" s="385" t="s">
        <v>4580</v>
      </c>
      <c r="J50" s="126" t="s">
        <v>4581</v>
      </c>
      <c r="K50" s="375"/>
    </row>
    <row r="51" spans="1:11">
      <c r="A51" s="156"/>
      <c r="B51" s="43" t="s">
        <v>4582</v>
      </c>
      <c r="C51" s="101" t="s">
        <v>3712</v>
      </c>
      <c r="D51" s="3458"/>
      <c r="E51" s="145"/>
      <c r="F51" s="92"/>
      <c r="G51" s="483" t="s">
        <v>4579</v>
      </c>
      <c r="H51" s="74"/>
      <c r="I51" s="105"/>
      <c r="J51" s="126" t="s">
        <v>4583</v>
      </c>
      <c r="K51" s="375"/>
    </row>
    <row r="52" spans="1:11">
      <c r="A52" s="156"/>
      <c r="B52" s="43" t="s">
        <v>4584</v>
      </c>
      <c r="C52" s="101" t="s">
        <v>3712</v>
      </c>
      <c r="D52" s="3458"/>
      <c r="E52" s="145"/>
      <c r="F52" s="92"/>
      <c r="G52" s="483" t="s">
        <v>4579</v>
      </c>
      <c r="H52" s="74"/>
      <c r="I52" s="105"/>
      <c r="J52" s="126" t="s">
        <v>4585</v>
      </c>
      <c r="K52" s="375"/>
    </row>
    <row r="53" spans="1:11">
      <c r="A53" s="156"/>
      <c r="B53" s="43" t="s">
        <v>4586</v>
      </c>
      <c r="C53" s="101" t="s">
        <v>3550</v>
      </c>
      <c r="D53" s="3458"/>
      <c r="E53" s="145"/>
      <c r="F53" s="92"/>
      <c r="G53" s="483" t="s">
        <v>4579</v>
      </c>
      <c r="H53" s="74"/>
      <c r="I53" s="105"/>
      <c r="J53" s="126" t="s">
        <v>4583</v>
      </c>
      <c r="K53" s="375"/>
    </row>
    <row r="54" spans="1:11">
      <c r="A54" s="156"/>
      <c r="B54" s="43" t="s">
        <v>4587</v>
      </c>
      <c r="C54" s="101" t="s">
        <v>3712</v>
      </c>
      <c r="D54" s="3458"/>
      <c r="E54" s="145"/>
      <c r="F54" s="92"/>
      <c r="G54" s="483" t="s">
        <v>4579</v>
      </c>
      <c r="H54" s="74"/>
      <c r="I54" s="105"/>
      <c r="J54" s="126" t="s">
        <v>4588</v>
      </c>
      <c r="K54" s="375"/>
    </row>
    <row r="55" spans="1:11">
      <c r="A55" s="480"/>
      <c r="B55" s="43" t="s">
        <v>4589</v>
      </c>
      <c r="C55" s="101" t="s">
        <v>3550</v>
      </c>
      <c r="D55" s="3458"/>
      <c r="E55" s="145"/>
      <c r="F55" s="92"/>
      <c r="G55" s="483" t="s">
        <v>2291</v>
      </c>
      <c r="H55" s="74"/>
      <c r="I55" s="105"/>
      <c r="J55" s="126" t="s">
        <v>4590</v>
      </c>
      <c r="K55" s="375"/>
    </row>
    <row r="56" spans="1:11">
      <c r="A56" s="156"/>
      <c r="B56" s="43" t="s">
        <v>4591</v>
      </c>
      <c r="C56" s="101" t="s">
        <v>3712</v>
      </c>
      <c r="D56" s="3458"/>
      <c r="E56" s="145"/>
      <c r="F56" s="92"/>
      <c r="G56" s="483" t="s">
        <v>4592</v>
      </c>
      <c r="H56" s="74"/>
      <c r="I56" s="105"/>
      <c r="J56" s="126" t="s">
        <v>4590</v>
      </c>
      <c r="K56" s="375"/>
    </row>
    <row r="57" spans="1:11">
      <c r="A57" s="525" t="s">
        <v>4593</v>
      </c>
      <c r="B57" s="489"/>
      <c r="C57" s="63" t="s">
        <v>4594</v>
      </c>
      <c r="D57" s="490"/>
      <c r="E57" s="145"/>
      <c r="F57" s="92"/>
      <c r="G57" s="483" t="s">
        <v>4595</v>
      </c>
      <c r="H57" s="74"/>
      <c r="I57" s="105"/>
      <c r="J57" s="126"/>
      <c r="K57" s="375"/>
    </row>
    <row r="58" spans="1:11">
      <c r="A58" s="438"/>
      <c r="B58" s="43" t="s">
        <v>4591</v>
      </c>
      <c r="C58" s="101" t="s">
        <v>4596</v>
      </c>
      <c r="D58" s="3458" t="s">
        <v>40</v>
      </c>
      <c r="E58" s="145"/>
      <c r="F58" s="2366">
        <v>120</v>
      </c>
      <c r="G58" s="483" t="s">
        <v>4597</v>
      </c>
      <c r="H58" s="74">
        <v>570</v>
      </c>
      <c r="I58" s="105" t="s">
        <v>393</v>
      </c>
      <c r="J58" s="130" t="s">
        <v>557</v>
      </c>
      <c r="K58" s="2480">
        <v>100</v>
      </c>
    </row>
    <row r="59" spans="1:11">
      <c r="A59" s="83"/>
      <c r="B59" s="43" t="s">
        <v>4598</v>
      </c>
      <c r="C59" s="101" t="s">
        <v>4596</v>
      </c>
      <c r="D59" s="3458" t="s">
        <v>40</v>
      </c>
      <c r="E59" s="145"/>
      <c r="F59" s="2366">
        <v>120</v>
      </c>
      <c r="G59" s="483" t="s">
        <v>4599</v>
      </c>
      <c r="H59" s="74">
        <v>596.15</v>
      </c>
      <c r="I59" s="105">
        <v>596.15</v>
      </c>
      <c r="J59" s="130" t="s">
        <v>4600</v>
      </c>
      <c r="K59" s="2480">
        <v>96.67</v>
      </c>
    </row>
    <row r="60" spans="1:11" ht="35.25" thickBot="1">
      <c r="A60" s="83"/>
      <c r="B60" s="43" t="s">
        <v>4601</v>
      </c>
      <c r="C60" s="101" t="s">
        <v>4596</v>
      </c>
      <c r="D60" s="3458" t="s">
        <v>40</v>
      </c>
      <c r="E60" s="2485" t="s">
        <v>4602</v>
      </c>
      <c r="F60" s="2366">
        <v>120</v>
      </c>
      <c r="G60" s="483" t="s">
        <v>4597</v>
      </c>
      <c r="H60" s="74">
        <v>586.54</v>
      </c>
      <c r="I60" s="105" t="s">
        <v>393</v>
      </c>
      <c r="J60" s="130" t="s">
        <v>4603</v>
      </c>
      <c r="K60" s="2480">
        <v>102.76</v>
      </c>
    </row>
    <row r="61" spans="1:11" ht="36" thickTop="1" thickBot="1">
      <c r="A61" s="2438"/>
      <c r="B61" s="1922" t="s">
        <v>4604</v>
      </c>
      <c r="C61" s="1906" t="s">
        <v>4596</v>
      </c>
      <c r="D61" s="2477" t="s">
        <v>40</v>
      </c>
      <c r="E61" s="2485" t="s">
        <v>4602</v>
      </c>
      <c r="F61" s="2483"/>
      <c r="G61" s="2478" t="s">
        <v>4599</v>
      </c>
      <c r="H61" s="1909">
        <v>615.89</v>
      </c>
      <c r="I61" s="105" t="s">
        <v>393</v>
      </c>
      <c r="J61" s="2481" t="s">
        <v>4605</v>
      </c>
      <c r="K61" s="2484" t="s">
        <v>4606</v>
      </c>
    </row>
    <row r="62" spans="1:11" ht="35.25" thickTop="1">
      <c r="A62" s="265"/>
      <c r="B62" s="43" t="s">
        <v>4607</v>
      </c>
      <c r="C62" s="101" t="s">
        <v>4608</v>
      </c>
      <c r="D62" s="3458"/>
      <c r="E62" s="145"/>
      <c r="F62" s="2366" t="s">
        <v>4609</v>
      </c>
      <c r="G62" s="483" t="s">
        <v>4599</v>
      </c>
      <c r="H62" s="74">
        <v>274.04000000000002</v>
      </c>
      <c r="I62" s="105" t="s">
        <v>942</v>
      </c>
      <c r="J62" s="130" t="s">
        <v>4610</v>
      </c>
      <c r="K62" s="2482" t="s">
        <v>4611</v>
      </c>
    </row>
    <row r="63" spans="1:11">
      <c r="A63" s="83"/>
      <c r="B63" s="43" t="s">
        <v>4591</v>
      </c>
      <c r="C63" s="101" t="s">
        <v>3712</v>
      </c>
      <c r="D63" s="3458"/>
      <c r="E63" s="145"/>
      <c r="F63" s="2366" t="s">
        <v>4612</v>
      </c>
      <c r="G63" s="483" t="s">
        <v>4599</v>
      </c>
      <c r="H63" s="74">
        <v>326.76</v>
      </c>
      <c r="I63" s="105" t="s">
        <v>942</v>
      </c>
      <c r="J63" s="130" t="s">
        <v>4613</v>
      </c>
      <c r="K63" s="2479" t="s">
        <v>4191</v>
      </c>
    </row>
    <row r="64" spans="1:11">
      <c r="A64" s="83"/>
      <c r="B64" s="43" t="s">
        <v>4598</v>
      </c>
      <c r="C64" s="101" t="s">
        <v>3712</v>
      </c>
      <c r="D64" s="3458"/>
      <c r="E64" s="145"/>
      <c r="F64" s="2366" t="s">
        <v>4614</v>
      </c>
      <c r="G64" s="483" t="s">
        <v>4599</v>
      </c>
      <c r="H64" s="74">
        <v>304.89999999999998</v>
      </c>
      <c r="I64" s="105" t="s">
        <v>942</v>
      </c>
      <c r="J64" s="130" t="s">
        <v>4615</v>
      </c>
      <c r="K64" s="2480" t="s">
        <v>4616</v>
      </c>
    </row>
    <row r="65" spans="1:12">
      <c r="A65" s="83"/>
      <c r="B65" s="43" t="s">
        <v>4617</v>
      </c>
      <c r="C65" s="101" t="s">
        <v>4608</v>
      </c>
      <c r="D65" s="3458"/>
      <c r="E65" s="145"/>
      <c r="F65" s="2366" t="s">
        <v>4609</v>
      </c>
      <c r="G65" s="483" t="s">
        <v>4599</v>
      </c>
      <c r="H65" s="74">
        <v>260</v>
      </c>
      <c r="I65" s="105" t="s">
        <v>942</v>
      </c>
      <c r="J65" s="130" t="s">
        <v>4590</v>
      </c>
      <c r="K65" s="2480" t="s">
        <v>4618</v>
      </c>
    </row>
    <row r="66" spans="1:12">
      <c r="A66" s="83"/>
      <c r="B66" s="43" t="s">
        <v>4619</v>
      </c>
      <c r="C66" s="101" t="s">
        <v>3712</v>
      </c>
      <c r="D66" s="3458"/>
      <c r="E66" s="90"/>
      <c r="F66" s="2366" t="s">
        <v>4620</v>
      </c>
      <c r="G66" s="483" t="s">
        <v>4599</v>
      </c>
      <c r="H66" s="74">
        <v>306.95999999999998</v>
      </c>
      <c r="I66" s="105" t="s">
        <v>942</v>
      </c>
      <c r="J66" s="130" t="s">
        <v>4585</v>
      </c>
      <c r="K66" s="2480" t="s">
        <v>4621</v>
      </c>
    </row>
    <row r="67" spans="1:12">
      <c r="A67" s="83"/>
      <c r="B67" s="43" t="s">
        <v>4622</v>
      </c>
      <c r="C67" s="101" t="s">
        <v>3712</v>
      </c>
      <c r="D67" s="3458"/>
      <c r="E67" s="145"/>
      <c r="F67" s="2366" t="s">
        <v>4620</v>
      </c>
      <c r="G67" s="483" t="s">
        <v>4599</v>
      </c>
      <c r="H67" s="74">
        <v>306.95999999999998</v>
      </c>
      <c r="I67" s="105" t="s">
        <v>942</v>
      </c>
      <c r="J67" s="130" t="s">
        <v>4585</v>
      </c>
      <c r="K67" s="2480" t="s">
        <v>4621</v>
      </c>
    </row>
    <row r="68" spans="1:12">
      <c r="A68" s="83"/>
      <c r="B68" s="43" t="s">
        <v>4623</v>
      </c>
      <c r="C68" s="101" t="s">
        <v>3712</v>
      </c>
      <c r="D68" s="3458"/>
      <c r="E68" s="145"/>
      <c r="F68" s="2366" t="s">
        <v>4620</v>
      </c>
      <c r="G68" s="483" t="s">
        <v>4599</v>
      </c>
      <c r="H68" s="74">
        <v>306.95999999999998</v>
      </c>
      <c r="I68" s="105" t="s">
        <v>942</v>
      </c>
      <c r="J68" s="130" t="s">
        <v>4585</v>
      </c>
      <c r="K68" s="2480" t="s">
        <v>4621</v>
      </c>
    </row>
    <row r="69" spans="1:12">
      <c r="A69" s="83"/>
      <c r="B69" s="89" t="s">
        <v>4624</v>
      </c>
      <c r="C69" s="101" t="s">
        <v>3712</v>
      </c>
      <c r="D69" s="3458"/>
      <c r="E69" s="145"/>
      <c r="F69" s="2366" t="s">
        <v>4620</v>
      </c>
      <c r="G69" s="483" t="s">
        <v>4599</v>
      </c>
      <c r="H69" s="74">
        <v>306.95999999999998</v>
      </c>
      <c r="I69" s="105" t="s">
        <v>942</v>
      </c>
      <c r="J69" s="130" t="s">
        <v>4585</v>
      </c>
      <c r="K69" s="2480" t="s">
        <v>4621</v>
      </c>
    </row>
    <row r="70" spans="1:12">
      <c r="A70" s="83"/>
      <c r="B70" s="43" t="s">
        <v>4625</v>
      </c>
      <c r="C70" s="101" t="s">
        <v>3712</v>
      </c>
      <c r="D70" s="3458"/>
      <c r="E70" s="145"/>
      <c r="F70" s="2366" t="s">
        <v>4620</v>
      </c>
      <c r="G70" s="483" t="s">
        <v>4599</v>
      </c>
      <c r="H70" s="74">
        <v>306.95999999999998</v>
      </c>
      <c r="I70" s="105" t="s">
        <v>942</v>
      </c>
      <c r="J70" s="130" t="s">
        <v>4585</v>
      </c>
      <c r="K70" s="2480" t="s">
        <v>4621</v>
      </c>
    </row>
    <row r="71" spans="1:12">
      <c r="A71" s="45"/>
      <c r="B71" s="76" t="s">
        <v>4626</v>
      </c>
      <c r="C71" s="104" t="s">
        <v>3550</v>
      </c>
      <c r="D71" s="45"/>
      <c r="E71" s="145"/>
      <c r="F71" s="2366" t="s">
        <v>4620</v>
      </c>
      <c r="G71" s="483" t="s">
        <v>4599</v>
      </c>
      <c r="H71" s="74">
        <v>306.95999999999998</v>
      </c>
      <c r="I71" s="105" t="s">
        <v>942</v>
      </c>
      <c r="J71" s="130" t="s">
        <v>4585</v>
      </c>
      <c r="K71" s="2480" t="s">
        <v>4621</v>
      </c>
      <c r="L71" s="45"/>
    </row>
    <row r="72" spans="1:12">
      <c r="A72" s="45"/>
      <c r="B72" s="45"/>
      <c r="C72" s="68"/>
      <c r="D72" s="45"/>
      <c r="F72" s="44"/>
      <c r="G72" s="482"/>
      <c r="H72" s="45"/>
      <c r="I72" s="127"/>
      <c r="K72" s="380">
        <v>3</v>
      </c>
      <c r="L72" s="45"/>
    </row>
    <row r="73" spans="1:12">
      <c r="A73" s="45" t="s">
        <v>0</v>
      </c>
      <c r="B73" s="45"/>
      <c r="C73" s="68"/>
      <c r="D73" s="102"/>
      <c r="F73" s="44"/>
      <c r="G73" s="482"/>
      <c r="H73" s="45"/>
      <c r="I73" s="127"/>
      <c r="L73" s="45"/>
    </row>
    <row r="74" spans="1:12">
      <c r="A74" s="44" t="s">
        <v>4569</v>
      </c>
      <c r="B74" s="45"/>
      <c r="C74" s="46"/>
      <c r="D74" s="104"/>
      <c r="F74" s="44"/>
      <c r="G74" s="482"/>
      <c r="H74" s="45"/>
      <c r="I74" s="127"/>
      <c r="L74" s="45"/>
    </row>
    <row r="75" spans="1:12" ht="18.75" customHeight="1" thickBot="1">
      <c r="D75" s="102"/>
      <c r="F75" s="44"/>
    </row>
    <row r="76" spans="1:12">
      <c r="A76" s="3445"/>
      <c r="B76" s="3446" t="s">
        <v>2</v>
      </c>
      <c r="C76" s="48" t="s">
        <v>3</v>
      </c>
      <c r="D76" s="110" t="s">
        <v>4</v>
      </c>
      <c r="E76" s="77" t="s">
        <v>5</v>
      </c>
      <c r="F76" s="78" t="s">
        <v>5</v>
      </c>
      <c r="G76" s="484" t="s">
        <v>6</v>
      </c>
      <c r="H76" s="48" t="s">
        <v>7</v>
      </c>
      <c r="I76" s="136" t="s">
        <v>8</v>
      </c>
      <c r="J76" s="488" t="s">
        <v>9</v>
      </c>
      <c r="K76" s="630" t="s">
        <v>9</v>
      </c>
      <c r="L76" s="46"/>
    </row>
    <row r="77" spans="1:12" ht="35.25" thickBot="1">
      <c r="A77" s="51"/>
      <c r="B77" s="72"/>
      <c r="C77" s="50"/>
      <c r="D77" s="111" t="s">
        <v>10</v>
      </c>
      <c r="E77" s="79" t="s">
        <v>12</v>
      </c>
      <c r="F77" s="80" t="s">
        <v>11</v>
      </c>
      <c r="G77" s="485"/>
      <c r="H77" s="50" t="s">
        <v>13</v>
      </c>
      <c r="I77" s="137"/>
      <c r="J77" s="487" t="s">
        <v>14</v>
      </c>
      <c r="K77" s="631" t="s">
        <v>15</v>
      </c>
      <c r="L77" s="46"/>
    </row>
    <row r="78" spans="1:12" s="45" customFormat="1">
      <c r="A78" s="480" t="s">
        <v>4627</v>
      </c>
      <c r="B78" s="481"/>
      <c r="C78" s="101" t="s">
        <v>4628</v>
      </c>
      <c r="D78" s="3458"/>
      <c r="E78" s="145"/>
      <c r="F78" s="92"/>
      <c r="G78" s="483"/>
      <c r="H78" s="74"/>
      <c r="I78" s="105"/>
      <c r="J78" s="295"/>
      <c r="K78" s="375"/>
    </row>
    <row r="79" spans="1:12">
      <c r="A79" s="156"/>
      <c r="B79" s="43" t="s">
        <v>4629</v>
      </c>
      <c r="C79" s="101" t="s">
        <v>3550</v>
      </c>
      <c r="D79" s="3458"/>
      <c r="E79" s="2324"/>
      <c r="F79" s="92"/>
      <c r="G79" s="1505" t="s">
        <v>4630</v>
      </c>
      <c r="H79" s="74">
        <v>330</v>
      </c>
      <c r="I79" s="730" t="s">
        <v>4631</v>
      </c>
      <c r="J79" s="105">
        <v>345</v>
      </c>
      <c r="K79" s="2605"/>
    </row>
    <row r="80" spans="1:12">
      <c r="A80" s="156"/>
      <c r="B80" s="43"/>
      <c r="C80" s="101"/>
      <c r="D80" s="3458"/>
      <c r="E80" s="2324"/>
      <c r="F80" s="92"/>
      <c r="G80" s="1505"/>
      <c r="H80" s="74"/>
      <c r="I80" s="730"/>
      <c r="J80" s="105"/>
      <c r="K80" s="2605"/>
    </row>
    <row r="81" spans="1:11">
      <c r="A81" s="156"/>
      <c r="B81" s="43"/>
      <c r="C81" s="101"/>
      <c r="D81" s="3458"/>
      <c r="E81" s="145"/>
      <c r="F81" s="92"/>
      <c r="G81" s="483"/>
      <c r="H81" s="74"/>
      <c r="I81" s="105"/>
      <c r="J81" s="126"/>
      <c r="K81" s="375"/>
    </row>
    <row r="82" spans="1:11">
      <c r="A82" s="156"/>
      <c r="B82" s="43"/>
      <c r="C82" s="101"/>
      <c r="D82" s="3458"/>
      <c r="E82" s="2324"/>
      <c r="F82" s="92"/>
      <c r="G82" s="1505"/>
      <c r="H82" s="74"/>
      <c r="I82" s="730"/>
      <c r="J82" s="105"/>
      <c r="K82" s="2605"/>
    </row>
    <row r="83" spans="1:11">
      <c r="A83" s="156"/>
      <c r="B83" s="43" t="s">
        <v>4607</v>
      </c>
      <c r="C83" s="101" t="s">
        <v>4608</v>
      </c>
      <c r="D83" s="3458"/>
      <c r="E83" s="145"/>
      <c r="F83" s="92"/>
      <c r="G83" s="483" t="s">
        <v>4632</v>
      </c>
      <c r="H83" s="74"/>
      <c r="I83" s="105"/>
      <c r="J83" s="126" t="s">
        <v>4633</v>
      </c>
      <c r="K83" s="375">
        <f>550/6</f>
        <v>91.666666666666671</v>
      </c>
    </row>
    <row r="84" spans="1:11">
      <c r="A84" s="156"/>
      <c r="B84" s="43" t="s">
        <v>4634</v>
      </c>
      <c r="C84" s="101" t="s">
        <v>3712</v>
      </c>
      <c r="D84" s="3458"/>
      <c r="E84" s="145"/>
      <c r="F84" s="92"/>
      <c r="G84" s="483" t="s">
        <v>4635</v>
      </c>
      <c r="H84" s="74"/>
      <c r="I84" s="105"/>
      <c r="J84" s="126" t="s">
        <v>4636</v>
      </c>
      <c r="K84" s="375"/>
    </row>
    <row r="85" spans="1:11">
      <c r="A85" s="156"/>
      <c r="B85" s="43" t="s">
        <v>4637</v>
      </c>
      <c r="C85" s="101" t="s">
        <v>4608</v>
      </c>
      <c r="D85" s="3458"/>
      <c r="E85" s="145" t="s">
        <v>4638</v>
      </c>
      <c r="F85" s="92"/>
      <c r="G85" s="483" t="s">
        <v>3141</v>
      </c>
      <c r="H85" s="74"/>
      <c r="I85" s="105"/>
      <c r="J85" s="126" t="s">
        <v>4639</v>
      </c>
      <c r="K85" s="375"/>
    </row>
    <row r="86" spans="1:11">
      <c r="A86" s="156"/>
      <c r="B86" s="43" t="s">
        <v>4598</v>
      </c>
      <c r="C86" s="101" t="s">
        <v>3712</v>
      </c>
      <c r="D86" s="3458"/>
      <c r="E86" s="145"/>
      <c r="F86" s="92"/>
      <c r="G86" s="1505" t="s">
        <v>3141</v>
      </c>
      <c r="H86" s="74"/>
      <c r="I86" s="105" t="s">
        <v>204</v>
      </c>
      <c r="J86" s="126" t="s">
        <v>4640</v>
      </c>
      <c r="K86" s="375"/>
    </row>
    <row r="87" spans="1:11">
      <c r="A87" s="156"/>
      <c r="B87" s="43" t="s">
        <v>4641</v>
      </c>
      <c r="C87" s="101" t="s">
        <v>3550</v>
      </c>
      <c r="D87" s="3458"/>
      <c r="E87" s="2324" t="s">
        <v>4642</v>
      </c>
      <c r="F87" s="92"/>
      <c r="G87" s="1505" t="s">
        <v>4643</v>
      </c>
      <c r="H87" s="74">
        <v>320</v>
      </c>
      <c r="I87" s="730" t="s">
        <v>4644</v>
      </c>
      <c r="J87" s="105" t="s">
        <v>4645</v>
      </c>
      <c r="K87" s="2605" t="s">
        <v>4646</v>
      </c>
    </row>
    <row r="88" spans="1:11">
      <c r="A88" s="156"/>
      <c r="B88" s="89" t="s">
        <v>4647</v>
      </c>
      <c r="C88" s="101" t="s">
        <v>3712</v>
      </c>
      <c r="D88" s="3458"/>
      <c r="E88" s="2324" t="s">
        <v>4642</v>
      </c>
      <c r="F88" s="92"/>
      <c r="G88" s="1505" t="s">
        <v>4643</v>
      </c>
      <c r="H88" s="74">
        <v>320</v>
      </c>
      <c r="I88" s="730" t="s">
        <v>4644</v>
      </c>
      <c r="J88" s="105" t="s">
        <v>4645</v>
      </c>
      <c r="K88" s="2605" t="s">
        <v>4646</v>
      </c>
    </row>
    <row r="89" spans="1:11">
      <c r="A89" s="83"/>
      <c r="B89" s="89" t="s">
        <v>4624</v>
      </c>
      <c r="C89" s="101" t="s">
        <v>3748</v>
      </c>
      <c r="D89" s="3458"/>
      <c r="E89" s="145"/>
      <c r="F89" s="92">
        <v>480</v>
      </c>
      <c r="G89" s="483" t="s">
        <v>1507</v>
      </c>
      <c r="H89" s="74"/>
      <c r="I89" s="105"/>
      <c r="J89" s="126" t="s">
        <v>4648</v>
      </c>
      <c r="K89" s="375"/>
    </row>
    <row r="90" spans="1:11">
      <c r="A90" s="83"/>
      <c r="B90" s="89" t="s">
        <v>4649</v>
      </c>
      <c r="C90" s="101" t="s">
        <v>3712</v>
      </c>
      <c r="D90" s="3458"/>
      <c r="E90" s="145"/>
      <c r="F90" s="92">
        <v>360</v>
      </c>
      <c r="G90" s="483" t="s">
        <v>1507</v>
      </c>
      <c r="H90" s="74"/>
      <c r="I90" s="105"/>
      <c r="J90" s="126" t="s">
        <v>4650</v>
      </c>
      <c r="K90" s="375"/>
    </row>
    <row r="91" spans="1:11">
      <c r="A91" s="83"/>
      <c r="B91" s="43" t="s">
        <v>4598</v>
      </c>
      <c r="C91" s="101" t="s">
        <v>3748</v>
      </c>
      <c r="D91" s="3458"/>
      <c r="E91" s="145"/>
      <c r="F91" s="92"/>
      <c r="G91" s="483" t="s">
        <v>4651</v>
      </c>
      <c r="H91" s="74"/>
      <c r="I91" s="105"/>
      <c r="J91" s="126" t="s">
        <v>4588</v>
      </c>
      <c r="K91" s="375"/>
    </row>
    <row r="92" spans="1:11">
      <c r="A92" s="83"/>
      <c r="B92" s="43" t="s">
        <v>4652</v>
      </c>
      <c r="C92" s="101" t="s">
        <v>3712</v>
      </c>
      <c r="D92" s="3458"/>
      <c r="E92" s="2324" t="s">
        <v>4642</v>
      </c>
      <c r="F92" s="92"/>
      <c r="G92" s="1505" t="s">
        <v>4643</v>
      </c>
      <c r="H92" s="74">
        <v>320</v>
      </c>
      <c r="I92" s="730" t="s">
        <v>4644</v>
      </c>
      <c r="J92" s="105" t="s">
        <v>4645</v>
      </c>
      <c r="K92" s="2605" t="s">
        <v>4646</v>
      </c>
    </row>
    <row r="93" spans="1:11">
      <c r="A93" s="83"/>
      <c r="B93" s="362" t="s">
        <v>4653</v>
      </c>
      <c r="C93" s="2178" t="s">
        <v>4654</v>
      </c>
      <c r="D93" s="3458" t="s">
        <v>4655</v>
      </c>
      <c r="E93" s="2324" t="s">
        <v>4656</v>
      </c>
      <c r="F93" s="92"/>
      <c r="G93" s="1505" t="s">
        <v>4643</v>
      </c>
      <c r="H93" s="74" t="s">
        <v>4657</v>
      </c>
      <c r="I93" s="105" t="s">
        <v>393</v>
      </c>
      <c r="J93" s="295" t="s">
        <v>4658</v>
      </c>
      <c r="K93" s="2604" t="s">
        <v>4659</v>
      </c>
    </row>
    <row r="94" spans="1:11" s="45" customFormat="1">
      <c r="A94" s="496"/>
      <c r="B94" s="43" t="s">
        <v>4660</v>
      </c>
      <c r="C94" s="2178" t="s">
        <v>4654</v>
      </c>
      <c r="D94" s="3458" t="s">
        <v>4655</v>
      </c>
      <c r="E94" s="2324" t="s">
        <v>4656</v>
      </c>
      <c r="F94" s="92"/>
      <c r="G94" s="1505" t="s">
        <v>4643</v>
      </c>
      <c r="H94" s="74" t="s">
        <v>4657</v>
      </c>
      <c r="I94" s="105" t="s">
        <v>393</v>
      </c>
      <c r="J94" s="295" t="s">
        <v>4658</v>
      </c>
      <c r="K94" s="2604" t="s">
        <v>4659</v>
      </c>
    </row>
    <row r="95" spans="1:11">
      <c r="A95" s="74"/>
      <c r="B95" s="43" t="s">
        <v>4598</v>
      </c>
      <c r="C95" s="2178" t="s">
        <v>4654</v>
      </c>
      <c r="D95" s="3458" t="s">
        <v>4655</v>
      </c>
      <c r="E95" s="2324" t="s">
        <v>4656</v>
      </c>
      <c r="F95" s="92"/>
      <c r="G95" s="1505" t="s">
        <v>2142</v>
      </c>
      <c r="H95" s="74" t="s">
        <v>4657</v>
      </c>
      <c r="I95" s="105" t="s">
        <v>393</v>
      </c>
      <c r="J95" s="295" t="s">
        <v>4658</v>
      </c>
      <c r="K95" s="2604" t="s">
        <v>4659</v>
      </c>
    </row>
    <row r="96" spans="1:11">
      <c r="A96" s="74"/>
      <c r="B96" s="43" t="s">
        <v>4652</v>
      </c>
      <c r="C96" s="2178" t="s">
        <v>4654</v>
      </c>
      <c r="D96" s="3458" t="s">
        <v>4655</v>
      </c>
      <c r="E96" s="2324" t="s">
        <v>4656</v>
      </c>
      <c r="F96" s="92"/>
      <c r="G96" s="1505" t="s">
        <v>4643</v>
      </c>
      <c r="H96" s="74" t="s">
        <v>4657</v>
      </c>
      <c r="I96" s="105" t="s">
        <v>393</v>
      </c>
      <c r="J96" s="295" t="s">
        <v>4658</v>
      </c>
      <c r="K96" s="2604" t="s">
        <v>4659</v>
      </c>
    </row>
    <row r="97" spans="1:12">
      <c r="A97" s="74"/>
      <c r="B97" s="43" t="s">
        <v>4661</v>
      </c>
      <c r="C97" s="2178" t="s">
        <v>4654</v>
      </c>
      <c r="D97" s="3458" t="s">
        <v>4655</v>
      </c>
      <c r="E97" s="2324" t="s">
        <v>4656</v>
      </c>
      <c r="F97" s="92"/>
      <c r="G97" s="1505" t="s">
        <v>4643</v>
      </c>
      <c r="H97" s="74" t="s">
        <v>4657</v>
      </c>
      <c r="I97" s="105" t="s">
        <v>393</v>
      </c>
      <c r="J97" s="295" t="s">
        <v>4658</v>
      </c>
      <c r="K97" s="2604" t="s">
        <v>4659</v>
      </c>
    </row>
    <row r="98" spans="1:12">
      <c r="A98" s="58"/>
      <c r="B98" s="43" t="s">
        <v>4662</v>
      </c>
      <c r="C98" s="2178" t="s">
        <v>4654</v>
      </c>
      <c r="D98" s="3458" t="s">
        <v>4655</v>
      </c>
      <c r="E98" s="2324" t="s">
        <v>4656</v>
      </c>
      <c r="F98" s="92"/>
      <c r="G98" s="1505" t="s">
        <v>4643</v>
      </c>
      <c r="H98" s="74" t="s">
        <v>4657</v>
      </c>
      <c r="I98" s="105" t="s">
        <v>393</v>
      </c>
      <c r="J98" s="295" t="s">
        <v>4658</v>
      </c>
      <c r="K98" s="2604" t="s">
        <v>4659</v>
      </c>
    </row>
    <row r="99" spans="1:12">
      <c r="A99" s="58"/>
      <c r="B99" s="89" t="s">
        <v>4629</v>
      </c>
      <c r="C99" s="2178" t="s">
        <v>4654</v>
      </c>
      <c r="D99" s="3458" t="s">
        <v>4655</v>
      </c>
      <c r="E99" s="2324" t="s">
        <v>4656</v>
      </c>
      <c r="F99" s="92"/>
      <c r="G99" s="1505" t="s">
        <v>4630</v>
      </c>
      <c r="H99" s="74" t="s">
        <v>4657</v>
      </c>
      <c r="I99" s="105" t="s">
        <v>393</v>
      </c>
      <c r="J99" s="295" t="s">
        <v>4658</v>
      </c>
      <c r="K99" s="2604" t="s">
        <v>4659</v>
      </c>
    </row>
    <row r="100" spans="1:12">
      <c r="A100" s="74"/>
      <c r="B100" s="43" t="s">
        <v>4660</v>
      </c>
      <c r="C100" s="101" t="s">
        <v>3712</v>
      </c>
      <c r="D100" s="3458"/>
      <c r="E100" s="2324" t="s">
        <v>4642</v>
      </c>
      <c r="F100" s="92"/>
      <c r="G100" s="1505" t="s">
        <v>4643</v>
      </c>
      <c r="H100" s="74">
        <v>320</v>
      </c>
      <c r="I100" s="730" t="s">
        <v>4644</v>
      </c>
      <c r="J100" s="105" t="s">
        <v>4645</v>
      </c>
      <c r="K100" s="2605" t="s">
        <v>4646</v>
      </c>
    </row>
    <row r="101" spans="1:12">
      <c r="A101" s="74"/>
      <c r="B101" s="43" t="s">
        <v>4663</v>
      </c>
      <c r="C101" s="101" t="s">
        <v>3712</v>
      </c>
      <c r="D101" s="3458"/>
      <c r="E101" s="2324" t="s">
        <v>4642</v>
      </c>
      <c r="F101" s="92"/>
      <c r="G101" s="1505" t="s">
        <v>4643</v>
      </c>
      <c r="H101" s="74">
        <v>320</v>
      </c>
      <c r="I101" s="730" t="s">
        <v>4644</v>
      </c>
      <c r="J101" s="105" t="s">
        <v>4645</v>
      </c>
      <c r="K101" s="2605" t="s">
        <v>4646</v>
      </c>
    </row>
    <row r="102" spans="1:12">
      <c r="A102" s="74"/>
      <c r="B102" s="43" t="s">
        <v>4664</v>
      </c>
      <c r="C102" s="101" t="s">
        <v>3712</v>
      </c>
      <c r="D102" s="3458"/>
      <c r="E102" s="145"/>
      <c r="F102" s="92"/>
      <c r="G102" s="483" t="s">
        <v>1548</v>
      </c>
      <c r="H102" s="74"/>
      <c r="I102" s="105"/>
      <c r="J102" s="126" t="s">
        <v>4583</v>
      </c>
      <c r="K102" s="375"/>
    </row>
    <row r="103" spans="1:12" ht="33" customHeight="1">
      <c r="A103" s="74"/>
      <c r="B103" s="43" t="s">
        <v>4653</v>
      </c>
      <c r="C103" s="101" t="s">
        <v>3712</v>
      </c>
      <c r="D103" s="3458"/>
      <c r="E103" s="2324" t="s">
        <v>4642</v>
      </c>
      <c r="F103" s="92"/>
      <c r="G103" s="1505" t="s">
        <v>4643</v>
      </c>
      <c r="H103" s="74">
        <v>320</v>
      </c>
      <c r="I103" s="730" t="s">
        <v>4644</v>
      </c>
      <c r="J103" s="105" t="s">
        <v>4645</v>
      </c>
      <c r="K103" s="2605" t="s">
        <v>4646</v>
      </c>
    </row>
    <row r="104" spans="1:12">
      <c r="A104" s="976" t="s">
        <v>4665</v>
      </c>
      <c r="B104" s="89"/>
      <c r="C104" s="101"/>
      <c r="D104" s="3458"/>
      <c r="E104" s="145"/>
      <c r="F104" s="92"/>
      <c r="G104" s="483"/>
      <c r="H104" s="74"/>
      <c r="I104" s="105"/>
      <c r="J104" s="126"/>
      <c r="K104" s="375"/>
    </row>
    <row r="105" spans="1:12">
      <c r="A105" s="156"/>
      <c r="B105" s="89"/>
      <c r="C105" s="101"/>
      <c r="D105" s="3458"/>
      <c r="E105" s="145"/>
      <c r="F105" s="92"/>
      <c r="G105" s="483"/>
      <c r="H105" s="74"/>
      <c r="I105" s="105"/>
      <c r="J105" s="126"/>
      <c r="K105" s="375"/>
    </row>
    <row r="106" spans="1:12">
      <c r="A106" s="156"/>
      <c r="B106" s="43"/>
      <c r="C106" s="101"/>
      <c r="D106" s="3458"/>
      <c r="E106" s="145"/>
      <c r="F106" s="92"/>
      <c r="G106" s="483"/>
      <c r="H106" s="74"/>
      <c r="I106" s="105"/>
      <c r="J106" s="126"/>
      <c r="K106" s="375"/>
    </row>
    <row r="107" spans="1:12">
      <c r="B107" s="75"/>
      <c r="C107" s="104"/>
      <c r="D107" s="104"/>
      <c r="E107" s="104"/>
      <c r="F107" s="104"/>
      <c r="G107" s="104"/>
      <c r="H107" s="104"/>
      <c r="I107" s="104"/>
      <c r="J107" s="376"/>
    </row>
    <row r="108" spans="1:12">
      <c r="A108" s="45" t="s">
        <v>0</v>
      </c>
      <c r="B108" s="45"/>
      <c r="C108" s="68"/>
      <c r="D108" s="102"/>
      <c r="F108" s="44"/>
      <c r="G108" s="482"/>
      <c r="H108" s="45"/>
      <c r="I108" s="127"/>
      <c r="L108" s="45"/>
    </row>
    <row r="109" spans="1:12">
      <c r="A109" s="44" t="s">
        <v>1453</v>
      </c>
      <c r="B109" s="45"/>
      <c r="C109" s="46"/>
      <c r="D109" s="104"/>
      <c r="F109" s="44"/>
      <c r="G109" s="482"/>
      <c r="H109" s="45"/>
      <c r="I109" s="127"/>
      <c r="L109" s="45"/>
    </row>
    <row r="110" spans="1:12" ht="35.25" thickBot="1">
      <c r="D110" s="102"/>
      <c r="F110" s="44"/>
    </row>
    <row r="111" spans="1:12">
      <c r="A111" s="47" t="s">
        <v>1454</v>
      </c>
      <c r="B111" s="3446" t="s">
        <v>2</v>
      </c>
      <c r="C111" s="48" t="s">
        <v>3</v>
      </c>
      <c r="D111" s="110" t="s">
        <v>4</v>
      </c>
      <c r="E111" s="77" t="s">
        <v>5</v>
      </c>
      <c r="F111" s="78" t="s">
        <v>5</v>
      </c>
      <c r="G111" s="484" t="s">
        <v>6</v>
      </c>
      <c r="H111" s="48" t="s">
        <v>7</v>
      </c>
      <c r="I111" s="136" t="s">
        <v>8</v>
      </c>
      <c r="J111" s="488" t="s">
        <v>9</v>
      </c>
      <c r="K111" s="630" t="s">
        <v>9</v>
      </c>
      <c r="L111" s="46"/>
    </row>
    <row r="112" spans="1:12" ht="35.25" thickBot="1">
      <c r="A112" s="49"/>
      <c r="B112" s="72"/>
      <c r="C112" s="50"/>
      <c r="D112" s="111" t="s">
        <v>10</v>
      </c>
      <c r="E112" s="79" t="s">
        <v>12</v>
      </c>
      <c r="F112" s="80" t="s">
        <v>11</v>
      </c>
      <c r="G112" s="485"/>
      <c r="H112" s="50" t="s">
        <v>13</v>
      </c>
      <c r="I112" s="137"/>
      <c r="J112" s="487" t="s">
        <v>14</v>
      </c>
      <c r="K112" s="631" t="s">
        <v>15</v>
      </c>
      <c r="L112" s="46"/>
    </row>
    <row r="113" spans="1:11">
      <c r="A113" s="480" t="s">
        <v>4666</v>
      </c>
      <c r="B113" s="481"/>
      <c r="C113" s="101"/>
      <c r="D113" s="3458"/>
      <c r="E113" s="90"/>
      <c r="F113" s="92"/>
      <c r="G113" s="483"/>
      <c r="H113" s="58"/>
      <c r="I113" s="126"/>
      <c r="J113" s="295"/>
      <c r="K113" s="375"/>
    </row>
    <row r="114" spans="1:11">
      <c r="A114" s="157"/>
      <c r="B114" s="43" t="s">
        <v>4667</v>
      </c>
      <c r="C114" s="101"/>
      <c r="D114" s="3458"/>
      <c r="E114" s="90"/>
      <c r="F114" s="92"/>
      <c r="G114" s="483" t="s">
        <v>4668</v>
      </c>
      <c r="H114" s="58"/>
      <c r="I114" s="126"/>
      <c r="J114" s="295"/>
      <c r="K114" s="375">
        <v>91</v>
      </c>
    </row>
    <row r="115" spans="1:11">
      <c r="A115" s="156"/>
      <c r="B115" s="43" t="s">
        <v>4669</v>
      </c>
      <c r="C115" s="101"/>
      <c r="D115" s="3458"/>
      <c r="E115" s="90"/>
      <c r="F115" s="92"/>
      <c r="G115" s="483" t="s">
        <v>4668</v>
      </c>
      <c r="H115" s="74"/>
      <c r="I115" s="105"/>
      <c r="J115" s="295"/>
      <c r="K115" s="375">
        <v>87</v>
      </c>
    </row>
    <row r="116" spans="1:11">
      <c r="A116" s="156"/>
      <c r="B116" s="43" t="s">
        <v>4670</v>
      </c>
      <c r="C116" s="101"/>
      <c r="D116" s="3458"/>
      <c r="E116" s="90"/>
      <c r="F116" s="92"/>
      <c r="G116" s="483" t="s">
        <v>4668</v>
      </c>
      <c r="H116" s="74"/>
      <c r="I116" s="105"/>
      <c r="J116" s="295"/>
      <c r="K116" s="375">
        <v>87</v>
      </c>
    </row>
    <row r="117" spans="1:11">
      <c r="A117" s="156"/>
      <c r="B117" s="43" t="s">
        <v>4671</v>
      </c>
      <c r="C117" s="101"/>
      <c r="D117" s="3458"/>
      <c r="E117" s="90"/>
      <c r="F117" s="92"/>
      <c r="G117" s="483" t="s">
        <v>4668</v>
      </c>
      <c r="H117" s="74"/>
      <c r="I117" s="105"/>
      <c r="J117" s="295"/>
      <c r="K117" s="375">
        <v>83</v>
      </c>
    </row>
    <row r="118" spans="1:11">
      <c r="A118" s="156"/>
      <c r="B118" s="43" t="s">
        <v>4672</v>
      </c>
      <c r="C118" s="101"/>
      <c r="D118" s="3458"/>
      <c r="E118" s="90"/>
      <c r="F118" s="92"/>
      <c r="G118" s="483" t="s">
        <v>4668</v>
      </c>
      <c r="H118" s="74"/>
      <c r="I118" s="105"/>
      <c r="J118" s="295"/>
      <c r="K118" s="375">
        <v>81</v>
      </c>
    </row>
    <row r="119" spans="1:11">
      <c r="A119" s="156"/>
      <c r="B119" s="43" t="s">
        <v>4673</v>
      </c>
      <c r="C119" s="101"/>
      <c r="D119" s="3458"/>
      <c r="E119" s="90"/>
      <c r="F119" s="92"/>
      <c r="G119" s="483" t="s">
        <v>4668</v>
      </c>
      <c r="H119" s="74"/>
      <c r="I119" s="105"/>
      <c r="J119" s="295"/>
      <c r="K119" s="375">
        <v>77</v>
      </c>
    </row>
    <row r="120" spans="1:11">
      <c r="A120" s="156"/>
      <c r="B120" s="43" t="s">
        <v>4674</v>
      </c>
      <c r="C120" s="101"/>
      <c r="D120" s="3458"/>
      <c r="E120" s="90"/>
      <c r="F120" s="92"/>
      <c r="G120" s="483" t="s">
        <v>4668</v>
      </c>
      <c r="H120" s="74"/>
      <c r="I120" s="105"/>
      <c r="J120" s="295"/>
      <c r="K120" s="375">
        <v>84</v>
      </c>
    </row>
    <row r="121" spans="1:11">
      <c r="A121" s="156"/>
      <c r="B121" s="43" t="s">
        <v>4675</v>
      </c>
      <c r="C121" s="101"/>
      <c r="D121" s="3458"/>
      <c r="E121" s="90"/>
      <c r="F121" s="92"/>
      <c r="G121" s="483" t="s">
        <v>4668</v>
      </c>
      <c r="H121" s="74"/>
      <c r="I121" s="105"/>
      <c r="J121" s="295"/>
      <c r="K121" s="375">
        <v>80</v>
      </c>
    </row>
    <row r="122" spans="1:11">
      <c r="A122" s="156"/>
      <c r="B122" s="43" t="s">
        <v>4676</v>
      </c>
      <c r="C122" s="101" t="s">
        <v>4677</v>
      </c>
      <c r="D122" s="3458"/>
      <c r="E122" s="90"/>
      <c r="F122" s="92"/>
      <c r="G122" s="483" t="s">
        <v>4668</v>
      </c>
      <c r="H122" s="74"/>
      <c r="I122" s="105"/>
      <c r="J122" s="295"/>
      <c r="K122" s="375">
        <v>130</v>
      </c>
    </row>
    <row r="123" spans="1:11">
      <c r="A123" s="479"/>
      <c r="B123" s="43" t="s">
        <v>4676</v>
      </c>
      <c r="C123" s="101" t="s">
        <v>4678</v>
      </c>
      <c r="D123" s="3458"/>
      <c r="E123" s="90"/>
      <c r="F123" s="92"/>
      <c r="G123" s="483" t="s">
        <v>4668</v>
      </c>
      <c r="H123" s="74"/>
      <c r="I123" s="105"/>
      <c r="J123" s="295"/>
      <c r="K123" s="375">
        <v>65</v>
      </c>
    </row>
    <row r="124" spans="1:11">
      <c r="A124" s="479"/>
      <c r="B124" s="43" t="s">
        <v>4676</v>
      </c>
      <c r="C124" s="101" t="s">
        <v>4679</v>
      </c>
      <c r="D124" s="3458"/>
      <c r="E124" s="91"/>
      <c r="F124" s="61"/>
      <c r="G124" s="483" t="s">
        <v>4668</v>
      </c>
      <c r="H124" s="101"/>
      <c r="I124" s="105"/>
      <c r="J124" s="295"/>
      <c r="K124" s="375">
        <v>29</v>
      </c>
    </row>
    <row r="125" spans="1:11">
      <c r="A125" s="479"/>
      <c r="B125" s="43" t="s">
        <v>4680</v>
      </c>
      <c r="C125" s="101"/>
      <c r="D125" s="3458"/>
      <c r="E125" s="91"/>
      <c r="F125" s="146"/>
      <c r="G125" s="483" t="s">
        <v>4668</v>
      </c>
      <c r="H125" s="74"/>
      <c r="I125" s="105"/>
      <c r="J125" s="295"/>
      <c r="K125" s="375">
        <v>92</v>
      </c>
    </row>
    <row r="126" spans="1:11">
      <c r="A126" s="43"/>
      <c r="B126" s="113"/>
      <c r="C126" s="101"/>
      <c r="D126" s="3458"/>
      <c r="E126" s="145"/>
      <c r="F126" s="92"/>
      <c r="G126" s="483"/>
      <c r="H126" s="74"/>
      <c r="I126" s="105"/>
      <c r="J126" s="295"/>
      <c r="K126" s="375"/>
    </row>
    <row r="127" spans="1:11">
      <c r="A127" s="43"/>
      <c r="B127" s="382" t="s">
        <v>3993</v>
      </c>
      <c r="C127" s="126" t="s">
        <v>4681</v>
      </c>
      <c r="D127" s="490"/>
      <c r="E127" s="145"/>
      <c r="F127" s="92"/>
      <c r="G127" s="491"/>
      <c r="H127" s="58"/>
      <c r="I127" s="126"/>
      <c r="J127" s="295"/>
      <c r="K127" s="375"/>
    </row>
    <row r="128" spans="1:11">
      <c r="A128" s="43"/>
      <c r="B128" s="43" t="s">
        <v>4682</v>
      </c>
      <c r="C128" s="101"/>
      <c r="D128" s="3458" t="s">
        <v>309</v>
      </c>
      <c r="E128" s="145"/>
      <c r="F128" s="92"/>
      <c r="G128" s="483" t="s">
        <v>4683</v>
      </c>
      <c r="H128" s="74"/>
      <c r="I128" s="105" t="s">
        <v>4684</v>
      </c>
      <c r="J128" s="295">
        <v>565</v>
      </c>
      <c r="K128" s="365">
        <f>J128/10</f>
        <v>56.5</v>
      </c>
    </row>
    <row r="129" spans="1:11">
      <c r="A129" s="43"/>
      <c r="B129" s="113"/>
      <c r="C129" s="101"/>
      <c r="D129" s="3458"/>
      <c r="E129" s="145"/>
      <c r="F129" s="92"/>
      <c r="G129" s="483"/>
      <c r="H129" s="74"/>
      <c r="I129" s="105"/>
      <c r="J129" s="295"/>
      <c r="K129" s="375"/>
    </row>
    <row r="130" spans="1:11">
      <c r="A130" s="43"/>
      <c r="B130" s="113"/>
      <c r="C130" s="101"/>
      <c r="D130" s="3458"/>
      <c r="E130" s="145"/>
      <c r="F130" s="92"/>
      <c r="G130" s="483"/>
      <c r="H130" s="74"/>
      <c r="I130" s="105"/>
      <c r="J130" s="295"/>
      <c r="K130" s="375"/>
    </row>
    <row r="131" spans="1:11">
      <c r="A131" s="43"/>
      <c r="B131" s="113" t="s">
        <v>4685</v>
      </c>
      <c r="C131" s="101"/>
      <c r="D131" s="3458"/>
      <c r="E131" s="145"/>
      <c r="F131" s="92"/>
      <c r="G131" s="483" t="s">
        <v>4686</v>
      </c>
      <c r="H131" s="74"/>
      <c r="I131" s="105"/>
      <c r="J131" s="295"/>
      <c r="K131" s="375"/>
    </row>
    <row r="132" spans="1:11">
      <c r="A132" s="74"/>
      <c r="B132" s="113" t="s">
        <v>4687</v>
      </c>
      <c r="C132" s="101" t="s">
        <v>100</v>
      </c>
      <c r="D132" s="3458"/>
      <c r="E132" s="90"/>
      <c r="F132" s="92"/>
      <c r="G132" s="483" t="s">
        <v>4688</v>
      </c>
      <c r="H132" s="74"/>
      <c r="I132" s="105"/>
      <c r="J132" s="295">
        <v>1225</v>
      </c>
      <c r="K132" s="375"/>
    </row>
    <row r="133" spans="1:11" ht="33" customHeight="1">
      <c r="A133" s="58"/>
      <c r="B133" s="113" t="s">
        <v>4687</v>
      </c>
      <c r="C133" s="101" t="s">
        <v>284</v>
      </c>
      <c r="D133" s="3458"/>
      <c r="E133" s="90"/>
      <c r="F133" s="92"/>
      <c r="G133" s="483" t="s">
        <v>4688</v>
      </c>
      <c r="H133" s="58"/>
      <c r="I133" s="126"/>
      <c r="J133" s="295">
        <v>1225</v>
      </c>
      <c r="K133" s="375"/>
    </row>
    <row r="134" spans="1:11">
      <c r="A134" s="58"/>
      <c r="B134" s="113" t="s">
        <v>4689</v>
      </c>
      <c r="C134" s="101" t="s">
        <v>284</v>
      </c>
      <c r="D134" s="3458"/>
      <c r="E134" s="90"/>
      <c r="F134" s="92"/>
      <c r="G134" s="483" t="s">
        <v>4688</v>
      </c>
      <c r="H134" s="58"/>
      <c r="I134" s="126"/>
      <c r="J134" s="295">
        <v>1200</v>
      </c>
      <c r="K134" s="375"/>
    </row>
    <row r="135" spans="1:11">
      <c r="A135" s="74"/>
      <c r="B135" s="113" t="s">
        <v>4690</v>
      </c>
      <c r="C135" s="101" t="s">
        <v>284</v>
      </c>
      <c r="D135" s="3458"/>
      <c r="E135" s="90"/>
      <c r="F135" s="92"/>
      <c r="G135" s="483" t="s">
        <v>4688</v>
      </c>
      <c r="H135" s="74"/>
      <c r="I135" s="105"/>
      <c r="J135" s="295">
        <v>1200</v>
      </c>
      <c r="K135" s="375"/>
    </row>
    <row r="136" spans="1:11">
      <c r="A136" s="74"/>
      <c r="B136" s="113"/>
      <c r="C136" s="101"/>
      <c r="D136" s="3458"/>
      <c r="E136" s="90"/>
      <c r="F136" s="92"/>
      <c r="G136" s="483"/>
      <c r="H136" s="74"/>
      <c r="I136" s="105"/>
      <c r="J136" s="295"/>
      <c r="K136" s="375"/>
    </row>
    <row r="137" spans="1:11">
      <c r="A137" s="74"/>
      <c r="B137" s="113"/>
      <c r="C137" s="101"/>
      <c r="D137" s="3458"/>
      <c r="E137" s="90"/>
      <c r="F137" s="92"/>
      <c r="G137" s="483"/>
      <c r="H137" s="74"/>
      <c r="I137" s="105"/>
      <c r="J137" s="295"/>
      <c r="K137" s="375"/>
    </row>
    <row r="138" spans="1:11">
      <c r="A138" s="74"/>
      <c r="B138" s="1139" t="s">
        <v>4691</v>
      </c>
      <c r="C138" s="101"/>
      <c r="D138" s="3458"/>
      <c r="E138" s="145"/>
      <c r="F138" s="92"/>
      <c r="G138" s="483"/>
      <c r="H138" s="74"/>
      <c r="I138" s="105"/>
      <c r="J138" s="126"/>
      <c r="K138" s="126"/>
    </row>
    <row r="139" spans="1:11">
      <c r="A139" s="74"/>
      <c r="B139" s="43" t="s">
        <v>4692</v>
      </c>
      <c r="C139" s="101" t="s">
        <v>3712</v>
      </c>
      <c r="D139" s="3458"/>
      <c r="E139" s="145"/>
      <c r="F139" s="92"/>
      <c r="G139" s="483" t="s">
        <v>2487</v>
      </c>
      <c r="H139" s="74"/>
      <c r="I139" s="105"/>
      <c r="J139" s="126" t="s">
        <v>4693</v>
      </c>
      <c r="K139" s="126"/>
    </row>
    <row r="140" spans="1:11">
      <c r="A140" s="74"/>
      <c r="B140" s="43" t="s">
        <v>4663</v>
      </c>
      <c r="C140" s="101" t="s">
        <v>3712</v>
      </c>
      <c r="D140" s="3458"/>
      <c r="E140" s="145"/>
      <c r="F140" s="92"/>
      <c r="G140" s="483" t="s">
        <v>2487</v>
      </c>
      <c r="H140" s="74"/>
      <c r="I140" s="105"/>
      <c r="J140" s="126" t="s">
        <v>4693</v>
      </c>
      <c r="K140" s="126"/>
    </row>
    <row r="141" spans="1:11">
      <c r="A141" s="74"/>
      <c r="B141" s="89" t="s">
        <v>4694</v>
      </c>
      <c r="C141" s="101" t="s">
        <v>3712</v>
      </c>
      <c r="D141" s="3458"/>
      <c r="E141" s="145"/>
      <c r="F141" s="92"/>
      <c r="G141" s="483" t="s">
        <v>2487</v>
      </c>
      <c r="H141" s="74"/>
      <c r="I141" s="105"/>
      <c r="J141" s="126" t="s">
        <v>4693</v>
      </c>
      <c r="K141" s="126"/>
    </row>
    <row r="142" spans="1:11">
      <c r="A142" s="74"/>
      <c r="B142" s="89" t="s">
        <v>4695</v>
      </c>
      <c r="C142" s="101" t="s">
        <v>3712</v>
      </c>
      <c r="D142" s="3458"/>
      <c r="E142" s="145"/>
      <c r="F142" s="92"/>
      <c r="G142" s="483" t="s">
        <v>2487</v>
      </c>
      <c r="H142" s="74"/>
      <c r="I142" s="105"/>
      <c r="J142" s="126" t="s">
        <v>4693</v>
      </c>
      <c r="K142" s="375"/>
    </row>
    <row r="143" spans="1:11">
      <c r="A143" s="101"/>
      <c r="B143" s="89" t="s">
        <v>4647</v>
      </c>
      <c r="C143" s="101" t="s">
        <v>3712</v>
      </c>
      <c r="D143" s="3458"/>
      <c r="E143" s="145"/>
      <c r="F143" s="92"/>
      <c r="G143" s="483" t="s">
        <v>2487</v>
      </c>
      <c r="H143" s="74"/>
      <c r="I143" s="105"/>
      <c r="J143" s="126" t="s">
        <v>4693</v>
      </c>
      <c r="K143" s="375">
        <v>154.35</v>
      </c>
    </row>
    <row r="144" spans="1:11">
      <c r="A144" s="101"/>
      <c r="B144" s="43" t="s">
        <v>4653</v>
      </c>
      <c r="C144" s="101" t="s">
        <v>3712</v>
      </c>
      <c r="D144" s="3458"/>
      <c r="E144" s="145"/>
      <c r="F144" s="92"/>
      <c r="G144" s="483" t="s">
        <v>2487</v>
      </c>
      <c r="H144" s="74"/>
      <c r="I144" s="105"/>
      <c r="J144" s="126" t="s">
        <v>4696</v>
      </c>
      <c r="K144" s="375">
        <v>154.35</v>
      </c>
    </row>
    <row r="145" spans="1:12" ht="35.25" thickBot="1">
      <c r="A145" s="86"/>
      <c r="B145" s="113"/>
      <c r="C145" s="101"/>
      <c r="D145" s="3458"/>
      <c r="E145" s="147"/>
      <c r="F145" s="148"/>
      <c r="G145" s="483"/>
      <c r="H145" s="58"/>
      <c r="I145" s="126"/>
      <c r="J145" s="295"/>
      <c r="K145" s="375"/>
    </row>
    <row r="146" spans="1:12">
      <c r="A146" s="45"/>
      <c r="B146" s="45"/>
      <c r="C146" s="68"/>
      <c r="D146" s="45"/>
      <c r="F146" s="44"/>
      <c r="G146" s="482"/>
      <c r="H146" s="45"/>
      <c r="I146" s="127"/>
      <c r="L146" s="45"/>
    </row>
    <row r="147" spans="1:12">
      <c r="A147" s="45" t="s">
        <v>0</v>
      </c>
      <c r="B147" s="45"/>
      <c r="C147" s="68"/>
      <c r="D147" s="102"/>
      <c r="F147" s="44"/>
      <c r="G147" s="482"/>
      <c r="H147" s="45"/>
      <c r="I147" s="127"/>
      <c r="L147" s="45"/>
    </row>
    <row r="148" spans="1:12">
      <c r="A148" s="44" t="s">
        <v>1453</v>
      </c>
      <c r="B148" s="45"/>
      <c r="C148" s="46"/>
      <c r="D148" s="104"/>
      <c r="F148" s="44"/>
      <c r="G148" s="482"/>
      <c r="H148" s="45"/>
      <c r="I148" s="127"/>
      <c r="L148" s="45"/>
    </row>
    <row r="149" spans="1:12" ht="35.25" thickBot="1">
      <c r="D149" s="102"/>
      <c r="F149" s="44"/>
    </row>
    <row r="150" spans="1:12">
      <c r="A150" s="47" t="s">
        <v>1454</v>
      </c>
      <c r="B150" s="3446" t="s">
        <v>2</v>
      </c>
      <c r="C150" s="48" t="s">
        <v>3</v>
      </c>
      <c r="D150" s="110" t="s">
        <v>4</v>
      </c>
      <c r="E150" s="77" t="s">
        <v>5</v>
      </c>
      <c r="F150" s="78" t="s">
        <v>5</v>
      </c>
      <c r="G150" s="484" t="s">
        <v>6</v>
      </c>
      <c r="H150" s="48" t="s">
        <v>7</v>
      </c>
      <c r="I150" s="136" t="s">
        <v>8</v>
      </c>
      <c r="J150" s="488" t="s">
        <v>9</v>
      </c>
      <c r="K150" s="630" t="s">
        <v>9</v>
      </c>
      <c r="L150" s="46"/>
    </row>
    <row r="151" spans="1:12" ht="35.25" thickBot="1">
      <c r="A151" s="49"/>
      <c r="B151" s="72"/>
      <c r="C151" s="50"/>
      <c r="D151" s="111" t="s">
        <v>10</v>
      </c>
      <c r="E151" s="79" t="s">
        <v>12</v>
      </c>
      <c r="F151" s="80" t="s">
        <v>11</v>
      </c>
      <c r="G151" s="485"/>
      <c r="H151" s="50" t="s">
        <v>13</v>
      </c>
      <c r="I151" s="137"/>
      <c r="J151" s="487" t="s">
        <v>14</v>
      </c>
      <c r="K151" s="631" t="s">
        <v>15</v>
      </c>
      <c r="L151" s="46"/>
    </row>
    <row r="152" spans="1:12">
      <c r="A152" s="62"/>
      <c r="B152" s="43"/>
      <c r="C152" s="101"/>
      <c r="D152" s="3457"/>
      <c r="E152" s="142"/>
      <c r="F152" s="92"/>
      <c r="G152" s="483"/>
      <c r="H152" s="74"/>
      <c r="I152" s="105"/>
      <c r="J152" s="295"/>
      <c r="K152" s="375"/>
    </row>
    <row r="153" spans="1:12">
      <c r="A153" s="43"/>
      <c r="B153" s="43" t="s">
        <v>4697</v>
      </c>
      <c r="C153" s="101" t="s">
        <v>4698</v>
      </c>
      <c r="D153" s="3458"/>
      <c r="E153" s="91">
        <v>160</v>
      </c>
      <c r="F153" s="144"/>
      <c r="G153" s="483"/>
      <c r="H153" s="74"/>
      <c r="I153" s="105"/>
      <c r="J153" s="295"/>
      <c r="K153" s="375"/>
    </row>
    <row r="154" spans="1:12">
      <c r="A154" s="43"/>
      <c r="B154" s="43" t="s">
        <v>4699</v>
      </c>
      <c r="C154" s="101" t="s">
        <v>4700</v>
      </c>
      <c r="D154" s="3458"/>
      <c r="E154" s="91">
        <v>150</v>
      </c>
      <c r="F154" s="92"/>
      <c r="G154" s="483"/>
      <c r="H154" s="74"/>
      <c r="I154" s="105"/>
      <c r="J154" s="295"/>
      <c r="K154" s="375"/>
    </row>
    <row r="155" spans="1:12">
      <c r="A155" s="43"/>
      <c r="B155" s="466" t="s">
        <v>4701</v>
      </c>
      <c r="C155" s="662" t="s">
        <v>4702</v>
      </c>
      <c r="D155" s="3458"/>
      <c r="E155" s="91">
        <v>140</v>
      </c>
      <c r="F155" s="92"/>
      <c r="G155" s="483"/>
      <c r="H155" s="74"/>
      <c r="I155" s="105"/>
      <c r="J155" s="295"/>
      <c r="K155" s="375"/>
    </row>
    <row r="156" spans="1:12">
      <c r="A156" s="43"/>
      <c r="B156" s="466" t="s">
        <v>4703</v>
      </c>
      <c r="C156" s="662" t="s">
        <v>4700</v>
      </c>
      <c r="D156" s="3458"/>
      <c r="E156" s="91">
        <v>150</v>
      </c>
      <c r="F156" s="92"/>
      <c r="G156" s="483"/>
      <c r="H156" s="74"/>
      <c r="I156" s="105"/>
      <c r="J156" s="295"/>
      <c r="K156" s="375"/>
    </row>
    <row r="157" spans="1:12">
      <c r="A157" s="43"/>
      <c r="B157" s="466" t="s">
        <v>4703</v>
      </c>
      <c r="C157" s="662" t="s">
        <v>4702</v>
      </c>
      <c r="D157" s="3458"/>
      <c r="E157" s="91">
        <v>140</v>
      </c>
      <c r="F157" s="92"/>
      <c r="G157" s="483"/>
      <c r="H157" s="74"/>
      <c r="I157" s="105"/>
      <c r="J157" s="295"/>
      <c r="K157" s="375"/>
    </row>
    <row r="158" spans="1:12">
      <c r="A158" s="43"/>
      <c r="B158" s="113"/>
      <c r="C158" s="101"/>
      <c r="D158" s="3458"/>
      <c r="E158" s="145"/>
      <c r="F158" s="92"/>
      <c r="G158" s="483"/>
      <c r="H158" s="74"/>
      <c r="I158" s="105"/>
      <c r="J158" s="295"/>
      <c r="K158" s="375"/>
    </row>
    <row r="159" spans="1:12">
      <c r="A159" s="43"/>
      <c r="B159" s="113"/>
      <c r="C159" s="101"/>
      <c r="D159" s="3458"/>
      <c r="E159" s="145"/>
      <c r="F159" s="92"/>
      <c r="G159" s="483"/>
      <c r="H159" s="74"/>
      <c r="I159" s="105"/>
      <c r="J159" s="295"/>
      <c r="K159" s="375"/>
    </row>
    <row r="160" spans="1:12">
      <c r="A160" s="43"/>
      <c r="B160" s="113"/>
      <c r="C160" s="101"/>
      <c r="D160" s="3458"/>
      <c r="E160" s="145"/>
      <c r="F160" s="92"/>
      <c r="G160" s="483"/>
      <c r="H160" s="74"/>
      <c r="I160" s="105"/>
      <c r="J160" s="295"/>
      <c r="K160" s="375"/>
    </row>
    <row r="161" spans="1:11">
      <c r="A161" s="43"/>
      <c r="B161" s="114"/>
      <c r="C161" s="101"/>
      <c r="D161" s="3458"/>
      <c r="E161" s="145"/>
      <c r="F161" s="92"/>
      <c r="G161" s="483"/>
      <c r="H161" s="74"/>
      <c r="I161" s="105"/>
      <c r="J161" s="295"/>
      <c r="K161" s="375"/>
    </row>
    <row r="162" spans="1:11">
      <c r="A162" s="43"/>
      <c r="B162" s="114"/>
      <c r="C162" s="101"/>
      <c r="D162" s="3458"/>
      <c r="E162" s="145"/>
      <c r="F162" s="92"/>
      <c r="G162" s="483"/>
      <c r="H162" s="74"/>
      <c r="I162" s="105"/>
      <c r="J162" s="295"/>
      <c r="K162" s="375"/>
    </row>
    <row r="163" spans="1:11">
      <c r="A163" s="43"/>
      <c r="B163" s="114"/>
      <c r="C163" s="101"/>
      <c r="D163" s="3458"/>
      <c r="E163" s="145"/>
      <c r="F163" s="92"/>
      <c r="G163" s="483"/>
      <c r="H163" s="74"/>
      <c r="I163" s="105"/>
      <c r="J163" s="295"/>
      <c r="K163" s="375"/>
    </row>
    <row r="164" spans="1:11">
      <c r="A164" s="43"/>
      <c r="B164" s="114"/>
      <c r="C164" s="101"/>
      <c r="D164" s="3458"/>
      <c r="E164" s="145"/>
      <c r="F164" s="92"/>
      <c r="G164" s="483"/>
      <c r="H164" s="74"/>
      <c r="I164" s="105"/>
      <c r="J164" s="295"/>
      <c r="K164" s="375"/>
    </row>
    <row r="165" spans="1:11">
      <c r="A165" s="43"/>
      <c r="B165" s="113"/>
      <c r="C165" s="101"/>
      <c r="D165" s="3458"/>
      <c r="E165" s="145"/>
      <c r="F165" s="92"/>
      <c r="G165" s="483"/>
      <c r="H165" s="74"/>
      <c r="I165" s="105"/>
      <c r="J165" s="295"/>
      <c r="K165" s="375"/>
    </row>
    <row r="166" spans="1:11">
      <c r="A166" s="43"/>
      <c r="B166" s="113"/>
      <c r="C166" s="101"/>
      <c r="D166" s="3458"/>
      <c r="E166" s="145"/>
      <c r="F166" s="92"/>
      <c r="G166" s="483"/>
      <c r="H166" s="74"/>
      <c r="I166" s="105"/>
      <c r="J166" s="295"/>
      <c r="K166" s="375"/>
    </row>
    <row r="167" spans="1:11" ht="32.25" customHeight="1">
      <c r="A167" s="43"/>
      <c r="B167" s="113"/>
      <c r="C167" s="101"/>
      <c r="D167" s="3458"/>
      <c r="E167" s="145"/>
      <c r="F167" s="92"/>
      <c r="G167" s="483"/>
      <c r="H167" s="74"/>
      <c r="I167" s="105"/>
      <c r="J167" s="295"/>
      <c r="K167" s="375"/>
    </row>
    <row r="168" spans="1:11">
      <c r="A168" s="43"/>
      <c r="B168" s="113"/>
      <c r="C168" s="101"/>
      <c r="D168" s="3458"/>
      <c r="E168" s="145"/>
      <c r="F168" s="92"/>
      <c r="G168" s="483"/>
      <c r="H168" s="74"/>
      <c r="I168" s="105"/>
      <c r="J168" s="295"/>
      <c r="K168" s="375"/>
    </row>
    <row r="169" spans="1:11">
      <c r="A169" s="43"/>
      <c r="B169" s="113"/>
      <c r="C169" s="101"/>
      <c r="D169" s="3458"/>
      <c r="E169" s="145"/>
      <c r="F169" s="92"/>
      <c r="G169" s="483"/>
      <c r="H169" s="74"/>
      <c r="I169" s="105"/>
      <c r="J169" s="295"/>
      <c r="K169" s="375"/>
    </row>
    <row r="170" spans="1:11">
      <c r="A170" s="43"/>
      <c r="B170" s="113"/>
      <c r="C170" s="101"/>
      <c r="D170" s="3458"/>
      <c r="E170" s="145"/>
      <c r="F170" s="92"/>
      <c r="G170" s="483"/>
      <c r="H170" s="74"/>
      <c r="I170" s="105"/>
      <c r="J170" s="295"/>
      <c r="K170" s="375"/>
    </row>
    <row r="171" spans="1:11">
      <c r="A171" s="74"/>
      <c r="B171" s="113"/>
      <c r="C171" s="101"/>
      <c r="D171" s="3458"/>
      <c r="E171" s="90"/>
      <c r="F171" s="92"/>
      <c r="G171" s="483"/>
      <c r="H171" s="74"/>
      <c r="I171" s="105"/>
      <c r="J171" s="295"/>
      <c r="K171" s="375"/>
    </row>
    <row r="172" spans="1:11">
      <c r="A172" s="58"/>
      <c r="B172" s="113"/>
      <c r="C172" s="101"/>
      <c r="D172" s="3458"/>
      <c r="E172" s="90"/>
      <c r="F172" s="92"/>
      <c r="G172" s="483"/>
      <c r="H172" s="58"/>
      <c r="I172" s="126"/>
      <c r="J172" s="295"/>
      <c r="K172" s="375"/>
    </row>
    <row r="173" spans="1:11">
      <c r="A173" s="58"/>
      <c r="B173" s="113"/>
      <c r="C173" s="101"/>
      <c r="D173" s="3458"/>
      <c r="E173" s="90"/>
      <c r="F173" s="92"/>
      <c r="G173" s="483"/>
      <c r="H173" s="58"/>
      <c r="I173" s="126"/>
      <c r="J173" s="295"/>
      <c r="K173" s="375"/>
    </row>
    <row r="174" spans="1:11">
      <c r="A174" s="74"/>
      <c r="B174" s="113"/>
      <c r="C174" s="101"/>
      <c r="D174" s="3458"/>
      <c r="E174" s="90"/>
      <c r="F174" s="92"/>
      <c r="G174" s="483"/>
      <c r="H174" s="74"/>
      <c r="I174" s="105"/>
      <c r="J174" s="295"/>
      <c r="K174" s="375"/>
    </row>
    <row r="175" spans="1:11">
      <c r="A175" s="74"/>
      <c r="B175" s="113"/>
      <c r="C175" s="101"/>
      <c r="D175" s="3458"/>
      <c r="E175" s="90"/>
      <c r="F175" s="92"/>
      <c r="G175" s="483"/>
      <c r="H175" s="74"/>
      <c r="I175" s="105"/>
      <c r="J175" s="295"/>
      <c r="K175" s="375"/>
    </row>
    <row r="176" spans="1:11">
      <c r="A176" s="74"/>
      <c r="B176" s="113"/>
      <c r="C176" s="101"/>
      <c r="D176" s="3458"/>
      <c r="E176" s="90"/>
      <c r="F176" s="92"/>
      <c r="G176" s="483"/>
      <c r="H176" s="74"/>
      <c r="I176" s="105"/>
      <c r="J176" s="295"/>
      <c r="K176" s="375"/>
    </row>
    <row r="177" spans="1:12">
      <c r="A177" s="74"/>
      <c r="B177" s="113"/>
      <c r="C177" s="101"/>
      <c r="D177" s="3458"/>
      <c r="E177" s="90"/>
      <c r="F177" s="92"/>
      <c r="G177" s="483"/>
      <c r="H177" s="74"/>
      <c r="I177" s="105"/>
      <c r="J177" s="295"/>
      <c r="K177" s="375"/>
    </row>
    <row r="178" spans="1:12">
      <c r="A178" s="74"/>
      <c r="B178" s="113"/>
      <c r="C178" s="101"/>
      <c r="D178" s="3458"/>
      <c r="E178" s="90"/>
      <c r="F178" s="92"/>
      <c r="G178" s="483"/>
      <c r="H178" s="74"/>
      <c r="I178" s="105"/>
      <c r="J178" s="295"/>
      <c r="K178" s="375"/>
    </row>
    <row r="179" spans="1:12">
      <c r="A179" s="74"/>
      <c r="B179" s="113"/>
      <c r="C179" s="101"/>
      <c r="D179" s="3458"/>
      <c r="E179" s="90"/>
      <c r="F179" s="92"/>
      <c r="G179" s="483"/>
      <c r="H179" s="74"/>
      <c r="I179" s="105"/>
      <c r="J179" s="295"/>
      <c r="K179" s="375"/>
    </row>
    <row r="180" spans="1:12">
      <c r="A180" s="74"/>
      <c r="B180" s="113"/>
      <c r="C180" s="101"/>
      <c r="D180" s="3458"/>
      <c r="E180" s="90"/>
      <c r="F180" s="92"/>
      <c r="G180" s="483"/>
      <c r="H180" s="74"/>
      <c r="I180" s="105"/>
      <c r="J180" s="295"/>
      <c r="K180" s="375"/>
    </row>
    <row r="181" spans="1:12">
      <c r="A181" s="74"/>
      <c r="B181" s="113"/>
      <c r="C181" s="101"/>
      <c r="D181" s="3458"/>
      <c r="E181" s="90"/>
      <c r="F181" s="92"/>
      <c r="G181" s="483"/>
      <c r="H181" s="74"/>
      <c r="I181" s="105"/>
      <c r="J181" s="295"/>
      <c r="K181" s="375"/>
    </row>
    <row r="182" spans="1:12">
      <c r="A182" s="101"/>
      <c r="B182" s="113"/>
      <c r="C182" s="101"/>
      <c r="D182" s="3458"/>
      <c r="E182" s="91"/>
      <c r="F182" s="61"/>
      <c r="G182" s="483"/>
      <c r="H182" s="101"/>
      <c r="I182" s="105"/>
      <c r="J182" s="295"/>
      <c r="K182" s="375"/>
    </row>
    <row r="183" spans="1:12">
      <c r="A183" s="101"/>
      <c r="B183" s="113"/>
      <c r="C183" s="101"/>
      <c r="D183" s="3458"/>
      <c r="E183" s="91"/>
      <c r="F183" s="146"/>
      <c r="G183" s="483"/>
      <c r="H183" s="74"/>
      <c r="I183" s="105"/>
      <c r="J183" s="295"/>
      <c r="K183" s="375"/>
    </row>
    <row r="184" spans="1:12" ht="35.25" thickBot="1">
      <c r="A184" s="86"/>
      <c r="B184" s="113"/>
      <c r="C184" s="101"/>
      <c r="D184" s="3458"/>
      <c r="E184" s="147"/>
      <c r="F184" s="148"/>
      <c r="G184" s="483"/>
      <c r="H184" s="58"/>
      <c r="I184" s="126"/>
      <c r="J184" s="295"/>
      <c r="K184" s="375"/>
    </row>
    <row r="185" spans="1:12">
      <c r="A185" s="45"/>
      <c r="B185" s="45"/>
      <c r="C185" s="68"/>
      <c r="D185" s="45"/>
      <c r="F185" s="44"/>
      <c r="G185" s="482"/>
      <c r="H185" s="45"/>
      <c r="I185" s="127"/>
      <c r="L185" s="45"/>
    </row>
    <row r="186" spans="1:12">
      <c r="A186" s="45" t="s">
        <v>0</v>
      </c>
      <c r="B186" s="45"/>
      <c r="C186" s="68"/>
      <c r="D186" s="102"/>
      <c r="F186" s="44"/>
      <c r="G186" s="482"/>
      <c r="H186" s="45"/>
      <c r="I186" s="127"/>
      <c r="L186" s="45"/>
    </row>
    <row r="187" spans="1:12">
      <c r="A187" s="44" t="s">
        <v>1453</v>
      </c>
      <c r="B187" s="45"/>
      <c r="C187" s="46"/>
      <c r="D187" s="104"/>
      <c r="F187" s="44"/>
      <c r="G187" s="482"/>
      <c r="H187" s="45"/>
      <c r="I187" s="127"/>
      <c r="L187" s="45"/>
    </row>
    <row r="188" spans="1:12" ht="26.25" customHeight="1" thickBot="1">
      <c r="D188" s="102"/>
      <c r="F188" s="44"/>
    </row>
    <row r="189" spans="1:12">
      <c r="A189" s="47" t="s">
        <v>1454</v>
      </c>
      <c r="B189" s="3446" t="s">
        <v>2</v>
      </c>
      <c r="C189" s="48" t="s">
        <v>3</v>
      </c>
      <c r="D189" s="110" t="s">
        <v>4</v>
      </c>
      <c r="E189" s="77" t="s">
        <v>5</v>
      </c>
      <c r="F189" s="78" t="s">
        <v>5</v>
      </c>
      <c r="G189" s="484" t="s">
        <v>6</v>
      </c>
      <c r="H189" s="48" t="s">
        <v>7</v>
      </c>
      <c r="I189" s="136" t="s">
        <v>8</v>
      </c>
      <c r="J189" s="488" t="s">
        <v>9</v>
      </c>
      <c r="K189" s="630" t="s">
        <v>9</v>
      </c>
      <c r="L189" s="46"/>
    </row>
    <row r="190" spans="1:12" ht="35.25" thickBot="1">
      <c r="A190" s="49"/>
      <c r="B190" s="72"/>
      <c r="C190" s="50"/>
      <c r="D190" s="111" t="s">
        <v>10</v>
      </c>
      <c r="E190" s="79" t="s">
        <v>12</v>
      </c>
      <c r="F190" s="80" t="s">
        <v>11</v>
      </c>
      <c r="G190" s="485"/>
      <c r="H190" s="50" t="s">
        <v>13</v>
      </c>
      <c r="I190" s="137"/>
      <c r="J190" s="487" t="s">
        <v>14</v>
      </c>
      <c r="K190" s="631" t="s">
        <v>15</v>
      </c>
      <c r="L190" s="46"/>
    </row>
    <row r="191" spans="1:12">
      <c r="A191" s="62"/>
      <c r="B191" s="43"/>
      <c r="C191" s="101"/>
      <c r="D191" s="3457"/>
      <c r="E191" s="142"/>
      <c r="F191" s="92"/>
      <c r="G191" s="483"/>
      <c r="H191" s="74"/>
      <c r="I191" s="105"/>
      <c r="J191" s="295"/>
      <c r="K191" s="375"/>
    </row>
    <row r="192" spans="1:12">
      <c r="A192" s="43"/>
      <c r="B192" s="113"/>
      <c r="C192" s="101"/>
      <c r="D192" s="3458"/>
      <c r="E192" s="143"/>
      <c r="F192" s="144"/>
      <c r="G192" s="483"/>
      <c r="H192" s="74"/>
      <c r="I192" s="105"/>
      <c r="J192" s="295"/>
      <c r="K192" s="375"/>
    </row>
    <row r="193" spans="1:11">
      <c r="A193" s="43"/>
      <c r="B193" s="113"/>
      <c r="C193" s="101"/>
      <c r="D193" s="3458"/>
      <c r="E193" s="145"/>
      <c r="F193" s="92"/>
      <c r="G193" s="483"/>
      <c r="H193" s="74"/>
      <c r="I193" s="105"/>
      <c r="J193" s="295"/>
      <c r="K193" s="375"/>
    </row>
    <row r="194" spans="1:11">
      <c r="A194" s="43"/>
      <c r="B194" s="113"/>
      <c r="C194" s="101"/>
      <c r="D194" s="3458"/>
      <c r="E194" s="145"/>
      <c r="F194" s="92"/>
      <c r="G194" s="483"/>
      <c r="H194" s="74"/>
      <c r="I194" s="105"/>
      <c r="J194" s="295"/>
      <c r="K194" s="375"/>
    </row>
    <row r="195" spans="1:11">
      <c r="A195" s="43"/>
      <c r="B195" s="113"/>
      <c r="C195" s="101"/>
      <c r="D195" s="3458"/>
      <c r="E195" s="145"/>
      <c r="F195" s="92"/>
      <c r="G195" s="483"/>
      <c r="H195" s="74"/>
      <c r="I195" s="105"/>
      <c r="J195" s="295"/>
      <c r="K195" s="375"/>
    </row>
    <row r="196" spans="1:11">
      <c r="A196" s="43"/>
      <c r="B196" s="113"/>
      <c r="C196" s="101"/>
      <c r="D196" s="3458"/>
      <c r="E196" s="145"/>
      <c r="F196" s="92"/>
      <c r="G196" s="483"/>
      <c r="H196" s="74"/>
      <c r="I196" s="105"/>
      <c r="J196" s="295"/>
      <c r="K196" s="375"/>
    </row>
    <row r="197" spans="1:11">
      <c r="A197" s="43"/>
      <c r="B197" s="113"/>
      <c r="C197" s="101"/>
      <c r="D197" s="3458"/>
      <c r="E197" s="145"/>
      <c r="F197" s="92"/>
      <c r="G197" s="483"/>
      <c r="H197" s="74"/>
      <c r="I197" s="105"/>
      <c r="J197" s="295"/>
      <c r="K197" s="375"/>
    </row>
    <row r="198" spans="1:11">
      <c r="A198" s="43"/>
      <c r="B198" s="113"/>
      <c r="C198" s="101"/>
      <c r="D198" s="3458"/>
      <c r="E198" s="145"/>
      <c r="F198" s="92"/>
      <c r="G198" s="483"/>
      <c r="H198" s="74"/>
      <c r="I198" s="105"/>
      <c r="J198" s="295"/>
      <c r="K198" s="375"/>
    </row>
    <row r="199" spans="1:11">
      <c r="A199" s="43"/>
      <c r="B199" s="113"/>
      <c r="C199" s="101"/>
      <c r="D199" s="3458"/>
      <c r="E199" s="145"/>
      <c r="F199" s="92"/>
      <c r="G199" s="483"/>
      <c r="H199" s="74"/>
      <c r="I199" s="105"/>
      <c r="J199" s="295"/>
      <c r="K199" s="375"/>
    </row>
    <row r="200" spans="1:11">
      <c r="A200" s="43"/>
      <c r="B200" s="114"/>
      <c r="C200" s="101"/>
      <c r="D200" s="3458"/>
      <c r="E200" s="145"/>
      <c r="F200" s="92"/>
      <c r="G200" s="483"/>
      <c r="H200" s="74"/>
      <c r="I200" s="105"/>
      <c r="J200" s="295"/>
      <c r="K200" s="375"/>
    </row>
    <row r="201" spans="1:11">
      <c r="A201" s="43"/>
      <c r="B201" s="114"/>
      <c r="C201" s="101"/>
      <c r="D201" s="3458"/>
      <c r="E201" s="145"/>
      <c r="F201" s="92"/>
      <c r="G201" s="483"/>
      <c r="H201" s="74"/>
      <c r="I201" s="105"/>
      <c r="J201" s="295"/>
      <c r="K201" s="375"/>
    </row>
    <row r="202" spans="1:11" ht="33" customHeight="1">
      <c r="A202" s="43"/>
      <c r="B202" s="114"/>
      <c r="C202" s="101"/>
      <c r="D202" s="3458"/>
      <c r="E202" s="145"/>
      <c r="F202" s="92"/>
      <c r="G202" s="483"/>
      <c r="H202" s="74"/>
      <c r="I202" s="105"/>
      <c r="J202" s="295"/>
      <c r="K202" s="375"/>
    </row>
    <row r="203" spans="1:11">
      <c r="A203" s="43"/>
      <c r="B203" s="114"/>
      <c r="C203" s="101"/>
      <c r="D203" s="3458"/>
      <c r="E203" s="145"/>
      <c r="F203" s="92"/>
      <c r="G203" s="483"/>
      <c r="H203" s="74"/>
      <c r="I203" s="105"/>
      <c r="J203" s="295"/>
      <c r="K203" s="375"/>
    </row>
    <row r="204" spans="1:11">
      <c r="A204" s="43"/>
      <c r="B204" s="113"/>
      <c r="C204" s="101"/>
      <c r="D204" s="3458"/>
      <c r="E204" s="145"/>
      <c r="F204" s="92"/>
      <c r="G204" s="483"/>
      <c r="H204" s="74"/>
      <c r="I204" s="105"/>
      <c r="J204" s="295"/>
      <c r="K204" s="375"/>
    </row>
    <row r="205" spans="1:11">
      <c r="A205" s="43"/>
      <c r="B205" s="113"/>
      <c r="C205" s="101"/>
      <c r="D205" s="3458"/>
      <c r="E205" s="145"/>
      <c r="F205" s="92"/>
      <c r="G205" s="483"/>
      <c r="H205" s="74"/>
      <c r="I205" s="105"/>
      <c r="J205" s="295"/>
      <c r="K205" s="375"/>
    </row>
    <row r="206" spans="1:11">
      <c r="A206" s="43"/>
      <c r="B206" s="113"/>
      <c r="C206" s="101"/>
      <c r="D206" s="3458"/>
      <c r="E206" s="145"/>
      <c r="F206" s="92"/>
      <c r="G206" s="483"/>
      <c r="H206" s="74"/>
      <c r="I206" s="105"/>
      <c r="J206" s="295"/>
      <c r="K206" s="375"/>
    </row>
    <row r="207" spans="1:11">
      <c r="A207" s="43"/>
      <c r="B207" s="113"/>
      <c r="C207" s="101"/>
      <c r="D207" s="3458"/>
      <c r="E207" s="145"/>
      <c r="F207" s="92"/>
      <c r="G207" s="483"/>
      <c r="H207" s="74"/>
      <c r="I207" s="105"/>
      <c r="J207" s="295"/>
      <c r="K207" s="375"/>
    </row>
    <row r="208" spans="1:11">
      <c r="A208" s="43"/>
      <c r="B208" s="113"/>
      <c r="C208" s="101"/>
      <c r="D208" s="3458"/>
      <c r="E208" s="145"/>
      <c r="F208" s="92"/>
      <c r="G208" s="483"/>
      <c r="H208" s="74"/>
      <c r="I208" s="105"/>
      <c r="J208" s="295"/>
      <c r="K208" s="375"/>
    </row>
    <row r="209" spans="1:12">
      <c r="A209" s="43"/>
      <c r="B209" s="113"/>
      <c r="C209" s="101"/>
      <c r="D209" s="3458"/>
      <c r="E209" s="145"/>
      <c r="F209" s="92"/>
      <c r="G209" s="483"/>
      <c r="H209" s="74"/>
      <c r="I209" s="105"/>
      <c r="J209" s="295"/>
      <c r="K209" s="375"/>
    </row>
    <row r="210" spans="1:12">
      <c r="A210" s="74"/>
      <c r="B210" s="113"/>
      <c r="C210" s="101"/>
      <c r="D210" s="3458"/>
      <c r="E210" s="90"/>
      <c r="F210" s="92"/>
      <c r="G210" s="483"/>
      <c r="H210" s="74"/>
      <c r="I210" s="105"/>
      <c r="J210" s="295"/>
      <c r="K210" s="375"/>
    </row>
    <row r="211" spans="1:12">
      <c r="A211" s="58"/>
      <c r="B211" s="113"/>
      <c r="C211" s="101"/>
      <c r="D211" s="3458"/>
      <c r="E211" s="90"/>
      <c r="F211" s="92"/>
      <c r="G211" s="483"/>
      <c r="H211" s="58"/>
      <c r="I211" s="126"/>
      <c r="J211" s="295"/>
      <c r="K211" s="375"/>
    </row>
    <row r="212" spans="1:12">
      <c r="A212" s="58"/>
      <c r="B212" s="113"/>
      <c r="C212" s="101"/>
      <c r="D212" s="3458"/>
      <c r="E212" s="90"/>
      <c r="F212" s="92"/>
      <c r="G212" s="483"/>
      <c r="H212" s="58"/>
      <c r="I212" s="126"/>
      <c r="J212" s="295"/>
      <c r="K212" s="375"/>
    </row>
    <row r="213" spans="1:12">
      <c r="A213" s="74"/>
      <c r="B213" s="113"/>
      <c r="C213" s="101"/>
      <c r="D213" s="3458"/>
      <c r="E213" s="90"/>
      <c r="F213" s="92"/>
      <c r="G213" s="483"/>
      <c r="H213" s="74"/>
      <c r="I213" s="105"/>
      <c r="J213" s="295"/>
      <c r="K213" s="375"/>
    </row>
    <row r="214" spans="1:12">
      <c r="A214" s="74"/>
      <c r="B214" s="113"/>
      <c r="C214" s="101"/>
      <c r="D214" s="3458"/>
      <c r="E214" s="90"/>
      <c r="F214" s="92"/>
      <c r="G214" s="483"/>
      <c r="H214" s="74"/>
      <c r="I214" s="105"/>
      <c r="J214" s="295"/>
      <c r="K214" s="375"/>
    </row>
    <row r="215" spans="1:12">
      <c r="A215" s="74"/>
      <c r="B215" s="113"/>
      <c r="C215" s="101"/>
      <c r="D215" s="3458"/>
      <c r="E215" s="90"/>
      <c r="F215" s="92"/>
      <c r="G215" s="483"/>
      <c r="H215" s="74"/>
      <c r="I215" s="105"/>
      <c r="J215" s="295"/>
      <c r="K215" s="375"/>
    </row>
    <row r="216" spans="1:12">
      <c r="A216" s="74"/>
      <c r="B216" s="113"/>
      <c r="C216" s="101"/>
      <c r="D216" s="3458"/>
      <c r="E216" s="90"/>
      <c r="F216" s="92"/>
      <c r="G216" s="483"/>
      <c r="H216" s="74"/>
      <c r="I216" s="105"/>
      <c r="J216" s="295"/>
      <c r="K216" s="375"/>
    </row>
    <row r="217" spans="1:12">
      <c r="A217" s="74"/>
      <c r="B217" s="113"/>
      <c r="C217" s="101"/>
      <c r="D217" s="3458"/>
      <c r="E217" s="90"/>
      <c r="F217" s="92"/>
      <c r="G217" s="483"/>
      <c r="H217" s="74"/>
      <c r="I217" s="105"/>
      <c r="J217" s="295"/>
      <c r="K217" s="375"/>
    </row>
    <row r="218" spans="1:12">
      <c r="A218" s="74"/>
      <c r="B218" s="113"/>
      <c r="C218" s="101"/>
      <c r="D218" s="3458"/>
      <c r="E218" s="90"/>
      <c r="F218" s="92"/>
      <c r="G218" s="483"/>
      <c r="H218" s="74"/>
      <c r="I218" s="105"/>
      <c r="J218" s="295"/>
      <c r="K218" s="375"/>
    </row>
    <row r="219" spans="1:12">
      <c r="A219" s="74"/>
      <c r="B219" s="113"/>
      <c r="C219" s="101"/>
      <c r="D219" s="3458"/>
      <c r="E219" s="90"/>
      <c r="F219" s="92"/>
      <c r="G219" s="483"/>
      <c r="H219" s="74"/>
      <c r="I219" s="105"/>
      <c r="J219" s="295"/>
      <c r="K219" s="375"/>
    </row>
    <row r="220" spans="1:12">
      <c r="A220" s="74"/>
      <c r="B220" s="113"/>
      <c r="C220" s="101"/>
      <c r="D220" s="3458"/>
      <c r="E220" s="90"/>
      <c r="F220" s="92"/>
      <c r="G220" s="483"/>
      <c r="H220" s="74"/>
      <c r="I220" s="105"/>
      <c r="J220" s="295"/>
      <c r="K220" s="375"/>
    </row>
    <row r="221" spans="1:12">
      <c r="A221" s="101"/>
      <c r="B221" s="113"/>
      <c r="C221" s="101"/>
      <c r="D221" s="3458"/>
      <c r="E221" s="91"/>
      <c r="F221" s="61"/>
      <c r="G221" s="483"/>
      <c r="H221" s="101"/>
      <c r="I221" s="105"/>
      <c r="J221" s="295"/>
      <c r="K221" s="375"/>
    </row>
    <row r="222" spans="1:12">
      <c r="A222" s="101"/>
      <c r="B222" s="113"/>
      <c r="C222" s="101"/>
      <c r="D222" s="3458"/>
      <c r="E222" s="91"/>
      <c r="F222" s="146"/>
      <c r="G222" s="483"/>
      <c r="H222" s="74"/>
      <c r="I222" s="105"/>
      <c r="J222" s="295"/>
      <c r="K222" s="375"/>
    </row>
    <row r="223" spans="1:12" ht="35.25" thickBot="1">
      <c r="A223" s="86"/>
      <c r="B223" s="113"/>
      <c r="C223" s="101"/>
      <c r="D223" s="3458"/>
      <c r="E223" s="147"/>
      <c r="F223" s="148"/>
      <c r="G223" s="483"/>
      <c r="H223" s="58"/>
      <c r="I223" s="126"/>
      <c r="J223" s="295"/>
      <c r="K223" s="375"/>
    </row>
    <row r="224" spans="1:12">
      <c r="A224" s="45"/>
      <c r="B224" s="45"/>
      <c r="C224" s="68"/>
      <c r="D224" s="45"/>
      <c r="F224" s="44"/>
      <c r="G224" s="482"/>
      <c r="H224" s="45"/>
      <c r="I224" s="127"/>
      <c r="L224" s="45"/>
    </row>
    <row r="225" spans="1:12">
      <c r="A225" s="45" t="s">
        <v>0</v>
      </c>
      <c r="B225" s="45"/>
      <c r="C225" s="68"/>
      <c r="D225" s="102"/>
      <c r="F225" s="44"/>
      <c r="G225" s="482"/>
      <c r="H225" s="45"/>
      <c r="I225" s="127"/>
      <c r="L225" s="45"/>
    </row>
    <row r="226" spans="1:12">
      <c r="A226" s="44" t="s">
        <v>1453</v>
      </c>
      <c r="B226" s="45"/>
      <c r="C226" s="46"/>
      <c r="D226" s="104"/>
      <c r="F226" s="44"/>
      <c r="G226" s="482"/>
      <c r="H226" s="45"/>
      <c r="I226" s="127"/>
      <c r="L226" s="45"/>
    </row>
    <row r="227" spans="1:12" ht="35.25" thickBot="1">
      <c r="D227" s="102"/>
      <c r="F227" s="44"/>
    </row>
    <row r="228" spans="1:12">
      <c r="A228" s="47" t="s">
        <v>1454</v>
      </c>
      <c r="B228" s="3446" t="s">
        <v>2</v>
      </c>
      <c r="C228" s="48" t="s">
        <v>3</v>
      </c>
      <c r="D228" s="110" t="s">
        <v>4</v>
      </c>
      <c r="E228" s="77" t="s">
        <v>5</v>
      </c>
      <c r="F228" s="78" t="s">
        <v>5</v>
      </c>
      <c r="G228" s="484" t="s">
        <v>6</v>
      </c>
      <c r="H228" s="48" t="s">
        <v>7</v>
      </c>
      <c r="I228" s="136" t="s">
        <v>8</v>
      </c>
      <c r="J228" s="488" t="s">
        <v>9</v>
      </c>
      <c r="K228" s="630" t="s">
        <v>9</v>
      </c>
      <c r="L228" s="46"/>
    </row>
    <row r="229" spans="1:12" ht="35.25" thickBot="1">
      <c r="A229" s="49"/>
      <c r="B229" s="72"/>
      <c r="C229" s="50"/>
      <c r="D229" s="111" t="s">
        <v>10</v>
      </c>
      <c r="E229" s="79" t="s">
        <v>12</v>
      </c>
      <c r="F229" s="80" t="s">
        <v>11</v>
      </c>
      <c r="G229" s="485"/>
      <c r="H229" s="50" t="s">
        <v>13</v>
      </c>
      <c r="I229" s="137"/>
      <c r="J229" s="487" t="s">
        <v>14</v>
      </c>
      <c r="K229" s="631" t="s">
        <v>15</v>
      </c>
      <c r="L229" s="46"/>
    </row>
    <row r="230" spans="1:12">
      <c r="A230" s="62"/>
      <c r="B230" s="43"/>
      <c r="C230" s="101"/>
      <c r="D230" s="3457"/>
      <c r="E230" s="142"/>
      <c r="F230" s="92"/>
      <c r="G230" s="483"/>
      <c r="H230" s="74"/>
      <c r="I230" s="105"/>
      <c r="J230" s="295"/>
      <c r="K230" s="375"/>
    </row>
    <row r="231" spans="1:12">
      <c r="A231" s="43"/>
      <c r="B231" s="113"/>
      <c r="C231" s="101"/>
      <c r="D231" s="3458"/>
      <c r="E231" s="143"/>
      <c r="F231" s="144"/>
      <c r="G231" s="483"/>
      <c r="H231" s="74"/>
      <c r="I231" s="105"/>
      <c r="J231" s="295"/>
      <c r="K231" s="375"/>
    </row>
    <row r="232" spans="1:12">
      <c r="A232" s="43"/>
      <c r="B232" s="113"/>
      <c r="C232" s="101"/>
      <c r="D232" s="3458"/>
      <c r="E232" s="145"/>
      <c r="F232" s="92"/>
      <c r="G232" s="483"/>
      <c r="H232" s="74"/>
      <c r="I232" s="105"/>
      <c r="J232" s="295"/>
      <c r="K232" s="375"/>
    </row>
    <row r="233" spans="1:12">
      <c r="A233" s="43"/>
      <c r="B233" s="113"/>
      <c r="C233" s="101"/>
      <c r="D233" s="3458"/>
      <c r="E233" s="145"/>
      <c r="F233" s="92"/>
      <c r="G233" s="483"/>
      <c r="H233" s="74"/>
      <c r="I233" s="105"/>
      <c r="J233" s="295"/>
      <c r="K233" s="375"/>
    </row>
    <row r="234" spans="1:12">
      <c r="A234" s="43"/>
      <c r="B234" s="113"/>
      <c r="C234" s="101"/>
      <c r="D234" s="3458"/>
      <c r="E234" s="145"/>
      <c r="F234" s="92"/>
      <c r="G234" s="483"/>
      <c r="H234" s="74"/>
      <c r="I234" s="105"/>
      <c r="J234" s="295"/>
      <c r="K234" s="375"/>
    </row>
    <row r="235" spans="1:12">
      <c r="A235" s="43"/>
      <c r="B235" s="113"/>
      <c r="C235" s="101"/>
      <c r="D235" s="3458"/>
      <c r="E235" s="145"/>
      <c r="F235" s="92"/>
      <c r="G235" s="483"/>
      <c r="H235" s="74"/>
      <c r="I235" s="105"/>
      <c r="J235" s="295"/>
      <c r="K235" s="375"/>
    </row>
    <row r="236" spans="1:12" ht="32.25" customHeight="1">
      <c r="A236" s="43"/>
      <c r="B236" s="113"/>
      <c r="C236" s="101"/>
      <c r="D236" s="3458"/>
      <c r="E236" s="145"/>
      <c r="F236" s="92"/>
      <c r="G236" s="483"/>
      <c r="H236" s="74"/>
      <c r="I236" s="105"/>
      <c r="J236" s="295"/>
      <c r="K236" s="375"/>
    </row>
    <row r="237" spans="1:12">
      <c r="A237" s="43"/>
      <c r="B237" s="113"/>
      <c r="C237" s="101"/>
      <c r="D237" s="3458"/>
      <c r="E237" s="145"/>
      <c r="F237" s="92"/>
      <c r="G237" s="483"/>
      <c r="H237" s="74"/>
      <c r="I237" s="105"/>
      <c r="J237" s="295"/>
      <c r="K237" s="375"/>
    </row>
    <row r="238" spans="1:12">
      <c r="A238" s="43"/>
      <c r="B238" s="113"/>
      <c r="C238" s="101"/>
      <c r="D238" s="3458"/>
      <c r="E238" s="145"/>
      <c r="F238" s="92"/>
      <c r="G238" s="483"/>
      <c r="H238" s="74"/>
      <c r="I238" s="105"/>
      <c r="J238" s="295"/>
      <c r="K238" s="375"/>
    </row>
    <row r="239" spans="1:12">
      <c r="A239" s="43"/>
      <c r="B239" s="114"/>
      <c r="C239" s="101"/>
      <c r="D239" s="3458"/>
      <c r="E239" s="145"/>
      <c r="F239" s="92"/>
      <c r="G239" s="483"/>
      <c r="H239" s="74"/>
      <c r="I239" s="105"/>
      <c r="J239" s="295"/>
      <c r="K239" s="375"/>
    </row>
    <row r="240" spans="1:12">
      <c r="A240" s="43"/>
      <c r="B240" s="114"/>
      <c r="C240" s="101"/>
      <c r="D240" s="3458"/>
      <c r="E240" s="145"/>
      <c r="F240" s="92"/>
      <c r="G240" s="483"/>
      <c r="H240" s="74"/>
      <c r="I240" s="105"/>
      <c r="J240" s="295"/>
      <c r="K240" s="375"/>
    </row>
    <row r="241" spans="1:11">
      <c r="A241" s="43"/>
      <c r="B241" s="114"/>
      <c r="C241" s="101"/>
      <c r="D241" s="3458"/>
      <c r="E241" s="145"/>
      <c r="F241" s="92"/>
      <c r="G241" s="483"/>
      <c r="H241" s="74"/>
      <c r="I241" s="105"/>
      <c r="J241" s="295"/>
      <c r="K241" s="375"/>
    </row>
    <row r="242" spans="1:11">
      <c r="A242" s="43"/>
      <c r="B242" s="114"/>
      <c r="C242" s="101"/>
      <c r="D242" s="3458"/>
      <c r="E242" s="145"/>
      <c r="F242" s="92"/>
      <c r="G242" s="483"/>
      <c r="H242" s="74"/>
      <c r="I242" s="105"/>
      <c r="J242" s="295"/>
      <c r="K242" s="375"/>
    </row>
    <row r="243" spans="1:11">
      <c r="A243" s="43"/>
      <c r="B243" s="113"/>
      <c r="C243" s="101"/>
      <c r="D243" s="3458"/>
      <c r="E243" s="145"/>
      <c r="F243" s="92"/>
      <c r="G243" s="483"/>
      <c r="H243" s="74"/>
      <c r="I243" s="105"/>
      <c r="J243" s="295"/>
      <c r="K243" s="375"/>
    </row>
    <row r="244" spans="1:11">
      <c r="A244" s="43"/>
      <c r="B244" s="113"/>
      <c r="C244" s="101"/>
      <c r="D244" s="3458"/>
      <c r="E244" s="145"/>
      <c r="F244" s="92"/>
      <c r="G244" s="483"/>
      <c r="H244" s="74"/>
      <c r="I244" s="105"/>
      <c r="J244" s="295"/>
      <c r="K244" s="375"/>
    </row>
    <row r="245" spans="1:11">
      <c r="A245" s="43"/>
      <c r="B245" s="113"/>
      <c r="C245" s="101"/>
      <c r="D245" s="3458"/>
      <c r="E245" s="145"/>
      <c r="F245" s="92"/>
      <c r="G245" s="483"/>
      <c r="H245" s="74"/>
      <c r="I245" s="105"/>
      <c r="J245" s="295"/>
      <c r="K245" s="375"/>
    </row>
    <row r="246" spans="1:11">
      <c r="A246" s="43"/>
      <c r="B246" s="113"/>
      <c r="C246" s="101"/>
      <c r="D246" s="3458"/>
      <c r="E246" s="145"/>
      <c r="F246" s="92"/>
      <c r="G246" s="483"/>
      <c r="H246" s="74"/>
      <c r="I246" s="105"/>
      <c r="J246" s="295"/>
      <c r="K246" s="375"/>
    </row>
    <row r="247" spans="1:11">
      <c r="A247" s="43"/>
      <c r="B247" s="113"/>
      <c r="C247" s="101"/>
      <c r="D247" s="3458"/>
      <c r="E247" s="145"/>
      <c r="F247" s="92"/>
      <c r="G247" s="483"/>
      <c r="H247" s="74"/>
      <c r="I247" s="105"/>
      <c r="J247" s="295"/>
      <c r="K247" s="375"/>
    </row>
    <row r="248" spans="1:11">
      <c r="A248" s="43"/>
      <c r="B248" s="113"/>
      <c r="C248" s="101"/>
      <c r="D248" s="3458"/>
      <c r="E248" s="145"/>
      <c r="F248" s="92"/>
      <c r="G248" s="483"/>
      <c r="H248" s="74"/>
      <c r="I248" s="105"/>
      <c r="J248" s="295"/>
      <c r="K248" s="375"/>
    </row>
    <row r="249" spans="1:11">
      <c r="A249" s="74"/>
      <c r="B249" s="113"/>
      <c r="C249" s="101"/>
      <c r="D249" s="3458"/>
      <c r="E249" s="90"/>
      <c r="F249" s="92"/>
      <c r="G249" s="483"/>
      <c r="H249" s="74"/>
      <c r="I249" s="105"/>
      <c r="J249" s="295"/>
      <c r="K249" s="375"/>
    </row>
    <row r="250" spans="1:11">
      <c r="A250" s="58"/>
      <c r="B250" s="113"/>
      <c r="C250" s="101"/>
      <c r="D250" s="3458"/>
      <c r="E250" s="90"/>
      <c r="F250" s="92"/>
      <c r="G250" s="483"/>
      <c r="H250" s="58"/>
      <c r="I250" s="126"/>
      <c r="J250" s="295"/>
      <c r="K250" s="375"/>
    </row>
    <row r="251" spans="1:11">
      <c r="A251" s="58"/>
      <c r="B251" s="113"/>
      <c r="C251" s="101"/>
      <c r="D251" s="3458"/>
      <c r="E251" s="90"/>
      <c r="F251" s="92"/>
      <c r="G251" s="483"/>
      <c r="H251" s="58"/>
      <c r="I251" s="126"/>
      <c r="J251" s="295"/>
      <c r="K251" s="375"/>
    </row>
    <row r="252" spans="1:11">
      <c r="A252" s="74"/>
      <c r="B252" s="113"/>
      <c r="C252" s="101"/>
      <c r="D252" s="3458"/>
      <c r="E252" s="90"/>
      <c r="F252" s="92"/>
      <c r="G252" s="483"/>
      <c r="H252" s="74"/>
      <c r="I252" s="105"/>
      <c r="J252" s="295"/>
      <c r="K252" s="375"/>
    </row>
    <row r="253" spans="1:11">
      <c r="A253" s="74"/>
      <c r="B253" s="113"/>
      <c r="C253" s="101"/>
      <c r="D253" s="3458"/>
      <c r="E253" s="90"/>
      <c r="F253" s="92"/>
      <c r="G253" s="483"/>
      <c r="H253" s="74"/>
      <c r="I253" s="105"/>
      <c r="J253" s="295"/>
      <c r="K253" s="375"/>
    </row>
    <row r="254" spans="1:11">
      <c r="A254" s="74"/>
      <c r="B254" s="113"/>
      <c r="C254" s="101"/>
      <c r="D254" s="3458"/>
      <c r="E254" s="90"/>
      <c r="F254" s="92"/>
      <c r="G254" s="483"/>
      <c r="H254" s="74"/>
      <c r="I254" s="105"/>
      <c r="J254" s="295"/>
      <c r="K254" s="375"/>
    </row>
    <row r="255" spans="1:11">
      <c r="A255" s="74"/>
      <c r="B255" s="113"/>
      <c r="C255" s="101"/>
      <c r="D255" s="3458"/>
      <c r="E255" s="90"/>
      <c r="F255" s="92"/>
      <c r="G255" s="483"/>
      <c r="H255" s="74"/>
      <c r="I255" s="105"/>
      <c r="J255" s="295"/>
      <c r="K255" s="375"/>
    </row>
    <row r="256" spans="1:11">
      <c r="A256" s="74"/>
      <c r="B256" s="113"/>
      <c r="C256" s="101"/>
      <c r="D256" s="3458"/>
      <c r="E256" s="90"/>
      <c r="F256" s="92"/>
      <c r="G256" s="483"/>
      <c r="H256" s="74"/>
      <c r="I256" s="105"/>
      <c r="J256" s="295"/>
      <c r="K256" s="375"/>
    </row>
    <row r="257" spans="1:12">
      <c r="A257" s="74"/>
      <c r="B257" s="113"/>
      <c r="C257" s="101"/>
      <c r="D257" s="3458"/>
      <c r="E257" s="90"/>
      <c r="F257" s="92"/>
      <c r="G257" s="483"/>
      <c r="H257" s="74"/>
      <c r="I257" s="105"/>
      <c r="J257" s="295"/>
      <c r="K257" s="375"/>
    </row>
    <row r="258" spans="1:12">
      <c r="A258" s="74"/>
      <c r="B258" s="113"/>
      <c r="C258" s="101"/>
      <c r="D258" s="3458"/>
      <c r="E258" s="90"/>
      <c r="F258" s="92"/>
      <c r="G258" s="483"/>
      <c r="H258" s="74"/>
      <c r="I258" s="105"/>
      <c r="J258" s="295"/>
      <c r="K258" s="375"/>
    </row>
    <row r="259" spans="1:12">
      <c r="A259" s="74"/>
      <c r="B259" s="113"/>
      <c r="C259" s="101"/>
      <c r="D259" s="3458"/>
      <c r="E259" s="90"/>
      <c r="F259" s="92"/>
      <c r="G259" s="483"/>
      <c r="H259" s="74"/>
      <c r="I259" s="105"/>
      <c r="J259" s="295"/>
      <c r="K259" s="375"/>
    </row>
    <row r="260" spans="1:12">
      <c r="A260" s="101"/>
      <c r="B260" s="113"/>
      <c r="C260" s="101"/>
      <c r="D260" s="3458"/>
      <c r="E260" s="91"/>
      <c r="F260" s="61"/>
      <c r="G260" s="483"/>
      <c r="H260" s="101"/>
      <c r="I260" s="105"/>
      <c r="J260" s="295"/>
      <c r="K260" s="375"/>
    </row>
    <row r="261" spans="1:12">
      <c r="A261" s="101"/>
      <c r="B261" s="113"/>
      <c r="C261" s="101"/>
      <c r="D261" s="3458"/>
      <c r="E261" s="91"/>
      <c r="F261" s="146"/>
      <c r="G261" s="483"/>
      <c r="H261" s="74"/>
      <c r="I261" s="105"/>
      <c r="J261" s="295"/>
      <c r="K261" s="375"/>
    </row>
    <row r="262" spans="1:12" ht="35.25" thickBot="1">
      <c r="A262" s="86"/>
      <c r="B262" s="113"/>
      <c r="C262" s="101"/>
      <c r="D262" s="3458"/>
      <c r="E262" s="147"/>
      <c r="F262" s="148"/>
      <c r="G262" s="483"/>
      <c r="H262" s="58"/>
      <c r="I262" s="126"/>
      <c r="J262" s="295"/>
      <c r="K262" s="375"/>
    </row>
    <row r="263" spans="1:12">
      <c r="A263" s="45"/>
      <c r="B263" s="45"/>
      <c r="C263" s="68"/>
      <c r="D263" s="45"/>
      <c r="F263" s="44"/>
      <c r="G263" s="482"/>
      <c r="H263" s="45"/>
      <c r="I263" s="127"/>
      <c r="L263" s="45"/>
    </row>
    <row r="264" spans="1:12">
      <c r="A264" s="45" t="s">
        <v>0</v>
      </c>
      <c r="B264" s="45"/>
      <c r="C264" s="68"/>
      <c r="D264" s="102"/>
      <c r="F264" s="44"/>
      <c r="G264" s="482"/>
      <c r="H264" s="45"/>
      <c r="I264" s="127"/>
      <c r="L264" s="45"/>
    </row>
    <row r="265" spans="1:12">
      <c r="A265" s="44" t="s">
        <v>1453</v>
      </c>
      <c r="B265" s="45"/>
      <c r="C265" s="46"/>
      <c r="D265" s="104"/>
      <c r="F265" s="44"/>
      <c r="G265" s="482"/>
      <c r="H265" s="45"/>
      <c r="I265" s="127"/>
      <c r="L265" s="45"/>
    </row>
    <row r="266" spans="1:12" ht="35.25" thickBot="1">
      <c r="D266" s="102"/>
      <c r="F266" s="44"/>
    </row>
    <row r="267" spans="1:12">
      <c r="A267" s="47" t="s">
        <v>1454</v>
      </c>
      <c r="B267" s="3446" t="s">
        <v>2</v>
      </c>
      <c r="C267" s="48" t="s">
        <v>3</v>
      </c>
      <c r="D267" s="110" t="s">
        <v>4</v>
      </c>
      <c r="E267" s="77" t="s">
        <v>5</v>
      </c>
      <c r="F267" s="78" t="s">
        <v>5</v>
      </c>
      <c r="G267" s="484" t="s">
        <v>6</v>
      </c>
      <c r="H267" s="48" t="s">
        <v>7</v>
      </c>
      <c r="I267" s="136" t="s">
        <v>8</v>
      </c>
      <c r="J267" s="488" t="s">
        <v>9</v>
      </c>
      <c r="K267" s="630" t="s">
        <v>9</v>
      </c>
      <c r="L267" s="46"/>
    </row>
    <row r="268" spans="1:12" ht="35.25" thickBot="1">
      <c r="A268" s="49"/>
      <c r="B268" s="72"/>
      <c r="C268" s="50"/>
      <c r="D268" s="111" t="s">
        <v>10</v>
      </c>
      <c r="E268" s="79" t="s">
        <v>12</v>
      </c>
      <c r="F268" s="80" t="s">
        <v>11</v>
      </c>
      <c r="G268" s="485"/>
      <c r="H268" s="50" t="s">
        <v>13</v>
      </c>
      <c r="I268" s="137"/>
      <c r="J268" s="487" t="s">
        <v>14</v>
      </c>
      <c r="K268" s="631" t="s">
        <v>15</v>
      </c>
      <c r="L268" s="46"/>
    </row>
    <row r="269" spans="1:12">
      <c r="A269" s="62"/>
      <c r="B269" s="43"/>
      <c r="C269" s="101"/>
      <c r="D269" s="3457"/>
      <c r="E269" s="142"/>
      <c r="F269" s="92"/>
      <c r="G269" s="483"/>
      <c r="H269" s="74"/>
      <c r="I269" s="105"/>
      <c r="J269" s="295"/>
      <c r="K269" s="375"/>
    </row>
    <row r="270" spans="1:12" ht="26.25" customHeight="1">
      <c r="A270" s="43"/>
      <c r="B270" s="113"/>
      <c r="C270" s="101"/>
      <c r="D270" s="3458"/>
      <c r="E270" s="143"/>
      <c r="F270" s="144"/>
      <c r="G270" s="483"/>
      <c r="H270" s="74"/>
      <c r="I270" s="105"/>
      <c r="J270" s="295"/>
      <c r="K270" s="375"/>
    </row>
    <row r="271" spans="1:12">
      <c r="A271" s="43"/>
      <c r="B271" s="113"/>
      <c r="C271" s="101"/>
      <c r="D271" s="3458"/>
      <c r="E271" s="145"/>
      <c r="F271" s="92"/>
      <c r="G271" s="483"/>
      <c r="H271" s="74"/>
      <c r="I271" s="105"/>
      <c r="J271" s="295"/>
      <c r="K271" s="375"/>
    </row>
    <row r="272" spans="1:12">
      <c r="A272" s="43"/>
      <c r="B272" s="113"/>
      <c r="C272" s="101"/>
      <c r="D272" s="3458"/>
      <c r="E272" s="145"/>
      <c r="F272" s="92"/>
      <c r="G272" s="483"/>
      <c r="H272" s="74"/>
      <c r="I272" s="105"/>
      <c r="J272" s="295"/>
      <c r="K272" s="375"/>
    </row>
    <row r="273" spans="1:11">
      <c r="A273" s="43"/>
      <c r="B273" s="113"/>
      <c r="C273" s="101"/>
      <c r="D273" s="3458"/>
      <c r="E273" s="145"/>
      <c r="F273" s="92"/>
      <c r="G273" s="483"/>
      <c r="H273" s="74"/>
      <c r="I273" s="105"/>
      <c r="J273" s="295"/>
      <c r="K273" s="375"/>
    </row>
    <row r="274" spans="1:11">
      <c r="A274" s="43"/>
      <c r="B274" s="113"/>
      <c r="C274" s="101"/>
      <c r="D274" s="3458"/>
      <c r="E274" s="145"/>
      <c r="F274" s="92"/>
      <c r="G274" s="483"/>
      <c r="H274" s="74"/>
      <c r="I274" s="105"/>
      <c r="J274" s="295"/>
      <c r="K274" s="375"/>
    </row>
    <row r="275" spans="1:11">
      <c r="A275" s="43"/>
      <c r="B275" s="113"/>
      <c r="C275" s="101"/>
      <c r="D275" s="3458"/>
      <c r="E275" s="145"/>
      <c r="F275" s="92"/>
      <c r="G275" s="483"/>
      <c r="H275" s="74"/>
      <c r="I275" s="105"/>
      <c r="J275" s="295"/>
      <c r="K275" s="375"/>
    </row>
    <row r="276" spans="1:11">
      <c r="A276" s="43"/>
      <c r="B276" s="113"/>
      <c r="C276" s="101"/>
      <c r="D276" s="3458"/>
      <c r="E276" s="145"/>
      <c r="F276" s="92"/>
      <c r="G276" s="483"/>
      <c r="H276" s="74"/>
      <c r="I276" s="105"/>
      <c r="J276" s="295"/>
      <c r="K276" s="375"/>
    </row>
    <row r="277" spans="1:11">
      <c r="A277" s="43"/>
      <c r="B277" s="113"/>
      <c r="C277" s="101"/>
      <c r="D277" s="3458"/>
      <c r="E277" s="145"/>
      <c r="F277" s="92"/>
      <c r="G277" s="483"/>
      <c r="H277" s="74"/>
      <c r="I277" s="105"/>
      <c r="J277" s="295"/>
      <c r="K277" s="375"/>
    </row>
    <row r="278" spans="1:11">
      <c r="A278" s="43"/>
      <c r="B278" s="114"/>
      <c r="C278" s="101"/>
      <c r="D278" s="3458"/>
      <c r="E278" s="145"/>
      <c r="F278" s="92"/>
      <c r="G278" s="483"/>
      <c r="H278" s="74"/>
      <c r="I278" s="105"/>
      <c r="J278" s="295"/>
      <c r="K278" s="375"/>
    </row>
    <row r="279" spans="1:11">
      <c r="A279" s="43"/>
      <c r="B279" s="114"/>
      <c r="C279" s="101"/>
      <c r="D279" s="3458"/>
      <c r="E279" s="145"/>
      <c r="F279" s="92"/>
      <c r="G279" s="483"/>
      <c r="H279" s="74"/>
      <c r="I279" s="105"/>
      <c r="J279" s="295"/>
      <c r="K279" s="375"/>
    </row>
    <row r="280" spans="1:11">
      <c r="A280" s="43"/>
      <c r="B280" s="114"/>
      <c r="C280" s="101"/>
      <c r="D280" s="3458"/>
      <c r="E280" s="145"/>
      <c r="F280" s="92"/>
      <c r="G280" s="483"/>
      <c r="H280" s="74"/>
      <c r="I280" s="105"/>
      <c r="J280" s="295"/>
      <c r="K280" s="375"/>
    </row>
    <row r="281" spans="1:11">
      <c r="A281" s="43"/>
      <c r="B281" s="114"/>
      <c r="C281" s="101"/>
      <c r="D281" s="3458"/>
      <c r="E281" s="145"/>
      <c r="F281" s="92"/>
      <c r="G281" s="483"/>
      <c r="H281" s="74"/>
      <c r="I281" s="105"/>
      <c r="J281" s="295"/>
      <c r="K281" s="375"/>
    </row>
    <row r="282" spans="1:11">
      <c r="A282" s="43"/>
      <c r="B282" s="113"/>
      <c r="C282" s="101"/>
      <c r="D282" s="3458"/>
      <c r="E282" s="145"/>
      <c r="F282" s="92"/>
      <c r="G282" s="483"/>
      <c r="H282" s="74"/>
      <c r="I282" s="105"/>
      <c r="J282" s="295"/>
      <c r="K282" s="375"/>
    </row>
    <row r="283" spans="1:11">
      <c r="A283" s="43"/>
      <c r="B283" s="113"/>
      <c r="C283" s="101"/>
      <c r="D283" s="3458"/>
      <c r="E283" s="145"/>
      <c r="F283" s="92"/>
      <c r="G283" s="483"/>
      <c r="H283" s="74"/>
      <c r="I283" s="105"/>
      <c r="J283" s="295"/>
      <c r="K283" s="375"/>
    </row>
    <row r="284" spans="1:11">
      <c r="A284" s="43"/>
      <c r="B284" s="113"/>
      <c r="C284" s="101"/>
      <c r="D284" s="3458"/>
      <c r="E284" s="145"/>
      <c r="F284" s="92"/>
      <c r="G284" s="483"/>
      <c r="H284" s="74"/>
      <c r="I284" s="105"/>
      <c r="J284" s="295"/>
      <c r="K284" s="375"/>
    </row>
    <row r="285" spans="1:11">
      <c r="A285" s="43"/>
      <c r="B285" s="113"/>
      <c r="C285" s="101"/>
      <c r="D285" s="3458"/>
      <c r="E285" s="145"/>
      <c r="F285" s="92"/>
      <c r="G285" s="483"/>
      <c r="H285" s="74"/>
      <c r="I285" s="105"/>
      <c r="J285" s="295"/>
      <c r="K285" s="375"/>
    </row>
    <row r="286" spans="1:11">
      <c r="A286" s="43"/>
      <c r="B286" s="113"/>
      <c r="C286" s="101"/>
      <c r="D286" s="3458"/>
      <c r="E286" s="145"/>
      <c r="F286" s="92"/>
      <c r="G286" s="483"/>
      <c r="H286" s="74"/>
      <c r="I286" s="105"/>
      <c r="J286" s="295"/>
      <c r="K286" s="375"/>
    </row>
    <row r="287" spans="1:11">
      <c r="A287" s="43"/>
      <c r="B287" s="113"/>
      <c r="C287" s="101"/>
      <c r="D287" s="3458"/>
      <c r="E287" s="145"/>
      <c r="F287" s="92"/>
      <c r="G287" s="483"/>
      <c r="H287" s="74"/>
      <c r="I287" s="105"/>
      <c r="J287" s="295"/>
      <c r="K287" s="375"/>
    </row>
    <row r="288" spans="1:11">
      <c r="A288" s="74"/>
      <c r="B288" s="113"/>
      <c r="C288" s="101"/>
      <c r="D288" s="3458"/>
      <c r="E288" s="90"/>
      <c r="F288" s="92"/>
      <c r="G288" s="483"/>
      <c r="H288" s="74"/>
      <c r="I288" s="105"/>
      <c r="J288" s="295"/>
      <c r="K288" s="375"/>
    </row>
    <row r="289" spans="1:12">
      <c r="A289" s="58"/>
      <c r="B289" s="113"/>
      <c r="C289" s="101"/>
      <c r="D289" s="3458"/>
      <c r="E289" s="90"/>
      <c r="F289" s="92"/>
      <c r="G289" s="483"/>
      <c r="H289" s="58"/>
      <c r="I289" s="126"/>
      <c r="J289" s="295"/>
      <c r="K289" s="375"/>
    </row>
    <row r="290" spans="1:12">
      <c r="A290" s="58"/>
      <c r="B290" s="113"/>
      <c r="C290" s="101"/>
      <c r="D290" s="3458"/>
      <c r="E290" s="90"/>
      <c r="F290" s="92"/>
      <c r="G290" s="483"/>
      <c r="H290" s="58"/>
      <c r="I290" s="126"/>
      <c r="J290" s="295"/>
      <c r="K290" s="375"/>
    </row>
    <row r="291" spans="1:12">
      <c r="A291" s="74"/>
      <c r="B291" s="113"/>
      <c r="C291" s="101"/>
      <c r="D291" s="3458"/>
      <c r="E291" s="90"/>
      <c r="F291" s="92"/>
      <c r="G291" s="483"/>
      <c r="H291" s="74"/>
      <c r="I291" s="105"/>
      <c r="J291" s="295"/>
      <c r="K291" s="375"/>
    </row>
    <row r="292" spans="1:12">
      <c r="A292" s="74"/>
      <c r="B292" s="113"/>
      <c r="C292" s="101"/>
      <c r="D292" s="3458"/>
      <c r="E292" s="90"/>
      <c r="F292" s="92"/>
      <c r="G292" s="483"/>
      <c r="H292" s="74"/>
      <c r="I292" s="105"/>
      <c r="J292" s="295"/>
      <c r="K292" s="375"/>
    </row>
    <row r="293" spans="1:12">
      <c r="A293" s="74"/>
      <c r="B293" s="113"/>
      <c r="C293" s="101"/>
      <c r="D293" s="3458"/>
      <c r="E293" s="90"/>
      <c r="F293" s="92"/>
      <c r="G293" s="483"/>
      <c r="H293" s="74"/>
      <c r="I293" s="105"/>
      <c r="J293" s="295"/>
      <c r="K293" s="375"/>
    </row>
    <row r="294" spans="1:12">
      <c r="A294" s="74"/>
      <c r="B294" s="113"/>
      <c r="C294" s="101"/>
      <c r="D294" s="3458"/>
      <c r="E294" s="90"/>
      <c r="F294" s="92"/>
      <c r="G294" s="483"/>
      <c r="H294" s="74"/>
      <c r="I294" s="105"/>
      <c r="J294" s="295"/>
      <c r="K294" s="375"/>
    </row>
    <row r="295" spans="1:12">
      <c r="A295" s="74"/>
      <c r="B295" s="113"/>
      <c r="C295" s="101"/>
      <c r="D295" s="3458"/>
      <c r="E295" s="90"/>
      <c r="F295" s="92"/>
      <c r="G295" s="483"/>
      <c r="H295" s="74"/>
      <c r="I295" s="105"/>
      <c r="J295" s="295"/>
      <c r="K295" s="375"/>
    </row>
    <row r="296" spans="1:12">
      <c r="A296" s="74"/>
      <c r="B296" s="113"/>
      <c r="C296" s="101"/>
      <c r="D296" s="3458"/>
      <c r="E296" s="90"/>
      <c r="F296" s="92"/>
      <c r="G296" s="483"/>
      <c r="H296" s="74"/>
      <c r="I296" s="105"/>
      <c r="J296" s="295"/>
      <c r="K296" s="375"/>
    </row>
    <row r="297" spans="1:12">
      <c r="A297" s="74"/>
      <c r="B297" s="113"/>
      <c r="C297" s="101"/>
      <c r="D297" s="3458"/>
      <c r="E297" s="90"/>
      <c r="F297" s="92"/>
      <c r="G297" s="483"/>
      <c r="H297" s="74"/>
      <c r="I297" s="105"/>
      <c r="J297" s="295"/>
      <c r="K297" s="375"/>
    </row>
    <row r="298" spans="1:12">
      <c r="A298" s="74"/>
      <c r="B298" s="113"/>
      <c r="C298" s="101"/>
      <c r="D298" s="3458"/>
      <c r="E298" s="90"/>
      <c r="F298" s="92"/>
      <c r="G298" s="483"/>
      <c r="H298" s="74"/>
      <c r="I298" s="105"/>
      <c r="J298" s="295"/>
      <c r="K298" s="375"/>
    </row>
    <row r="299" spans="1:12">
      <c r="A299" s="101"/>
      <c r="B299" s="113"/>
      <c r="C299" s="101"/>
      <c r="D299" s="3458"/>
      <c r="E299" s="91"/>
      <c r="F299" s="61"/>
      <c r="G299" s="483"/>
      <c r="H299" s="101"/>
      <c r="I299" s="105"/>
      <c r="J299" s="295"/>
      <c r="K299" s="375"/>
    </row>
    <row r="300" spans="1:12">
      <c r="A300" s="101"/>
      <c r="B300" s="113"/>
      <c r="C300" s="101"/>
      <c r="D300" s="3458"/>
      <c r="E300" s="91"/>
      <c r="F300" s="146"/>
      <c r="G300" s="483"/>
      <c r="H300" s="74"/>
      <c r="I300" s="105"/>
      <c r="J300" s="295"/>
      <c r="K300" s="375"/>
    </row>
    <row r="301" spans="1:12" ht="35.25" thickBot="1">
      <c r="A301" s="86"/>
      <c r="B301" s="113"/>
      <c r="C301" s="101"/>
      <c r="D301" s="3458"/>
      <c r="E301" s="147"/>
      <c r="F301" s="148"/>
      <c r="G301" s="483"/>
      <c r="H301" s="58"/>
      <c r="I301" s="126"/>
      <c r="J301" s="295"/>
      <c r="K301" s="375"/>
    </row>
    <row r="302" spans="1:12">
      <c r="A302" s="45"/>
      <c r="B302" s="45"/>
      <c r="C302" s="68"/>
      <c r="D302" s="45"/>
      <c r="F302" s="44"/>
      <c r="G302" s="482"/>
      <c r="H302" s="45"/>
      <c r="I302" s="127"/>
      <c r="L302" s="45"/>
    </row>
    <row r="303" spans="1:12">
      <c r="A303" s="45" t="s">
        <v>0</v>
      </c>
      <c r="B303" s="45"/>
      <c r="C303" s="68"/>
      <c r="D303" s="102"/>
      <c r="F303" s="44"/>
      <c r="G303" s="482"/>
      <c r="H303" s="45"/>
      <c r="I303" s="127"/>
      <c r="L303" s="45"/>
    </row>
    <row r="304" spans="1:12" ht="24" customHeight="1">
      <c r="A304" s="44" t="s">
        <v>1453</v>
      </c>
      <c r="B304" s="45"/>
      <c r="C304" s="46"/>
      <c r="D304" s="104"/>
      <c r="F304" s="44"/>
      <c r="G304" s="482"/>
      <c r="H304" s="45"/>
      <c r="I304" s="127"/>
      <c r="L304" s="45"/>
    </row>
    <row r="305" spans="1:12" ht="35.25" thickBot="1">
      <c r="D305" s="102"/>
      <c r="F305" s="44"/>
    </row>
    <row r="306" spans="1:12">
      <c r="A306" s="47" t="s">
        <v>1454</v>
      </c>
      <c r="B306" s="3446" t="s">
        <v>2</v>
      </c>
      <c r="C306" s="48" t="s">
        <v>3</v>
      </c>
      <c r="D306" s="110" t="s">
        <v>4</v>
      </c>
      <c r="E306" s="77" t="s">
        <v>5</v>
      </c>
      <c r="F306" s="78" t="s">
        <v>5</v>
      </c>
      <c r="G306" s="484" t="s">
        <v>6</v>
      </c>
      <c r="H306" s="48" t="s">
        <v>7</v>
      </c>
      <c r="I306" s="136" t="s">
        <v>8</v>
      </c>
      <c r="J306" s="488" t="s">
        <v>9</v>
      </c>
      <c r="K306" s="630" t="s">
        <v>9</v>
      </c>
      <c r="L306" s="46"/>
    </row>
    <row r="307" spans="1:12" ht="35.25" thickBot="1">
      <c r="A307" s="49"/>
      <c r="B307" s="72"/>
      <c r="C307" s="50"/>
      <c r="D307" s="111" t="s">
        <v>10</v>
      </c>
      <c r="E307" s="79" t="s">
        <v>12</v>
      </c>
      <c r="F307" s="80" t="s">
        <v>11</v>
      </c>
      <c r="G307" s="485"/>
      <c r="H307" s="50" t="s">
        <v>13</v>
      </c>
      <c r="I307" s="137"/>
      <c r="J307" s="487" t="s">
        <v>14</v>
      </c>
      <c r="K307" s="631" t="s">
        <v>15</v>
      </c>
      <c r="L307" s="46"/>
    </row>
    <row r="308" spans="1:12">
      <c r="A308" s="62"/>
      <c r="B308" s="43"/>
      <c r="C308" s="101"/>
      <c r="D308" s="3457"/>
      <c r="E308" s="142"/>
      <c r="F308" s="92"/>
      <c r="G308" s="483"/>
      <c r="H308" s="74"/>
      <c r="I308" s="105"/>
      <c r="J308" s="295"/>
      <c r="K308" s="375"/>
    </row>
    <row r="309" spans="1:12">
      <c r="A309" s="43"/>
      <c r="B309" s="113"/>
      <c r="C309" s="101"/>
      <c r="D309" s="3458"/>
      <c r="E309" s="143"/>
      <c r="F309" s="144"/>
      <c r="G309" s="483"/>
      <c r="H309" s="74"/>
      <c r="I309" s="105"/>
      <c r="J309" s="295"/>
      <c r="K309" s="375"/>
    </row>
    <row r="310" spans="1:12">
      <c r="A310" s="43"/>
      <c r="B310" s="113"/>
      <c r="C310" s="101"/>
      <c r="D310" s="3458"/>
      <c r="E310" s="145"/>
      <c r="F310" s="92"/>
      <c r="G310" s="483"/>
      <c r="H310" s="74"/>
      <c r="I310" s="105"/>
      <c r="J310" s="295"/>
      <c r="K310" s="375"/>
    </row>
    <row r="311" spans="1:12">
      <c r="A311" s="43"/>
      <c r="B311" s="113"/>
      <c r="C311" s="101"/>
      <c r="D311" s="3458"/>
      <c r="E311" s="145"/>
      <c r="F311" s="92"/>
      <c r="G311" s="483"/>
      <c r="H311" s="74"/>
      <c r="I311" s="105"/>
      <c r="J311" s="295"/>
      <c r="K311" s="375"/>
    </row>
    <row r="312" spans="1:12">
      <c r="A312" s="43"/>
      <c r="B312" s="113"/>
      <c r="C312" s="101"/>
      <c r="D312" s="3458"/>
      <c r="E312" s="145"/>
      <c r="F312" s="92"/>
      <c r="G312" s="483"/>
      <c r="H312" s="74"/>
      <c r="I312" s="105"/>
      <c r="J312" s="295"/>
      <c r="K312" s="375"/>
    </row>
    <row r="313" spans="1:12">
      <c r="A313" s="43"/>
      <c r="B313" s="113"/>
      <c r="C313" s="101"/>
      <c r="D313" s="3458"/>
      <c r="E313" s="145"/>
      <c r="F313" s="92"/>
      <c r="G313" s="483"/>
      <c r="H313" s="74"/>
      <c r="I313" s="105"/>
      <c r="J313" s="295"/>
      <c r="K313" s="375"/>
    </row>
    <row r="314" spans="1:12">
      <c r="A314" s="43"/>
      <c r="B314" s="113"/>
      <c r="C314" s="101"/>
      <c r="D314" s="3458"/>
      <c r="E314" s="145"/>
      <c r="F314" s="92"/>
      <c r="G314" s="483"/>
      <c r="H314" s="74"/>
      <c r="I314" s="105"/>
      <c r="J314" s="295"/>
      <c r="K314" s="375"/>
    </row>
    <row r="315" spans="1:12">
      <c r="A315" s="43"/>
      <c r="B315" s="113"/>
      <c r="C315" s="101"/>
      <c r="D315" s="3458"/>
      <c r="E315" s="145"/>
      <c r="F315" s="92"/>
      <c r="G315" s="483"/>
      <c r="H315" s="74"/>
      <c r="I315" s="105"/>
      <c r="J315" s="295"/>
      <c r="K315" s="375"/>
    </row>
    <row r="316" spans="1:12">
      <c r="A316" s="43"/>
      <c r="B316" s="113"/>
      <c r="C316" s="101"/>
      <c r="D316" s="3458"/>
      <c r="E316" s="145"/>
      <c r="F316" s="92"/>
      <c r="G316" s="483"/>
      <c r="H316" s="74"/>
      <c r="I316" s="105"/>
      <c r="J316" s="295"/>
      <c r="K316" s="375"/>
    </row>
    <row r="317" spans="1:12">
      <c r="A317" s="43"/>
      <c r="B317" s="114"/>
      <c r="C317" s="101"/>
      <c r="D317" s="3458"/>
      <c r="E317" s="145"/>
      <c r="F317" s="92"/>
      <c r="G317" s="483"/>
      <c r="H317" s="74"/>
      <c r="I317" s="105"/>
      <c r="J317" s="295"/>
      <c r="K317" s="375"/>
    </row>
    <row r="318" spans="1:12">
      <c r="A318" s="43"/>
      <c r="B318" s="114"/>
      <c r="C318" s="101"/>
      <c r="D318" s="3458"/>
      <c r="E318" s="145"/>
      <c r="F318" s="92"/>
      <c r="G318" s="483"/>
      <c r="H318" s="74"/>
      <c r="I318" s="105"/>
      <c r="J318" s="295"/>
      <c r="K318" s="375"/>
    </row>
    <row r="319" spans="1:12">
      <c r="A319" s="43"/>
      <c r="B319" s="114"/>
      <c r="C319" s="101"/>
      <c r="D319" s="3458"/>
      <c r="E319" s="145"/>
      <c r="F319" s="92"/>
      <c r="G319" s="483"/>
      <c r="H319" s="74"/>
      <c r="I319" s="105"/>
      <c r="J319" s="295"/>
      <c r="K319" s="375"/>
    </row>
    <row r="320" spans="1:12">
      <c r="A320" s="43"/>
      <c r="B320" s="114"/>
      <c r="C320" s="101"/>
      <c r="D320" s="3458"/>
      <c r="E320" s="145"/>
      <c r="F320" s="92"/>
      <c r="G320" s="483"/>
      <c r="H320" s="74"/>
      <c r="I320" s="105"/>
      <c r="J320" s="295"/>
      <c r="K320" s="375"/>
    </row>
    <row r="321" spans="1:11">
      <c r="A321" s="43"/>
      <c r="B321" s="113"/>
      <c r="C321" s="101"/>
      <c r="D321" s="3458"/>
      <c r="E321" s="145"/>
      <c r="F321" s="92"/>
      <c r="G321" s="483"/>
      <c r="H321" s="74"/>
      <c r="I321" s="105"/>
      <c r="J321" s="295"/>
      <c r="K321" s="375"/>
    </row>
    <row r="322" spans="1:11">
      <c r="A322" s="43"/>
      <c r="B322" s="113"/>
      <c r="C322" s="101"/>
      <c r="D322" s="3458"/>
      <c r="E322" s="145"/>
      <c r="F322" s="92"/>
      <c r="G322" s="483"/>
      <c r="H322" s="74"/>
      <c r="I322" s="105"/>
      <c r="J322" s="295"/>
      <c r="K322" s="375"/>
    </row>
    <row r="323" spans="1:11">
      <c r="A323" s="43"/>
      <c r="B323" s="113"/>
      <c r="C323" s="101"/>
      <c r="D323" s="3458"/>
      <c r="E323" s="145"/>
      <c r="F323" s="92"/>
      <c r="G323" s="483"/>
      <c r="H323" s="74"/>
      <c r="I323" s="105"/>
      <c r="J323" s="295"/>
      <c r="K323" s="375"/>
    </row>
    <row r="324" spans="1:11">
      <c r="A324" s="43"/>
      <c r="B324" s="113"/>
      <c r="C324" s="101"/>
      <c r="D324" s="3458"/>
      <c r="E324" s="145"/>
      <c r="F324" s="92"/>
      <c r="G324" s="483"/>
      <c r="H324" s="74"/>
      <c r="I324" s="105"/>
      <c r="J324" s="295"/>
      <c r="K324" s="375"/>
    </row>
    <row r="325" spans="1:11">
      <c r="A325" s="43"/>
      <c r="B325" s="113"/>
      <c r="C325" s="101"/>
      <c r="D325" s="3458"/>
      <c r="E325" s="145"/>
      <c r="F325" s="92"/>
      <c r="G325" s="483"/>
      <c r="H325" s="74"/>
      <c r="I325" s="105"/>
      <c r="J325" s="295"/>
      <c r="K325" s="375"/>
    </row>
    <row r="326" spans="1:11">
      <c r="A326" s="43"/>
      <c r="B326" s="113"/>
      <c r="C326" s="101"/>
      <c r="D326" s="3458"/>
      <c r="E326" s="145"/>
      <c r="F326" s="92"/>
      <c r="G326" s="483"/>
      <c r="H326" s="74"/>
      <c r="I326" s="105"/>
      <c r="J326" s="295"/>
      <c r="K326" s="375"/>
    </row>
    <row r="327" spans="1:11">
      <c r="A327" s="74"/>
      <c r="B327" s="113"/>
      <c r="C327" s="101"/>
      <c r="D327" s="3458"/>
      <c r="E327" s="90"/>
      <c r="F327" s="92"/>
      <c r="G327" s="483"/>
      <c r="H327" s="74"/>
      <c r="I327" s="105"/>
      <c r="J327" s="295"/>
      <c r="K327" s="375"/>
    </row>
    <row r="328" spans="1:11">
      <c r="A328" s="58"/>
      <c r="B328" s="113"/>
      <c r="C328" s="101"/>
      <c r="D328" s="3458"/>
      <c r="E328" s="90"/>
      <c r="F328" s="92"/>
      <c r="G328" s="483"/>
      <c r="H328" s="58"/>
      <c r="I328" s="126"/>
      <c r="J328" s="295"/>
      <c r="K328" s="375"/>
    </row>
    <row r="329" spans="1:11">
      <c r="A329" s="58"/>
      <c r="B329" s="113"/>
      <c r="C329" s="101"/>
      <c r="D329" s="3458"/>
      <c r="E329" s="90"/>
      <c r="F329" s="92"/>
      <c r="G329" s="483"/>
      <c r="H329" s="58"/>
      <c r="I329" s="126"/>
      <c r="J329" s="295"/>
      <c r="K329" s="375"/>
    </row>
    <row r="330" spans="1:11">
      <c r="A330" s="74"/>
      <c r="B330" s="113"/>
      <c r="C330" s="101"/>
      <c r="D330" s="3458"/>
      <c r="E330" s="90"/>
      <c r="F330" s="92"/>
      <c r="G330" s="483"/>
      <c r="H330" s="74"/>
      <c r="I330" s="105"/>
      <c r="J330" s="295"/>
      <c r="K330" s="375"/>
    </row>
    <row r="331" spans="1:11">
      <c r="A331" s="74"/>
      <c r="B331" s="113"/>
      <c r="C331" s="101"/>
      <c r="D331" s="3458"/>
      <c r="E331" s="90"/>
      <c r="F331" s="92"/>
      <c r="G331" s="483"/>
      <c r="H331" s="74"/>
      <c r="I331" s="105"/>
      <c r="J331" s="295"/>
      <c r="K331" s="375"/>
    </row>
    <row r="332" spans="1:11">
      <c r="A332" s="74"/>
      <c r="B332" s="113"/>
      <c r="C332" s="101"/>
      <c r="D332" s="3458"/>
      <c r="E332" s="90"/>
      <c r="F332" s="92"/>
      <c r="G332" s="483"/>
      <c r="H332" s="74"/>
      <c r="I332" s="105"/>
      <c r="J332" s="295"/>
      <c r="K332" s="375"/>
    </row>
    <row r="333" spans="1:11">
      <c r="A333" s="74"/>
      <c r="B333" s="113"/>
      <c r="C333" s="101"/>
      <c r="D333" s="3458"/>
      <c r="E333" s="90"/>
      <c r="F333" s="92"/>
      <c r="G333" s="483"/>
      <c r="H333" s="74"/>
      <c r="I333" s="105"/>
      <c r="J333" s="295"/>
      <c r="K333" s="375"/>
    </row>
    <row r="334" spans="1:11">
      <c r="A334" s="74"/>
      <c r="B334" s="113"/>
      <c r="C334" s="101"/>
      <c r="D334" s="3458"/>
      <c r="E334" s="90"/>
      <c r="F334" s="92"/>
      <c r="G334" s="483"/>
      <c r="H334" s="74"/>
      <c r="I334" s="105"/>
      <c r="J334" s="295"/>
      <c r="K334" s="375"/>
    </row>
    <row r="335" spans="1:11">
      <c r="A335" s="74"/>
      <c r="B335" s="113"/>
      <c r="C335" s="101"/>
      <c r="D335" s="3458"/>
      <c r="E335" s="90"/>
      <c r="F335" s="92"/>
      <c r="G335" s="483"/>
      <c r="H335" s="74"/>
      <c r="I335" s="105"/>
      <c r="J335" s="295"/>
      <c r="K335" s="375"/>
    </row>
    <row r="336" spans="1:11">
      <c r="A336" s="74"/>
      <c r="B336" s="113"/>
      <c r="C336" s="101"/>
      <c r="D336" s="3458"/>
      <c r="E336" s="90"/>
      <c r="F336" s="92"/>
      <c r="G336" s="483"/>
      <c r="H336" s="74"/>
      <c r="I336" s="105"/>
      <c r="J336" s="295"/>
      <c r="K336" s="375"/>
    </row>
    <row r="337" spans="1:12">
      <c r="A337" s="74"/>
      <c r="B337" s="113"/>
      <c r="C337" s="101"/>
      <c r="D337" s="3458"/>
      <c r="E337" s="90"/>
      <c r="F337" s="92"/>
      <c r="G337" s="483"/>
      <c r="H337" s="74"/>
      <c r="I337" s="105"/>
      <c r="J337" s="295"/>
      <c r="K337" s="375"/>
    </row>
    <row r="338" spans="1:12">
      <c r="A338" s="101"/>
      <c r="B338" s="113"/>
      <c r="C338" s="101"/>
      <c r="D338" s="3458"/>
      <c r="E338" s="91"/>
      <c r="F338" s="61"/>
      <c r="G338" s="483"/>
      <c r="H338" s="101"/>
      <c r="I338" s="105"/>
      <c r="J338" s="295"/>
      <c r="K338" s="375"/>
    </row>
    <row r="339" spans="1:12">
      <c r="A339" s="101"/>
      <c r="B339" s="113"/>
      <c r="C339" s="101"/>
      <c r="D339" s="3458"/>
      <c r="E339" s="91"/>
      <c r="F339" s="146"/>
      <c r="G339" s="483"/>
      <c r="H339" s="74"/>
      <c r="I339" s="105"/>
      <c r="J339" s="295"/>
      <c r="K339" s="375"/>
    </row>
    <row r="340" spans="1:12" ht="35.25" thickBot="1">
      <c r="A340" s="86"/>
      <c r="B340" s="113"/>
      <c r="C340" s="101"/>
      <c r="D340" s="3458"/>
      <c r="E340" s="147"/>
      <c r="F340" s="148"/>
      <c r="G340" s="483"/>
      <c r="H340" s="58"/>
      <c r="I340" s="126"/>
      <c r="J340" s="295"/>
      <c r="K340" s="375"/>
    </row>
    <row r="341" spans="1:12">
      <c r="A341" s="45"/>
      <c r="B341" s="45"/>
      <c r="C341" s="68"/>
      <c r="D341" s="45"/>
      <c r="F341" s="44"/>
      <c r="G341" s="482"/>
      <c r="H341" s="45"/>
      <c r="I341" s="127"/>
      <c r="L341" s="45"/>
    </row>
    <row r="342" spans="1:12">
      <c r="A342" s="45" t="s">
        <v>0</v>
      </c>
      <c r="B342" s="45"/>
      <c r="C342" s="68"/>
      <c r="D342" s="102"/>
      <c r="F342" s="44"/>
      <c r="G342" s="482"/>
      <c r="H342" s="45"/>
      <c r="I342" s="127"/>
      <c r="L342" s="45"/>
    </row>
    <row r="343" spans="1:12">
      <c r="A343" s="44" t="s">
        <v>1453</v>
      </c>
      <c r="B343" s="45"/>
      <c r="C343" s="46"/>
      <c r="D343" s="104"/>
      <c r="F343" s="44"/>
      <c r="G343" s="482"/>
      <c r="H343" s="45"/>
      <c r="I343" s="127"/>
      <c r="L343" s="45"/>
    </row>
    <row r="344" spans="1:12" ht="35.25" thickBot="1">
      <c r="D344" s="102"/>
      <c r="F344" s="44"/>
    </row>
    <row r="345" spans="1:12">
      <c r="A345" s="47" t="s">
        <v>1454</v>
      </c>
      <c r="B345" s="3446" t="s">
        <v>2</v>
      </c>
      <c r="C345" s="48" t="s">
        <v>3</v>
      </c>
      <c r="D345" s="110" t="s">
        <v>4</v>
      </c>
      <c r="E345" s="77" t="s">
        <v>5</v>
      </c>
      <c r="F345" s="78" t="s">
        <v>5</v>
      </c>
      <c r="G345" s="484" t="s">
        <v>6</v>
      </c>
      <c r="H345" s="48" t="s">
        <v>7</v>
      </c>
      <c r="I345" s="136" t="s">
        <v>8</v>
      </c>
      <c r="J345" s="488" t="s">
        <v>9</v>
      </c>
      <c r="K345" s="630" t="s">
        <v>9</v>
      </c>
      <c r="L345" s="46"/>
    </row>
    <row r="346" spans="1:12" ht="35.25" thickBot="1">
      <c r="A346" s="49"/>
      <c r="B346" s="72"/>
      <c r="C346" s="50"/>
      <c r="D346" s="111" t="s">
        <v>10</v>
      </c>
      <c r="E346" s="79" t="s">
        <v>12</v>
      </c>
      <c r="F346" s="80" t="s">
        <v>11</v>
      </c>
      <c r="G346" s="485"/>
      <c r="H346" s="50" t="s">
        <v>13</v>
      </c>
      <c r="I346" s="137"/>
      <c r="J346" s="487" t="s">
        <v>14</v>
      </c>
      <c r="K346" s="631" t="s">
        <v>15</v>
      </c>
      <c r="L346" s="46"/>
    </row>
    <row r="347" spans="1:12">
      <c r="A347" s="62"/>
      <c r="B347" s="43"/>
      <c r="C347" s="101"/>
      <c r="D347" s="3457"/>
      <c r="E347" s="142"/>
      <c r="F347" s="92"/>
      <c r="G347" s="483"/>
      <c r="H347" s="74"/>
      <c r="I347" s="105"/>
      <c r="J347" s="295"/>
      <c r="K347" s="375"/>
    </row>
    <row r="348" spans="1:12">
      <c r="A348" s="43"/>
      <c r="B348" s="113"/>
      <c r="C348" s="101"/>
      <c r="D348" s="3458"/>
      <c r="E348" s="143"/>
      <c r="F348" s="144"/>
      <c r="G348" s="483"/>
      <c r="H348" s="74"/>
      <c r="I348" s="105"/>
      <c r="J348" s="295"/>
      <c r="K348" s="375"/>
    </row>
    <row r="349" spans="1:12">
      <c r="A349" s="43"/>
      <c r="B349" s="113"/>
      <c r="C349" s="101"/>
      <c r="D349" s="3458"/>
      <c r="E349" s="145"/>
      <c r="F349" s="92"/>
      <c r="G349" s="483"/>
      <c r="H349" s="74"/>
      <c r="I349" s="105"/>
      <c r="J349" s="295"/>
      <c r="K349" s="375"/>
    </row>
    <row r="350" spans="1:12">
      <c r="A350" s="43"/>
      <c r="B350" s="113"/>
      <c r="C350" s="101"/>
      <c r="D350" s="3458"/>
      <c r="E350" s="145"/>
      <c r="F350" s="92"/>
      <c r="G350" s="483"/>
      <c r="H350" s="74"/>
      <c r="I350" s="105"/>
      <c r="J350" s="295"/>
      <c r="K350" s="375"/>
    </row>
    <row r="351" spans="1:12">
      <c r="A351" s="43"/>
      <c r="B351" s="113"/>
      <c r="C351" s="101"/>
      <c r="D351" s="3458"/>
      <c r="E351" s="145"/>
      <c r="F351" s="92"/>
      <c r="G351" s="483"/>
      <c r="H351" s="74"/>
      <c r="I351" s="105"/>
      <c r="J351" s="295"/>
      <c r="K351" s="375"/>
    </row>
    <row r="352" spans="1:12">
      <c r="A352" s="43"/>
      <c r="B352" s="113"/>
      <c r="C352" s="101"/>
      <c r="D352" s="3458"/>
      <c r="E352" s="145"/>
      <c r="F352" s="92"/>
      <c r="G352" s="483"/>
      <c r="H352" s="74"/>
      <c r="I352" s="105"/>
      <c r="J352" s="295"/>
      <c r="K352" s="375"/>
    </row>
    <row r="353" spans="1:11">
      <c r="A353" s="43"/>
      <c r="B353" s="113"/>
      <c r="C353" s="101"/>
      <c r="D353" s="3458"/>
      <c r="E353" s="145"/>
      <c r="F353" s="92"/>
      <c r="G353" s="483"/>
      <c r="H353" s="74"/>
      <c r="I353" s="105"/>
      <c r="J353" s="295"/>
      <c r="K353" s="375"/>
    </row>
    <row r="354" spans="1:11">
      <c r="A354" s="43"/>
      <c r="B354" s="113"/>
      <c r="C354" s="101"/>
      <c r="D354" s="3458"/>
      <c r="E354" s="145"/>
      <c r="F354" s="92"/>
      <c r="G354" s="483"/>
      <c r="H354" s="74"/>
      <c r="I354" s="105"/>
      <c r="J354" s="295"/>
      <c r="K354" s="375"/>
    </row>
    <row r="355" spans="1:11">
      <c r="A355" s="43"/>
      <c r="B355" s="113"/>
      <c r="C355" s="101"/>
      <c r="D355" s="3458"/>
      <c r="E355" s="145"/>
      <c r="F355" s="92"/>
      <c r="G355" s="483"/>
      <c r="H355" s="74"/>
      <c r="I355" s="105"/>
      <c r="J355" s="295"/>
      <c r="K355" s="375"/>
    </row>
    <row r="356" spans="1:11">
      <c r="A356" s="43"/>
      <c r="B356" s="114"/>
      <c r="C356" s="101"/>
      <c r="D356" s="3458"/>
      <c r="E356" s="145"/>
      <c r="F356" s="92"/>
      <c r="G356" s="483"/>
      <c r="H356" s="74"/>
      <c r="I356" s="105"/>
      <c r="J356" s="295"/>
      <c r="K356" s="375"/>
    </row>
    <row r="357" spans="1:11">
      <c r="A357" s="43"/>
      <c r="B357" s="114"/>
      <c r="C357" s="101"/>
      <c r="D357" s="3458"/>
      <c r="E357" s="145"/>
      <c r="F357" s="92"/>
      <c r="G357" s="483"/>
      <c r="H357" s="74"/>
      <c r="I357" s="105"/>
      <c r="J357" s="295"/>
      <c r="K357" s="375"/>
    </row>
    <row r="358" spans="1:11">
      <c r="A358" s="43"/>
      <c r="B358" s="114"/>
      <c r="C358" s="101"/>
      <c r="D358" s="3458"/>
      <c r="E358" s="145"/>
      <c r="F358" s="92"/>
      <c r="G358" s="483"/>
      <c r="H358" s="74"/>
      <c r="I358" s="105"/>
      <c r="J358" s="295"/>
      <c r="K358" s="375"/>
    </row>
    <row r="359" spans="1:11">
      <c r="A359" s="43"/>
      <c r="B359" s="114"/>
      <c r="C359" s="101"/>
      <c r="D359" s="3458"/>
      <c r="E359" s="145"/>
      <c r="F359" s="92"/>
      <c r="G359" s="483"/>
      <c r="H359" s="74"/>
      <c r="I359" s="105"/>
      <c r="J359" s="295"/>
      <c r="K359" s="375"/>
    </row>
    <row r="360" spans="1:11">
      <c r="A360" s="43"/>
      <c r="B360" s="113"/>
      <c r="C360" s="101"/>
      <c r="D360" s="3458"/>
      <c r="E360" s="145"/>
      <c r="F360" s="92"/>
      <c r="G360" s="483"/>
      <c r="H360" s="74"/>
      <c r="I360" s="105"/>
      <c r="J360" s="295"/>
      <c r="K360" s="375"/>
    </row>
    <row r="361" spans="1:11">
      <c r="A361" s="43"/>
      <c r="B361" s="113"/>
      <c r="C361" s="101"/>
      <c r="D361" s="3458"/>
      <c r="E361" s="145"/>
      <c r="F361" s="92"/>
      <c r="G361" s="483"/>
      <c r="H361" s="74"/>
      <c r="I361" s="105"/>
      <c r="J361" s="295"/>
      <c r="K361" s="375"/>
    </row>
    <row r="362" spans="1:11">
      <c r="A362" s="43"/>
      <c r="B362" s="113"/>
      <c r="C362" s="101"/>
      <c r="D362" s="3458"/>
      <c r="E362" s="145"/>
      <c r="F362" s="92"/>
      <c r="G362" s="483"/>
      <c r="H362" s="74"/>
      <c r="I362" s="105"/>
      <c r="J362" s="295"/>
      <c r="K362" s="375"/>
    </row>
    <row r="363" spans="1:11">
      <c r="A363" s="43"/>
      <c r="B363" s="113"/>
      <c r="C363" s="101"/>
      <c r="D363" s="3458"/>
      <c r="E363" s="145"/>
      <c r="F363" s="92"/>
      <c r="G363" s="483"/>
      <c r="H363" s="74"/>
      <c r="I363" s="105"/>
      <c r="J363" s="295"/>
      <c r="K363" s="375"/>
    </row>
    <row r="364" spans="1:11">
      <c r="A364" s="43"/>
      <c r="B364" s="113"/>
      <c r="C364" s="101"/>
      <c r="D364" s="3458"/>
      <c r="E364" s="145"/>
      <c r="F364" s="92"/>
      <c r="G364" s="483"/>
      <c r="H364" s="74"/>
      <c r="I364" s="105"/>
      <c r="J364" s="295"/>
      <c r="K364" s="375"/>
    </row>
    <row r="365" spans="1:11">
      <c r="A365" s="43"/>
      <c r="B365" s="113"/>
      <c r="C365" s="101"/>
      <c r="D365" s="3458"/>
      <c r="E365" s="145"/>
      <c r="F365" s="92"/>
      <c r="G365" s="483"/>
      <c r="H365" s="74"/>
      <c r="I365" s="105"/>
      <c r="J365" s="295"/>
      <c r="K365" s="375"/>
    </row>
    <row r="366" spans="1:11">
      <c r="A366" s="74"/>
      <c r="B366" s="113"/>
      <c r="C366" s="101"/>
      <c r="D366" s="3458"/>
      <c r="E366" s="90"/>
      <c r="F366" s="92"/>
      <c r="G366" s="483"/>
      <c r="H366" s="74"/>
      <c r="I366" s="105"/>
      <c r="J366" s="295"/>
      <c r="K366" s="375"/>
    </row>
    <row r="367" spans="1:11">
      <c r="A367" s="58"/>
      <c r="B367" s="113"/>
      <c r="C367" s="101"/>
      <c r="D367" s="3458"/>
      <c r="E367" s="90"/>
      <c r="F367" s="92"/>
      <c r="G367" s="483"/>
      <c r="H367" s="58"/>
      <c r="I367" s="126"/>
      <c r="J367" s="295"/>
      <c r="K367" s="375"/>
    </row>
    <row r="368" spans="1:11">
      <c r="A368" s="58"/>
      <c r="B368" s="113"/>
      <c r="C368" s="101"/>
      <c r="D368" s="3458"/>
      <c r="E368" s="90"/>
      <c r="F368" s="92"/>
      <c r="G368" s="483"/>
      <c r="H368" s="58"/>
      <c r="I368" s="126"/>
      <c r="J368" s="295"/>
      <c r="K368" s="375"/>
    </row>
    <row r="369" spans="1:12">
      <c r="A369" s="74"/>
      <c r="B369" s="113"/>
      <c r="C369" s="101"/>
      <c r="D369" s="3458"/>
      <c r="E369" s="90"/>
      <c r="F369" s="92"/>
      <c r="G369" s="483"/>
      <c r="H369" s="74"/>
      <c r="I369" s="105"/>
      <c r="J369" s="295"/>
      <c r="K369" s="375"/>
    </row>
    <row r="370" spans="1:12">
      <c r="A370" s="74"/>
      <c r="B370" s="113"/>
      <c r="C370" s="101"/>
      <c r="D370" s="3458"/>
      <c r="E370" s="90"/>
      <c r="F370" s="92"/>
      <c r="G370" s="483"/>
      <c r="H370" s="74"/>
      <c r="I370" s="105"/>
      <c r="J370" s="295"/>
      <c r="K370" s="375"/>
    </row>
    <row r="371" spans="1:12">
      <c r="A371" s="74"/>
      <c r="B371" s="113"/>
      <c r="C371" s="101"/>
      <c r="D371" s="3458"/>
      <c r="E371" s="90"/>
      <c r="F371" s="92"/>
      <c r="G371" s="483"/>
      <c r="H371" s="74"/>
      <c r="I371" s="105"/>
      <c r="J371" s="295"/>
      <c r="K371" s="375"/>
    </row>
    <row r="372" spans="1:12">
      <c r="A372" s="74"/>
      <c r="B372" s="113"/>
      <c r="C372" s="101"/>
      <c r="D372" s="3458"/>
      <c r="E372" s="90"/>
      <c r="F372" s="92"/>
      <c r="G372" s="483"/>
      <c r="H372" s="74"/>
      <c r="I372" s="105"/>
      <c r="J372" s="295"/>
      <c r="K372" s="375"/>
    </row>
    <row r="373" spans="1:12">
      <c r="A373" s="74"/>
      <c r="B373" s="113"/>
      <c r="C373" s="101"/>
      <c r="D373" s="3458"/>
      <c r="E373" s="90"/>
      <c r="F373" s="92"/>
      <c r="G373" s="483"/>
      <c r="H373" s="74"/>
      <c r="I373" s="105"/>
      <c r="J373" s="295"/>
      <c r="K373" s="375"/>
    </row>
    <row r="374" spans="1:12">
      <c r="A374" s="74"/>
      <c r="B374" s="113"/>
      <c r="C374" s="101"/>
      <c r="D374" s="3458"/>
      <c r="E374" s="90"/>
      <c r="F374" s="92"/>
      <c r="G374" s="483"/>
      <c r="H374" s="74"/>
      <c r="I374" s="105"/>
      <c r="J374" s="295"/>
      <c r="K374" s="375"/>
    </row>
    <row r="375" spans="1:12">
      <c r="A375" s="74"/>
      <c r="B375" s="113"/>
      <c r="C375" s="101"/>
      <c r="D375" s="3458"/>
      <c r="E375" s="90"/>
      <c r="F375" s="92"/>
      <c r="G375" s="483"/>
      <c r="H375" s="74"/>
      <c r="I375" s="105"/>
      <c r="J375" s="295"/>
      <c r="K375" s="375"/>
    </row>
    <row r="376" spans="1:12">
      <c r="A376" s="74"/>
      <c r="B376" s="113"/>
      <c r="C376" s="101"/>
      <c r="D376" s="3458"/>
      <c r="E376" s="90"/>
      <c r="F376" s="92"/>
      <c r="G376" s="483"/>
      <c r="H376" s="74"/>
      <c r="I376" s="105"/>
      <c r="J376" s="295"/>
      <c r="K376" s="375"/>
    </row>
    <row r="377" spans="1:12">
      <c r="A377" s="101"/>
      <c r="B377" s="113"/>
      <c r="C377" s="101"/>
      <c r="D377" s="3458"/>
      <c r="E377" s="91"/>
      <c r="F377" s="61"/>
      <c r="G377" s="483"/>
      <c r="H377" s="101"/>
      <c r="I377" s="105"/>
      <c r="J377" s="295"/>
      <c r="K377" s="375"/>
    </row>
    <row r="378" spans="1:12">
      <c r="A378" s="101"/>
      <c r="B378" s="113"/>
      <c r="C378" s="101"/>
      <c r="D378" s="3458"/>
      <c r="E378" s="91"/>
      <c r="F378" s="146"/>
      <c r="G378" s="483"/>
      <c r="H378" s="74"/>
      <c r="I378" s="105"/>
      <c r="J378" s="295"/>
      <c r="K378" s="375"/>
    </row>
    <row r="379" spans="1:12" ht="35.25" thickBot="1">
      <c r="A379" s="86"/>
      <c r="B379" s="113"/>
      <c r="C379" s="101"/>
      <c r="D379" s="3458"/>
      <c r="E379" s="147"/>
      <c r="F379" s="148"/>
      <c r="G379" s="483"/>
      <c r="H379" s="58"/>
      <c r="I379" s="126"/>
      <c r="J379" s="295"/>
      <c r="K379" s="375"/>
    </row>
    <row r="380" spans="1:12">
      <c r="A380" s="45"/>
      <c r="B380" s="45"/>
      <c r="C380" s="68"/>
      <c r="D380" s="45"/>
      <c r="F380" s="44"/>
      <c r="G380" s="482"/>
      <c r="H380" s="45"/>
      <c r="I380" s="127"/>
      <c r="L380" s="45"/>
    </row>
    <row r="381" spans="1:12">
      <c r="A381" s="45" t="s">
        <v>0</v>
      </c>
      <c r="B381" s="45"/>
      <c r="C381" s="68"/>
      <c r="D381" s="102"/>
      <c r="F381" s="44"/>
      <c r="G381" s="482"/>
      <c r="H381" s="45"/>
      <c r="I381" s="127"/>
      <c r="L381" s="45"/>
    </row>
    <row r="382" spans="1:12">
      <c r="A382" s="44" t="s">
        <v>1453</v>
      </c>
      <c r="B382" s="45"/>
      <c r="C382" s="46"/>
      <c r="D382" s="104"/>
      <c r="F382" s="44"/>
      <c r="G382" s="482"/>
      <c r="H382" s="45"/>
      <c r="I382" s="127"/>
      <c r="L382" s="45"/>
    </row>
    <row r="383" spans="1:12" ht="35.25" thickBot="1">
      <c r="D383" s="102"/>
      <c r="F383" s="44"/>
    </row>
    <row r="384" spans="1:12">
      <c r="A384" s="47" t="s">
        <v>1454</v>
      </c>
      <c r="B384" s="3446" t="s">
        <v>2</v>
      </c>
      <c r="C384" s="48" t="s">
        <v>3</v>
      </c>
      <c r="D384" s="110" t="s">
        <v>4</v>
      </c>
      <c r="E384" s="77" t="s">
        <v>5</v>
      </c>
      <c r="F384" s="78" t="s">
        <v>5</v>
      </c>
      <c r="G384" s="484" t="s">
        <v>6</v>
      </c>
      <c r="H384" s="48" t="s">
        <v>7</v>
      </c>
      <c r="I384" s="136" t="s">
        <v>8</v>
      </c>
      <c r="J384" s="488" t="s">
        <v>9</v>
      </c>
      <c r="K384" s="630" t="s">
        <v>9</v>
      </c>
      <c r="L384" s="46"/>
    </row>
    <row r="385" spans="1:12" ht="35.25" thickBot="1">
      <c r="A385" s="49"/>
      <c r="B385" s="72"/>
      <c r="C385" s="50"/>
      <c r="D385" s="111" t="s">
        <v>10</v>
      </c>
      <c r="E385" s="79" t="s">
        <v>12</v>
      </c>
      <c r="F385" s="80" t="s">
        <v>11</v>
      </c>
      <c r="G385" s="485"/>
      <c r="H385" s="50" t="s">
        <v>13</v>
      </c>
      <c r="I385" s="137"/>
      <c r="J385" s="487" t="s">
        <v>14</v>
      </c>
      <c r="K385" s="631" t="s">
        <v>15</v>
      </c>
      <c r="L385" s="46"/>
    </row>
    <row r="386" spans="1:12">
      <c r="A386" s="62"/>
      <c r="B386" s="43"/>
      <c r="C386" s="101"/>
      <c r="D386" s="3457"/>
      <c r="E386" s="142"/>
      <c r="F386" s="92"/>
      <c r="G386" s="483"/>
      <c r="H386" s="74"/>
      <c r="I386" s="105"/>
      <c r="J386" s="295"/>
      <c r="K386" s="375"/>
    </row>
    <row r="387" spans="1:12">
      <c r="A387" s="43"/>
      <c r="B387" s="113"/>
      <c r="C387" s="101"/>
      <c r="D387" s="3458"/>
      <c r="E387" s="143"/>
      <c r="F387" s="144"/>
      <c r="G387" s="483"/>
      <c r="H387" s="74"/>
      <c r="I387" s="105"/>
      <c r="J387" s="295"/>
      <c r="K387" s="375"/>
    </row>
    <row r="388" spans="1:12">
      <c r="A388" s="43"/>
      <c r="B388" s="113"/>
      <c r="C388" s="101"/>
      <c r="D388" s="3458"/>
      <c r="E388" s="145"/>
      <c r="F388" s="92"/>
      <c r="G388" s="483"/>
      <c r="H388" s="74"/>
      <c r="I388" s="105"/>
      <c r="J388" s="295"/>
      <c r="K388" s="375"/>
    </row>
    <row r="389" spans="1:12">
      <c r="A389" s="43"/>
      <c r="B389" s="113"/>
      <c r="C389" s="101"/>
      <c r="D389" s="3458"/>
      <c r="E389" s="145"/>
      <c r="F389" s="92"/>
      <c r="G389" s="483"/>
      <c r="H389" s="74"/>
      <c r="I389" s="105"/>
      <c r="J389" s="295"/>
      <c r="K389" s="375"/>
    </row>
    <row r="390" spans="1:12">
      <c r="A390" s="43"/>
      <c r="B390" s="113"/>
      <c r="C390" s="101"/>
      <c r="D390" s="3458"/>
      <c r="E390" s="145"/>
      <c r="F390" s="92"/>
      <c r="G390" s="483"/>
      <c r="H390" s="74"/>
      <c r="I390" s="105"/>
      <c r="J390" s="295"/>
      <c r="K390" s="375"/>
    </row>
    <row r="391" spans="1:12">
      <c r="A391" s="43"/>
      <c r="B391" s="113"/>
      <c r="C391" s="101"/>
      <c r="D391" s="3458"/>
      <c r="E391" s="145"/>
      <c r="F391" s="92"/>
      <c r="G391" s="483"/>
      <c r="H391" s="74"/>
      <c r="I391" s="105"/>
      <c r="J391" s="295"/>
      <c r="K391" s="375"/>
    </row>
    <row r="392" spans="1:12">
      <c r="A392" s="43"/>
      <c r="B392" s="113"/>
      <c r="C392" s="101"/>
      <c r="D392" s="3458"/>
      <c r="E392" s="145"/>
      <c r="F392" s="92"/>
      <c r="G392" s="483"/>
      <c r="H392" s="74"/>
      <c r="I392" s="105"/>
      <c r="J392" s="295"/>
      <c r="K392" s="375"/>
    </row>
    <row r="393" spans="1:12">
      <c r="A393" s="43"/>
      <c r="B393" s="113"/>
      <c r="C393" s="101"/>
      <c r="D393" s="3458"/>
      <c r="E393" s="145"/>
      <c r="F393" s="92"/>
      <c r="G393" s="483"/>
      <c r="H393" s="74"/>
      <c r="I393" s="105"/>
      <c r="J393" s="295"/>
      <c r="K393" s="375"/>
    </row>
    <row r="394" spans="1:12">
      <c r="A394" s="43"/>
      <c r="B394" s="113"/>
      <c r="C394" s="101"/>
      <c r="D394" s="3458"/>
      <c r="E394" s="145"/>
      <c r="F394" s="92"/>
      <c r="G394" s="483"/>
      <c r="H394" s="74"/>
      <c r="I394" s="105"/>
      <c r="J394" s="295"/>
      <c r="K394" s="375"/>
    </row>
    <row r="395" spans="1:12">
      <c r="A395" s="43"/>
      <c r="B395" s="114"/>
      <c r="C395" s="101"/>
      <c r="D395" s="3458"/>
      <c r="E395" s="145"/>
      <c r="F395" s="92"/>
      <c r="G395" s="483"/>
      <c r="H395" s="74"/>
      <c r="I395" s="105"/>
      <c r="J395" s="295"/>
      <c r="K395" s="375"/>
    </row>
    <row r="396" spans="1:12">
      <c r="A396" s="43"/>
      <c r="B396" s="114"/>
      <c r="C396" s="101"/>
      <c r="D396" s="3458"/>
      <c r="E396" s="145"/>
      <c r="F396" s="92"/>
      <c r="G396" s="483"/>
      <c r="H396" s="74"/>
      <c r="I396" s="105"/>
      <c r="J396" s="295"/>
      <c r="K396" s="375"/>
    </row>
    <row r="397" spans="1:12">
      <c r="A397" s="43"/>
      <c r="B397" s="114"/>
      <c r="C397" s="101"/>
      <c r="D397" s="3458"/>
      <c r="E397" s="145"/>
      <c r="F397" s="92"/>
      <c r="G397" s="483"/>
      <c r="H397" s="74"/>
      <c r="I397" s="105"/>
      <c r="J397" s="295"/>
      <c r="K397" s="375"/>
    </row>
    <row r="398" spans="1:12">
      <c r="A398" s="43"/>
      <c r="B398" s="114"/>
      <c r="C398" s="101"/>
      <c r="D398" s="3458"/>
      <c r="E398" s="145"/>
      <c r="F398" s="92"/>
      <c r="G398" s="483"/>
      <c r="H398" s="74"/>
      <c r="I398" s="105"/>
      <c r="J398" s="295"/>
      <c r="K398" s="375"/>
    </row>
    <row r="399" spans="1:12">
      <c r="A399" s="43"/>
      <c r="B399" s="113"/>
      <c r="C399" s="101"/>
      <c r="D399" s="3458"/>
      <c r="E399" s="145"/>
      <c r="F399" s="92"/>
      <c r="G399" s="483"/>
      <c r="H399" s="74"/>
      <c r="I399" s="105"/>
      <c r="J399" s="295"/>
      <c r="K399" s="375"/>
    </row>
    <row r="400" spans="1:12">
      <c r="A400" s="43"/>
      <c r="B400" s="113"/>
      <c r="C400" s="101"/>
      <c r="D400" s="3458"/>
      <c r="E400" s="145"/>
      <c r="F400" s="92"/>
      <c r="G400" s="483"/>
      <c r="H400" s="74"/>
      <c r="I400" s="105"/>
      <c r="J400" s="295"/>
      <c r="K400" s="375"/>
    </row>
    <row r="401" spans="1:11">
      <c r="A401" s="43"/>
      <c r="B401" s="113"/>
      <c r="C401" s="101"/>
      <c r="D401" s="3458"/>
      <c r="E401" s="145"/>
      <c r="F401" s="92"/>
      <c r="G401" s="483"/>
      <c r="H401" s="74"/>
      <c r="I401" s="105"/>
      <c r="J401" s="295"/>
      <c r="K401" s="375"/>
    </row>
    <row r="402" spans="1:11">
      <c r="A402" s="43"/>
      <c r="B402" s="113"/>
      <c r="C402" s="101"/>
      <c r="D402" s="3458"/>
      <c r="E402" s="145"/>
      <c r="F402" s="92"/>
      <c r="G402" s="483"/>
      <c r="H402" s="74"/>
      <c r="I402" s="105"/>
      <c r="J402" s="295"/>
      <c r="K402" s="375"/>
    </row>
    <row r="403" spans="1:11">
      <c r="A403" s="43"/>
      <c r="B403" s="113"/>
      <c r="C403" s="101"/>
      <c r="D403" s="3458"/>
      <c r="E403" s="145"/>
      <c r="F403" s="92"/>
      <c r="G403" s="483"/>
      <c r="H403" s="74"/>
      <c r="I403" s="105"/>
      <c r="J403" s="295"/>
      <c r="K403" s="375"/>
    </row>
    <row r="404" spans="1:11">
      <c r="A404" s="43"/>
      <c r="B404" s="113"/>
      <c r="C404" s="101"/>
      <c r="D404" s="3458"/>
      <c r="E404" s="145"/>
      <c r="F404" s="92"/>
      <c r="G404" s="483"/>
      <c r="H404" s="74"/>
      <c r="I404" s="105"/>
      <c r="J404" s="295"/>
      <c r="K404" s="375"/>
    </row>
    <row r="405" spans="1:11">
      <c r="A405" s="74"/>
      <c r="B405" s="113"/>
      <c r="C405" s="101"/>
      <c r="D405" s="3458"/>
      <c r="E405" s="90"/>
      <c r="F405" s="92"/>
      <c r="G405" s="483"/>
      <c r="H405" s="74"/>
      <c r="I405" s="105"/>
      <c r="J405" s="295"/>
      <c r="K405" s="375"/>
    </row>
    <row r="406" spans="1:11">
      <c r="A406" s="58"/>
      <c r="B406" s="113"/>
      <c r="C406" s="101"/>
      <c r="D406" s="3458"/>
      <c r="E406" s="90"/>
      <c r="F406" s="92"/>
      <c r="G406" s="483"/>
      <c r="H406" s="58"/>
      <c r="I406" s="126"/>
      <c r="J406" s="295"/>
      <c r="K406" s="375"/>
    </row>
    <row r="407" spans="1:11">
      <c r="A407" s="58"/>
      <c r="B407" s="113"/>
      <c r="C407" s="101"/>
      <c r="D407" s="3458"/>
      <c r="E407" s="90"/>
      <c r="F407" s="92"/>
      <c r="G407" s="483"/>
      <c r="H407" s="58"/>
      <c r="I407" s="126"/>
      <c r="J407" s="295"/>
      <c r="K407" s="375"/>
    </row>
    <row r="408" spans="1:11">
      <c r="A408" s="74"/>
      <c r="B408" s="113"/>
      <c r="C408" s="101"/>
      <c r="D408" s="3458"/>
      <c r="E408" s="90"/>
      <c r="F408" s="92"/>
      <c r="G408" s="483"/>
      <c r="H408" s="74"/>
      <c r="I408" s="105"/>
      <c r="J408" s="295"/>
      <c r="K408" s="375"/>
    </row>
    <row r="409" spans="1:11">
      <c r="A409" s="74"/>
      <c r="B409" s="113"/>
      <c r="C409" s="101"/>
      <c r="D409" s="3458"/>
      <c r="E409" s="90"/>
      <c r="F409" s="92"/>
      <c r="G409" s="483"/>
      <c r="H409" s="74"/>
      <c r="I409" s="105"/>
      <c r="J409" s="295"/>
      <c r="K409" s="375"/>
    </row>
    <row r="410" spans="1:11">
      <c r="A410" s="74"/>
      <c r="B410" s="113"/>
      <c r="C410" s="101"/>
      <c r="D410" s="3458"/>
      <c r="E410" s="90"/>
      <c r="F410" s="92"/>
      <c r="G410" s="483"/>
      <c r="H410" s="74"/>
      <c r="I410" s="105"/>
      <c r="J410" s="295"/>
      <c r="K410" s="375"/>
    </row>
    <row r="411" spans="1:11">
      <c r="A411" s="74"/>
      <c r="B411" s="113"/>
      <c r="C411" s="101"/>
      <c r="D411" s="3458"/>
      <c r="E411" s="90"/>
      <c r="F411" s="92"/>
      <c r="G411" s="483"/>
      <c r="H411" s="74"/>
      <c r="I411" s="105"/>
      <c r="J411" s="295"/>
      <c r="K411" s="375"/>
    </row>
    <row r="412" spans="1:11">
      <c r="A412" s="74"/>
      <c r="B412" s="113"/>
      <c r="C412" s="101"/>
      <c r="D412" s="3458"/>
      <c r="E412" s="90"/>
      <c r="F412" s="92"/>
      <c r="G412" s="483"/>
      <c r="H412" s="74"/>
      <c r="I412" s="105"/>
      <c r="J412" s="295"/>
      <c r="K412" s="375"/>
    </row>
    <row r="413" spans="1:11">
      <c r="A413" s="74"/>
      <c r="B413" s="113"/>
      <c r="C413" s="101"/>
      <c r="D413" s="3458"/>
      <c r="E413" s="90"/>
      <c r="F413" s="92"/>
      <c r="G413" s="483"/>
      <c r="H413" s="74"/>
      <c r="I413" s="105"/>
      <c r="J413" s="295"/>
      <c r="K413" s="375"/>
    </row>
    <row r="414" spans="1:11">
      <c r="A414" s="74"/>
      <c r="B414" s="113"/>
      <c r="C414" s="101"/>
      <c r="D414" s="3458"/>
      <c r="E414" s="90"/>
      <c r="F414" s="92"/>
      <c r="G414" s="483"/>
      <c r="H414" s="74"/>
      <c r="I414" s="105"/>
      <c r="J414" s="295"/>
      <c r="K414" s="375"/>
    </row>
    <row r="415" spans="1:11">
      <c r="A415" s="74"/>
      <c r="B415" s="113"/>
      <c r="C415" s="101"/>
      <c r="D415" s="3458"/>
      <c r="E415" s="90"/>
      <c r="F415" s="92"/>
      <c r="G415" s="483"/>
      <c r="H415" s="74"/>
      <c r="I415" s="105"/>
      <c r="J415" s="295"/>
      <c r="K415" s="375"/>
    </row>
    <row r="416" spans="1:11">
      <c r="A416" s="101"/>
      <c r="B416" s="113"/>
      <c r="C416" s="101"/>
      <c r="D416" s="3458"/>
      <c r="E416" s="91"/>
      <c r="F416" s="61"/>
      <c r="G416" s="483"/>
      <c r="H416" s="101"/>
      <c r="I416" s="105"/>
      <c r="J416" s="295"/>
      <c r="K416" s="375"/>
    </row>
    <row r="417" spans="1:12">
      <c r="A417" s="101"/>
      <c r="B417" s="113"/>
      <c r="C417" s="101"/>
      <c r="D417" s="3458"/>
      <c r="E417" s="91"/>
      <c r="F417" s="146"/>
      <c r="G417" s="483"/>
      <c r="H417" s="74"/>
      <c r="I417" s="105"/>
      <c r="J417" s="295"/>
      <c r="K417" s="375"/>
    </row>
    <row r="418" spans="1:12" ht="35.25" thickBot="1">
      <c r="A418" s="86"/>
      <c r="B418" s="113"/>
      <c r="C418" s="101"/>
      <c r="D418" s="3458"/>
      <c r="E418" s="147"/>
      <c r="F418" s="148"/>
      <c r="G418" s="483"/>
      <c r="H418" s="58"/>
      <c r="I418" s="126"/>
      <c r="J418" s="295"/>
      <c r="K418" s="375"/>
    </row>
    <row r="419" spans="1:12">
      <c r="A419" s="45"/>
      <c r="B419" s="45"/>
      <c r="C419" s="68"/>
      <c r="D419" s="45"/>
      <c r="F419" s="44"/>
      <c r="G419" s="482"/>
      <c r="H419" s="45"/>
      <c r="I419" s="127"/>
      <c r="L419" s="45"/>
    </row>
    <row r="420" spans="1:12">
      <c r="A420" s="45" t="s">
        <v>0</v>
      </c>
      <c r="B420" s="45"/>
      <c r="C420" s="68"/>
      <c r="D420" s="102"/>
      <c r="F420" s="44"/>
      <c r="G420" s="482"/>
      <c r="H420" s="45"/>
      <c r="I420" s="127"/>
      <c r="L420" s="45"/>
    </row>
    <row r="421" spans="1:12">
      <c r="A421" s="44" t="s">
        <v>1453</v>
      </c>
      <c r="B421" s="45"/>
      <c r="C421" s="46"/>
      <c r="D421" s="104"/>
      <c r="F421" s="44"/>
      <c r="G421" s="482"/>
      <c r="H421" s="45"/>
      <c r="I421" s="127"/>
      <c r="L421" s="45"/>
    </row>
    <row r="422" spans="1:12" ht="35.25" thickBot="1">
      <c r="D422" s="102"/>
      <c r="F422" s="44"/>
    </row>
    <row r="423" spans="1:12">
      <c r="A423" s="47" t="s">
        <v>1454</v>
      </c>
      <c r="B423" s="3446" t="s">
        <v>2</v>
      </c>
      <c r="C423" s="48" t="s">
        <v>3</v>
      </c>
      <c r="D423" s="110" t="s">
        <v>4</v>
      </c>
      <c r="E423" s="77" t="s">
        <v>5</v>
      </c>
      <c r="F423" s="78" t="s">
        <v>5</v>
      </c>
      <c r="G423" s="484" t="s">
        <v>6</v>
      </c>
      <c r="H423" s="48" t="s">
        <v>7</v>
      </c>
      <c r="I423" s="136" t="s">
        <v>8</v>
      </c>
      <c r="J423" s="488" t="s">
        <v>9</v>
      </c>
      <c r="K423" s="630" t="s">
        <v>9</v>
      </c>
      <c r="L423" s="46"/>
    </row>
    <row r="424" spans="1:12" ht="35.25" thickBot="1">
      <c r="A424" s="49"/>
      <c r="B424" s="72"/>
      <c r="C424" s="50"/>
      <c r="D424" s="111" t="s">
        <v>10</v>
      </c>
      <c r="E424" s="79" t="s">
        <v>12</v>
      </c>
      <c r="F424" s="80" t="s">
        <v>11</v>
      </c>
      <c r="G424" s="485"/>
      <c r="H424" s="50" t="s">
        <v>13</v>
      </c>
      <c r="I424" s="137"/>
      <c r="J424" s="487" t="s">
        <v>14</v>
      </c>
      <c r="K424" s="631" t="s">
        <v>15</v>
      </c>
      <c r="L424" s="46"/>
    </row>
    <row r="425" spans="1:12">
      <c r="A425" s="62"/>
      <c r="B425" s="43"/>
      <c r="C425" s="101"/>
      <c r="D425" s="3457"/>
      <c r="E425" s="142"/>
      <c r="F425" s="92"/>
      <c r="G425" s="483"/>
      <c r="H425" s="74"/>
      <c r="I425" s="105"/>
      <c r="J425" s="295"/>
      <c r="K425" s="375"/>
    </row>
    <row r="426" spans="1:12">
      <c r="A426" s="43"/>
      <c r="B426" s="113"/>
      <c r="C426" s="101"/>
      <c r="D426" s="3458"/>
      <c r="E426" s="143"/>
      <c r="F426" s="144"/>
      <c r="G426" s="483"/>
      <c r="H426" s="74"/>
      <c r="I426" s="105"/>
      <c r="J426" s="295"/>
      <c r="K426" s="375"/>
    </row>
    <row r="427" spans="1:12">
      <c r="A427" s="43"/>
      <c r="B427" s="113"/>
      <c r="C427" s="101"/>
      <c r="D427" s="3458"/>
      <c r="E427" s="145"/>
      <c r="F427" s="92"/>
      <c r="G427" s="483"/>
      <c r="H427" s="74"/>
      <c r="I427" s="105"/>
      <c r="J427" s="295"/>
      <c r="K427" s="375"/>
    </row>
    <row r="428" spans="1:12">
      <c r="A428" s="43"/>
      <c r="B428" s="113"/>
      <c r="C428" s="101"/>
      <c r="D428" s="3458"/>
      <c r="E428" s="145"/>
      <c r="F428" s="92"/>
      <c r="G428" s="483"/>
      <c r="H428" s="74"/>
      <c r="I428" s="105"/>
      <c r="J428" s="295"/>
      <c r="K428" s="375"/>
    </row>
    <row r="429" spans="1:12">
      <c r="A429" s="43"/>
      <c r="B429" s="113"/>
      <c r="C429" s="101"/>
      <c r="D429" s="3458"/>
      <c r="E429" s="145"/>
      <c r="F429" s="92"/>
      <c r="G429" s="483"/>
      <c r="H429" s="74"/>
      <c r="I429" s="105"/>
      <c r="J429" s="295"/>
      <c r="K429" s="375"/>
    </row>
    <row r="430" spans="1:12">
      <c r="A430" s="43"/>
      <c r="B430" s="113"/>
      <c r="C430" s="101"/>
      <c r="D430" s="3458"/>
      <c r="E430" s="145"/>
      <c r="F430" s="92"/>
      <c r="G430" s="483"/>
      <c r="H430" s="74"/>
      <c r="I430" s="105"/>
      <c r="J430" s="295"/>
      <c r="K430" s="375"/>
    </row>
    <row r="431" spans="1:12">
      <c r="A431" s="43"/>
      <c r="B431" s="113"/>
      <c r="C431" s="101"/>
      <c r="D431" s="3458"/>
      <c r="E431" s="145"/>
      <c r="F431" s="92"/>
      <c r="G431" s="483"/>
      <c r="H431" s="74"/>
      <c r="I431" s="105"/>
      <c r="J431" s="295"/>
      <c r="K431" s="375"/>
    </row>
    <row r="432" spans="1:12">
      <c r="A432" s="43"/>
      <c r="B432" s="113"/>
      <c r="C432" s="101"/>
      <c r="D432" s="3458"/>
      <c r="E432" s="145"/>
      <c r="F432" s="92"/>
      <c r="G432" s="483"/>
      <c r="H432" s="74"/>
      <c r="I432" s="105"/>
      <c r="J432" s="295"/>
      <c r="K432" s="375"/>
    </row>
    <row r="433" spans="1:11">
      <c r="A433" s="43"/>
      <c r="B433" s="113"/>
      <c r="C433" s="101"/>
      <c r="D433" s="3458"/>
      <c r="E433" s="145"/>
      <c r="F433" s="92"/>
      <c r="G433" s="483"/>
      <c r="H433" s="74"/>
      <c r="I433" s="105"/>
      <c r="J433" s="295"/>
      <c r="K433" s="375"/>
    </row>
    <row r="434" spans="1:11">
      <c r="A434" s="43"/>
      <c r="B434" s="114"/>
      <c r="C434" s="101"/>
      <c r="D434" s="3458"/>
      <c r="E434" s="145"/>
      <c r="F434" s="92"/>
      <c r="G434" s="483"/>
      <c r="H434" s="74"/>
      <c r="I434" s="105"/>
      <c r="J434" s="295"/>
      <c r="K434" s="375"/>
    </row>
    <row r="435" spans="1:11">
      <c r="A435" s="43"/>
      <c r="B435" s="114"/>
      <c r="C435" s="101"/>
      <c r="D435" s="3458"/>
      <c r="E435" s="145"/>
      <c r="F435" s="92"/>
      <c r="G435" s="483"/>
      <c r="H435" s="74"/>
      <c r="I435" s="105"/>
      <c r="J435" s="295"/>
      <c r="K435" s="375"/>
    </row>
    <row r="436" spans="1:11">
      <c r="A436" s="43"/>
      <c r="B436" s="114"/>
      <c r="C436" s="101"/>
      <c r="D436" s="3458"/>
      <c r="E436" s="145"/>
      <c r="F436" s="92"/>
      <c r="G436" s="483"/>
      <c r="H436" s="74"/>
      <c r="I436" s="105"/>
      <c r="J436" s="295"/>
      <c r="K436" s="375"/>
    </row>
    <row r="437" spans="1:11">
      <c r="A437" s="43"/>
      <c r="B437" s="114"/>
      <c r="C437" s="101"/>
      <c r="D437" s="3458"/>
      <c r="E437" s="145"/>
      <c r="F437" s="92"/>
      <c r="G437" s="483"/>
      <c r="H437" s="74"/>
      <c r="I437" s="105"/>
      <c r="J437" s="295"/>
      <c r="K437" s="375"/>
    </row>
    <row r="438" spans="1:11">
      <c r="A438" s="43"/>
      <c r="B438" s="113"/>
      <c r="C438" s="101"/>
      <c r="D438" s="3458"/>
      <c r="E438" s="145"/>
      <c r="F438" s="92"/>
      <c r="G438" s="483"/>
      <c r="H438" s="74"/>
      <c r="I438" s="105"/>
      <c r="J438" s="295"/>
      <c r="K438" s="375"/>
    </row>
    <row r="439" spans="1:11">
      <c r="A439" s="43"/>
      <c r="B439" s="113"/>
      <c r="C439" s="101"/>
      <c r="D439" s="3458"/>
      <c r="E439" s="145"/>
      <c r="F439" s="92"/>
      <c r="G439" s="483"/>
      <c r="H439" s="74"/>
      <c r="I439" s="105"/>
      <c r="J439" s="295"/>
      <c r="K439" s="375"/>
    </row>
    <row r="440" spans="1:11">
      <c r="A440" s="43"/>
      <c r="B440" s="113"/>
      <c r="C440" s="101"/>
      <c r="D440" s="3458"/>
      <c r="E440" s="145"/>
      <c r="F440" s="92"/>
      <c r="G440" s="483"/>
      <c r="H440" s="74"/>
      <c r="I440" s="105"/>
      <c r="J440" s="295"/>
      <c r="K440" s="375"/>
    </row>
    <row r="441" spans="1:11">
      <c r="A441" s="43"/>
      <c r="B441" s="113"/>
      <c r="C441" s="101"/>
      <c r="D441" s="3458"/>
      <c r="E441" s="145"/>
      <c r="F441" s="92"/>
      <c r="G441" s="483"/>
      <c r="H441" s="74"/>
      <c r="I441" s="105"/>
      <c r="J441" s="295"/>
      <c r="K441" s="375"/>
    </row>
    <row r="442" spans="1:11">
      <c r="A442" s="43"/>
      <c r="B442" s="113"/>
      <c r="C442" s="101"/>
      <c r="D442" s="3458"/>
      <c r="E442" s="145"/>
      <c r="F442" s="92"/>
      <c r="G442" s="483"/>
      <c r="H442" s="74"/>
      <c r="I442" s="105"/>
      <c r="J442" s="295"/>
      <c r="K442" s="375"/>
    </row>
    <row r="443" spans="1:11">
      <c r="A443" s="43"/>
      <c r="B443" s="113"/>
      <c r="C443" s="101"/>
      <c r="D443" s="3458"/>
      <c r="E443" s="145"/>
      <c r="F443" s="92"/>
      <c r="G443" s="483"/>
      <c r="H443" s="74"/>
      <c r="I443" s="105"/>
      <c r="J443" s="295"/>
      <c r="K443" s="375"/>
    </row>
    <row r="444" spans="1:11">
      <c r="A444" s="74"/>
      <c r="B444" s="113"/>
      <c r="C444" s="101"/>
      <c r="D444" s="3458"/>
      <c r="E444" s="90"/>
      <c r="F444" s="92"/>
      <c r="G444" s="483"/>
      <c r="H444" s="74"/>
      <c r="I444" s="105"/>
      <c r="J444" s="295"/>
      <c r="K444" s="375"/>
    </row>
    <row r="445" spans="1:11">
      <c r="A445" s="58"/>
      <c r="B445" s="113"/>
      <c r="C445" s="101"/>
      <c r="D445" s="3458"/>
      <c r="E445" s="90"/>
      <c r="F445" s="92"/>
      <c r="G445" s="483"/>
      <c r="H445" s="58"/>
      <c r="I445" s="126"/>
      <c r="J445" s="295"/>
      <c r="K445" s="375"/>
    </row>
    <row r="446" spans="1:11">
      <c r="A446" s="58"/>
      <c r="B446" s="113"/>
      <c r="C446" s="101"/>
      <c r="D446" s="3458"/>
      <c r="E446" s="90"/>
      <c r="F446" s="92"/>
      <c r="G446" s="483"/>
      <c r="H446" s="58"/>
      <c r="I446" s="126"/>
      <c r="J446" s="295"/>
      <c r="K446" s="375"/>
    </row>
    <row r="447" spans="1:11">
      <c r="A447" s="74"/>
      <c r="B447" s="113"/>
      <c r="C447" s="101"/>
      <c r="D447" s="3458"/>
      <c r="E447" s="90"/>
      <c r="F447" s="92"/>
      <c r="G447" s="483"/>
      <c r="H447" s="74"/>
      <c r="I447" s="105"/>
      <c r="J447" s="295"/>
      <c r="K447" s="375"/>
    </row>
    <row r="448" spans="1:11">
      <c r="A448" s="74"/>
      <c r="B448" s="113"/>
      <c r="C448" s="101"/>
      <c r="D448" s="3458"/>
      <c r="E448" s="90"/>
      <c r="F448" s="92"/>
      <c r="G448" s="483"/>
      <c r="H448" s="74"/>
      <c r="I448" s="105"/>
      <c r="J448" s="295"/>
      <c r="K448" s="375"/>
    </row>
    <row r="449" spans="1:12">
      <c r="A449" s="74"/>
      <c r="B449" s="113"/>
      <c r="C449" s="101"/>
      <c r="D449" s="3458"/>
      <c r="E449" s="90"/>
      <c r="F449" s="92"/>
      <c r="G449" s="483"/>
      <c r="H449" s="74"/>
      <c r="I449" s="105"/>
      <c r="J449" s="295"/>
      <c r="K449" s="375"/>
    </row>
    <row r="450" spans="1:12">
      <c r="A450" s="74"/>
      <c r="B450" s="113"/>
      <c r="C450" s="101"/>
      <c r="D450" s="3458"/>
      <c r="E450" s="90"/>
      <c r="F450" s="92"/>
      <c r="G450" s="483"/>
      <c r="H450" s="74"/>
      <c r="I450" s="105"/>
      <c r="J450" s="295"/>
      <c r="K450" s="375"/>
    </row>
    <row r="451" spans="1:12">
      <c r="A451" s="74"/>
      <c r="B451" s="113"/>
      <c r="C451" s="101"/>
      <c r="D451" s="3458"/>
      <c r="E451" s="90"/>
      <c r="F451" s="92"/>
      <c r="G451" s="483"/>
      <c r="H451" s="74"/>
      <c r="I451" s="105"/>
      <c r="J451" s="295"/>
      <c r="K451" s="375"/>
    </row>
    <row r="452" spans="1:12">
      <c r="A452" s="74"/>
      <c r="B452" s="113"/>
      <c r="C452" s="101"/>
      <c r="D452" s="3458"/>
      <c r="E452" s="90"/>
      <c r="F452" s="92"/>
      <c r="G452" s="483"/>
      <c r="H452" s="74"/>
      <c r="I452" s="105"/>
      <c r="J452" s="295"/>
      <c r="K452" s="375"/>
    </row>
    <row r="453" spans="1:12">
      <c r="A453" s="74"/>
      <c r="B453" s="113"/>
      <c r="C453" s="101"/>
      <c r="D453" s="3458"/>
      <c r="E453" s="90"/>
      <c r="F453" s="92"/>
      <c r="G453" s="483"/>
      <c r="H453" s="74"/>
      <c r="I453" s="105"/>
      <c r="J453" s="295"/>
      <c r="K453" s="375"/>
    </row>
    <row r="454" spans="1:12">
      <c r="A454" s="74"/>
      <c r="B454" s="113"/>
      <c r="C454" s="101"/>
      <c r="D454" s="3458"/>
      <c r="E454" s="90"/>
      <c r="F454" s="92"/>
      <c r="G454" s="483"/>
      <c r="H454" s="74"/>
      <c r="I454" s="105"/>
      <c r="J454" s="295"/>
      <c r="K454" s="375"/>
    </row>
    <row r="455" spans="1:12">
      <c r="A455" s="101"/>
      <c r="B455" s="113"/>
      <c r="C455" s="101"/>
      <c r="D455" s="3458"/>
      <c r="E455" s="91"/>
      <c r="F455" s="61"/>
      <c r="G455" s="483"/>
      <c r="H455" s="101"/>
      <c r="I455" s="105"/>
      <c r="J455" s="295"/>
      <c r="K455" s="375"/>
    </row>
    <row r="456" spans="1:12">
      <c r="A456" s="101"/>
      <c r="B456" s="113"/>
      <c r="C456" s="101"/>
      <c r="D456" s="3458"/>
      <c r="E456" s="91"/>
      <c r="F456" s="146"/>
      <c r="G456" s="483"/>
      <c r="H456" s="74"/>
      <c r="I456" s="105"/>
      <c r="J456" s="295"/>
      <c r="K456" s="375"/>
    </row>
    <row r="457" spans="1:12" ht="35.25" thickBot="1">
      <c r="A457" s="86"/>
      <c r="B457" s="113"/>
      <c r="C457" s="101"/>
      <c r="D457" s="3458"/>
      <c r="E457" s="147"/>
      <c r="F457" s="148"/>
      <c r="G457" s="483"/>
      <c r="H457" s="58"/>
      <c r="I457" s="126"/>
      <c r="J457" s="295"/>
      <c r="K457" s="375"/>
    </row>
    <row r="458" spans="1:12">
      <c r="A458" s="45"/>
      <c r="B458" s="45"/>
      <c r="C458" s="68"/>
      <c r="D458" s="45"/>
      <c r="F458" s="44"/>
      <c r="G458" s="482"/>
      <c r="H458" s="45"/>
      <c r="I458" s="127"/>
      <c r="L458" s="45"/>
    </row>
    <row r="459" spans="1:12">
      <c r="A459" s="45" t="s">
        <v>0</v>
      </c>
      <c r="B459" s="45"/>
      <c r="C459" s="68"/>
      <c r="D459" s="102"/>
      <c r="F459" s="44"/>
      <c r="G459" s="482"/>
      <c r="H459" s="45"/>
      <c r="I459" s="127"/>
      <c r="L459" s="45"/>
    </row>
    <row r="460" spans="1:12">
      <c r="A460" s="44" t="s">
        <v>1453</v>
      </c>
      <c r="B460" s="45"/>
      <c r="C460" s="46"/>
      <c r="D460" s="104"/>
      <c r="F460" s="44"/>
      <c r="G460" s="482"/>
      <c r="H460" s="45"/>
      <c r="I460" s="127"/>
      <c r="L460" s="45"/>
    </row>
    <row r="461" spans="1:12" ht="35.25" thickBot="1">
      <c r="D461" s="102"/>
      <c r="F461" s="44"/>
    </row>
    <row r="462" spans="1:12">
      <c r="A462" s="47" t="s">
        <v>1454</v>
      </c>
      <c r="B462" s="3446" t="s">
        <v>2</v>
      </c>
      <c r="C462" s="48" t="s">
        <v>3</v>
      </c>
      <c r="D462" s="110" t="s">
        <v>4</v>
      </c>
      <c r="E462" s="77" t="s">
        <v>5</v>
      </c>
      <c r="F462" s="78" t="s">
        <v>5</v>
      </c>
      <c r="G462" s="484" t="s">
        <v>6</v>
      </c>
      <c r="H462" s="48" t="s">
        <v>7</v>
      </c>
      <c r="I462" s="136" t="s">
        <v>8</v>
      </c>
      <c r="J462" s="488" t="s">
        <v>9</v>
      </c>
      <c r="K462" s="630" t="s">
        <v>9</v>
      </c>
      <c r="L462" s="46"/>
    </row>
    <row r="463" spans="1:12" ht="35.25" thickBot="1">
      <c r="A463" s="49"/>
      <c r="B463" s="72"/>
      <c r="C463" s="50"/>
      <c r="D463" s="111" t="s">
        <v>10</v>
      </c>
      <c r="E463" s="79" t="s">
        <v>12</v>
      </c>
      <c r="F463" s="80" t="s">
        <v>11</v>
      </c>
      <c r="G463" s="485"/>
      <c r="H463" s="50" t="s">
        <v>13</v>
      </c>
      <c r="I463" s="137"/>
      <c r="J463" s="487" t="s">
        <v>14</v>
      </c>
      <c r="K463" s="631" t="s">
        <v>15</v>
      </c>
      <c r="L463" s="46"/>
    </row>
    <row r="464" spans="1:12">
      <c r="A464" s="62"/>
      <c r="B464" s="43"/>
      <c r="C464" s="101"/>
      <c r="D464" s="3457"/>
      <c r="E464" s="142"/>
      <c r="F464" s="92"/>
      <c r="G464" s="483"/>
      <c r="H464" s="74"/>
      <c r="I464" s="105"/>
      <c r="J464" s="295"/>
      <c r="K464" s="375"/>
    </row>
    <row r="465" spans="1:11">
      <c r="A465" s="43"/>
      <c r="B465" s="113"/>
      <c r="C465" s="101"/>
      <c r="D465" s="3458"/>
      <c r="E465" s="143"/>
      <c r="F465" s="144"/>
      <c r="G465" s="483"/>
      <c r="H465" s="74"/>
      <c r="I465" s="105"/>
      <c r="J465" s="295"/>
      <c r="K465" s="375"/>
    </row>
    <row r="466" spans="1:11">
      <c r="A466" s="43"/>
      <c r="B466" s="113"/>
      <c r="C466" s="101"/>
      <c r="D466" s="3458"/>
      <c r="E466" s="145"/>
      <c r="F466" s="92"/>
      <c r="G466" s="483"/>
      <c r="H466" s="74"/>
      <c r="I466" s="105"/>
      <c r="J466" s="295"/>
      <c r="K466" s="375"/>
    </row>
    <row r="467" spans="1:11">
      <c r="A467" s="43"/>
      <c r="B467" s="113"/>
      <c r="C467" s="101"/>
      <c r="D467" s="3458"/>
      <c r="E467" s="145"/>
      <c r="F467" s="92"/>
      <c r="G467" s="483"/>
      <c r="H467" s="74"/>
      <c r="I467" s="105"/>
      <c r="J467" s="295"/>
      <c r="K467" s="375"/>
    </row>
    <row r="468" spans="1:11">
      <c r="A468" s="43"/>
      <c r="B468" s="113"/>
      <c r="C468" s="101"/>
      <c r="D468" s="3458"/>
      <c r="E468" s="145"/>
      <c r="F468" s="92"/>
      <c r="G468" s="483"/>
      <c r="H468" s="74"/>
      <c r="I468" s="105"/>
      <c r="J468" s="295"/>
      <c r="K468" s="375"/>
    </row>
    <row r="469" spans="1:11">
      <c r="A469" s="43"/>
      <c r="B469" s="113"/>
      <c r="C469" s="101"/>
      <c r="D469" s="3458"/>
      <c r="E469" s="145"/>
      <c r="F469" s="92"/>
      <c r="G469" s="483"/>
      <c r="H469" s="74"/>
      <c r="I469" s="105"/>
      <c r="J469" s="295"/>
      <c r="K469" s="375"/>
    </row>
    <row r="470" spans="1:11">
      <c r="A470" s="43"/>
      <c r="B470" s="113"/>
      <c r="C470" s="101"/>
      <c r="D470" s="3458"/>
      <c r="E470" s="145"/>
      <c r="F470" s="92"/>
      <c r="G470" s="483"/>
      <c r="H470" s="74"/>
      <c r="I470" s="105"/>
      <c r="J470" s="295"/>
      <c r="K470" s="375"/>
    </row>
    <row r="471" spans="1:11">
      <c r="A471" s="43"/>
      <c r="B471" s="113"/>
      <c r="C471" s="101"/>
      <c r="D471" s="3458"/>
      <c r="E471" s="145"/>
      <c r="F471" s="92"/>
      <c r="G471" s="483"/>
      <c r="H471" s="74"/>
      <c r="I471" s="105"/>
      <c r="J471" s="295"/>
      <c r="K471" s="375"/>
    </row>
    <row r="472" spans="1:11">
      <c r="A472" s="43"/>
      <c r="B472" s="113"/>
      <c r="C472" s="101"/>
      <c r="D472" s="3458"/>
      <c r="E472" s="145"/>
      <c r="F472" s="92"/>
      <c r="G472" s="483"/>
      <c r="H472" s="74"/>
      <c r="I472" s="105"/>
      <c r="J472" s="295"/>
      <c r="K472" s="375"/>
    </row>
    <row r="473" spans="1:11">
      <c r="A473" s="43"/>
      <c r="B473" s="114"/>
      <c r="C473" s="101"/>
      <c r="D473" s="3458"/>
      <c r="E473" s="145"/>
      <c r="F473" s="92"/>
      <c r="G473" s="483"/>
      <c r="H473" s="74"/>
      <c r="I473" s="105"/>
      <c r="J473" s="295"/>
      <c r="K473" s="375"/>
    </row>
    <row r="474" spans="1:11">
      <c r="A474" s="43"/>
      <c r="B474" s="114"/>
      <c r="C474" s="101"/>
      <c r="D474" s="3458"/>
      <c r="E474" s="145"/>
      <c r="F474" s="92"/>
      <c r="G474" s="483"/>
      <c r="H474" s="74"/>
      <c r="I474" s="105"/>
      <c r="J474" s="295"/>
      <c r="K474" s="375"/>
    </row>
    <row r="475" spans="1:11">
      <c r="A475" s="43"/>
      <c r="B475" s="114"/>
      <c r="C475" s="101"/>
      <c r="D475" s="3458"/>
      <c r="E475" s="145"/>
      <c r="F475" s="92"/>
      <c r="G475" s="483"/>
      <c r="H475" s="74"/>
      <c r="I475" s="105"/>
      <c r="J475" s="295"/>
      <c r="K475" s="375"/>
    </row>
    <row r="476" spans="1:11">
      <c r="A476" s="43"/>
      <c r="B476" s="114"/>
      <c r="C476" s="101"/>
      <c r="D476" s="3458"/>
      <c r="E476" s="145"/>
      <c r="F476" s="92"/>
      <c r="G476" s="483"/>
      <c r="H476" s="74"/>
      <c r="I476" s="105"/>
      <c r="J476" s="295"/>
      <c r="K476" s="375"/>
    </row>
    <row r="477" spans="1:11">
      <c r="A477" s="43"/>
      <c r="B477" s="113"/>
      <c r="C477" s="101"/>
      <c r="D477" s="3458"/>
      <c r="E477" s="145"/>
      <c r="F477" s="92"/>
      <c r="G477" s="483"/>
      <c r="H477" s="74"/>
      <c r="I477" s="105"/>
      <c r="J477" s="295"/>
      <c r="K477" s="375"/>
    </row>
    <row r="478" spans="1:11">
      <c r="A478" s="43"/>
      <c r="B478" s="113"/>
      <c r="C478" s="101"/>
      <c r="D478" s="3458"/>
      <c r="E478" s="145"/>
      <c r="F478" s="92"/>
      <c r="G478" s="483"/>
      <c r="H478" s="74"/>
      <c r="I478" s="105"/>
      <c r="J478" s="295"/>
      <c r="K478" s="375"/>
    </row>
    <row r="479" spans="1:11">
      <c r="A479" s="43"/>
      <c r="B479" s="113"/>
      <c r="C479" s="101"/>
      <c r="D479" s="3458"/>
      <c r="E479" s="145"/>
      <c r="F479" s="92"/>
      <c r="G479" s="483"/>
      <c r="H479" s="74"/>
      <c r="I479" s="105"/>
      <c r="J479" s="295"/>
      <c r="K479" s="375"/>
    </row>
    <row r="480" spans="1:11">
      <c r="A480" s="43"/>
      <c r="B480" s="113"/>
      <c r="C480" s="101"/>
      <c r="D480" s="3458"/>
      <c r="E480" s="145"/>
      <c r="F480" s="92"/>
      <c r="G480" s="483"/>
      <c r="H480" s="74"/>
      <c r="I480" s="105"/>
      <c r="J480" s="295"/>
      <c r="K480" s="375"/>
    </row>
    <row r="481" spans="1:11">
      <c r="A481" s="43"/>
      <c r="B481" s="113"/>
      <c r="C481" s="101"/>
      <c r="D481" s="3458"/>
      <c r="E481" s="145"/>
      <c r="F481" s="92"/>
      <c r="G481" s="483"/>
      <c r="H481" s="74"/>
      <c r="I481" s="105"/>
      <c r="J481" s="295"/>
      <c r="K481" s="375"/>
    </row>
    <row r="482" spans="1:11">
      <c r="A482" s="43"/>
      <c r="B482" s="113"/>
      <c r="C482" s="101"/>
      <c r="D482" s="3458"/>
      <c r="E482" s="145"/>
      <c r="F482" s="92"/>
      <c r="G482" s="483"/>
      <c r="H482" s="74"/>
      <c r="I482" s="105"/>
      <c r="J482" s="295"/>
      <c r="K482" s="375"/>
    </row>
    <row r="483" spans="1:11">
      <c r="A483" s="74"/>
      <c r="B483" s="113"/>
      <c r="C483" s="101"/>
      <c r="D483" s="3458"/>
      <c r="E483" s="90"/>
      <c r="F483" s="92"/>
      <c r="G483" s="483"/>
      <c r="H483" s="74"/>
      <c r="I483" s="105"/>
      <c r="J483" s="295"/>
      <c r="K483" s="375"/>
    </row>
    <row r="484" spans="1:11">
      <c r="A484" s="58"/>
      <c r="B484" s="113"/>
      <c r="C484" s="101"/>
      <c r="D484" s="3458"/>
      <c r="E484" s="90"/>
      <c r="F484" s="92"/>
      <c r="G484" s="483"/>
      <c r="H484" s="58"/>
      <c r="I484" s="126"/>
      <c r="J484" s="295"/>
      <c r="K484" s="375"/>
    </row>
    <row r="485" spans="1:11">
      <c r="A485" s="58"/>
      <c r="B485" s="113"/>
      <c r="C485" s="101"/>
      <c r="D485" s="3458"/>
      <c r="E485" s="90"/>
      <c r="F485" s="92"/>
      <c r="G485" s="483"/>
      <c r="H485" s="58"/>
      <c r="I485" s="126"/>
      <c r="J485" s="295"/>
      <c r="K485" s="375"/>
    </row>
    <row r="486" spans="1:11">
      <c r="A486" s="74"/>
      <c r="B486" s="113"/>
      <c r="C486" s="101"/>
      <c r="D486" s="3458"/>
      <c r="E486" s="90"/>
      <c r="F486" s="92"/>
      <c r="G486" s="483"/>
      <c r="H486" s="74"/>
      <c r="I486" s="105"/>
      <c r="J486" s="295"/>
      <c r="K486" s="375"/>
    </row>
    <row r="487" spans="1:11">
      <c r="A487" s="74"/>
      <c r="B487" s="113"/>
      <c r="C487" s="101"/>
      <c r="D487" s="3458"/>
      <c r="E487" s="90"/>
      <c r="F487" s="92"/>
      <c r="G487" s="483"/>
      <c r="H487" s="74"/>
      <c r="I487" s="105"/>
      <c r="J487" s="295"/>
      <c r="K487" s="375"/>
    </row>
    <row r="488" spans="1:11">
      <c r="A488" s="74"/>
      <c r="B488" s="113"/>
      <c r="C488" s="101"/>
      <c r="D488" s="3458"/>
      <c r="E488" s="90"/>
      <c r="F488" s="92"/>
      <c r="G488" s="483"/>
      <c r="H488" s="74"/>
      <c r="I488" s="105"/>
      <c r="J488" s="295"/>
      <c r="K488" s="375"/>
    </row>
    <row r="489" spans="1:11">
      <c r="A489" s="74"/>
      <c r="B489" s="113"/>
      <c r="C489" s="101"/>
      <c r="D489" s="3458"/>
      <c r="E489" s="90"/>
      <c r="F489" s="92"/>
      <c r="G489" s="483"/>
      <c r="H489" s="74"/>
      <c r="I489" s="105"/>
      <c r="J489" s="295"/>
      <c r="K489" s="375"/>
    </row>
    <row r="490" spans="1:11">
      <c r="A490" s="74"/>
      <c r="B490" s="113"/>
      <c r="C490" s="101"/>
      <c r="D490" s="3458"/>
      <c r="E490" s="90"/>
      <c r="F490" s="92"/>
      <c r="G490" s="483"/>
      <c r="H490" s="74"/>
      <c r="I490" s="105"/>
      <c r="J490" s="295"/>
      <c r="K490" s="375"/>
    </row>
    <row r="491" spans="1:11">
      <c r="A491" s="74"/>
      <c r="B491" s="113"/>
      <c r="C491" s="101"/>
      <c r="D491" s="3458"/>
      <c r="E491" s="90"/>
      <c r="F491" s="92"/>
      <c r="G491" s="483"/>
      <c r="H491" s="74"/>
      <c r="I491" s="105"/>
      <c r="J491" s="295"/>
      <c r="K491" s="375"/>
    </row>
    <row r="492" spans="1:11">
      <c r="A492" s="74"/>
      <c r="B492" s="113"/>
      <c r="C492" s="101"/>
      <c r="D492" s="3458"/>
      <c r="E492" s="90"/>
      <c r="F492" s="92"/>
      <c r="G492" s="483"/>
      <c r="H492" s="74"/>
      <c r="I492" s="105"/>
      <c r="J492" s="295"/>
      <c r="K492" s="375"/>
    </row>
    <row r="493" spans="1:11">
      <c r="A493" s="74"/>
      <c r="B493" s="113"/>
      <c r="C493" s="101"/>
      <c r="D493" s="3458"/>
      <c r="E493" s="90"/>
      <c r="F493" s="92"/>
      <c r="G493" s="483"/>
      <c r="H493" s="74"/>
      <c r="I493" s="105"/>
      <c r="J493" s="295"/>
      <c r="K493" s="375"/>
    </row>
    <row r="494" spans="1:11">
      <c r="A494" s="101"/>
      <c r="B494" s="113"/>
      <c r="C494" s="101"/>
      <c r="D494" s="3458"/>
      <c r="E494" s="91"/>
      <c r="F494" s="61"/>
      <c r="G494" s="483"/>
      <c r="H494" s="101"/>
      <c r="I494" s="105"/>
      <c r="J494" s="295"/>
      <c r="K494" s="375"/>
    </row>
    <row r="495" spans="1:11">
      <c r="A495" s="101"/>
      <c r="B495" s="113"/>
      <c r="C495" s="101"/>
      <c r="D495" s="3458"/>
      <c r="E495" s="91"/>
      <c r="F495" s="146"/>
      <c r="G495" s="483"/>
      <c r="H495" s="74"/>
      <c r="I495" s="105"/>
      <c r="J495" s="295"/>
      <c r="K495" s="375"/>
    </row>
    <row r="496" spans="1:11" ht="35.25" thickBot="1">
      <c r="A496" s="86"/>
      <c r="B496" s="113"/>
      <c r="C496" s="101"/>
      <c r="D496" s="3458"/>
      <c r="E496" s="147"/>
      <c r="F496" s="148"/>
      <c r="G496" s="483"/>
      <c r="H496" s="58"/>
      <c r="I496" s="126"/>
      <c r="J496" s="295"/>
      <c r="K496" s="375"/>
    </row>
    <row r="497" spans="1:12">
      <c r="A497" s="45"/>
      <c r="B497" s="45"/>
      <c r="C497" s="68"/>
      <c r="D497" s="45"/>
      <c r="F497" s="44"/>
      <c r="G497" s="482"/>
      <c r="H497" s="45"/>
      <c r="I497" s="127"/>
      <c r="L497" s="45"/>
    </row>
    <row r="498" spans="1:12">
      <c r="A498" s="45" t="s">
        <v>0</v>
      </c>
      <c r="B498" s="45"/>
      <c r="C498" s="68"/>
      <c r="D498" s="102"/>
      <c r="F498" s="44"/>
      <c r="G498" s="482"/>
      <c r="H498" s="45"/>
      <c r="I498" s="127"/>
      <c r="L498" s="45"/>
    </row>
    <row r="499" spans="1:12">
      <c r="A499" s="44" t="s">
        <v>1453</v>
      </c>
      <c r="B499" s="45"/>
      <c r="C499" s="46"/>
      <c r="D499" s="104"/>
      <c r="F499" s="44"/>
      <c r="G499" s="482"/>
      <c r="H499" s="45"/>
      <c r="I499" s="127"/>
      <c r="L499" s="45"/>
    </row>
    <row r="500" spans="1:12" ht="35.25" thickBot="1">
      <c r="D500" s="102"/>
      <c r="F500" s="44"/>
    </row>
    <row r="501" spans="1:12">
      <c r="A501" s="47" t="s">
        <v>1454</v>
      </c>
      <c r="B501" s="3446" t="s">
        <v>2</v>
      </c>
      <c r="C501" s="48" t="s">
        <v>3</v>
      </c>
      <c r="D501" s="110" t="s">
        <v>4</v>
      </c>
      <c r="E501" s="77" t="s">
        <v>5</v>
      </c>
      <c r="F501" s="78" t="s">
        <v>5</v>
      </c>
      <c r="G501" s="484" t="s">
        <v>6</v>
      </c>
      <c r="H501" s="48" t="s">
        <v>7</v>
      </c>
      <c r="I501" s="136" t="s">
        <v>8</v>
      </c>
      <c r="J501" s="488" t="s">
        <v>9</v>
      </c>
      <c r="K501" s="630" t="s">
        <v>9</v>
      </c>
      <c r="L501" s="46"/>
    </row>
    <row r="502" spans="1:12" ht="35.25" thickBot="1">
      <c r="A502" s="49"/>
      <c r="B502" s="72"/>
      <c r="C502" s="50"/>
      <c r="D502" s="111" t="s">
        <v>10</v>
      </c>
      <c r="E502" s="79" t="s">
        <v>12</v>
      </c>
      <c r="F502" s="80" t="s">
        <v>11</v>
      </c>
      <c r="G502" s="485"/>
      <c r="H502" s="50" t="s">
        <v>13</v>
      </c>
      <c r="I502" s="137"/>
      <c r="J502" s="487" t="s">
        <v>14</v>
      </c>
      <c r="K502" s="631" t="s">
        <v>15</v>
      </c>
      <c r="L502" s="46"/>
    </row>
    <row r="503" spans="1:12">
      <c r="A503" s="62"/>
      <c r="B503" s="43"/>
      <c r="C503" s="101"/>
      <c r="D503" s="3457"/>
      <c r="E503" s="142"/>
      <c r="F503" s="92"/>
      <c r="G503" s="483"/>
      <c r="H503" s="74"/>
      <c r="I503" s="105"/>
      <c r="J503" s="295"/>
      <c r="K503" s="375"/>
    </row>
    <row r="504" spans="1:12">
      <c r="A504" s="43"/>
      <c r="B504" s="113"/>
      <c r="C504" s="101"/>
      <c r="D504" s="3458"/>
      <c r="E504" s="143"/>
      <c r="F504" s="144"/>
      <c r="G504" s="483"/>
      <c r="H504" s="74"/>
      <c r="I504" s="105"/>
      <c r="J504" s="295"/>
      <c r="K504" s="375"/>
    </row>
    <row r="505" spans="1:12">
      <c r="A505" s="43"/>
      <c r="B505" s="113"/>
      <c r="C505" s="101"/>
      <c r="D505" s="3458"/>
      <c r="E505" s="145"/>
      <c r="F505" s="92"/>
      <c r="G505" s="483"/>
      <c r="H505" s="74"/>
      <c r="I505" s="105"/>
      <c r="J505" s="295"/>
      <c r="K505" s="375"/>
    </row>
    <row r="506" spans="1:12">
      <c r="A506" s="43"/>
      <c r="B506" s="113"/>
      <c r="C506" s="101"/>
      <c r="D506" s="3458"/>
      <c r="E506" s="145"/>
      <c r="F506" s="92"/>
      <c r="G506" s="483"/>
      <c r="H506" s="74"/>
      <c r="I506" s="105"/>
      <c r="J506" s="295"/>
      <c r="K506" s="375"/>
    </row>
    <row r="507" spans="1:12">
      <c r="A507" s="43"/>
      <c r="B507" s="113"/>
      <c r="C507" s="101"/>
      <c r="D507" s="3458"/>
      <c r="E507" s="145"/>
      <c r="F507" s="92"/>
      <c r="G507" s="483"/>
      <c r="H507" s="74"/>
      <c r="I507" s="105"/>
      <c r="J507" s="295"/>
      <c r="K507" s="375"/>
    </row>
    <row r="508" spans="1:12">
      <c r="A508" s="43"/>
      <c r="B508" s="113"/>
      <c r="C508" s="101"/>
      <c r="D508" s="3458"/>
      <c r="E508" s="145"/>
      <c r="F508" s="92"/>
      <c r="G508" s="483"/>
      <c r="H508" s="74"/>
      <c r="I508" s="105"/>
      <c r="J508" s="295"/>
      <c r="K508" s="375"/>
    </row>
    <row r="509" spans="1:12">
      <c r="A509" s="43"/>
      <c r="B509" s="113"/>
      <c r="C509" s="101"/>
      <c r="D509" s="3458"/>
      <c r="E509" s="145"/>
      <c r="F509" s="92"/>
      <c r="G509" s="483"/>
      <c r="H509" s="74"/>
      <c r="I509" s="105"/>
      <c r="J509" s="295"/>
      <c r="K509" s="375"/>
    </row>
    <row r="510" spans="1:12">
      <c r="A510" s="43"/>
      <c r="B510" s="113"/>
      <c r="C510" s="101"/>
      <c r="D510" s="3458"/>
      <c r="E510" s="145"/>
      <c r="F510" s="92"/>
      <c r="G510" s="483"/>
      <c r="H510" s="74"/>
      <c r="I510" s="105"/>
      <c r="J510" s="295"/>
      <c r="K510" s="375"/>
    </row>
    <row r="511" spans="1:12">
      <c r="A511" s="43"/>
      <c r="B511" s="113"/>
      <c r="C511" s="101"/>
      <c r="D511" s="3458"/>
      <c r="E511" s="145"/>
      <c r="F511" s="92"/>
      <c r="G511" s="483"/>
      <c r="H511" s="74"/>
      <c r="I511" s="105"/>
      <c r="J511" s="295"/>
      <c r="K511" s="375"/>
    </row>
    <row r="512" spans="1:12">
      <c r="A512" s="43"/>
      <c r="B512" s="114"/>
      <c r="C512" s="101"/>
      <c r="D512" s="3458"/>
      <c r="E512" s="145"/>
      <c r="F512" s="92"/>
      <c r="G512" s="483"/>
      <c r="H512" s="74"/>
      <c r="I512" s="105"/>
      <c r="J512" s="295"/>
      <c r="K512" s="375"/>
    </row>
    <row r="513" spans="1:11">
      <c r="A513" s="43"/>
      <c r="B513" s="114"/>
      <c r="C513" s="101"/>
      <c r="D513" s="3458"/>
      <c r="E513" s="145"/>
      <c r="F513" s="92"/>
      <c r="G513" s="483"/>
      <c r="H513" s="74"/>
      <c r="I513" s="105"/>
      <c r="J513" s="295"/>
      <c r="K513" s="375"/>
    </row>
    <row r="514" spans="1:11">
      <c r="A514" s="43"/>
      <c r="B514" s="114"/>
      <c r="C514" s="101"/>
      <c r="D514" s="3458"/>
      <c r="E514" s="145"/>
      <c r="F514" s="92"/>
      <c r="G514" s="483"/>
      <c r="H514" s="74"/>
      <c r="I514" s="105"/>
      <c r="J514" s="295"/>
      <c r="K514" s="375"/>
    </row>
    <row r="515" spans="1:11">
      <c r="A515" s="43"/>
      <c r="B515" s="114"/>
      <c r="C515" s="101"/>
      <c r="D515" s="3458"/>
      <c r="E515" s="145"/>
      <c r="F515" s="92"/>
      <c r="G515" s="483"/>
      <c r="H515" s="74"/>
      <c r="I515" s="105"/>
      <c r="J515" s="295"/>
      <c r="K515" s="375"/>
    </row>
    <row r="516" spans="1:11">
      <c r="A516" s="43"/>
      <c r="B516" s="113"/>
      <c r="C516" s="101"/>
      <c r="D516" s="3458"/>
      <c r="E516" s="145"/>
      <c r="F516" s="92"/>
      <c r="G516" s="483"/>
      <c r="H516" s="74"/>
      <c r="I516" s="105"/>
      <c r="J516" s="295"/>
      <c r="K516" s="375"/>
    </row>
    <row r="517" spans="1:11">
      <c r="A517" s="43"/>
      <c r="B517" s="113"/>
      <c r="C517" s="101"/>
      <c r="D517" s="3458"/>
      <c r="E517" s="145"/>
      <c r="F517" s="92"/>
      <c r="G517" s="483"/>
      <c r="H517" s="74"/>
      <c r="I517" s="105"/>
      <c r="J517" s="295"/>
      <c r="K517" s="375"/>
    </row>
    <row r="518" spans="1:11">
      <c r="A518" s="43"/>
      <c r="B518" s="113"/>
      <c r="C518" s="101"/>
      <c r="D518" s="3458"/>
      <c r="E518" s="145"/>
      <c r="F518" s="92"/>
      <c r="G518" s="483"/>
      <c r="H518" s="74"/>
      <c r="I518" s="105"/>
      <c r="J518" s="295"/>
      <c r="K518" s="375"/>
    </row>
    <row r="519" spans="1:11">
      <c r="A519" s="43"/>
      <c r="B519" s="113"/>
      <c r="C519" s="101"/>
      <c r="D519" s="3458"/>
      <c r="E519" s="145"/>
      <c r="F519" s="92"/>
      <c r="G519" s="483"/>
      <c r="H519" s="74"/>
      <c r="I519" s="105"/>
      <c r="J519" s="295"/>
      <c r="K519" s="375"/>
    </row>
    <row r="520" spans="1:11">
      <c r="A520" s="43"/>
      <c r="B520" s="113"/>
      <c r="C520" s="101"/>
      <c r="D520" s="3458"/>
      <c r="E520" s="145"/>
      <c r="F520" s="92"/>
      <c r="G520" s="483"/>
      <c r="H520" s="74"/>
      <c r="I520" s="105"/>
      <c r="J520" s="295"/>
      <c r="K520" s="375"/>
    </row>
    <row r="521" spans="1:11">
      <c r="A521" s="43"/>
      <c r="B521" s="113"/>
      <c r="C521" s="101"/>
      <c r="D521" s="3458"/>
      <c r="E521" s="145"/>
      <c r="F521" s="92"/>
      <c r="G521" s="483"/>
      <c r="H521" s="74"/>
      <c r="I521" s="105"/>
      <c r="J521" s="295"/>
      <c r="K521" s="375"/>
    </row>
    <row r="522" spans="1:11">
      <c r="A522" s="74"/>
      <c r="B522" s="113"/>
      <c r="C522" s="101"/>
      <c r="D522" s="3458"/>
      <c r="E522" s="90"/>
      <c r="F522" s="92"/>
      <c r="G522" s="483"/>
      <c r="H522" s="74"/>
      <c r="I522" s="105"/>
      <c r="J522" s="295"/>
      <c r="K522" s="375"/>
    </row>
    <row r="523" spans="1:11">
      <c r="A523" s="58"/>
      <c r="B523" s="113"/>
      <c r="C523" s="101"/>
      <c r="D523" s="3458"/>
      <c r="E523" s="90"/>
      <c r="F523" s="92"/>
      <c r="G523" s="483"/>
      <c r="H523" s="58"/>
      <c r="I523" s="126"/>
      <c r="J523" s="295"/>
      <c r="K523" s="375"/>
    </row>
    <row r="524" spans="1:11">
      <c r="A524" s="58"/>
      <c r="B524" s="113"/>
      <c r="C524" s="101"/>
      <c r="D524" s="3458"/>
      <c r="E524" s="90"/>
      <c r="F524" s="92"/>
      <c r="G524" s="483"/>
      <c r="H524" s="58"/>
      <c r="I524" s="126"/>
      <c r="J524" s="295"/>
      <c r="K524" s="375"/>
    </row>
    <row r="525" spans="1:11">
      <c r="A525" s="74"/>
      <c r="B525" s="113"/>
      <c r="C525" s="101"/>
      <c r="D525" s="3458"/>
      <c r="E525" s="90"/>
      <c r="F525" s="92"/>
      <c r="G525" s="483"/>
      <c r="H525" s="74"/>
      <c r="I525" s="105"/>
      <c r="J525" s="295"/>
      <c r="K525" s="375"/>
    </row>
    <row r="526" spans="1:11">
      <c r="A526" s="74"/>
      <c r="B526" s="113"/>
      <c r="C526" s="101"/>
      <c r="D526" s="3458"/>
      <c r="E526" s="90"/>
      <c r="F526" s="92"/>
      <c r="G526" s="483"/>
      <c r="H526" s="74"/>
      <c r="I526" s="105"/>
      <c r="J526" s="295"/>
      <c r="K526" s="375"/>
    </row>
    <row r="527" spans="1:11">
      <c r="A527" s="74"/>
      <c r="B527" s="113"/>
      <c r="C527" s="101"/>
      <c r="D527" s="3458"/>
      <c r="E527" s="90"/>
      <c r="F527" s="92"/>
      <c r="G527" s="483"/>
      <c r="H527" s="74"/>
      <c r="I527" s="105"/>
      <c r="J527" s="295"/>
      <c r="K527" s="375"/>
    </row>
    <row r="528" spans="1:11">
      <c r="A528" s="74"/>
      <c r="B528" s="113"/>
      <c r="C528" s="101"/>
      <c r="D528" s="3458"/>
      <c r="E528" s="90"/>
      <c r="F528" s="92"/>
      <c r="G528" s="483"/>
      <c r="H528" s="74"/>
      <c r="I528" s="105"/>
      <c r="J528" s="295"/>
      <c r="K528" s="375"/>
    </row>
    <row r="529" spans="1:12">
      <c r="A529" s="74"/>
      <c r="B529" s="113"/>
      <c r="C529" s="101"/>
      <c r="D529" s="3458"/>
      <c r="E529" s="90"/>
      <c r="F529" s="92"/>
      <c r="G529" s="483"/>
      <c r="H529" s="74"/>
      <c r="I529" s="105"/>
      <c r="J529" s="295"/>
      <c r="K529" s="375"/>
    </row>
    <row r="530" spans="1:12">
      <c r="A530" s="74"/>
      <c r="B530" s="113"/>
      <c r="C530" s="101"/>
      <c r="D530" s="3458"/>
      <c r="E530" s="90"/>
      <c r="F530" s="92"/>
      <c r="G530" s="483"/>
      <c r="H530" s="74"/>
      <c r="I530" s="105"/>
      <c r="J530" s="295"/>
      <c r="K530" s="375"/>
    </row>
    <row r="531" spans="1:12">
      <c r="A531" s="74"/>
      <c r="B531" s="113"/>
      <c r="C531" s="101"/>
      <c r="D531" s="3458"/>
      <c r="E531" s="90"/>
      <c r="F531" s="92"/>
      <c r="G531" s="483"/>
      <c r="H531" s="74"/>
      <c r="I531" s="105"/>
      <c r="J531" s="295"/>
      <c r="K531" s="375"/>
    </row>
    <row r="532" spans="1:12">
      <c r="A532" s="74"/>
      <c r="B532" s="113"/>
      <c r="C532" s="101"/>
      <c r="D532" s="3458"/>
      <c r="E532" s="90"/>
      <c r="F532" s="92"/>
      <c r="G532" s="483"/>
      <c r="H532" s="74"/>
      <c r="I532" s="105"/>
      <c r="J532" s="295"/>
      <c r="K532" s="375"/>
    </row>
    <row r="533" spans="1:12">
      <c r="A533" s="101"/>
      <c r="B533" s="113"/>
      <c r="C533" s="101"/>
      <c r="D533" s="3458"/>
      <c r="E533" s="91"/>
      <c r="F533" s="61"/>
      <c r="G533" s="483"/>
      <c r="H533" s="101"/>
      <c r="I533" s="105"/>
      <c r="J533" s="295"/>
      <c r="K533" s="375"/>
    </row>
    <row r="534" spans="1:12">
      <c r="A534" s="101"/>
      <c r="B534" s="113"/>
      <c r="C534" s="101"/>
      <c r="D534" s="3458"/>
      <c r="E534" s="91"/>
      <c r="F534" s="146"/>
      <c r="G534" s="483"/>
      <c r="H534" s="74"/>
      <c r="I534" s="105"/>
      <c r="J534" s="295"/>
      <c r="K534" s="375"/>
    </row>
    <row r="535" spans="1:12" ht="35.25" thickBot="1">
      <c r="A535" s="86"/>
      <c r="B535" s="113"/>
      <c r="C535" s="101"/>
      <c r="D535" s="3458"/>
      <c r="E535" s="147"/>
      <c r="F535" s="148"/>
      <c r="G535" s="483"/>
      <c r="H535" s="58"/>
      <c r="I535" s="126"/>
      <c r="J535" s="295"/>
      <c r="K535" s="375"/>
    </row>
    <row r="536" spans="1:12">
      <c r="A536" s="45"/>
      <c r="B536" s="45"/>
      <c r="C536" s="68"/>
      <c r="D536" s="45"/>
      <c r="F536" s="44"/>
      <c r="G536" s="482"/>
      <c r="H536" s="45"/>
      <c r="I536" s="127"/>
      <c r="L536" s="45"/>
    </row>
  </sheetData>
  <phoneticPr fontId="6" type="noConversion"/>
  <hyperlinks>
    <hyperlink ref="I28" r:id="rId1" xr:uid="{ECAF4E2B-EFF5-47A0-8F81-7B355A54C4EC}"/>
    <hyperlink ref="I29" r:id="rId2" xr:uid="{F9870BAF-6343-48F7-81F8-C85D4D816E1F}"/>
    <hyperlink ref="K49" r:id="rId3" display="ปกติ529@44" xr:uid="{59CD359A-CFD9-4393-A7B0-19942649A231}"/>
  </hyperlinks>
  <pageMargins left="0.39" right="0.16" top="0.25" bottom="0.27" header="0.18" footer="0.13"/>
  <pageSetup paperSize="9" scale="61" orientation="portrait" r:id="rId4"/>
  <headerFooter alignWithMargins="0"/>
  <rowBreaks count="3" manualBreakCount="3">
    <brk id="71" max="10" man="1"/>
    <brk id="106" max="10" man="1"/>
    <brk id="145" max="10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A51B-E8B5-4828-ADC9-D595B778ECB7}">
  <sheetPr>
    <tabColor indexed="29"/>
  </sheetPr>
  <dimension ref="A1:AF560"/>
  <sheetViews>
    <sheetView view="pageBreakPreview" topLeftCell="A22" zoomScale="65" zoomScaleNormal="100" zoomScaleSheetLayoutView="65" workbookViewId="0">
      <selection activeCell="G256" sqref="G256"/>
    </sheetView>
  </sheetViews>
  <sheetFormatPr defaultColWidth="12.140625" defaultRowHeight="30.75" customHeight="1"/>
  <cols>
    <col min="1" max="1" width="6" style="93" customWidth="1"/>
    <col min="2" max="2" width="24.5703125" style="125" customWidth="1"/>
    <col min="3" max="3" width="9.85546875" style="46" customWidth="1"/>
    <col min="4" max="4" width="9.5703125" style="127" customWidth="1"/>
    <col min="5" max="5" width="10.28515625" style="45" customWidth="1"/>
    <col min="6" max="6" width="9.85546875" style="152" customWidth="1"/>
    <col min="7" max="7" width="11.42578125" style="210" customWidth="1"/>
    <col min="8" max="8" width="11.7109375" style="635" customWidth="1"/>
    <col min="9" max="9" width="25.5703125" style="353" customWidth="1"/>
    <col min="10" max="10" width="13.42578125" style="650" customWidth="1"/>
    <col min="11" max="12" width="11.7109375" style="366" customWidth="1"/>
    <col min="13" max="13" width="16.85546875" style="188" customWidth="1"/>
    <col min="14" max="14" width="13.85546875" style="564" customWidth="1"/>
    <col min="15" max="15" width="8.85546875" style="565" customWidth="1"/>
    <col min="16" max="16" width="18.140625" style="566" customWidth="1"/>
    <col min="17" max="17" width="12.140625" style="567" customWidth="1"/>
    <col min="18" max="25" width="12.140625" style="76"/>
    <col min="26" max="26" width="12.42578125" style="76" customWidth="1"/>
    <col min="27" max="16384" width="12.140625" style="76"/>
  </cols>
  <sheetData>
    <row r="1" spans="1:16" ht="30.75" customHeight="1">
      <c r="F1" s="68"/>
      <c r="K1" s="492">
        <v>1</v>
      </c>
      <c r="L1" s="492"/>
    </row>
    <row r="2" spans="1:16" ht="30.75" customHeight="1">
      <c r="A2" s="3480" t="s">
        <v>4704</v>
      </c>
      <c r="B2" s="3480"/>
      <c r="C2" s="44" t="s">
        <v>4705</v>
      </c>
      <c r="D2" s="3444"/>
      <c r="F2" s="68"/>
    </row>
    <row r="3" spans="1:16" ht="30.75" customHeight="1" thickBot="1">
      <c r="F3" s="68"/>
    </row>
    <row r="4" spans="1:16" ht="30.75" customHeight="1">
      <c r="A4" s="3493" t="s">
        <v>2</v>
      </c>
      <c r="B4" s="3482"/>
      <c r="C4" s="48" t="s">
        <v>3</v>
      </c>
      <c r="D4" s="128" t="s">
        <v>4</v>
      </c>
      <c r="E4" s="78" t="s">
        <v>5</v>
      </c>
      <c r="F4" s="78" t="s">
        <v>5</v>
      </c>
      <c r="G4" s="3534" t="s">
        <v>6</v>
      </c>
      <c r="H4" s="140" t="s">
        <v>7</v>
      </c>
      <c r="I4" s="470" t="s">
        <v>1511</v>
      </c>
      <c r="J4" s="666" t="s">
        <v>9</v>
      </c>
      <c r="K4" s="3737" t="s">
        <v>9</v>
      </c>
      <c r="L4" s="177"/>
      <c r="M4" s="190"/>
      <c r="N4" s="564">
        <v>0.03</v>
      </c>
    </row>
    <row r="5" spans="1:16" ht="30.75" customHeight="1" thickBot="1">
      <c r="A5" s="1013"/>
      <c r="B5" s="138"/>
      <c r="C5" s="50"/>
      <c r="D5" s="129" t="s">
        <v>10</v>
      </c>
      <c r="E5" s="80" t="s">
        <v>11</v>
      </c>
      <c r="F5" s="80" t="s">
        <v>12</v>
      </c>
      <c r="G5" s="3535"/>
      <c r="H5" s="141" t="s">
        <v>13</v>
      </c>
      <c r="I5" s="471" t="s">
        <v>1512</v>
      </c>
      <c r="J5" s="667" t="s">
        <v>14</v>
      </c>
      <c r="K5" s="424" t="s">
        <v>15</v>
      </c>
      <c r="L5" s="177"/>
      <c r="M5" s="190"/>
    </row>
    <row r="6" spans="1:16" ht="30.75" customHeight="1">
      <c r="A6" s="1007"/>
      <c r="B6" s="2056" t="s">
        <v>4706</v>
      </c>
      <c r="C6" s="1622" t="s">
        <v>2325</v>
      </c>
      <c r="D6" s="1623" t="s">
        <v>23</v>
      </c>
      <c r="E6" s="1624">
        <v>185</v>
      </c>
      <c r="F6" s="1624"/>
      <c r="G6" s="1625" t="s">
        <v>4707</v>
      </c>
      <c r="H6" s="1626">
        <v>166.24</v>
      </c>
      <c r="I6" s="1627"/>
      <c r="J6" s="1628"/>
      <c r="K6" s="3738">
        <v>179.18</v>
      </c>
      <c r="M6" s="188">
        <v>3552</v>
      </c>
      <c r="N6" s="564">
        <f t="shared" ref="N6:N22" si="0">M6-(M6*0.03)</f>
        <v>3445.44</v>
      </c>
      <c r="O6" s="565">
        <v>7.0000000000000007E-2</v>
      </c>
      <c r="P6" s="566">
        <f t="shared" ref="P6:P22" si="1">(N6*O6)+N6</f>
        <v>3686.6208000000001</v>
      </c>
    </row>
    <row r="7" spans="1:16" ht="30.75" customHeight="1">
      <c r="A7" s="221"/>
      <c r="B7" s="2057" t="s">
        <v>4706</v>
      </c>
      <c r="C7" s="661" t="s">
        <v>1829</v>
      </c>
      <c r="D7" s="1629" t="s">
        <v>23</v>
      </c>
      <c r="E7" s="798">
        <v>314</v>
      </c>
      <c r="F7" s="798"/>
      <c r="G7" s="799" t="s">
        <v>4707</v>
      </c>
      <c r="H7" s="1630">
        <v>285</v>
      </c>
      <c r="I7" s="1631"/>
      <c r="J7" s="1632"/>
      <c r="K7" s="3739">
        <v>304.36</v>
      </c>
      <c r="N7" s="564">
        <f t="shared" si="0"/>
        <v>0</v>
      </c>
      <c r="O7" s="565">
        <v>7.0000000000000007E-2</v>
      </c>
      <c r="P7" s="566">
        <f t="shared" si="1"/>
        <v>0</v>
      </c>
    </row>
    <row r="8" spans="1:16" ht="30.75" customHeight="1">
      <c r="A8" s="221"/>
      <c r="B8" s="2057" t="s">
        <v>4706</v>
      </c>
      <c r="C8" s="661" t="s">
        <v>4708</v>
      </c>
      <c r="D8" s="1629" t="s">
        <v>40</v>
      </c>
      <c r="E8" s="798">
        <v>590</v>
      </c>
      <c r="F8" s="1633"/>
      <c r="G8" s="799" t="s">
        <v>4709</v>
      </c>
      <c r="H8" s="1630">
        <v>557.71</v>
      </c>
      <c r="I8" s="1634" t="s">
        <v>4710</v>
      </c>
      <c r="J8" s="1632">
        <v>3438.34</v>
      </c>
      <c r="K8" s="3739">
        <f>J8/6</f>
        <v>573.05666666666673</v>
      </c>
      <c r="M8" s="188">
        <v>9498.06</v>
      </c>
      <c r="N8" s="564">
        <f t="shared" si="0"/>
        <v>9213.118199999999</v>
      </c>
      <c r="O8" s="565">
        <v>7.0000000000000007E-2</v>
      </c>
      <c r="P8" s="566">
        <f t="shared" si="1"/>
        <v>9858.0364739999986</v>
      </c>
    </row>
    <row r="9" spans="1:16" ht="30.75" customHeight="1">
      <c r="A9" s="221"/>
      <c r="B9" s="2057" t="s">
        <v>4706</v>
      </c>
      <c r="C9" s="661" t="s">
        <v>4711</v>
      </c>
      <c r="D9" s="1629" t="s">
        <v>30</v>
      </c>
      <c r="E9" s="798">
        <v>912</v>
      </c>
      <c r="F9" s="798"/>
      <c r="G9" s="799" t="s">
        <v>4707</v>
      </c>
      <c r="H9" s="1630">
        <v>839.86</v>
      </c>
      <c r="I9" s="1634"/>
      <c r="J9" s="1632"/>
      <c r="K9" s="3739">
        <v>893.56</v>
      </c>
      <c r="M9" s="188">
        <v>15305.4</v>
      </c>
      <c r="N9" s="564">
        <f t="shared" si="0"/>
        <v>14846.237999999999</v>
      </c>
      <c r="O9" s="565">
        <v>7.0000000000000007E-2</v>
      </c>
      <c r="P9" s="566">
        <f t="shared" si="1"/>
        <v>15885.47466</v>
      </c>
    </row>
    <row r="10" spans="1:16" ht="30.75" customHeight="1">
      <c r="A10" s="221"/>
      <c r="B10" s="2180"/>
      <c r="C10" s="661"/>
      <c r="D10" s="1629"/>
      <c r="E10" s="798"/>
      <c r="F10" s="1633"/>
      <c r="G10" s="799"/>
      <c r="H10" s="1630"/>
      <c r="I10" s="1634"/>
      <c r="J10" s="1632"/>
      <c r="K10" s="3739"/>
      <c r="M10" s="188">
        <v>2669.52</v>
      </c>
      <c r="N10" s="564">
        <f t="shared" si="0"/>
        <v>2589.4344000000001</v>
      </c>
      <c r="O10" s="565">
        <v>7.0000000000000007E-2</v>
      </c>
      <c r="P10" s="566">
        <f t="shared" si="1"/>
        <v>2770.6948080000002</v>
      </c>
    </row>
    <row r="11" spans="1:16" ht="30.75" customHeight="1">
      <c r="A11" s="970"/>
      <c r="B11" s="2130" t="s">
        <v>4712</v>
      </c>
      <c r="C11" s="320" t="s">
        <v>2325</v>
      </c>
      <c r="D11" s="1103" t="s">
        <v>23</v>
      </c>
      <c r="E11" s="777">
        <v>336</v>
      </c>
      <c r="F11" s="1476"/>
      <c r="G11" s="223" t="s">
        <v>4707</v>
      </c>
      <c r="H11" s="647">
        <v>306.47000000000003</v>
      </c>
      <c r="I11" s="1099"/>
      <c r="J11" s="654"/>
      <c r="K11" s="3740">
        <v>326.04000000000002</v>
      </c>
      <c r="N11" s="564">
        <f t="shared" si="0"/>
        <v>0</v>
      </c>
      <c r="O11" s="565">
        <v>7.0000000000000007E-2</v>
      </c>
      <c r="P11" s="566">
        <f t="shared" si="1"/>
        <v>0</v>
      </c>
    </row>
    <row r="12" spans="1:16" ht="30.75" customHeight="1">
      <c r="A12" s="253"/>
      <c r="B12" s="2179" t="s">
        <v>4712</v>
      </c>
      <c r="C12" s="320" t="s">
        <v>1829</v>
      </c>
      <c r="D12" s="531" t="s">
        <v>23</v>
      </c>
      <c r="E12" s="277">
        <v>602</v>
      </c>
      <c r="F12" s="1659"/>
      <c r="G12" s="223" t="s">
        <v>4713</v>
      </c>
      <c r="H12" s="647">
        <v>560.78</v>
      </c>
      <c r="I12" s="472"/>
      <c r="J12" s="654">
        <v>7018.68</v>
      </c>
      <c r="K12" s="654">
        <v>584.89</v>
      </c>
      <c r="N12" s="564">
        <f t="shared" si="0"/>
        <v>0</v>
      </c>
      <c r="O12" s="565">
        <v>7.0000000000000007E-2</v>
      </c>
      <c r="P12" s="566">
        <f t="shared" si="1"/>
        <v>0</v>
      </c>
    </row>
    <row r="13" spans="1:16" ht="30.75" customHeight="1">
      <c r="A13" s="253"/>
      <c r="B13" s="2179" t="s">
        <v>4712</v>
      </c>
      <c r="C13" s="320" t="s">
        <v>4708</v>
      </c>
      <c r="D13" s="531" t="s">
        <v>40</v>
      </c>
      <c r="E13" s="776">
        <v>1030</v>
      </c>
      <c r="F13" s="1476"/>
      <c r="G13" s="223" t="s">
        <v>4714</v>
      </c>
      <c r="H13" s="647">
        <v>983.94</v>
      </c>
      <c r="I13" s="472" t="s">
        <v>4715</v>
      </c>
      <c r="J13" s="654">
        <v>6004.84</v>
      </c>
      <c r="K13" s="654">
        <v>1000.81</v>
      </c>
      <c r="L13" s="427"/>
      <c r="M13" s="188">
        <v>14100.24</v>
      </c>
      <c r="N13" s="564">
        <f t="shared" si="0"/>
        <v>13677.2328</v>
      </c>
      <c r="O13" s="565">
        <v>7.0000000000000007E-2</v>
      </c>
      <c r="P13" s="566">
        <f t="shared" si="1"/>
        <v>14634.639095999999</v>
      </c>
    </row>
    <row r="14" spans="1:16" ht="30.75" customHeight="1">
      <c r="A14" s="253"/>
      <c r="B14" s="2179" t="s">
        <v>4712</v>
      </c>
      <c r="C14" s="320" t="s">
        <v>4711</v>
      </c>
      <c r="D14" s="531" t="s">
        <v>30</v>
      </c>
      <c r="E14" s="776">
        <v>1675</v>
      </c>
      <c r="F14" s="1476"/>
      <c r="G14" s="223" t="s">
        <v>4713</v>
      </c>
      <c r="H14" s="647">
        <v>1574</v>
      </c>
      <c r="I14" s="1099"/>
      <c r="J14" s="654">
        <v>6566.76</v>
      </c>
      <c r="K14" s="654">
        <v>1641.89</v>
      </c>
      <c r="L14" s="427"/>
      <c r="M14" s="188">
        <v>3175.2</v>
      </c>
      <c r="N14" s="564">
        <f t="shared" si="0"/>
        <v>3079.944</v>
      </c>
      <c r="O14" s="565">
        <v>7.0000000000000007E-2</v>
      </c>
      <c r="P14" s="566">
        <f t="shared" si="1"/>
        <v>3295.5400799999998</v>
      </c>
    </row>
    <row r="15" spans="1:16" ht="30.75" customHeight="1">
      <c r="A15" s="253"/>
      <c r="B15" s="2179" t="s">
        <v>4712</v>
      </c>
      <c r="C15" s="320" t="s">
        <v>4716</v>
      </c>
      <c r="D15" s="531" t="s">
        <v>30</v>
      </c>
      <c r="E15" s="776">
        <v>1719</v>
      </c>
      <c r="F15" s="1476"/>
      <c r="G15" s="223" t="s">
        <v>4717</v>
      </c>
      <c r="H15" s="647">
        <v>1422.27</v>
      </c>
      <c r="I15" s="1099" t="s">
        <v>4718</v>
      </c>
      <c r="J15" s="654">
        <v>5786.61</v>
      </c>
      <c r="K15" s="654">
        <v>1446.66</v>
      </c>
      <c r="M15" s="188">
        <v>14700</v>
      </c>
      <c r="N15" s="564">
        <f t="shared" si="0"/>
        <v>14259</v>
      </c>
      <c r="O15" s="565">
        <v>7.0000000000000007E-2</v>
      </c>
      <c r="P15" s="566">
        <f t="shared" si="1"/>
        <v>15257.130000000001</v>
      </c>
    </row>
    <row r="16" spans="1:16" ht="30.75" customHeight="1">
      <c r="A16" s="253"/>
      <c r="B16" s="2179" t="s">
        <v>4712</v>
      </c>
      <c r="C16" s="320">
        <v>3300</v>
      </c>
      <c r="D16" s="531" t="s">
        <v>30</v>
      </c>
      <c r="E16" s="776">
        <v>2994</v>
      </c>
      <c r="F16" s="1476"/>
      <c r="G16" s="223" t="s">
        <v>4707</v>
      </c>
      <c r="H16" s="647">
        <v>2978.51</v>
      </c>
      <c r="I16" s="1099"/>
      <c r="J16" s="654">
        <v>11738.64</v>
      </c>
      <c r="K16" s="654">
        <v>2934.66</v>
      </c>
      <c r="L16" s="427"/>
      <c r="M16" s="188">
        <v>14582.7</v>
      </c>
      <c r="N16" s="564">
        <f t="shared" si="0"/>
        <v>14145.219000000001</v>
      </c>
      <c r="O16" s="565">
        <v>7.0000000000000007E-2</v>
      </c>
      <c r="P16" s="566">
        <f t="shared" si="1"/>
        <v>15135.384330000001</v>
      </c>
    </row>
    <row r="17" spans="1:16" ht="30.75" customHeight="1">
      <c r="A17" s="253"/>
      <c r="B17" s="2212" t="s">
        <v>4719</v>
      </c>
      <c r="C17" s="2213" t="s">
        <v>2325</v>
      </c>
      <c r="D17" s="2214" t="s">
        <v>23</v>
      </c>
      <c r="E17" s="2215">
        <v>165</v>
      </c>
      <c r="F17" s="2216"/>
      <c r="G17" s="2217" t="s">
        <v>4707</v>
      </c>
      <c r="H17" s="2218">
        <v>151.44999999999999</v>
      </c>
      <c r="I17" s="2219"/>
      <c r="J17" s="2220"/>
      <c r="K17" s="3741">
        <v>160.03</v>
      </c>
      <c r="M17" s="188">
        <v>13483.8</v>
      </c>
      <c r="N17" s="564">
        <f t="shared" si="0"/>
        <v>13079.286</v>
      </c>
      <c r="O17" s="565">
        <v>7.0000000000000007E-2</v>
      </c>
      <c r="P17" s="566">
        <f t="shared" si="1"/>
        <v>13994.836020000001</v>
      </c>
    </row>
    <row r="18" spans="1:16" ht="30.75" customHeight="1">
      <c r="A18" s="221"/>
      <c r="B18" s="2212" t="s">
        <v>4719</v>
      </c>
      <c r="C18" s="2221" t="s">
        <v>1829</v>
      </c>
      <c r="D18" s="2222" t="s">
        <v>23</v>
      </c>
      <c r="E18" s="2223">
        <v>286</v>
      </c>
      <c r="F18" s="2229"/>
      <c r="G18" s="2224" t="s">
        <v>4713</v>
      </c>
      <c r="H18" s="2225">
        <v>268.31</v>
      </c>
      <c r="I18" s="2226"/>
      <c r="J18" s="2227">
        <v>3341.75</v>
      </c>
      <c r="K18" s="3742">
        <v>278.48</v>
      </c>
      <c r="L18" s="427"/>
      <c r="M18" s="188">
        <v>2669.52</v>
      </c>
      <c r="N18" s="564">
        <f t="shared" si="0"/>
        <v>2589.4344000000001</v>
      </c>
      <c r="O18" s="565">
        <v>7.0000000000000007E-2</v>
      </c>
      <c r="P18" s="566">
        <f t="shared" si="1"/>
        <v>2770.6948080000002</v>
      </c>
    </row>
    <row r="19" spans="1:16" ht="30.75" customHeight="1">
      <c r="A19" s="221"/>
      <c r="B19" s="2212" t="s">
        <v>4719</v>
      </c>
      <c r="C19" s="2221" t="s">
        <v>4708</v>
      </c>
      <c r="D19" s="2222" t="s">
        <v>40</v>
      </c>
      <c r="E19" s="2228">
        <v>534</v>
      </c>
      <c r="F19" s="2229"/>
      <c r="G19" s="2224" t="s">
        <v>4720</v>
      </c>
      <c r="H19" s="2225">
        <v>509.29</v>
      </c>
      <c r="I19" s="2226"/>
      <c r="J19" s="2227">
        <v>3139.83</v>
      </c>
      <c r="K19" s="3742">
        <f>J19/6</f>
        <v>523.30499999999995</v>
      </c>
      <c r="L19" s="427"/>
      <c r="N19" s="564">
        <f t="shared" si="0"/>
        <v>0</v>
      </c>
      <c r="O19" s="565">
        <v>7.0000000000000007E-2</v>
      </c>
      <c r="P19" s="566">
        <f t="shared" si="1"/>
        <v>0</v>
      </c>
    </row>
    <row r="20" spans="1:16" ht="30.75" customHeight="1">
      <c r="A20" s="221"/>
      <c r="B20" s="2212" t="s">
        <v>4719</v>
      </c>
      <c r="C20" s="2221">
        <v>1650</v>
      </c>
      <c r="D20" s="2222" t="s">
        <v>30</v>
      </c>
      <c r="E20" s="2223">
        <v>778</v>
      </c>
      <c r="F20" s="2229"/>
      <c r="G20" s="2224" t="s">
        <v>4707</v>
      </c>
      <c r="H20" s="2225">
        <v>716.7</v>
      </c>
      <c r="I20" s="2226"/>
      <c r="J20" s="2227"/>
      <c r="K20" s="3742">
        <v>762.86</v>
      </c>
      <c r="L20" s="427"/>
      <c r="M20" s="188">
        <v>12972.96</v>
      </c>
      <c r="N20" s="564">
        <f t="shared" si="0"/>
        <v>12583.771199999999</v>
      </c>
      <c r="O20" s="565">
        <v>7.0000000000000007E-2</v>
      </c>
      <c r="P20" s="566">
        <f t="shared" si="1"/>
        <v>13464.635183999999</v>
      </c>
    </row>
    <row r="21" spans="1:16" ht="30.75" customHeight="1">
      <c r="A21" s="221"/>
      <c r="B21" s="2212" t="s">
        <v>4719</v>
      </c>
      <c r="C21" s="2221">
        <v>3300</v>
      </c>
      <c r="D21" s="2222" t="s">
        <v>30</v>
      </c>
      <c r="E21" s="2223">
        <v>1438</v>
      </c>
      <c r="F21" s="2229"/>
      <c r="G21" s="2224" t="s">
        <v>4707</v>
      </c>
      <c r="H21" s="2225"/>
      <c r="I21" s="2226"/>
      <c r="J21" s="2227"/>
      <c r="K21" s="3742">
        <v>1409.84</v>
      </c>
      <c r="M21" s="188">
        <v>12687.84</v>
      </c>
      <c r="N21" s="564">
        <f t="shared" si="0"/>
        <v>12307.2048</v>
      </c>
      <c r="O21" s="565">
        <v>7.0000000000000007E-2</v>
      </c>
      <c r="P21" s="566">
        <f t="shared" si="1"/>
        <v>13168.709135999999</v>
      </c>
    </row>
    <row r="22" spans="1:16" ht="30.75" customHeight="1">
      <c r="A22" s="253"/>
      <c r="B22" s="2210" t="s">
        <v>4721</v>
      </c>
      <c r="C22" s="320" t="s">
        <v>2325</v>
      </c>
      <c r="D22" s="1103" t="s">
        <v>23</v>
      </c>
      <c r="E22" s="777">
        <v>281</v>
      </c>
      <c r="F22" s="1476"/>
      <c r="G22" s="223" t="s">
        <v>4707</v>
      </c>
      <c r="H22" s="647">
        <v>259.27</v>
      </c>
      <c r="I22" s="472"/>
      <c r="J22" s="654"/>
      <c r="K22" s="3046">
        <v>272.64999999999998</v>
      </c>
      <c r="M22" s="188">
        <v>16572.599999999999</v>
      </c>
      <c r="N22" s="564">
        <f t="shared" si="0"/>
        <v>16075.421999999999</v>
      </c>
      <c r="O22" s="565">
        <v>7.0000000000000007E-2</v>
      </c>
      <c r="P22" s="566">
        <f t="shared" si="1"/>
        <v>17200.701539999998</v>
      </c>
    </row>
    <row r="23" spans="1:16" ht="30.75" customHeight="1">
      <c r="A23" s="253"/>
      <c r="B23" s="2210" t="s">
        <v>4721</v>
      </c>
      <c r="C23" s="320" t="s">
        <v>1829</v>
      </c>
      <c r="D23" s="1103" t="s">
        <v>23</v>
      </c>
      <c r="E23" s="777">
        <v>482</v>
      </c>
      <c r="F23" s="1476"/>
      <c r="G23" s="223" t="s">
        <v>4713</v>
      </c>
      <c r="H23" s="647">
        <v>462.49</v>
      </c>
      <c r="I23" s="472"/>
      <c r="J23" s="654">
        <v>5612.76</v>
      </c>
      <c r="K23" s="3046">
        <v>467.73</v>
      </c>
    </row>
    <row r="24" spans="1:16" ht="30.75" customHeight="1">
      <c r="A24" s="253"/>
      <c r="B24" s="2210" t="s">
        <v>4721</v>
      </c>
      <c r="C24" s="1607" t="s">
        <v>4711</v>
      </c>
      <c r="D24" s="1608" t="s">
        <v>30</v>
      </c>
      <c r="E24" s="1609">
        <v>1408</v>
      </c>
      <c r="F24" s="1621"/>
      <c r="G24" s="1610" t="s">
        <v>4713</v>
      </c>
      <c r="H24" s="1611">
        <v>1359.52</v>
      </c>
      <c r="I24" s="1612"/>
      <c r="J24" s="1613">
        <v>5522.83</v>
      </c>
      <c r="K24" s="3743">
        <v>1380.71</v>
      </c>
    </row>
    <row r="25" spans="1:16" ht="30.75" customHeight="1">
      <c r="A25" s="253"/>
      <c r="B25" s="2210" t="s">
        <v>4721</v>
      </c>
      <c r="C25" s="1607" t="s">
        <v>4722</v>
      </c>
      <c r="D25" s="1608" t="s">
        <v>30</v>
      </c>
      <c r="E25" s="1609">
        <v>2632</v>
      </c>
      <c r="F25" s="1621"/>
      <c r="G25" s="1610" t="s">
        <v>4707</v>
      </c>
      <c r="H25" s="1611">
        <v>2586.34</v>
      </c>
      <c r="I25" s="1612"/>
      <c r="J25" s="1613"/>
      <c r="K25" s="3743">
        <v>2580.75</v>
      </c>
    </row>
    <row r="26" spans="1:16" ht="30.75" customHeight="1">
      <c r="A26" s="253"/>
      <c r="B26" s="2210"/>
      <c r="C26" s="1607"/>
      <c r="D26" s="1608"/>
      <c r="E26" s="1609"/>
      <c r="F26" s="1621"/>
      <c r="G26" s="1610"/>
      <c r="H26" s="1611"/>
      <c r="I26" s="1612"/>
      <c r="J26" s="1613"/>
      <c r="K26" s="3743"/>
    </row>
    <row r="27" spans="1:16" ht="30.75" customHeight="1">
      <c r="A27" s="253"/>
      <c r="B27" s="2210"/>
      <c r="C27" s="1607"/>
      <c r="D27" s="1608"/>
      <c r="E27" s="1609"/>
      <c r="F27" s="1621"/>
      <c r="G27" s="1610"/>
      <c r="H27" s="1611"/>
      <c r="I27" s="1612"/>
      <c r="J27" s="1613"/>
      <c r="K27" s="3743"/>
      <c r="M27" s="188">
        <v>9031.68</v>
      </c>
      <c r="N27" s="564">
        <f t="shared" ref="N27:N33" si="2">M27-(M27*0.03)</f>
        <v>8760.7296000000006</v>
      </c>
      <c r="O27" s="565">
        <v>7.0000000000000007E-2</v>
      </c>
      <c r="P27" s="566">
        <f t="shared" ref="P27:P34" si="3">(N27*O27)+N27</f>
        <v>9373.9806720000015</v>
      </c>
    </row>
    <row r="28" spans="1:16" ht="30.75" customHeight="1">
      <c r="A28" s="221"/>
      <c r="B28" s="2211" t="s">
        <v>4723</v>
      </c>
      <c r="C28" s="714" t="s">
        <v>1829</v>
      </c>
      <c r="D28" s="2182" t="s">
        <v>23</v>
      </c>
      <c r="E28" s="2183">
        <v>239</v>
      </c>
      <c r="F28" s="2183"/>
      <c r="G28" s="2184" t="s">
        <v>4707</v>
      </c>
      <c r="H28" s="723"/>
      <c r="I28" s="718"/>
      <c r="J28" s="719"/>
      <c r="K28" s="719">
        <v>232.27</v>
      </c>
      <c r="M28" s="188">
        <v>5809.44</v>
      </c>
      <c r="N28" s="564">
        <f t="shared" si="2"/>
        <v>5635.1567999999997</v>
      </c>
      <c r="O28" s="565">
        <v>7.0000000000000007E-2</v>
      </c>
      <c r="P28" s="566">
        <f t="shared" si="3"/>
        <v>6029.617776</v>
      </c>
    </row>
    <row r="29" spans="1:16" ht="30.75" customHeight="1">
      <c r="A29" s="970"/>
      <c r="B29" s="2211" t="s">
        <v>4723</v>
      </c>
      <c r="C29" s="714" t="s">
        <v>4711</v>
      </c>
      <c r="D29" s="2182" t="s">
        <v>30</v>
      </c>
      <c r="E29" s="2183">
        <v>665</v>
      </c>
      <c r="F29" s="2185"/>
      <c r="G29" s="2184" t="s">
        <v>4707</v>
      </c>
      <c r="H29" s="723"/>
      <c r="I29" s="718"/>
      <c r="J29" s="719"/>
      <c r="K29" s="719">
        <v>653.55999999999995</v>
      </c>
      <c r="M29" s="188">
        <v>0</v>
      </c>
      <c r="N29" s="564">
        <f t="shared" si="2"/>
        <v>0</v>
      </c>
      <c r="O29" s="565">
        <v>7.0000000000000007E-2</v>
      </c>
      <c r="P29" s="566">
        <f t="shared" si="3"/>
        <v>0</v>
      </c>
    </row>
    <row r="30" spans="1:16" ht="30.75" customHeight="1">
      <c r="A30" s="253"/>
      <c r="B30" s="2211" t="s">
        <v>4723</v>
      </c>
      <c r="C30" s="714" t="s">
        <v>4722</v>
      </c>
      <c r="D30" s="2182" t="s">
        <v>30</v>
      </c>
      <c r="E30" s="2183">
        <v>1209</v>
      </c>
      <c r="F30" s="2185"/>
      <c r="G30" s="2184" t="s">
        <v>4707</v>
      </c>
      <c r="H30" s="723"/>
      <c r="I30" s="718"/>
      <c r="J30" s="719"/>
      <c r="K30" s="719">
        <v>1185.79</v>
      </c>
      <c r="M30" s="188">
        <v>18537.7</v>
      </c>
      <c r="N30" s="564">
        <f t="shared" si="2"/>
        <v>17981.569</v>
      </c>
      <c r="O30" s="565">
        <v>7.0000000000000007E-2</v>
      </c>
      <c r="P30" s="566">
        <f t="shared" si="3"/>
        <v>19240.278829999999</v>
      </c>
    </row>
    <row r="31" spans="1:16" ht="30.75" customHeight="1">
      <c r="A31" s="222"/>
      <c r="B31" s="2211" t="s">
        <v>4724</v>
      </c>
      <c r="C31" s="714" t="s">
        <v>1829</v>
      </c>
      <c r="D31" s="2182" t="s">
        <v>23</v>
      </c>
      <c r="E31" s="2183">
        <v>239</v>
      </c>
      <c r="F31" s="2183"/>
      <c r="G31" s="2184" t="s">
        <v>4707</v>
      </c>
      <c r="H31" s="723"/>
      <c r="I31" s="718"/>
      <c r="J31" s="719"/>
      <c r="K31" s="719">
        <v>232.27</v>
      </c>
      <c r="M31" s="188">
        <v>9031.68</v>
      </c>
      <c r="N31" s="564">
        <f t="shared" si="2"/>
        <v>8760.7296000000006</v>
      </c>
      <c r="O31" s="565">
        <v>7.0000000000000007E-2</v>
      </c>
      <c r="P31" s="566">
        <f t="shared" si="3"/>
        <v>9373.9806720000015</v>
      </c>
    </row>
    <row r="32" spans="1:16" ht="30.75" customHeight="1">
      <c r="A32" s="253"/>
      <c r="B32" s="2211" t="s">
        <v>4724</v>
      </c>
      <c r="C32" s="714" t="s">
        <v>4711</v>
      </c>
      <c r="D32" s="2182" t="s">
        <v>30</v>
      </c>
      <c r="E32" s="2183">
        <v>665</v>
      </c>
      <c r="F32" s="2185"/>
      <c r="G32" s="2184" t="s">
        <v>4707</v>
      </c>
      <c r="H32" s="723"/>
      <c r="I32" s="718"/>
      <c r="J32" s="719"/>
      <c r="K32" s="719">
        <v>653.55999999999995</v>
      </c>
      <c r="N32" s="564">
        <f t="shared" si="2"/>
        <v>0</v>
      </c>
      <c r="O32" s="565">
        <v>7.0000000000000007E-2</v>
      </c>
      <c r="P32" s="566">
        <f t="shared" si="3"/>
        <v>0</v>
      </c>
    </row>
    <row r="33" spans="1:16" ht="30.75" customHeight="1">
      <c r="A33" s="253"/>
      <c r="B33" s="2211" t="s">
        <v>4724</v>
      </c>
      <c r="C33" s="714" t="s">
        <v>4722</v>
      </c>
      <c r="D33" s="2182" t="s">
        <v>30</v>
      </c>
      <c r="E33" s="2183">
        <v>1209</v>
      </c>
      <c r="F33" s="2185"/>
      <c r="G33" s="2184" t="s">
        <v>4707</v>
      </c>
      <c r="H33" s="723"/>
      <c r="I33" s="718"/>
      <c r="J33" s="719"/>
      <c r="K33" s="719">
        <v>1185.79</v>
      </c>
      <c r="M33" s="188">
        <v>8478.9599999999991</v>
      </c>
      <c r="N33" s="564">
        <f t="shared" si="2"/>
        <v>8224.5911999999989</v>
      </c>
      <c r="O33" s="565">
        <v>7.0000000000000007E-2</v>
      </c>
      <c r="P33" s="566">
        <f t="shared" si="3"/>
        <v>8800.3125839999993</v>
      </c>
    </row>
    <row r="34" spans="1:16" ht="30.75" customHeight="1">
      <c r="A34" s="253"/>
      <c r="B34" s="2051"/>
      <c r="C34" s="1106"/>
      <c r="D34" s="1605"/>
      <c r="E34" s="777"/>
      <c r="F34" s="1476"/>
      <c r="G34" s="982"/>
      <c r="H34" s="1660"/>
      <c r="I34" s="1661"/>
      <c r="J34" s="1662"/>
      <c r="K34" s="3744"/>
      <c r="M34" s="188">
        <v>11122.62</v>
      </c>
      <c r="N34" s="564">
        <f>M34-(M34*0.03)</f>
        <v>10788.941400000002</v>
      </c>
      <c r="O34" s="565">
        <v>7.0000000000000007E-2</v>
      </c>
      <c r="P34" s="566">
        <f t="shared" si="3"/>
        <v>11544.167298000002</v>
      </c>
    </row>
    <row r="35" spans="1:16" ht="30.75" customHeight="1">
      <c r="A35" s="1401"/>
      <c r="B35" s="2051" t="s">
        <v>4725</v>
      </c>
      <c r="C35" s="1106" t="s">
        <v>1829</v>
      </c>
      <c r="D35" s="1605" t="s">
        <v>23</v>
      </c>
      <c r="E35" s="936">
        <v>304</v>
      </c>
      <c r="F35" s="1659"/>
      <c r="G35" s="982" t="s">
        <v>4713</v>
      </c>
      <c r="H35" s="1660">
        <v>289.14999999999998</v>
      </c>
      <c r="I35" s="1661"/>
      <c r="J35" s="1662">
        <v>3544.41</v>
      </c>
      <c r="K35" s="2230">
        <v>295.37</v>
      </c>
    </row>
    <row r="36" spans="1:16" ht="30.75" customHeight="1">
      <c r="A36" s="221"/>
      <c r="B36" s="2051" t="s">
        <v>4725</v>
      </c>
      <c r="C36" s="320" t="s">
        <v>4711</v>
      </c>
      <c r="D36" s="1103" t="s">
        <v>30</v>
      </c>
      <c r="E36" s="777">
        <v>851</v>
      </c>
      <c r="F36" s="1476"/>
      <c r="G36" s="223" t="s">
        <v>4707</v>
      </c>
      <c r="H36" s="647">
        <v>814.03</v>
      </c>
      <c r="I36" s="1099"/>
      <c r="J36" s="654"/>
      <c r="K36" s="3740">
        <v>834.41</v>
      </c>
    </row>
    <row r="37" spans="1:16" ht="30.75" customHeight="1">
      <c r="A37" s="221"/>
      <c r="B37" s="2051" t="s">
        <v>4725</v>
      </c>
      <c r="C37" s="320" t="s">
        <v>4722</v>
      </c>
      <c r="D37" s="1103" t="s">
        <v>30</v>
      </c>
      <c r="E37" s="777">
        <v>1624</v>
      </c>
      <c r="F37" s="1476"/>
      <c r="G37" s="223" t="s">
        <v>4713</v>
      </c>
      <c r="H37" s="647">
        <v>1534.2</v>
      </c>
      <c r="I37" s="472"/>
      <c r="J37" s="654">
        <v>6369.38</v>
      </c>
      <c r="K37" s="2231">
        <v>1592.34</v>
      </c>
    </row>
    <row r="38" spans="1:16" ht="30.75" customHeight="1">
      <c r="A38" s="221"/>
      <c r="B38" s="2051" t="s">
        <v>4726</v>
      </c>
      <c r="C38" s="1106" t="s">
        <v>1829</v>
      </c>
      <c r="D38" s="1605" t="s">
        <v>23</v>
      </c>
      <c r="E38" s="936">
        <v>304</v>
      </c>
      <c r="F38" s="1659"/>
      <c r="G38" s="982" t="s">
        <v>4713</v>
      </c>
      <c r="H38" s="1660">
        <v>289.14999999999998</v>
      </c>
      <c r="I38" s="1661"/>
      <c r="J38" s="1662">
        <v>3544.41</v>
      </c>
      <c r="K38" s="2230">
        <v>295.37</v>
      </c>
    </row>
    <row r="39" spans="1:16" ht="30.75" customHeight="1">
      <c r="A39" s="221"/>
      <c r="B39" s="2051" t="s">
        <v>4726</v>
      </c>
      <c r="C39" s="320" t="s">
        <v>4711</v>
      </c>
      <c r="D39" s="1103" t="s">
        <v>30</v>
      </c>
      <c r="E39" s="777">
        <v>851</v>
      </c>
      <c r="F39" s="1476"/>
      <c r="G39" s="223" t="s">
        <v>4707</v>
      </c>
      <c r="H39" s="647">
        <v>814.03</v>
      </c>
      <c r="I39" s="1099"/>
      <c r="J39" s="654"/>
      <c r="K39" s="3740">
        <v>834.41</v>
      </c>
    </row>
    <row r="40" spans="1:16" ht="30.75" customHeight="1">
      <c r="A40" s="221"/>
      <c r="B40" s="2051" t="s">
        <v>4726</v>
      </c>
      <c r="C40" s="320" t="s">
        <v>4722</v>
      </c>
      <c r="D40" s="1103" t="s">
        <v>30</v>
      </c>
      <c r="E40" s="777">
        <v>1624</v>
      </c>
      <c r="F40" s="1476"/>
      <c r="G40" s="223" t="s">
        <v>4713</v>
      </c>
      <c r="H40" s="647">
        <v>1534.2</v>
      </c>
      <c r="I40" s="472"/>
      <c r="J40" s="654">
        <v>6369.38</v>
      </c>
      <c r="K40" s="2231">
        <v>1592.34</v>
      </c>
    </row>
    <row r="41" spans="1:16" ht="30.75" customHeight="1">
      <c r="A41" s="273"/>
      <c r="B41" s="2232"/>
      <c r="C41" s="328"/>
      <c r="D41" s="1598"/>
      <c r="E41" s="266"/>
      <c r="F41" s="2233"/>
      <c r="G41" s="1599"/>
      <c r="H41" s="2234"/>
      <c r="I41" s="1638"/>
      <c r="J41" s="2235"/>
      <c r="K41" s="2236"/>
      <c r="L41" s="380"/>
      <c r="M41" s="3444"/>
    </row>
    <row r="42" spans="1:16" ht="30.75" customHeight="1">
      <c r="A42" s="3480" t="s">
        <v>4727</v>
      </c>
      <c r="B42" s="3480"/>
      <c r="C42" s="44" t="s">
        <v>4705</v>
      </c>
      <c r="D42" s="3444"/>
      <c r="F42" s="68"/>
    </row>
    <row r="43" spans="1:16" ht="30.75" customHeight="1" thickBot="1">
      <c r="A43" s="279"/>
      <c r="B43" s="127"/>
      <c r="F43" s="68"/>
    </row>
    <row r="44" spans="1:16" ht="30.75" customHeight="1">
      <c r="A44" s="3493" t="s">
        <v>2</v>
      </c>
      <c r="B44" s="3482"/>
      <c r="C44" s="48" t="s">
        <v>3</v>
      </c>
      <c r="D44" s="128" t="s">
        <v>4</v>
      </c>
      <c r="E44" s="77" t="s">
        <v>5</v>
      </c>
      <c r="F44" s="78" t="s">
        <v>5</v>
      </c>
      <c r="G44" s="211" t="s">
        <v>6</v>
      </c>
      <c r="H44" s="636" t="s">
        <v>7</v>
      </c>
      <c r="I44" s="470" t="s">
        <v>1511</v>
      </c>
      <c r="J44" s="651" t="s">
        <v>9</v>
      </c>
      <c r="K44" s="367" t="s">
        <v>9</v>
      </c>
      <c r="M44" s="190" t="s">
        <v>4728</v>
      </c>
      <c r="N44" s="568"/>
    </row>
    <row r="45" spans="1:16" ht="30.75" customHeight="1" thickBot="1">
      <c r="A45" s="1013"/>
      <c r="B45" s="138"/>
      <c r="C45" s="50"/>
      <c r="D45" s="129" t="s">
        <v>10</v>
      </c>
      <c r="E45" s="79" t="s">
        <v>12</v>
      </c>
      <c r="F45" s="80" t="s">
        <v>11</v>
      </c>
      <c r="G45" s="212"/>
      <c r="H45" s="637" t="s">
        <v>13</v>
      </c>
      <c r="I45" s="471" t="s">
        <v>1512</v>
      </c>
      <c r="J45" s="652" t="s">
        <v>14</v>
      </c>
      <c r="K45" s="368" t="s">
        <v>15</v>
      </c>
      <c r="M45" s="190"/>
      <c r="N45" s="568"/>
    </row>
    <row r="46" spans="1:16" ht="30.75" customHeight="1">
      <c r="A46" s="221"/>
      <c r="B46" s="2181"/>
      <c r="C46" s="714"/>
      <c r="D46" s="2182"/>
      <c r="E46" s="2183"/>
      <c r="F46" s="2183"/>
      <c r="G46" s="2184"/>
      <c r="H46" s="723"/>
      <c r="I46" s="718"/>
      <c r="J46" s="719"/>
      <c r="K46" s="1664"/>
      <c r="L46" s="454"/>
      <c r="N46" s="564">
        <f t="shared" ref="N46:N58" si="4">M46-(M46*0.03)</f>
        <v>0</v>
      </c>
      <c r="O46" s="565">
        <v>7.0000000000000007E-2</v>
      </c>
      <c r="P46" s="566">
        <f>(N46*O46)+N46</f>
        <v>0</v>
      </c>
    </row>
    <row r="47" spans="1:16" ht="30.75" customHeight="1">
      <c r="A47" s="221"/>
      <c r="B47" s="2181"/>
      <c r="C47" s="714"/>
      <c r="D47" s="2182"/>
      <c r="E47" s="2183"/>
      <c r="F47" s="2183"/>
      <c r="G47" s="2184"/>
      <c r="H47" s="723"/>
      <c r="I47" s="718"/>
      <c r="J47" s="719"/>
      <c r="K47" s="1664"/>
      <c r="L47" s="454"/>
      <c r="M47" s="188">
        <v>2034.48</v>
      </c>
      <c r="N47" s="564">
        <f t="shared" si="4"/>
        <v>1973.4456</v>
      </c>
      <c r="O47" s="565">
        <v>7.0000000000000007E-2</v>
      </c>
      <c r="P47" s="566">
        <f t="shared" ref="P47:P58" si="5">(N47*O47)+N47</f>
        <v>2111.5867920000001</v>
      </c>
    </row>
    <row r="48" spans="1:16" ht="30.75" customHeight="1">
      <c r="A48" s="221"/>
      <c r="B48" s="2181"/>
      <c r="C48" s="714"/>
      <c r="D48" s="2182"/>
      <c r="E48" s="2183"/>
      <c r="F48" s="2185"/>
      <c r="G48" s="2184"/>
      <c r="H48" s="723"/>
      <c r="I48" s="718"/>
      <c r="J48" s="719"/>
      <c r="K48" s="1664"/>
      <c r="L48" s="454"/>
      <c r="M48" s="188">
        <v>1999.2</v>
      </c>
      <c r="N48" s="564">
        <f t="shared" si="4"/>
        <v>1939.2240000000002</v>
      </c>
      <c r="O48" s="565">
        <v>7.0000000000000007E-2</v>
      </c>
      <c r="P48" s="566">
        <f t="shared" si="5"/>
        <v>2074.9696800000002</v>
      </c>
    </row>
    <row r="49" spans="1:16" ht="30.75" customHeight="1">
      <c r="A49" s="1014"/>
      <c r="B49" s="2186"/>
      <c r="C49" s="714"/>
      <c r="D49" s="2182"/>
      <c r="E49" s="2183"/>
      <c r="F49" s="2183"/>
      <c r="G49" s="2184"/>
      <c r="H49" s="723"/>
      <c r="I49" s="718"/>
      <c r="J49" s="719"/>
      <c r="K49" s="1664"/>
      <c r="L49" s="454"/>
      <c r="M49" s="188">
        <v>2034.48</v>
      </c>
      <c r="N49" s="564">
        <f t="shared" si="4"/>
        <v>1973.4456</v>
      </c>
      <c r="O49" s="565">
        <v>7.0000000000000007E-2</v>
      </c>
      <c r="P49" s="566">
        <f t="shared" si="5"/>
        <v>2111.5867920000001</v>
      </c>
    </row>
    <row r="50" spans="1:16" ht="30.75" customHeight="1">
      <c r="A50" s="1014"/>
      <c r="B50" s="2186"/>
      <c r="C50" s="714"/>
      <c r="D50" s="2182"/>
      <c r="E50" s="2183"/>
      <c r="F50" s="2185"/>
      <c r="G50" s="2184"/>
      <c r="H50" s="723"/>
      <c r="I50" s="718"/>
      <c r="J50" s="719"/>
      <c r="K50" s="1664"/>
      <c r="L50" s="454"/>
      <c r="M50" s="188">
        <v>1999.2</v>
      </c>
      <c r="N50" s="564">
        <f t="shared" si="4"/>
        <v>1939.2240000000002</v>
      </c>
      <c r="O50" s="565">
        <v>7.0000000000000007E-2</v>
      </c>
      <c r="P50" s="566">
        <f t="shared" si="5"/>
        <v>2074.9696800000002</v>
      </c>
    </row>
    <row r="51" spans="1:16" ht="30.75" customHeight="1">
      <c r="A51" s="1014"/>
      <c r="B51" s="2053"/>
      <c r="C51" s="1106"/>
      <c r="D51" s="1605"/>
      <c r="E51" s="936"/>
      <c r="F51" s="1659"/>
      <c r="G51" s="982"/>
      <c r="H51" s="1660"/>
      <c r="I51" s="1661"/>
      <c r="J51" s="1662"/>
      <c r="K51" s="1663"/>
      <c r="L51" s="454"/>
      <c r="N51" s="564">
        <f t="shared" si="4"/>
        <v>0</v>
      </c>
      <c r="O51" s="565">
        <v>7.0000000000000007E-2</v>
      </c>
      <c r="P51" s="566">
        <f t="shared" si="5"/>
        <v>0</v>
      </c>
    </row>
    <row r="52" spans="1:16" ht="30.75" customHeight="1">
      <c r="A52" s="1015"/>
      <c r="B52" s="2051"/>
      <c r="C52" s="1106"/>
      <c r="D52" s="1605"/>
      <c r="E52" s="936"/>
      <c r="F52" s="1659"/>
      <c r="G52" s="982"/>
      <c r="H52" s="1660"/>
      <c r="I52" s="1661"/>
      <c r="J52" s="1662"/>
      <c r="K52" s="1663"/>
      <c r="L52" s="454"/>
      <c r="N52" s="564">
        <f t="shared" si="4"/>
        <v>0</v>
      </c>
      <c r="O52" s="565">
        <v>7.0000000000000007E-2</v>
      </c>
      <c r="P52" s="566">
        <f t="shared" si="5"/>
        <v>0</v>
      </c>
    </row>
    <row r="53" spans="1:16" ht="30.75" customHeight="1">
      <c r="A53" s="1014"/>
      <c r="B53" s="2051"/>
      <c r="C53" s="320"/>
      <c r="D53" s="1103"/>
      <c r="E53" s="777"/>
      <c r="F53" s="1476"/>
      <c r="G53" s="223"/>
      <c r="H53" s="647"/>
      <c r="I53" s="1099"/>
      <c r="J53" s="654"/>
      <c r="K53" s="1104"/>
      <c r="L53" s="454"/>
      <c r="N53" s="564">
        <f t="shared" si="4"/>
        <v>0</v>
      </c>
      <c r="O53" s="565">
        <v>7.0000000000000007E-2</v>
      </c>
      <c r="P53" s="566">
        <f t="shared" si="5"/>
        <v>0</v>
      </c>
    </row>
    <row r="54" spans="1:16" ht="30.75" customHeight="1">
      <c r="A54" s="1014"/>
      <c r="B54" s="2051"/>
      <c r="C54" s="320"/>
      <c r="D54" s="1103"/>
      <c r="E54" s="777"/>
      <c r="F54" s="1476"/>
      <c r="G54" s="223"/>
      <c r="H54" s="647"/>
      <c r="I54" s="1099"/>
      <c r="J54" s="654"/>
      <c r="K54" s="1104"/>
      <c r="L54" s="454"/>
      <c r="N54" s="564">
        <f t="shared" si="4"/>
        <v>0</v>
      </c>
      <c r="O54" s="565">
        <v>7.0000000000000007E-2</v>
      </c>
      <c r="P54" s="566">
        <f t="shared" si="5"/>
        <v>0</v>
      </c>
    </row>
    <row r="55" spans="1:16" ht="30.75" customHeight="1">
      <c r="A55" s="1014"/>
      <c r="B55" s="2051"/>
      <c r="C55" s="320"/>
      <c r="D55" s="1103"/>
      <c r="E55" s="777"/>
      <c r="F55" s="1476"/>
      <c r="G55" s="223"/>
      <c r="H55" s="647"/>
      <c r="I55" s="472"/>
      <c r="J55" s="654"/>
      <c r="K55" s="1104"/>
      <c r="L55" s="454"/>
      <c r="N55" s="564">
        <f t="shared" si="4"/>
        <v>0</v>
      </c>
      <c r="O55" s="565">
        <v>7.0000000000000007E-2</v>
      </c>
      <c r="P55" s="566">
        <f t="shared" si="5"/>
        <v>0</v>
      </c>
    </row>
    <row r="56" spans="1:16" ht="30.75" customHeight="1">
      <c r="A56" s="1014"/>
      <c r="B56" s="2051"/>
      <c r="C56" s="320"/>
      <c r="D56" s="1103"/>
      <c r="E56" s="777"/>
      <c r="F56" s="1476"/>
      <c r="G56" s="223"/>
      <c r="H56" s="647"/>
      <c r="I56" s="472"/>
      <c r="J56" s="654"/>
      <c r="K56" s="1104"/>
      <c r="L56" s="454"/>
      <c r="N56" s="564">
        <f t="shared" si="4"/>
        <v>0</v>
      </c>
      <c r="O56" s="565">
        <v>7.0000000000000007E-2</v>
      </c>
      <c r="P56" s="566">
        <f t="shared" si="5"/>
        <v>0</v>
      </c>
    </row>
    <row r="57" spans="1:16" ht="30.75" customHeight="1">
      <c r="A57" s="1014"/>
      <c r="B57" s="2053"/>
      <c r="C57" s="1106"/>
      <c r="D57" s="1605"/>
      <c r="E57" s="936"/>
      <c r="F57" s="1659"/>
      <c r="G57" s="982"/>
      <c r="H57" s="1660"/>
      <c r="I57" s="1661"/>
      <c r="J57" s="1662"/>
      <c r="K57" s="1663"/>
      <c r="L57" s="454"/>
      <c r="N57" s="564">
        <f t="shared" si="4"/>
        <v>0</v>
      </c>
      <c r="O57" s="565">
        <v>7.0000000000000007E-2</v>
      </c>
      <c r="P57" s="566">
        <f t="shared" si="5"/>
        <v>0</v>
      </c>
    </row>
    <row r="58" spans="1:16" ht="30.75" customHeight="1">
      <c r="A58" s="1016"/>
      <c r="B58" s="2051"/>
      <c r="C58" s="320"/>
      <c r="D58" s="1103"/>
      <c r="E58" s="777"/>
      <c r="F58" s="1476"/>
      <c r="G58" s="223"/>
      <c r="H58" s="647"/>
      <c r="I58" s="1099"/>
      <c r="J58" s="654"/>
      <c r="K58" s="1104"/>
      <c r="L58" s="454"/>
      <c r="N58" s="564">
        <f t="shared" si="4"/>
        <v>0</v>
      </c>
      <c r="O58" s="565">
        <v>7.0000000000000007E-2</v>
      </c>
      <c r="P58" s="566">
        <f t="shared" si="5"/>
        <v>0</v>
      </c>
    </row>
    <row r="59" spans="1:16" ht="30.75" customHeight="1">
      <c r="A59" s="1014"/>
      <c r="B59" s="2051"/>
      <c r="C59" s="320"/>
      <c r="D59" s="1103"/>
      <c r="E59" s="777"/>
      <c r="F59" s="1476"/>
      <c r="G59" s="223"/>
      <c r="H59" s="647"/>
      <c r="I59" s="1099"/>
      <c r="J59" s="654"/>
      <c r="K59" s="1104"/>
      <c r="M59" s="188">
        <v>3813.12</v>
      </c>
      <c r="N59" s="564">
        <f>M59-(M59*0.03)</f>
        <v>3698.7264</v>
      </c>
      <c r="O59" s="565">
        <v>7.0000000000000007E-2</v>
      </c>
      <c r="P59" s="566">
        <f>(N59*O59)+N59</f>
        <v>3957.637248</v>
      </c>
    </row>
    <row r="60" spans="1:16" ht="30.75" customHeight="1">
      <c r="A60" s="1014"/>
      <c r="B60" s="2051"/>
      <c r="C60" s="320"/>
      <c r="D60" s="1103"/>
      <c r="E60" s="777"/>
      <c r="F60" s="1476"/>
      <c r="G60" s="223"/>
      <c r="H60" s="647"/>
      <c r="I60" s="472"/>
      <c r="J60" s="654"/>
      <c r="K60" s="1104"/>
    </row>
    <row r="61" spans="1:16" ht="30.75" customHeight="1">
      <c r="A61" s="1014"/>
      <c r="B61" s="2052"/>
      <c r="C61" s="1607"/>
      <c r="D61" s="1608"/>
      <c r="E61" s="777"/>
      <c r="F61" s="1476"/>
      <c r="G61" s="223"/>
      <c r="H61" s="647"/>
      <c r="I61" s="472"/>
      <c r="J61" s="654"/>
      <c r="K61" s="1104"/>
      <c r="M61" s="188">
        <v>8640</v>
      </c>
      <c r="N61" s="564">
        <f>M61-(M61*0.03)</f>
        <v>8380.7999999999993</v>
      </c>
      <c r="O61" s="565">
        <v>7.0000000000000007E-2</v>
      </c>
      <c r="P61" s="566">
        <f>(N61*O61)+N61</f>
        <v>8967.4559999999983</v>
      </c>
    </row>
    <row r="62" spans="1:16" ht="30.75" customHeight="1">
      <c r="A62" s="1014"/>
      <c r="B62" s="1032"/>
      <c r="C62" s="1106"/>
      <c r="D62" s="1605"/>
      <c r="E62" s="936"/>
      <c r="F62" s="936"/>
      <c r="G62" s="982"/>
      <c r="H62" s="1660"/>
      <c r="I62" s="1661"/>
      <c r="J62" s="1662"/>
      <c r="K62" s="1663"/>
      <c r="L62" s="454"/>
    </row>
    <row r="63" spans="1:16" ht="30.75" customHeight="1">
      <c r="A63" s="1014"/>
      <c r="B63" s="2054"/>
      <c r="C63" s="101"/>
      <c r="D63" s="462"/>
      <c r="E63" s="120"/>
      <c r="F63" s="121"/>
      <c r="G63" s="206"/>
      <c r="H63" s="639"/>
      <c r="I63" s="355"/>
      <c r="J63" s="653"/>
      <c r="K63" s="365"/>
    </row>
    <row r="64" spans="1:16" ht="30.75" customHeight="1">
      <c r="A64" s="1014"/>
      <c r="B64" s="1032" t="s">
        <v>4729</v>
      </c>
      <c r="C64" s="1106" t="s">
        <v>1296</v>
      </c>
      <c r="D64" s="1605" t="s">
        <v>4730</v>
      </c>
      <c r="E64" s="936">
        <v>45</v>
      </c>
      <c r="F64" s="936" t="s">
        <v>3851</v>
      </c>
      <c r="G64" s="982" t="s">
        <v>4731</v>
      </c>
      <c r="H64" s="1660">
        <v>405.6</v>
      </c>
      <c r="I64" s="1661"/>
      <c r="J64" s="1662" t="s">
        <v>4732</v>
      </c>
      <c r="K64" s="1663">
        <v>43</v>
      </c>
    </row>
    <row r="65" spans="1:16" ht="30.75" customHeight="1">
      <c r="A65" s="1014"/>
      <c r="B65" s="2054"/>
      <c r="C65" s="101"/>
      <c r="D65" s="462"/>
      <c r="E65" s="142"/>
      <c r="F65" s="1404"/>
      <c r="G65" s="206"/>
      <c r="H65" s="150"/>
      <c r="I65" s="355"/>
      <c r="J65" s="653"/>
      <c r="K65" s="365"/>
    </row>
    <row r="66" spans="1:16" ht="30.75" customHeight="1">
      <c r="A66" s="1014"/>
      <c r="B66" s="2054" t="s">
        <v>4733</v>
      </c>
      <c r="C66" s="101" t="s">
        <v>4734</v>
      </c>
      <c r="D66" s="462" t="s">
        <v>40</v>
      </c>
      <c r="E66" s="120">
        <v>340</v>
      </c>
      <c r="F66" s="121"/>
      <c r="G66" s="206" t="s">
        <v>1439</v>
      </c>
      <c r="H66" s="639">
        <v>331</v>
      </c>
      <c r="I66" s="355"/>
      <c r="J66" s="653">
        <v>1978.82</v>
      </c>
      <c r="K66" s="365">
        <f>J66/6</f>
        <v>329.80333333333334</v>
      </c>
      <c r="L66" s="454"/>
    </row>
    <row r="67" spans="1:16" ht="30.75" customHeight="1">
      <c r="A67" s="1015"/>
      <c r="B67" s="2054" t="s">
        <v>4735</v>
      </c>
      <c r="C67" s="101" t="s">
        <v>4736</v>
      </c>
      <c r="D67" s="462" t="s">
        <v>40</v>
      </c>
      <c r="E67" s="142">
        <v>349</v>
      </c>
      <c r="F67" s="1404"/>
      <c r="G67" s="206" t="s">
        <v>4737</v>
      </c>
      <c r="H67" s="150">
        <v>340</v>
      </c>
      <c r="I67" s="355"/>
      <c r="J67" s="653">
        <v>2032.7</v>
      </c>
      <c r="K67" s="365">
        <v>338.78</v>
      </c>
      <c r="L67" s="454"/>
      <c r="N67" s="564">
        <f t="shared" ref="N67:N72" si="6">M67-(M67*0.03)</f>
        <v>0</v>
      </c>
      <c r="O67" s="565">
        <v>7.0000000000000007E-2</v>
      </c>
      <c r="P67" s="566">
        <f t="shared" ref="P67:P72" si="7">(N67*O67)+N67</f>
        <v>0</v>
      </c>
    </row>
    <row r="68" spans="1:16" ht="30.75" customHeight="1">
      <c r="A68" s="1015"/>
      <c r="B68" s="2054" t="s">
        <v>4738</v>
      </c>
      <c r="C68" s="101" t="s">
        <v>221</v>
      </c>
      <c r="D68" s="462" t="s">
        <v>40</v>
      </c>
      <c r="E68" s="142">
        <v>395</v>
      </c>
      <c r="F68" s="1404"/>
      <c r="G68" s="206" t="s">
        <v>4737</v>
      </c>
      <c r="H68" s="150">
        <v>373</v>
      </c>
      <c r="I68" s="355"/>
      <c r="J68" s="653">
        <v>2298.9</v>
      </c>
      <c r="K68" s="365">
        <v>383.2</v>
      </c>
      <c r="L68" s="454"/>
      <c r="N68" s="564">
        <f t="shared" si="6"/>
        <v>0</v>
      </c>
      <c r="O68" s="565">
        <v>7.0000000000000007E-2</v>
      </c>
      <c r="P68" s="566">
        <f t="shared" si="7"/>
        <v>0</v>
      </c>
    </row>
    <row r="69" spans="1:16" ht="30.75" customHeight="1">
      <c r="A69" s="1016"/>
      <c r="B69" s="2054" t="s">
        <v>4739</v>
      </c>
      <c r="C69" s="101" t="s">
        <v>276</v>
      </c>
      <c r="D69" s="462" t="s">
        <v>40</v>
      </c>
      <c r="E69" s="120">
        <v>335</v>
      </c>
      <c r="F69" s="121"/>
      <c r="G69" s="206" t="s">
        <v>4740</v>
      </c>
      <c r="H69" s="639"/>
      <c r="I69" s="355"/>
      <c r="J69" s="469">
        <v>1942.98</v>
      </c>
      <c r="K69" s="363">
        <v>323.83</v>
      </c>
      <c r="L69" s="454"/>
      <c r="N69" s="564">
        <f t="shared" si="6"/>
        <v>0</v>
      </c>
      <c r="O69" s="565">
        <v>7.0000000000000007E-2</v>
      </c>
      <c r="P69" s="566">
        <f t="shared" si="7"/>
        <v>0</v>
      </c>
    </row>
    <row r="70" spans="1:16" ht="30.75" customHeight="1">
      <c r="A70" s="1014"/>
      <c r="B70" s="2054" t="s">
        <v>4741</v>
      </c>
      <c r="C70" s="101" t="s">
        <v>284</v>
      </c>
      <c r="D70" s="462" t="s">
        <v>23</v>
      </c>
      <c r="E70" s="142">
        <v>540</v>
      </c>
      <c r="F70" s="1404"/>
      <c r="G70" s="206" t="s">
        <v>4742</v>
      </c>
      <c r="H70" s="150"/>
      <c r="I70" s="355"/>
      <c r="J70" s="653"/>
      <c r="K70" s="365"/>
      <c r="L70" s="454"/>
      <c r="N70" s="564">
        <f t="shared" si="6"/>
        <v>0</v>
      </c>
      <c r="O70" s="565">
        <v>7.0000000000000007E-2</v>
      </c>
      <c r="P70" s="566">
        <f t="shared" si="7"/>
        <v>0</v>
      </c>
    </row>
    <row r="71" spans="1:16" ht="30.75" customHeight="1">
      <c r="A71" s="1017"/>
      <c r="B71" s="2054" t="s">
        <v>4743</v>
      </c>
      <c r="C71" s="101" t="s">
        <v>247</v>
      </c>
      <c r="D71" s="462" t="s">
        <v>18</v>
      </c>
      <c r="E71" s="120">
        <v>49</v>
      </c>
      <c r="F71" s="121"/>
      <c r="G71" s="206" t="s">
        <v>4744</v>
      </c>
      <c r="H71" s="639">
        <v>54</v>
      </c>
      <c r="I71" s="796" t="s">
        <v>4745</v>
      </c>
      <c r="J71" s="469"/>
      <c r="K71" s="363">
        <v>39</v>
      </c>
      <c r="L71" s="454"/>
      <c r="N71" s="564">
        <f t="shared" si="6"/>
        <v>0</v>
      </c>
      <c r="O71" s="565">
        <v>7.0000000000000007E-2</v>
      </c>
      <c r="P71" s="566">
        <f t="shared" si="7"/>
        <v>0</v>
      </c>
    </row>
    <row r="72" spans="1:16" ht="30.75" customHeight="1">
      <c r="A72" s="1017"/>
      <c r="B72" s="2054" t="s">
        <v>4743</v>
      </c>
      <c r="C72" s="101" t="s">
        <v>2321</v>
      </c>
      <c r="D72" s="462" t="s">
        <v>40</v>
      </c>
      <c r="E72" s="120">
        <v>525</v>
      </c>
      <c r="F72" s="121"/>
      <c r="G72" s="206" t="s">
        <v>4746</v>
      </c>
      <c r="H72" s="639">
        <v>527.22</v>
      </c>
      <c r="I72" s="355"/>
      <c r="J72" s="469">
        <v>3086.22</v>
      </c>
      <c r="K72" s="363">
        <v>514.37</v>
      </c>
      <c r="L72" s="454"/>
      <c r="N72" s="564">
        <f t="shared" si="6"/>
        <v>0</v>
      </c>
      <c r="O72" s="565">
        <v>7.0000000000000007E-2</v>
      </c>
      <c r="P72" s="566">
        <f t="shared" si="7"/>
        <v>0</v>
      </c>
    </row>
    <row r="73" spans="1:16" ht="30.75" customHeight="1">
      <c r="A73" s="1015"/>
      <c r="B73" s="433"/>
      <c r="C73" s="101"/>
      <c r="D73" s="132"/>
      <c r="E73" s="119"/>
      <c r="F73" s="121"/>
      <c r="G73" s="206"/>
      <c r="H73" s="639"/>
      <c r="I73" s="472"/>
      <c r="J73" s="653"/>
      <c r="K73" s="363"/>
      <c r="L73" s="454"/>
    </row>
    <row r="74" spans="1:16" ht="30.75" customHeight="1">
      <c r="A74" s="1015"/>
      <c r="B74" s="433" t="s">
        <v>4747</v>
      </c>
      <c r="C74" s="101" t="s">
        <v>1829</v>
      </c>
      <c r="D74" s="461" t="s">
        <v>23</v>
      </c>
      <c r="E74" s="120"/>
      <c r="F74" s="121">
        <v>187</v>
      </c>
      <c r="G74" s="206"/>
      <c r="H74" s="639"/>
      <c r="I74" s="355"/>
      <c r="J74" s="469">
        <v>2172</v>
      </c>
      <c r="K74" s="363">
        <v>181</v>
      </c>
      <c r="L74" s="454"/>
    </row>
    <row r="75" spans="1:16" ht="30.75" customHeight="1">
      <c r="A75" s="1015"/>
      <c r="B75" s="433" t="s">
        <v>4748</v>
      </c>
      <c r="C75" s="101" t="s">
        <v>1829</v>
      </c>
      <c r="D75" s="461" t="s">
        <v>23</v>
      </c>
      <c r="E75" s="120"/>
      <c r="F75" s="121">
        <v>182</v>
      </c>
      <c r="G75" s="206" t="s">
        <v>1551</v>
      </c>
      <c r="H75" s="639">
        <v>173</v>
      </c>
      <c r="I75" s="472" t="s">
        <v>4749</v>
      </c>
      <c r="J75" s="469">
        <v>2111.52</v>
      </c>
      <c r="K75" s="363">
        <f>P75/12</f>
        <v>0</v>
      </c>
      <c r="L75" s="454"/>
    </row>
    <row r="76" spans="1:16" ht="30.75" customHeight="1">
      <c r="A76" s="1015"/>
      <c r="B76" s="433" t="s">
        <v>4750</v>
      </c>
      <c r="C76" s="103" t="s">
        <v>1509</v>
      </c>
      <c r="D76" s="464" t="s">
        <v>40</v>
      </c>
      <c r="E76" s="118"/>
      <c r="F76" s="123">
        <v>327</v>
      </c>
      <c r="G76" s="318" t="s">
        <v>4751</v>
      </c>
      <c r="H76" s="640">
        <v>340</v>
      </c>
      <c r="I76" s="554" t="s">
        <v>4752</v>
      </c>
      <c r="J76" s="653">
        <f>K76*6</f>
        <v>1902</v>
      </c>
      <c r="K76" s="363">
        <v>317</v>
      </c>
      <c r="L76" s="454"/>
    </row>
    <row r="77" spans="1:16" ht="30.75" customHeight="1">
      <c r="A77" s="1015"/>
      <c r="B77" s="433" t="s">
        <v>4753</v>
      </c>
      <c r="C77" s="101" t="s">
        <v>4754</v>
      </c>
      <c r="D77" s="132" t="s">
        <v>23</v>
      </c>
      <c r="E77" s="119"/>
      <c r="F77" s="121">
        <v>182</v>
      </c>
      <c r="G77" s="206" t="s">
        <v>1362</v>
      </c>
      <c r="H77" s="639">
        <v>173</v>
      </c>
      <c r="I77" s="472" t="s">
        <v>4755</v>
      </c>
      <c r="J77" s="653">
        <v>1773</v>
      </c>
      <c r="K77" s="363">
        <f>P77/12</f>
        <v>0</v>
      </c>
      <c r="L77" s="454"/>
    </row>
    <row r="78" spans="1:16" ht="30.75" customHeight="1">
      <c r="A78" s="1015"/>
      <c r="B78" s="433" t="s">
        <v>4753</v>
      </c>
      <c r="C78" s="103" t="s">
        <v>1509</v>
      </c>
      <c r="D78" s="464" t="s">
        <v>40</v>
      </c>
      <c r="E78" s="120"/>
      <c r="F78" s="121">
        <v>327</v>
      </c>
      <c r="G78" s="318" t="s">
        <v>4756</v>
      </c>
      <c r="H78" s="640">
        <v>340</v>
      </c>
      <c r="I78" s="554" t="s">
        <v>4752</v>
      </c>
      <c r="J78" s="653">
        <f>K78*6</f>
        <v>1902</v>
      </c>
      <c r="K78" s="363">
        <v>317</v>
      </c>
      <c r="L78" s="454"/>
    </row>
    <row r="79" spans="1:16" ht="30.75" customHeight="1">
      <c r="A79" s="1015"/>
      <c r="B79" s="460"/>
      <c r="C79" s="101"/>
      <c r="D79" s="462"/>
      <c r="E79" s="142"/>
      <c r="F79" s="61"/>
      <c r="G79" s="206"/>
      <c r="H79" s="150"/>
      <c r="I79" s="355"/>
      <c r="J79" s="653"/>
      <c r="K79" s="365"/>
      <c r="L79" s="454"/>
    </row>
    <row r="80" spans="1:16" ht="30.75" customHeight="1">
      <c r="A80" s="1015"/>
      <c r="B80" s="139"/>
      <c r="C80" s="101"/>
      <c r="D80" s="462"/>
      <c r="E80" s="120"/>
      <c r="F80" s="121"/>
      <c r="G80" s="206"/>
      <c r="H80" s="639"/>
      <c r="I80" s="355"/>
      <c r="J80" s="469"/>
      <c r="K80" s="363"/>
      <c r="L80" s="454"/>
    </row>
    <row r="81" spans="1:16" ht="30.75" customHeight="1">
      <c r="A81" s="274"/>
      <c r="B81" s="205"/>
      <c r="C81" s="104"/>
      <c r="D81" s="109"/>
      <c r="E81" s="274"/>
      <c r="F81" s="274"/>
      <c r="G81" s="988"/>
      <c r="H81" s="649"/>
      <c r="I81" s="251"/>
      <c r="J81" s="989"/>
      <c r="K81" s="380">
        <v>3</v>
      </c>
      <c r="L81" s="454"/>
    </row>
    <row r="82" spans="1:16" ht="30.75" customHeight="1">
      <c r="A82" s="3480" t="s">
        <v>4727</v>
      </c>
      <c r="B82" s="3480"/>
      <c r="C82" s="44"/>
      <c r="D82" s="721"/>
      <c r="E82" s="722"/>
      <c r="F82" s="68"/>
    </row>
    <row r="83" spans="1:16" ht="30.75" customHeight="1" thickBot="1">
      <c r="F83" s="68"/>
    </row>
    <row r="84" spans="1:16" ht="30.75" customHeight="1">
      <c r="A84" s="2079"/>
      <c r="B84" s="48" t="s">
        <v>2</v>
      </c>
      <c r="C84" s="3446" t="s">
        <v>3</v>
      </c>
      <c r="D84" s="128" t="s">
        <v>4</v>
      </c>
      <c r="E84" s="77" t="s">
        <v>5</v>
      </c>
      <c r="F84" s="78" t="s">
        <v>5</v>
      </c>
      <c r="G84" s="219" t="s">
        <v>6</v>
      </c>
      <c r="H84" s="636" t="s">
        <v>7</v>
      </c>
      <c r="I84" s="470" t="s">
        <v>1511</v>
      </c>
      <c r="J84" s="656" t="s">
        <v>9</v>
      </c>
      <c r="K84" s="2077" t="s">
        <v>9</v>
      </c>
      <c r="M84" s="190"/>
      <c r="N84" s="568"/>
    </row>
    <row r="85" spans="1:16" ht="30.75" customHeight="1" thickBot="1">
      <c r="A85" s="1111"/>
      <c r="B85" s="137"/>
      <c r="C85" s="72"/>
      <c r="D85" s="129" t="s">
        <v>10</v>
      </c>
      <c r="E85" s="80" t="s">
        <v>11</v>
      </c>
      <c r="F85" s="80" t="s">
        <v>12</v>
      </c>
      <c r="G85" s="301"/>
      <c r="H85" s="637" t="s">
        <v>13</v>
      </c>
      <c r="I85" s="471" t="s">
        <v>1512</v>
      </c>
      <c r="J85" s="657" t="s">
        <v>14</v>
      </c>
      <c r="K85" s="2078" t="s">
        <v>15</v>
      </c>
      <c r="M85" s="190"/>
      <c r="N85" s="568"/>
    </row>
    <row r="86" spans="1:16" ht="30.75" customHeight="1">
      <c r="A86" s="2080"/>
      <c r="B86" s="825" t="s">
        <v>4757</v>
      </c>
      <c r="C86" s="2081" t="s">
        <v>297</v>
      </c>
      <c r="D86" s="2076" t="s">
        <v>23</v>
      </c>
      <c r="E86" s="277">
        <v>184</v>
      </c>
      <c r="F86" s="3745"/>
      <c r="G86" s="982" t="s">
        <v>4758</v>
      </c>
      <c r="H86" s="1660">
        <v>1992</v>
      </c>
      <c r="I86" s="1661"/>
      <c r="J86" s="1662">
        <v>2131.44</v>
      </c>
      <c r="K86" s="1663">
        <v>177.62</v>
      </c>
      <c r="N86" s="564">
        <f t="shared" ref="N86:N113" si="8">M86-(M86*0.03)</f>
        <v>0</v>
      </c>
      <c r="O86" s="565">
        <v>7.0000000000000007E-2</v>
      </c>
      <c r="P86" s="566">
        <f t="shared" ref="P86:P113" si="9">(N86*O86)+N86</f>
        <v>0</v>
      </c>
    </row>
    <row r="87" spans="1:16" ht="30.75" customHeight="1">
      <c r="A87" s="224"/>
      <c r="B87" s="928"/>
      <c r="C87" s="1355" t="s">
        <v>123</v>
      </c>
      <c r="D87" s="532" t="s">
        <v>23</v>
      </c>
      <c r="E87" s="999">
        <v>312</v>
      </c>
      <c r="F87" s="2175"/>
      <c r="G87" s="223" t="s">
        <v>4759</v>
      </c>
      <c r="H87" s="647">
        <v>3414</v>
      </c>
      <c r="I87" s="472"/>
      <c r="J87" s="654">
        <v>3635.81</v>
      </c>
      <c r="K87" s="1104">
        <v>302.98</v>
      </c>
      <c r="N87" s="564">
        <f t="shared" si="8"/>
        <v>0</v>
      </c>
      <c r="O87" s="565">
        <v>7.0000000000000007E-2</v>
      </c>
      <c r="P87" s="566">
        <f t="shared" si="9"/>
        <v>0</v>
      </c>
    </row>
    <row r="88" spans="1:16" ht="30.75" customHeight="1">
      <c r="A88" s="224"/>
      <c r="B88" s="928"/>
      <c r="C88" s="1355" t="s">
        <v>4760</v>
      </c>
      <c r="D88" s="531" t="s">
        <v>30</v>
      </c>
      <c r="E88" s="776">
        <v>910</v>
      </c>
      <c r="F88" s="1117"/>
      <c r="G88" s="223" t="s">
        <v>4761</v>
      </c>
      <c r="H88" s="647">
        <v>3360</v>
      </c>
      <c r="I88" s="1099"/>
      <c r="J88" s="654">
        <v>3566.79</v>
      </c>
      <c r="K88" s="1104">
        <v>891.69</v>
      </c>
      <c r="N88" s="564">
        <v>14057.66</v>
      </c>
      <c r="O88" s="565">
        <v>7.0000000000000007E-2</v>
      </c>
      <c r="P88" s="566">
        <f t="shared" si="9"/>
        <v>15041.6962</v>
      </c>
    </row>
    <row r="89" spans="1:16" ht="30.75" customHeight="1" thickBot="1">
      <c r="A89" s="2082"/>
      <c r="B89" s="2083"/>
      <c r="C89" s="2104" t="s">
        <v>4762</v>
      </c>
      <c r="D89" s="1844" t="s">
        <v>4763</v>
      </c>
      <c r="E89" s="2099">
        <v>1175</v>
      </c>
      <c r="F89" s="2100"/>
      <c r="G89" s="220" t="s">
        <v>4761</v>
      </c>
      <c r="H89" s="643">
        <v>3230</v>
      </c>
      <c r="I89" s="357"/>
      <c r="J89" s="660">
        <v>3456.1</v>
      </c>
      <c r="K89" s="395">
        <v>1152.03</v>
      </c>
      <c r="N89" s="564">
        <f t="shared" si="8"/>
        <v>0</v>
      </c>
      <c r="O89" s="565">
        <v>7.0000000000000007E-2</v>
      </c>
      <c r="P89" s="566">
        <f t="shared" si="9"/>
        <v>0</v>
      </c>
    </row>
    <row r="90" spans="1:16" ht="30.75" customHeight="1">
      <c r="A90" s="1019"/>
      <c r="B90" s="106" t="s">
        <v>4764</v>
      </c>
      <c r="C90" s="103" t="s">
        <v>297</v>
      </c>
      <c r="D90" s="1109" t="s">
        <v>23</v>
      </c>
      <c r="E90" s="71">
        <v>285</v>
      </c>
      <c r="F90" s="1118"/>
      <c r="G90" s="216" t="s">
        <v>4765</v>
      </c>
      <c r="H90" s="638">
        <v>3296</v>
      </c>
      <c r="I90" s="358"/>
      <c r="J90" s="658">
        <v>3312.65</v>
      </c>
      <c r="K90" s="369">
        <v>276.05</v>
      </c>
      <c r="N90" s="564">
        <f t="shared" si="8"/>
        <v>0</v>
      </c>
      <c r="O90" s="565">
        <v>7.0000000000000007E-2</v>
      </c>
      <c r="P90" s="566">
        <f t="shared" si="9"/>
        <v>0</v>
      </c>
    </row>
    <row r="91" spans="1:16" ht="30.75" customHeight="1">
      <c r="A91" s="398"/>
      <c r="B91" s="105"/>
      <c r="C91" s="101" t="s">
        <v>123</v>
      </c>
      <c r="D91" s="462" t="s">
        <v>23</v>
      </c>
      <c r="E91" s="73">
        <v>560</v>
      </c>
      <c r="F91" s="2037"/>
      <c r="G91" s="206" t="s">
        <v>4759</v>
      </c>
      <c r="H91" s="150">
        <v>6140</v>
      </c>
      <c r="I91" s="355"/>
      <c r="J91" s="653">
        <v>6537.6</v>
      </c>
      <c r="K91" s="365">
        <v>544.79999999999995</v>
      </c>
      <c r="N91" s="564">
        <f t="shared" si="8"/>
        <v>0</v>
      </c>
      <c r="O91" s="565">
        <v>7.0000000000000007E-2</v>
      </c>
      <c r="P91" s="566">
        <f t="shared" si="9"/>
        <v>0</v>
      </c>
    </row>
    <row r="92" spans="1:16" ht="30.75" customHeight="1">
      <c r="A92" s="398"/>
      <c r="B92" s="105"/>
      <c r="C92" s="101" t="s">
        <v>4760</v>
      </c>
      <c r="D92" s="462" t="s">
        <v>30</v>
      </c>
      <c r="E92" s="73">
        <v>1602</v>
      </c>
      <c r="F92" s="2037"/>
      <c r="G92" s="206" t="s">
        <v>4759</v>
      </c>
      <c r="H92" s="2176">
        <v>5900</v>
      </c>
      <c r="I92" s="796"/>
      <c r="J92" s="653">
        <v>6282.69</v>
      </c>
      <c r="K92" s="365">
        <v>1570.67</v>
      </c>
      <c r="N92" s="564">
        <f t="shared" si="8"/>
        <v>0</v>
      </c>
      <c r="O92" s="565">
        <v>7.0000000000000007E-2</v>
      </c>
      <c r="P92" s="566">
        <f t="shared" si="9"/>
        <v>0</v>
      </c>
    </row>
    <row r="93" spans="1:16" ht="30.75" customHeight="1" thickBot="1">
      <c r="A93" s="2089"/>
      <c r="B93" s="2090"/>
      <c r="C93" s="1906" t="s">
        <v>4762</v>
      </c>
      <c r="D93" s="2091" t="s">
        <v>4763</v>
      </c>
      <c r="E93" s="2102">
        <v>2070</v>
      </c>
      <c r="F93" s="2093"/>
      <c r="G93" s="2094" t="s">
        <v>4759</v>
      </c>
      <c r="H93" s="2103">
        <v>5694</v>
      </c>
      <c r="I93" s="2096"/>
      <c r="J93" s="2097">
        <v>6090.75</v>
      </c>
      <c r="K93" s="1938">
        <v>2030.25</v>
      </c>
      <c r="N93" s="564">
        <f t="shared" si="8"/>
        <v>0</v>
      </c>
      <c r="O93" s="565">
        <v>7.0000000000000007E-2</v>
      </c>
      <c r="P93" s="566">
        <f t="shared" si="9"/>
        <v>0</v>
      </c>
    </row>
    <row r="94" spans="1:16" ht="30.75" customHeight="1" thickTop="1">
      <c r="A94" s="1019"/>
      <c r="B94" s="825" t="s">
        <v>4766</v>
      </c>
      <c r="C94" s="1106" t="s">
        <v>297</v>
      </c>
      <c r="D94" s="2076" t="s">
        <v>23</v>
      </c>
      <c r="E94" s="277">
        <v>167</v>
      </c>
      <c r="F94" s="2101"/>
      <c r="G94" s="982" t="s">
        <v>4767</v>
      </c>
      <c r="H94" s="1660">
        <v>1820</v>
      </c>
      <c r="I94" s="1853"/>
      <c r="J94" s="1662">
        <v>1947.4</v>
      </c>
      <c r="K94" s="1663">
        <v>162.28</v>
      </c>
      <c r="N94" s="564">
        <f t="shared" si="8"/>
        <v>0</v>
      </c>
      <c r="O94" s="565">
        <v>7.0000000000000007E-2</v>
      </c>
      <c r="P94" s="566">
        <f t="shared" si="9"/>
        <v>0</v>
      </c>
    </row>
    <row r="95" spans="1:16" ht="30.75" customHeight="1" thickBot="1">
      <c r="A95" s="398"/>
      <c r="B95" s="928"/>
      <c r="C95" s="320" t="s">
        <v>123</v>
      </c>
      <c r="D95" s="531" t="s">
        <v>23</v>
      </c>
      <c r="E95" s="776">
        <v>286</v>
      </c>
      <c r="F95" s="1120"/>
      <c r="G95" s="223" t="s">
        <v>4767</v>
      </c>
      <c r="H95" s="647">
        <v>3136</v>
      </c>
      <c r="I95" s="1110"/>
      <c r="J95" s="654">
        <v>3339.41</v>
      </c>
      <c r="K95" s="1104">
        <v>278.27999999999997</v>
      </c>
      <c r="N95" s="564">
        <f t="shared" si="8"/>
        <v>0</v>
      </c>
      <c r="O95" s="565">
        <v>7.0000000000000007E-2</v>
      </c>
      <c r="P95" s="566">
        <f t="shared" si="9"/>
        <v>0</v>
      </c>
    </row>
    <row r="96" spans="1:16" ht="30.75" customHeight="1">
      <c r="A96" s="398"/>
      <c r="B96" s="928"/>
      <c r="C96" s="320" t="s">
        <v>4760</v>
      </c>
      <c r="D96" s="928" t="s">
        <v>30</v>
      </c>
      <c r="E96" s="776">
        <v>784</v>
      </c>
      <c r="F96" s="1120"/>
      <c r="G96" s="1535" t="s">
        <v>4761</v>
      </c>
      <c r="H96" s="647">
        <v>2886</v>
      </c>
      <c r="I96" s="1099"/>
      <c r="J96" s="654">
        <v>3072.89</v>
      </c>
      <c r="K96" s="1116">
        <v>768.22</v>
      </c>
      <c r="N96" s="564">
        <f t="shared" si="8"/>
        <v>0</v>
      </c>
      <c r="O96" s="565">
        <v>7.0000000000000007E-2</v>
      </c>
      <c r="P96" s="566">
        <f t="shared" si="9"/>
        <v>0</v>
      </c>
    </row>
    <row r="97" spans="1:16" ht="30.75" customHeight="1" thickBot="1">
      <c r="A97" s="2082"/>
      <c r="B97" s="2083"/>
      <c r="C97" s="1105" t="s">
        <v>4762</v>
      </c>
      <c r="D97" s="2083" t="s">
        <v>4763</v>
      </c>
      <c r="E97" s="2084">
        <v>1007</v>
      </c>
      <c r="F97" s="2085"/>
      <c r="G97" s="1726" t="s">
        <v>4758</v>
      </c>
      <c r="H97" s="1107">
        <v>2770</v>
      </c>
      <c r="I97" s="1110"/>
      <c r="J97" s="1108">
        <v>2963.01</v>
      </c>
      <c r="K97" s="2086">
        <v>987.67</v>
      </c>
      <c r="N97" s="564">
        <f t="shared" si="8"/>
        <v>0</v>
      </c>
      <c r="O97" s="565">
        <v>7.0000000000000007E-2</v>
      </c>
      <c r="P97" s="566">
        <f t="shared" si="9"/>
        <v>0</v>
      </c>
    </row>
    <row r="98" spans="1:16" ht="30.75" customHeight="1">
      <c r="A98" s="1019"/>
      <c r="B98" s="106" t="s">
        <v>4768</v>
      </c>
      <c r="C98" s="103" t="s">
        <v>297</v>
      </c>
      <c r="D98" s="1109" t="s">
        <v>23</v>
      </c>
      <c r="E98" s="71">
        <v>264</v>
      </c>
      <c r="F98" s="1118"/>
      <c r="G98" s="216" t="s">
        <v>4769</v>
      </c>
      <c r="H98" s="638">
        <v>2966</v>
      </c>
      <c r="I98" s="1854"/>
      <c r="J98" s="658">
        <v>3074.28</v>
      </c>
      <c r="K98" s="1392">
        <v>256.19</v>
      </c>
    </row>
    <row r="99" spans="1:16" ht="30.75" customHeight="1">
      <c r="A99" s="398"/>
      <c r="B99" s="105"/>
      <c r="C99" s="101" t="s">
        <v>123</v>
      </c>
      <c r="D99" s="132" t="s">
        <v>23</v>
      </c>
      <c r="E99" s="73">
        <v>489</v>
      </c>
      <c r="F99" s="1119"/>
      <c r="G99" s="206" t="s">
        <v>4770</v>
      </c>
      <c r="H99" s="150">
        <v>5358</v>
      </c>
      <c r="I99" s="355"/>
      <c r="J99" s="653">
        <v>5702.67</v>
      </c>
      <c r="K99" s="792">
        <v>475.22</v>
      </c>
      <c r="N99" s="564">
        <f t="shared" si="8"/>
        <v>0</v>
      </c>
      <c r="O99" s="565">
        <v>7.0000000000000007E-2</v>
      </c>
      <c r="P99" s="566">
        <f t="shared" si="9"/>
        <v>0</v>
      </c>
    </row>
    <row r="100" spans="1:16" ht="30.75" customHeight="1">
      <c r="A100" s="398"/>
      <c r="B100" s="928"/>
      <c r="C100" s="101" t="s">
        <v>4760</v>
      </c>
      <c r="D100" s="462" t="s">
        <v>30</v>
      </c>
      <c r="E100" s="60">
        <v>1400</v>
      </c>
      <c r="F100" s="1119"/>
      <c r="G100" s="206" t="s">
        <v>4767</v>
      </c>
      <c r="H100" s="150">
        <v>5160</v>
      </c>
      <c r="I100" s="796"/>
      <c r="J100" s="653">
        <v>5495.25</v>
      </c>
      <c r="K100" s="792">
        <v>1373.81</v>
      </c>
      <c r="M100" s="2177"/>
      <c r="N100" s="564">
        <f t="shared" si="8"/>
        <v>0</v>
      </c>
      <c r="O100" s="565">
        <v>7.0000000000000007E-2</v>
      </c>
      <c r="P100" s="566">
        <f t="shared" si="9"/>
        <v>0</v>
      </c>
    </row>
    <row r="101" spans="1:16" ht="30.75" customHeight="1" thickBot="1">
      <c r="A101" s="2089"/>
      <c r="B101" s="2090"/>
      <c r="C101" s="1906" t="s">
        <v>4762</v>
      </c>
      <c r="D101" s="2091" t="s">
        <v>4763</v>
      </c>
      <c r="E101" s="2092">
        <v>1827</v>
      </c>
      <c r="F101" s="2093"/>
      <c r="G101" s="2094" t="s">
        <v>4770</v>
      </c>
      <c r="H101" s="2095">
        <v>5022</v>
      </c>
      <c r="I101" s="2096"/>
      <c r="J101" s="2097">
        <v>5373.54</v>
      </c>
      <c r="K101" s="2098">
        <v>1791.18</v>
      </c>
      <c r="N101" s="564">
        <f t="shared" si="8"/>
        <v>0</v>
      </c>
      <c r="O101" s="565">
        <v>7.0000000000000007E-2</v>
      </c>
      <c r="P101" s="566">
        <f t="shared" si="9"/>
        <v>0</v>
      </c>
    </row>
    <row r="102" spans="1:16" ht="30.75" customHeight="1" thickTop="1">
      <c r="A102" s="1019"/>
      <c r="B102" s="825" t="s">
        <v>4771</v>
      </c>
      <c r="C102" s="1106" t="s">
        <v>297</v>
      </c>
      <c r="D102" s="2076" t="s">
        <v>23</v>
      </c>
      <c r="E102" s="277">
        <v>119</v>
      </c>
      <c r="F102" s="2087">
        <v>107</v>
      </c>
      <c r="G102" s="982" t="s">
        <v>2707</v>
      </c>
      <c r="H102" s="1660">
        <v>1464</v>
      </c>
      <c r="I102" s="1661" t="s">
        <v>4772</v>
      </c>
      <c r="J102" s="1662">
        <v>1378.56</v>
      </c>
      <c r="K102" s="2088">
        <v>114.88</v>
      </c>
      <c r="L102" s="427"/>
      <c r="N102" s="564">
        <f t="shared" si="8"/>
        <v>0</v>
      </c>
      <c r="O102" s="565">
        <v>7.0000000000000007E-2</v>
      </c>
      <c r="P102" s="566">
        <f t="shared" si="9"/>
        <v>0</v>
      </c>
    </row>
    <row r="103" spans="1:16" ht="30.75" customHeight="1">
      <c r="A103" s="398"/>
      <c r="B103" s="928"/>
      <c r="C103" s="320" t="s">
        <v>123</v>
      </c>
      <c r="D103" s="531" t="s">
        <v>23</v>
      </c>
      <c r="E103" s="776">
        <v>234</v>
      </c>
      <c r="F103" s="1121"/>
      <c r="G103" s="223" t="s">
        <v>4773</v>
      </c>
      <c r="H103" s="647">
        <v>2562</v>
      </c>
      <c r="I103" s="1099" t="s">
        <v>4774</v>
      </c>
      <c r="J103" s="654">
        <v>2727.91</v>
      </c>
      <c r="K103" s="1116">
        <v>227.33</v>
      </c>
      <c r="N103" s="564">
        <f t="shared" si="8"/>
        <v>0</v>
      </c>
      <c r="O103" s="565">
        <v>7.0000000000000007E-2</v>
      </c>
      <c r="P103" s="566">
        <f t="shared" si="9"/>
        <v>0</v>
      </c>
    </row>
    <row r="104" spans="1:16" ht="30.75" customHeight="1">
      <c r="A104" s="398"/>
      <c r="B104" s="928"/>
      <c r="C104" s="101" t="s">
        <v>4760</v>
      </c>
      <c r="D104" s="462" t="s">
        <v>30</v>
      </c>
      <c r="E104" s="60">
        <v>652</v>
      </c>
      <c r="F104" s="1119"/>
      <c r="G104" s="206" t="s">
        <v>4758</v>
      </c>
      <c r="H104" s="150">
        <v>2400</v>
      </c>
      <c r="I104" s="355"/>
      <c r="J104" s="654">
        <v>2555.42</v>
      </c>
      <c r="K104" s="792">
        <v>638.85</v>
      </c>
      <c r="N104" s="564">
        <f t="shared" si="8"/>
        <v>0</v>
      </c>
      <c r="O104" s="565">
        <v>7.0000000000000007E-2</v>
      </c>
      <c r="P104" s="566">
        <f t="shared" si="9"/>
        <v>0</v>
      </c>
    </row>
    <row r="105" spans="1:16" ht="30.75" customHeight="1" thickBot="1">
      <c r="A105" s="1953"/>
      <c r="B105" s="2090"/>
      <c r="C105" s="1906" t="s">
        <v>4762</v>
      </c>
      <c r="D105" s="2090" t="s">
        <v>4763</v>
      </c>
      <c r="E105" s="2102">
        <v>825</v>
      </c>
      <c r="F105" s="2102"/>
      <c r="G105" s="2188" t="s">
        <v>4758</v>
      </c>
      <c r="H105" s="2095">
        <v>2316</v>
      </c>
      <c r="I105" s="2096"/>
      <c r="J105" s="2189">
        <v>2425.58</v>
      </c>
      <c r="K105" s="2098">
        <v>808.53</v>
      </c>
      <c r="N105" s="564">
        <f t="shared" si="8"/>
        <v>0</v>
      </c>
      <c r="O105" s="565">
        <v>7.0000000000000007E-2</v>
      </c>
      <c r="P105" s="566">
        <f t="shared" si="9"/>
        <v>0</v>
      </c>
    </row>
    <row r="106" spans="1:16" ht="30.75" customHeight="1" thickTop="1">
      <c r="A106" s="443"/>
      <c r="B106" s="106" t="s">
        <v>4775</v>
      </c>
      <c r="C106" s="1106" t="s">
        <v>297</v>
      </c>
      <c r="D106" s="1109" t="s">
        <v>23</v>
      </c>
      <c r="E106" s="71">
        <v>119</v>
      </c>
      <c r="F106" s="1118"/>
      <c r="G106" s="216" t="s">
        <v>2707</v>
      </c>
      <c r="H106" s="638">
        <v>1896</v>
      </c>
      <c r="I106" s="358"/>
      <c r="J106" s="658">
        <v>1661.52</v>
      </c>
      <c r="K106" s="1392">
        <v>138.46</v>
      </c>
      <c r="N106" s="564">
        <f t="shared" si="8"/>
        <v>0</v>
      </c>
      <c r="O106" s="565">
        <v>7.0000000000000007E-2</v>
      </c>
      <c r="P106" s="566">
        <f t="shared" si="9"/>
        <v>0</v>
      </c>
    </row>
    <row r="107" spans="1:16" ht="30.75" customHeight="1">
      <c r="A107" s="438"/>
      <c r="B107" s="105"/>
      <c r="C107" s="101" t="s">
        <v>123</v>
      </c>
      <c r="D107" s="462" t="s">
        <v>23</v>
      </c>
      <c r="E107" s="60">
        <v>317</v>
      </c>
      <c r="F107" s="61"/>
      <c r="G107" s="215" t="s">
        <v>4761</v>
      </c>
      <c r="H107" s="150">
        <v>3582</v>
      </c>
      <c r="I107" s="359"/>
      <c r="J107" s="653">
        <v>3703.95</v>
      </c>
      <c r="K107" s="792">
        <v>308.67</v>
      </c>
      <c r="N107" s="564">
        <f t="shared" si="8"/>
        <v>0</v>
      </c>
      <c r="O107" s="565">
        <v>7.0000000000000007E-2</v>
      </c>
      <c r="P107" s="566">
        <f t="shared" si="9"/>
        <v>0</v>
      </c>
    </row>
    <row r="108" spans="1:16" ht="30.75" customHeight="1">
      <c r="A108" s="398"/>
      <c r="B108" s="105"/>
      <c r="C108" s="101" t="s">
        <v>4760</v>
      </c>
      <c r="D108" s="462" t="s">
        <v>30</v>
      </c>
      <c r="E108" s="60">
        <v>907</v>
      </c>
      <c r="F108" s="61"/>
      <c r="G108" s="206" t="s">
        <v>4776</v>
      </c>
      <c r="H108" s="150">
        <v>3580</v>
      </c>
      <c r="I108" s="796"/>
      <c r="J108" s="653">
        <v>3559.01</v>
      </c>
      <c r="K108" s="792">
        <v>889.75</v>
      </c>
      <c r="N108" s="564">
        <f t="shared" si="8"/>
        <v>0</v>
      </c>
      <c r="O108" s="565">
        <v>7.0000000000000007E-2</v>
      </c>
      <c r="P108" s="566">
        <f t="shared" si="9"/>
        <v>0</v>
      </c>
    </row>
    <row r="109" spans="1:16" ht="30.75" customHeight="1" thickBot="1">
      <c r="A109" s="2109"/>
      <c r="B109" s="2110"/>
      <c r="C109" s="2111" t="s">
        <v>4762</v>
      </c>
      <c r="D109" s="2112" t="s">
        <v>4763</v>
      </c>
      <c r="E109" s="2113">
        <v>1155</v>
      </c>
      <c r="F109" s="2114"/>
      <c r="G109" s="2115" t="s">
        <v>4761</v>
      </c>
      <c r="H109" s="2116">
        <v>3254</v>
      </c>
      <c r="I109" s="2117"/>
      <c r="J109" s="2118">
        <v>3398.21</v>
      </c>
      <c r="K109" s="2119">
        <v>1132.74</v>
      </c>
      <c r="N109" s="564">
        <f t="shared" si="8"/>
        <v>0</v>
      </c>
      <c r="O109" s="565">
        <v>7.0000000000000007E-2</v>
      </c>
      <c r="P109" s="566">
        <f t="shared" si="9"/>
        <v>0</v>
      </c>
    </row>
    <row r="110" spans="1:16" ht="30.75" customHeight="1" thickTop="1">
      <c r="A110" s="2190"/>
      <c r="B110" s="2191" t="s">
        <v>4777</v>
      </c>
      <c r="C110" s="2250" t="s">
        <v>4778</v>
      </c>
      <c r="D110" s="2192" t="s">
        <v>4779</v>
      </c>
      <c r="E110" s="2193">
        <v>58</v>
      </c>
      <c r="F110" s="2194" t="s">
        <v>4780</v>
      </c>
      <c r="G110" s="2195" t="s">
        <v>4781</v>
      </c>
      <c r="H110" s="1054">
        <v>526</v>
      </c>
      <c r="I110" s="2196"/>
      <c r="J110" s="1056">
        <v>492.97</v>
      </c>
      <c r="K110" s="2249" t="s">
        <v>4782</v>
      </c>
      <c r="N110" s="564">
        <f t="shared" si="8"/>
        <v>0</v>
      </c>
      <c r="O110" s="565">
        <v>7.0000000000000007E-2</v>
      </c>
      <c r="P110" s="566">
        <f t="shared" si="9"/>
        <v>0</v>
      </c>
    </row>
    <row r="111" spans="1:16" ht="30.75" customHeight="1">
      <c r="A111" s="222"/>
      <c r="B111" s="105"/>
      <c r="C111" s="101"/>
      <c r="D111" s="105"/>
      <c r="E111" s="73"/>
      <c r="F111" s="73"/>
      <c r="G111" s="217"/>
      <c r="H111" s="150"/>
      <c r="I111" s="796"/>
      <c r="J111" s="653"/>
      <c r="K111" s="792"/>
      <c r="N111" s="564">
        <f t="shared" si="8"/>
        <v>0</v>
      </c>
      <c r="O111" s="565">
        <v>7.0000000000000007E-2</v>
      </c>
      <c r="P111" s="566">
        <f t="shared" si="9"/>
        <v>0</v>
      </c>
    </row>
    <row r="112" spans="1:16" ht="30.75" customHeight="1">
      <c r="A112" s="224"/>
      <c r="B112" s="224"/>
      <c r="C112" s="224"/>
      <c r="D112" s="925"/>
      <c r="E112" s="222"/>
      <c r="F112" s="222"/>
      <c r="G112" s="1535"/>
      <c r="H112" s="647"/>
      <c r="I112" s="925"/>
      <c r="J112" s="926"/>
      <c r="K112" s="1116"/>
      <c r="N112" s="564">
        <f t="shared" si="8"/>
        <v>0</v>
      </c>
      <c r="O112" s="565">
        <v>7.0000000000000007E-2</v>
      </c>
      <c r="P112" s="566">
        <f t="shared" si="9"/>
        <v>0</v>
      </c>
    </row>
    <row r="113" spans="1:16" ht="30.75" customHeight="1">
      <c r="A113" s="398"/>
      <c r="B113" s="1336"/>
      <c r="C113" s="1473"/>
      <c r="D113" s="924"/>
      <c r="E113" s="929"/>
      <c r="F113" s="777"/>
      <c r="G113" s="223"/>
      <c r="H113" s="647"/>
      <c r="I113" s="925"/>
      <c r="J113" s="926"/>
      <c r="K113" s="378"/>
      <c r="N113" s="564">
        <f t="shared" si="8"/>
        <v>0</v>
      </c>
      <c r="O113" s="565">
        <v>7.0000000000000007E-2</v>
      </c>
      <c r="P113" s="566">
        <f t="shared" si="9"/>
        <v>0</v>
      </c>
    </row>
    <row r="114" spans="1:16" ht="30.75" customHeight="1">
      <c r="A114" s="398"/>
      <c r="B114" s="1470"/>
      <c r="C114" s="1444"/>
      <c r="D114" s="1103"/>
      <c r="E114" s="142"/>
      <c r="F114" s="61"/>
      <c r="G114" s="223"/>
      <c r="H114" s="647"/>
      <c r="I114" s="1099"/>
      <c r="J114" s="654"/>
      <c r="K114" s="1104"/>
    </row>
    <row r="115" spans="1:16" ht="30.75" customHeight="1">
      <c r="A115" s="398"/>
      <c r="B115" s="788"/>
      <c r="C115" s="320"/>
      <c r="D115" s="1103"/>
      <c r="E115" s="120"/>
      <c r="F115" s="1863"/>
      <c r="G115" s="223"/>
      <c r="H115" s="647"/>
      <c r="I115" s="1099"/>
      <c r="J115" s="654"/>
      <c r="K115" s="1104"/>
    </row>
    <row r="116" spans="1:16" ht="30.75" customHeight="1">
      <c r="A116" s="398"/>
      <c r="B116" s="788"/>
      <c r="C116" s="320"/>
      <c r="D116" s="1103"/>
      <c r="E116" s="120"/>
      <c r="F116" s="1863"/>
      <c r="G116" s="223"/>
      <c r="H116" s="647"/>
      <c r="I116" s="1099"/>
      <c r="J116" s="654"/>
      <c r="K116" s="1104"/>
    </row>
    <row r="117" spans="1:16" ht="30.75" customHeight="1">
      <c r="A117" s="398"/>
      <c r="B117" s="788"/>
      <c r="C117" s="320"/>
      <c r="D117" s="1103"/>
      <c r="E117" s="120"/>
      <c r="F117" s="121"/>
      <c r="G117" s="223"/>
      <c r="H117" s="648"/>
      <c r="I117" s="794"/>
      <c r="J117" s="659"/>
      <c r="K117" s="1606"/>
    </row>
    <row r="118" spans="1:16" ht="30.75" customHeight="1">
      <c r="A118" s="398"/>
      <c r="B118" s="406"/>
      <c r="C118" s="224"/>
      <c r="D118" s="924"/>
      <c r="E118" s="929"/>
      <c r="F118" s="777"/>
      <c r="G118" s="223"/>
      <c r="H118" s="647"/>
      <c r="I118" s="925"/>
      <c r="J118" s="926"/>
      <c r="K118" s="378"/>
    </row>
    <row r="119" spans="1:16" ht="30.75" customHeight="1">
      <c r="A119" s="398"/>
      <c r="B119" s="1336"/>
      <c r="C119" s="1681"/>
      <c r="D119" s="924"/>
      <c r="E119" s="929"/>
      <c r="F119" s="777"/>
      <c r="G119" s="223"/>
      <c r="H119" s="647"/>
      <c r="I119" s="2108"/>
      <c r="J119" s="926"/>
      <c r="K119" s="378"/>
    </row>
    <row r="120" spans="1:16" ht="30.75" customHeight="1">
      <c r="A120" s="398"/>
      <c r="B120" s="1336"/>
      <c r="C120" s="1473"/>
      <c r="D120" s="924"/>
      <c r="E120" s="929"/>
      <c r="F120" s="777"/>
      <c r="G120" s="223"/>
      <c r="H120" s="647"/>
      <c r="I120" s="925"/>
      <c r="J120" s="926"/>
      <c r="K120" s="378"/>
    </row>
    <row r="121" spans="1:16" ht="30.75" customHeight="1">
      <c r="A121" s="279"/>
      <c r="B121" s="109"/>
      <c r="C121" s="104"/>
      <c r="D121" s="109"/>
      <c r="E121" s="273"/>
      <c r="F121" s="274"/>
      <c r="G121" s="218"/>
      <c r="H121" s="642"/>
      <c r="I121" s="475"/>
      <c r="J121" s="423"/>
    </row>
    <row r="122" spans="1:16" ht="30.75" customHeight="1">
      <c r="A122" s="279" t="s">
        <v>2586</v>
      </c>
      <c r="B122" s="127"/>
      <c r="C122" s="991"/>
      <c r="D122" s="991"/>
      <c r="E122" s="991"/>
      <c r="F122" s="990"/>
    </row>
    <row r="123" spans="1:16" ht="30.75" customHeight="1" thickBot="1">
      <c r="F123" s="68"/>
    </row>
    <row r="124" spans="1:16" ht="30.75" customHeight="1">
      <c r="A124" s="3493" t="s">
        <v>2</v>
      </c>
      <c r="B124" s="3482"/>
      <c r="C124" s="48" t="s">
        <v>3</v>
      </c>
      <c r="D124" s="128" t="s">
        <v>4</v>
      </c>
      <c r="E124" s="77" t="s">
        <v>5</v>
      </c>
      <c r="F124" s="78" t="s">
        <v>5</v>
      </c>
      <c r="G124" s="211" t="s">
        <v>6</v>
      </c>
      <c r="H124" s="636" t="s">
        <v>7</v>
      </c>
      <c r="I124" s="470" t="s">
        <v>1511</v>
      </c>
      <c r="J124" s="651" t="s">
        <v>9</v>
      </c>
      <c r="K124" s="367" t="s">
        <v>9</v>
      </c>
      <c r="M124" s="190"/>
      <c r="N124" s="568"/>
      <c r="O124" s="569"/>
    </row>
    <row r="125" spans="1:16" ht="30.75" customHeight="1" thickBot="1">
      <c r="A125" s="1013"/>
      <c r="B125" s="138"/>
      <c r="C125" s="50"/>
      <c r="D125" s="129" t="s">
        <v>10</v>
      </c>
      <c r="E125" s="79" t="s">
        <v>12</v>
      </c>
      <c r="F125" s="80" t="s">
        <v>11</v>
      </c>
      <c r="G125" s="212"/>
      <c r="H125" s="637" t="s">
        <v>13</v>
      </c>
      <c r="I125" s="471" t="s">
        <v>1512</v>
      </c>
      <c r="J125" s="652" t="s">
        <v>14</v>
      </c>
      <c r="K125" s="368" t="s">
        <v>15</v>
      </c>
      <c r="M125" s="190"/>
      <c r="N125" s="568"/>
    </row>
    <row r="126" spans="1:16" ht="30.75" customHeight="1">
      <c r="A126" s="1020"/>
      <c r="B126" s="3448" t="s">
        <v>4783</v>
      </c>
      <c r="C126" s="1444"/>
      <c r="D126" s="3447"/>
      <c r="E126" s="142"/>
      <c r="F126" s="61"/>
      <c r="G126" s="206"/>
      <c r="H126" s="150"/>
      <c r="I126" s="355"/>
      <c r="J126" s="653"/>
      <c r="K126" s="365"/>
      <c r="L126" s="454"/>
      <c r="M126" s="188">
        <v>2336.88</v>
      </c>
      <c r="O126" s="565">
        <v>7.0000000000000007E-2</v>
      </c>
      <c r="P126" s="566">
        <f t="shared" ref="P126:P134" si="10">(M126*O126)+M126</f>
        <v>2500.4616000000001</v>
      </c>
    </row>
    <row r="127" spans="1:16" ht="30.75" customHeight="1">
      <c r="A127" s="221"/>
      <c r="B127" s="1855" t="s">
        <v>4784</v>
      </c>
      <c r="C127" s="1969" t="s">
        <v>4763</v>
      </c>
      <c r="D127" s="1970" t="s">
        <v>4785</v>
      </c>
      <c r="E127" s="1971">
        <v>149</v>
      </c>
      <c r="F127" s="3746"/>
      <c r="G127" s="1324" t="s">
        <v>4786</v>
      </c>
      <c r="H127" s="1856"/>
      <c r="I127" s="1857"/>
      <c r="J127" s="1858">
        <v>705</v>
      </c>
      <c r="K127" s="1859">
        <v>117.5</v>
      </c>
      <c r="L127" s="454"/>
      <c r="O127" s="565">
        <v>7.0000000000000007E-2</v>
      </c>
      <c r="P127" s="566">
        <f t="shared" si="10"/>
        <v>0</v>
      </c>
    </row>
    <row r="128" spans="1:16" ht="30.75" customHeight="1">
      <c r="A128" s="221"/>
      <c r="B128" s="1855" t="s">
        <v>4787</v>
      </c>
      <c r="C128" s="1969" t="s">
        <v>617</v>
      </c>
      <c r="D128" s="1970" t="s">
        <v>4788</v>
      </c>
      <c r="E128" s="1971">
        <v>152</v>
      </c>
      <c r="F128" s="3746"/>
      <c r="G128" s="907" t="s">
        <v>4789</v>
      </c>
      <c r="H128" s="1856">
        <v>2130</v>
      </c>
      <c r="I128" s="1857" t="s">
        <v>4790</v>
      </c>
      <c r="J128" s="1858">
        <v>2210.73</v>
      </c>
      <c r="K128" s="1859">
        <v>147.38</v>
      </c>
      <c r="L128" s="454"/>
      <c r="O128" s="565">
        <v>7.0000000000000007E-2</v>
      </c>
      <c r="P128" s="566">
        <f t="shared" si="10"/>
        <v>0</v>
      </c>
    </row>
    <row r="129" spans="1:16" ht="30.75" customHeight="1" thickBot="1">
      <c r="A129" s="1398"/>
      <c r="B129" s="1855" t="s">
        <v>4787</v>
      </c>
      <c r="C129" s="1969" t="s">
        <v>4791</v>
      </c>
      <c r="D129" s="1970" t="s">
        <v>30</v>
      </c>
      <c r="E129" s="1971">
        <v>1420</v>
      </c>
      <c r="F129" s="3746"/>
      <c r="G129" s="907" t="s">
        <v>4789</v>
      </c>
      <c r="H129" s="1856">
        <v>5252</v>
      </c>
      <c r="I129" s="1857" t="s">
        <v>4792</v>
      </c>
      <c r="J129" s="1858">
        <v>2210.73</v>
      </c>
      <c r="K129" s="1859">
        <v>1390.86</v>
      </c>
      <c r="L129" s="454"/>
      <c r="O129" s="565">
        <v>7.0000000000000007E-2</v>
      </c>
      <c r="P129" s="566">
        <f t="shared" si="10"/>
        <v>0</v>
      </c>
    </row>
    <row r="130" spans="1:16" ht="30.75" customHeight="1">
      <c r="A130" s="1397"/>
      <c r="B130" s="1968" t="s">
        <v>4793</v>
      </c>
      <c r="C130" s="1969" t="s">
        <v>276</v>
      </c>
      <c r="D130" s="1970" t="s">
        <v>18</v>
      </c>
      <c r="E130" s="1971">
        <v>399</v>
      </c>
      <c r="F130" s="3746"/>
      <c r="G130" s="907" t="s">
        <v>4789</v>
      </c>
      <c r="H130" s="1856">
        <v>8352</v>
      </c>
      <c r="I130" s="1857"/>
      <c r="J130" s="1858">
        <v>9204.3700000000008</v>
      </c>
      <c r="K130" s="1859">
        <v>391</v>
      </c>
      <c r="L130" s="454">
        <v>97.26</v>
      </c>
      <c r="M130" s="188">
        <v>2181.6</v>
      </c>
      <c r="O130" s="565">
        <v>7.0000000000000007E-2</v>
      </c>
      <c r="P130" s="566">
        <f t="shared" si="10"/>
        <v>2334.3119999999999</v>
      </c>
    </row>
    <row r="131" spans="1:16" ht="30.75" customHeight="1">
      <c r="A131" s="221"/>
      <c r="B131" s="1968" t="s">
        <v>4793</v>
      </c>
      <c r="C131" s="1969" t="s">
        <v>4794</v>
      </c>
      <c r="D131" s="1970" t="s">
        <v>23</v>
      </c>
      <c r="E131" s="1971">
        <v>819</v>
      </c>
      <c r="F131" s="1860"/>
      <c r="G131" s="907" t="s">
        <v>4795</v>
      </c>
      <c r="H131" s="1856">
        <v>9300</v>
      </c>
      <c r="I131" s="1861" t="s">
        <v>4796</v>
      </c>
      <c r="J131" s="1858">
        <v>9453.4500000000007</v>
      </c>
      <c r="K131" s="1859">
        <v>787.79</v>
      </c>
      <c r="L131" s="454"/>
      <c r="O131" s="565">
        <v>7.0000000000000007E-2</v>
      </c>
      <c r="P131" s="566">
        <f t="shared" si="10"/>
        <v>0</v>
      </c>
    </row>
    <row r="132" spans="1:16" ht="30.75" customHeight="1">
      <c r="A132" s="221"/>
      <c r="B132" s="1855" t="s">
        <v>4797</v>
      </c>
      <c r="C132" s="1969" t="s">
        <v>276</v>
      </c>
      <c r="D132" s="1970" t="s">
        <v>4798</v>
      </c>
      <c r="E132" s="1971">
        <v>405</v>
      </c>
      <c r="F132" s="3746"/>
      <c r="G132" s="907" t="s">
        <v>4799</v>
      </c>
      <c r="H132" s="1856">
        <v>4518</v>
      </c>
      <c r="I132" s="1857" t="s">
        <v>4800</v>
      </c>
      <c r="J132" s="1858">
        <v>4687.79</v>
      </c>
      <c r="K132" s="1859" t="s">
        <v>4801</v>
      </c>
      <c r="L132" s="454"/>
      <c r="O132" s="565">
        <v>7.0000000000000007E-2</v>
      </c>
      <c r="P132" s="566">
        <f t="shared" si="10"/>
        <v>0</v>
      </c>
    </row>
    <row r="133" spans="1:16" ht="30.75" customHeight="1">
      <c r="A133" s="221"/>
      <c r="B133" s="1968" t="s">
        <v>4802</v>
      </c>
      <c r="C133" s="1969" t="s">
        <v>4794</v>
      </c>
      <c r="D133" s="1970" t="s">
        <v>4798</v>
      </c>
      <c r="E133" s="1972" t="s">
        <v>4803</v>
      </c>
      <c r="F133" s="1860" t="s">
        <v>4804</v>
      </c>
      <c r="G133" s="1324" t="s">
        <v>4805</v>
      </c>
      <c r="H133" s="1856">
        <v>8850</v>
      </c>
      <c r="I133" s="1861"/>
      <c r="J133" s="1858">
        <v>9185.42</v>
      </c>
      <c r="K133" s="1859">
        <v>1530.9</v>
      </c>
      <c r="L133" s="724"/>
      <c r="M133" s="188">
        <v>7588</v>
      </c>
      <c r="O133" s="565">
        <v>7.0000000000000007E-2</v>
      </c>
      <c r="P133" s="566">
        <f t="shared" si="10"/>
        <v>8119.16</v>
      </c>
    </row>
    <row r="134" spans="1:16" ht="30.75" customHeight="1">
      <c r="A134" s="221"/>
      <c r="B134" s="1968" t="s">
        <v>4806</v>
      </c>
      <c r="C134" s="1969" t="s">
        <v>4794</v>
      </c>
      <c r="D134" s="1970" t="s">
        <v>4798</v>
      </c>
      <c r="E134" s="1972" t="s">
        <v>4807</v>
      </c>
      <c r="F134" s="1860" t="s">
        <v>4808</v>
      </c>
      <c r="G134" s="1324" t="s">
        <v>4809</v>
      </c>
      <c r="H134" s="1856">
        <v>8850</v>
      </c>
      <c r="I134" s="1861"/>
      <c r="J134" s="1858">
        <v>8522.58</v>
      </c>
      <c r="K134" s="1859">
        <v>1420.43</v>
      </c>
      <c r="L134" s="724"/>
      <c r="M134" s="188">
        <v>9964.32</v>
      </c>
      <c r="O134" s="565">
        <v>7.0000000000000007E-2</v>
      </c>
      <c r="P134" s="566">
        <f t="shared" si="10"/>
        <v>10661.822399999999</v>
      </c>
    </row>
    <row r="135" spans="1:16" ht="30.75" customHeight="1">
      <c r="A135" s="900"/>
      <c r="B135" s="1968" t="s">
        <v>4810</v>
      </c>
      <c r="C135" s="1969" t="s">
        <v>276</v>
      </c>
      <c r="D135" s="2251" t="s">
        <v>124</v>
      </c>
      <c r="E135" s="1972">
        <v>360</v>
      </c>
      <c r="F135" s="1860"/>
      <c r="G135" s="1324" t="s">
        <v>4809</v>
      </c>
      <c r="H135" s="1856">
        <v>8616</v>
      </c>
      <c r="I135" s="1861"/>
      <c r="J135" s="1858">
        <v>8297.2800000000007</v>
      </c>
      <c r="K135" s="1859">
        <v>345.72</v>
      </c>
      <c r="L135" s="454"/>
    </row>
    <row r="136" spans="1:16" ht="30.75" customHeight="1">
      <c r="A136" s="221"/>
      <c r="B136" s="1968" t="s">
        <v>4810</v>
      </c>
      <c r="C136" s="1969" t="s">
        <v>4794</v>
      </c>
      <c r="D136" s="2251" t="s">
        <v>4811</v>
      </c>
      <c r="E136" s="1972">
        <v>740</v>
      </c>
      <c r="F136" s="1860"/>
      <c r="G136" s="1324" t="s">
        <v>4809</v>
      </c>
      <c r="H136" s="1856">
        <v>8856</v>
      </c>
      <c r="I136" s="1861"/>
      <c r="J136" s="1858">
        <v>8528.4</v>
      </c>
      <c r="K136" s="1859">
        <v>710.7</v>
      </c>
      <c r="L136" s="454"/>
      <c r="M136" s="188">
        <v>1789.4</v>
      </c>
      <c r="O136" s="565">
        <v>7.0000000000000007E-2</v>
      </c>
      <c r="P136" s="566">
        <f>(M136*O136)+M136</f>
        <v>1914.6580000000001</v>
      </c>
    </row>
    <row r="137" spans="1:16" ht="30.75" customHeight="1">
      <c r="A137" s="221"/>
      <c r="B137" s="2199" t="s">
        <v>4812</v>
      </c>
      <c r="C137" s="2200" t="s">
        <v>4794</v>
      </c>
      <c r="D137" s="2201" t="s">
        <v>23</v>
      </c>
      <c r="E137" s="912">
        <v>975</v>
      </c>
      <c r="F137" s="916"/>
      <c r="G137" s="923" t="s">
        <v>4813</v>
      </c>
      <c r="H137" s="918">
        <v>912</v>
      </c>
      <c r="I137" s="2202"/>
      <c r="J137" s="2203">
        <v>10890</v>
      </c>
      <c r="K137" s="2204">
        <v>946.56</v>
      </c>
      <c r="L137" s="454"/>
    </row>
    <row r="138" spans="1:16" ht="30.75" customHeight="1">
      <c r="A138" s="221"/>
      <c r="B138" s="2257"/>
      <c r="C138" s="2258"/>
      <c r="D138" s="2259"/>
      <c r="E138" s="2260"/>
      <c r="F138" s="2261"/>
      <c r="G138" s="2262"/>
      <c r="H138" s="2263"/>
      <c r="I138" s="2264"/>
      <c r="J138" s="2265"/>
      <c r="K138" s="2266"/>
      <c r="L138" s="454"/>
      <c r="M138" s="188">
        <v>3666.08</v>
      </c>
      <c r="O138" s="565">
        <v>7.0000000000000007E-2</v>
      </c>
      <c r="P138" s="566">
        <f>(M138*O138)+M138</f>
        <v>3922.7055999999998</v>
      </c>
    </row>
    <row r="139" spans="1:16" ht="30.75" customHeight="1">
      <c r="A139" s="900"/>
      <c r="B139" s="2257"/>
      <c r="C139" s="2258"/>
      <c r="D139" s="2267"/>
      <c r="E139" s="2260"/>
      <c r="F139" s="2261"/>
      <c r="G139" s="2262"/>
      <c r="H139" s="2263"/>
      <c r="I139" s="2264"/>
      <c r="J139" s="2265"/>
      <c r="K139" s="2266"/>
      <c r="L139" s="454"/>
      <c r="M139" s="188">
        <v>5260.83</v>
      </c>
      <c r="O139" s="565">
        <v>7.0000000000000007E-2</v>
      </c>
      <c r="P139" s="566">
        <f>(M139*O139)+M139</f>
        <v>5629.0880999999999</v>
      </c>
    </row>
    <row r="140" spans="1:16" ht="30.75" customHeight="1">
      <c r="A140" s="221"/>
      <c r="B140" s="2257"/>
      <c r="C140" s="2258"/>
      <c r="D140" s="2267"/>
      <c r="E140" s="2260"/>
      <c r="F140" s="2261"/>
      <c r="G140" s="2262"/>
      <c r="H140" s="2263"/>
      <c r="I140" s="2264"/>
      <c r="J140" s="2265"/>
      <c r="K140" s="2266"/>
      <c r="L140" s="454">
        <v>473.81</v>
      </c>
    </row>
    <row r="141" spans="1:16" ht="30.75" customHeight="1">
      <c r="A141" s="221"/>
      <c r="B141" s="2268"/>
      <c r="C141" s="2258"/>
      <c r="D141" s="2259"/>
      <c r="E141" s="2269"/>
      <c r="F141" s="2270"/>
      <c r="G141" s="2262"/>
      <c r="H141" s="2271"/>
      <c r="I141" s="2272"/>
      <c r="J141" s="2273"/>
      <c r="K141" s="2274"/>
      <c r="L141" s="454"/>
    </row>
    <row r="142" spans="1:16" ht="30.75" customHeight="1">
      <c r="A142" s="900"/>
      <c r="B142" s="2187" t="s">
        <v>4814</v>
      </c>
      <c r="C142" s="222" t="s">
        <v>22</v>
      </c>
      <c r="D142" s="1649" t="s">
        <v>23</v>
      </c>
      <c r="E142" s="795">
        <v>619</v>
      </c>
      <c r="F142" s="1863"/>
      <c r="G142" s="2105" t="s">
        <v>4815</v>
      </c>
      <c r="H142" s="648">
        <v>7008</v>
      </c>
      <c r="I142" s="472"/>
      <c r="J142" s="659">
        <v>7198.68</v>
      </c>
      <c r="K142" s="646">
        <v>599.89</v>
      </c>
      <c r="L142" s="454"/>
      <c r="M142" s="188">
        <v>5260.83</v>
      </c>
      <c r="O142" s="565">
        <v>7.0000000000000007E-2</v>
      </c>
      <c r="P142" s="566">
        <f>(M142*O142)+M142</f>
        <v>5629.0880999999999</v>
      </c>
    </row>
    <row r="143" spans="1:16" ht="30.75" customHeight="1" thickBot="1">
      <c r="A143" s="1398"/>
      <c r="B143" s="2187" t="s">
        <v>4816</v>
      </c>
      <c r="C143" s="222" t="s">
        <v>4754</v>
      </c>
      <c r="D143" s="1649" t="s">
        <v>23</v>
      </c>
      <c r="E143" s="958">
        <v>542</v>
      </c>
      <c r="F143" s="1862"/>
      <c r="G143" s="982" t="s">
        <v>1302</v>
      </c>
      <c r="H143" s="1660">
        <v>6204</v>
      </c>
      <c r="I143" s="472"/>
      <c r="J143" s="1662">
        <v>6306.36</v>
      </c>
      <c r="K143" s="983">
        <v>525.53</v>
      </c>
      <c r="L143" s="454"/>
    </row>
    <row r="144" spans="1:16" ht="30.75" customHeight="1">
      <c r="A144" s="1401"/>
      <c r="B144" s="2106" t="s">
        <v>4817</v>
      </c>
      <c r="C144" s="222" t="s">
        <v>4818</v>
      </c>
      <c r="D144" s="1649" t="s">
        <v>23</v>
      </c>
      <c r="E144" s="795">
        <v>374</v>
      </c>
      <c r="F144" s="1863"/>
      <c r="G144" s="2105" t="s">
        <v>1302</v>
      </c>
      <c r="H144" s="648">
        <v>4284</v>
      </c>
      <c r="I144" s="472" t="s">
        <v>4819</v>
      </c>
      <c r="J144" s="2107">
        <v>4354.68</v>
      </c>
      <c r="K144" s="1947">
        <v>362.89</v>
      </c>
      <c r="L144" s="454"/>
    </row>
    <row r="145" spans="1:16" ht="30.75" customHeight="1">
      <c r="A145" s="900"/>
      <c r="B145" s="460" t="s">
        <v>4820</v>
      </c>
      <c r="C145" s="63" t="s">
        <v>451</v>
      </c>
      <c r="D145" s="133" t="s">
        <v>23</v>
      </c>
      <c r="E145" s="145"/>
      <c r="F145" s="1404"/>
      <c r="G145" s="206"/>
      <c r="H145" s="150"/>
      <c r="I145" s="355"/>
      <c r="J145" s="653"/>
      <c r="K145" s="365"/>
      <c r="L145" s="454"/>
      <c r="M145" s="188">
        <v>2754.66</v>
      </c>
      <c r="O145" s="565">
        <v>7.0000000000000007E-2</v>
      </c>
      <c r="P145" s="566">
        <f>(M145*O145)+M145</f>
        <v>2947.4861999999998</v>
      </c>
    </row>
    <row r="146" spans="1:16" ht="30.75" customHeight="1">
      <c r="A146" s="221"/>
      <c r="B146" s="2106" t="s">
        <v>4821</v>
      </c>
      <c r="C146" s="222" t="s">
        <v>4822</v>
      </c>
      <c r="D146" s="1649" t="s">
        <v>23</v>
      </c>
      <c r="E146" s="981">
        <v>774</v>
      </c>
      <c r="F146" s="1863">
        <v>796</v>
      </c>
      <c r="G146" s="2197" t="s">
        <v>4823</v>
      </c>
      <c r="H146" s="2198">
        <v>9120</v>
      </c>
      <c r="I146" s="1099"/>
      <c r="J146" s="646">
        <v>8976</v>
      </c>
      <c r="K146" s="646">
        <v>748</v>
      </c>
      <c r="L146" s="454"/>
      <c r="M146" s="188">
        <v>2496</v>
      </c>
      <c r="O146" s="565">
        <v>7.0000000000000007E-2</v>
      </c>
      <c r="P146" s="566">
        <f>(M146*O146)+M146</f>
        <v>2670.7200000000003</v>
      </c>
    </row>
    <row r="147" spans="1:16" ht="30.75" customHeight="1">
      <c r="A147" s="900"/>
      <c r="B147" s="2106" t="s">
        <v>4821</v>
      </c>
      <c r="C147" s="222" t="s">
        <v>4708</v>
      </c>
      <c r="D147" s="1649" t="s">
        <v>40</v>
      </c>
      <c r="E147" s="777">
        <v>1029</v>
      </c>
      <c r="F147" s="1476"/>
      <c r="G147" s="223" t="s">
        <v>4824</v>
      </c>
      <c r="H147" s="647"/>
      <c r="I147" s="1099"/>
      <c r="J147" s="654">
        <v>5996.79</v>
      </c>
      <c r="K147" s="378">
        <v>999.46</v>
      </c>
      <c r="L147" s="454">
        <v>122.81</v>
      </c>
      <c r="O147" s="565">
        <v>7.0000000000000007E-2</v>
      </c>
      <c r="P147" s="566">
        <f>(M147*O147)+M147</f>
        <v>0</v>
      </c>
    </row>
    <row r="148" spans="1:16" ht="30.75" customHeight="1">
      <c r="A148" s="221"/>
      <c r="B148" s="1656" t="s">
        <v>4825</v>
      </c>
      <c r="C148" s="63" t="s">
        <v>276</v>
      </c>
      <c r="D148" s="133" t="s">
        <v>18</v>
      </c>
      <c r="E148" s="145">
        <v>371</v>
      </c>
      <c r="F148" s="1404"/>
      <c r="G148" s="206" t="s">
        <v>4826</v>
      </c>
      <c r="H148" s="150">
        <v>8688</v>
      </c>
      <c r="I148" s="355" t="s">
        <v>4827</v>
      </c>
      <c r="J148" s="653">
        <v>8645.43</v>
      </c>
      <c r="K148" s="365">
        <v>360.23</v>
      </c>
      <c r="L148" s="454"/>
      <c r="O148" s="565">
        <v>7.0000000000000007E-2</v>
      </c>
      <c r="P148" s="566">
        <f t="shared" ref="P148:P154" si="11">(M148*O148)+M148</f>
        <v>0</v>
      </c>
    </row>
    <row r="149" spans="1:16" ht="30.75" customHeight="1">
      <c r="A149" s="900"/>
      <c r="B149" s="460" t="s">
        <v>4828</v>
      </c>
      <c r="C149" s="63" t="s">
        <v>4794</v>
      </c>
      <c r="D149" s="133" t="s">
        <v>23</v>
      </c>
      <c r="E149" s="145">
        <v>779</v>
      </c>
      <c r="F149" s="1657"/>
      <c r="G149" s="206" t="s">
        <v>4826</v>
      </c>
      <c r="H149" s="639">
        <v>9120</v>
      </c>
      <c r="I149" s="796"/>
      <c r="J149" s="469">
        <v>9075.31</v>
      </c>
      <c r="K149" s="363">
        <v>756.27</v>
      </c>
      <c r="L149" s="454">
        <v>122.81</v>
      </c>
      <c r="M149" s="188">
        <v>1377.33</v>
      </c>
      <c r="O149" s="565">
        <v>7.0000000000000007E-2</v>
      </c>
      <c r="P149" s="566">
        <f t="shared" si="11"/>
        <v>1473.7430999999999</v>
      </c>
    </row>
    <row r="150" spans="1:16" ht="30.75" customHeight="1">
      <c r="A150" s="927"/>
      <c r="B150" s="460" t="s">
        <v>4829</v>
      </c>
      <c r="C150" s="63" t="s">
        <v>276</v>
      </c>
      <c r="D150" s="133" t="s">
        <v>18</v>
      </c>
      <c r="E150" s="145">
        <v>371</v>
      </c>
      <c r="F150" s="1404"/>
      <c r="G150" s="206" t="s">
        <v>4826</v>
      </c>
      <c r="H150" s="150">
        <v>8688</v>
      </c>
      <c r="I150" s="355" t="s">
        <v>4827</v>
      </c>
      <c r="J150" s="653">
        <v>8645.43</v>
      </c>
      <c r="K150" s="365">
        <v>360.23</v>
      </c>
      <c r="L150" s="454"/>
      <c r="O150" s="565">
        <v>7.0000000000000007E-2</v>
      </c>
      <c r="P150" s="566">
        <f t="shared" si="11"/>
        <v>0</v>
      </c>
    </row>
    <row r="151" spans="1:16" ht="30.75" customHeight="1">
      <c r="A151" s="900"/>
      <c r="B151" s="460" t="s">
        <v>4829</v>
      </c>
      <c r="C151" s="63" t="s">
        <v>2321</v>
      </c>
      <c r="D151" s="133" t="s">
        <v>23</v>
      </c>
      <c r="E151" s="145">
        <v>779</v>
      </c>
      <c r="F151" s="1657"/>
      <c r="G151" s="206" t="s">
        <v>4830</v>
      </c>
      <c r="H151" s="639">
        <v>9120</v>
      </c>
      <c r="I151" s="796"/>
      <c r="J151" s="469">
        <v>9075.31</v>
      </c>
      <c r="K151" s="363">
        <v>756.27</v>
      </c>
      <c r="L151" s="454"/>
      <c r="O151" s="565">
        <v>7.0000000000000007E-2</v>
      </c>
      <c r="P151" s="566">
        <f t="shared" si="11"/>
        <v>0</v>
      </c>
    </row>
    <row r="152" spans="1:16" ht="30.75" customHeight="1">
      <c r="A152" s="221"/>
      <c r="B152" s="3747" t="s">
        <v>4831</v>
      </c>
      <c r="C152" s="3748" t="s">
        <v>4794</v>
      </c>
      <c r="D152" s="3749" t="s">
        <v>23</v>
      </c>
      <c r="E152" s="1999">
        <v>629</v>
      </c>
      <c r="F152" s="3750"/>
      <c r="G152" s="3751" t="s">
        <v>4832</v>
      </c>
      <c r="H152" s="3752">
        <v>9120</v>
      </c>
      <c r="I152" s="1655"/>
      <c r="J152" s="3753">
        <v>7143.15</v>
      </c>
      <c r="K152" s="363">
        <v>595.26</v>
      </c>
      <c r="L152" s="454"/>
      <c r="O152" s="565">
        <v>7.0000000000000007E-2</v>
      </c>
      <c r="P152" s="566">
        <f t="shared" si="11"/>
        <v>0</v>
      </c>
    </row>
    <row r="153" spans="1:16" ht="30.75" customHeight="1">
      <c r="A153" s="221"/>
      <c r="B153" s="2205" t="s">
        <v>4833</v>
      </c>
      <c r="C153" s="63" t="s">
        <v>4834</v>
      </c>
      <c r="D153" s="133" t="s">
        <v>18</v>
      </c>
      <c r="E153" s="121">
        <v>287</v>
      </c>
      <c r="F153" s="1658"/>
      <c r="G153" s="215" t="s">
        <v>4830</v>
      </c>
      <c r="H153" s="639">
        <v>6720</v>
      </c>
      <c r="I153" s="359"/>
      <c r="J153" s="469">
        <v>6687.07</v>
      </c>
      <c r="K153" s="363">
        <v>278.63</v>
      </c>
      <c r="L153" s="454"/>
      <c r="O153" s="565">
        <v>7.0000000000000007E-2</v>
      </c>
      <c r="P153" s="566">
        <f t="shared" si="11"/>
        <v>0</v>
      </c>
    </row>
    <row r="154" spans="1:16" ht="30.75" customHeight="1">
      <c r="A154" s="1021"/>
      <c r="B154" s="1336"/>
      <c r="C154" s="1473"/>
      <c r="D154" s="924"/>
      <c r="E154" s="929"/>
      <c r="F154" s="777"/>
      <c r="G154" s="223"/>
      <c r="H154" s="647"/>
      <c r="I154" s="925"/>
      <c r="J154" s="926"/>
      <c r="K154" s="378"/>
      <c r="L154" s="454"/>
      <c r="O154" s="565">
        <v>7.0000000000000007E-2</v>
      </c>
      <c r="P154" s="566">
        <f t="shared" si="11"/>
        <v>0</v>
      </c>
    </row>
    <row r="155" spans="1:16" ht="30.75" customHeight="1">
      <c r="A155" s="1021"/>
      <c r="B155" s="1470" t="s">
        <v>4835</v>
      </c>
      <c r="C155" s="1444"/>
      <c r="D155" s="1103"/>
      <c r="E155" s="142"/>
      <c r="F155" s="61"/>
      <c r="G155" s="223"/>
      <c r="H155" s="647"/>
      <c r="I155" s="1099"/>
      <c r="J155" s="654"/>
      <c r="K155" s="1104"/>
      <c r="L155" s="454"/>
    </row>
    <row r="156" spans="1:16" ht="30.75" customHeight="1">
      <c r="A156" s="1021"/>
      <c r="B156" s="788" t="s">
        <v>4836</v>
      </c>
      <c r="C156" s="320" t="s">
        <v>2321</v>
      </c>
      <c r="D156" s="1103" t="s">
        <v>23</v>
      </c>
      <c r="E156" s="120">
        <v>876</v>
      </c>
      <c r="F156" s="1863">
        <v>884</v>
      </c>
      <c r="G156" s="223" t="s">
        <v>4837</v>
      </c>
      <c r="H156" s="647">
        <v>9734.64</v>
      </c>
      <c r="I156" s="1099"/>
      <c r="J156" s="654">
        <v>10207.75</v>
      </c>
      <c r="K156" s="1104">
        <v>850.65</v>
      </c>
      <c r="L156" s="454"/>
      <c r="M156" s="188">
        <v>2253.1999999999998</v>
      </c>
      <c r="O156" s="565">
        <v>7.0000000000000007E-2</v>
      </c>
      <c r="P156" s="566">
        <f>(M156*O156)+M156</f>
        <v>2410.924</v>
      </c>
    </row>
    <row r="157" spans="1:16" ht="30.75" customHeight="1">
      <c r="A157" s="1021"/>
      <c r="B157" s="788" t="s">
        <v>4838</v>
      </c>
      <c r="C157" s="320" t="s">
        <v>2321</v>
      </c>
      <c r="D157" s="1103" t="s">
        <v>23</v>
      </c>
      <c r="E157" s="120">
        <v>876</v>
      </c>
      <c r="F157" s="1863">
        <v>884</v>
      </c>
      <c r="G157" s="223" t="s">
        <v>4839</v>
      </c>
      <c r="H157" s="647">
        <v>9005.64</v>
      </c>
      <c r="I157" s="1099"/>
      <c r="J157" s="654">
        <v>9539.68</v>
      </c>
      <c r="K157" s="1104">
        <v>794.97</v>
      </c>
      <c r="L157" s="454"/>
      <c r="M157" s="188">
        <v>2253.1999999999998</v>
      </c>
      <c r="O157" s="565">
        <v>7.0000000000000007E-2</v>
      </c>
      <c r="P157" s="566">
        <f>(M157*O157)+M157</f>
        <v>2410.924</v>
      </c>
    </row>
    <row r="158" spans="1:16" ht="30.75" customHeight="1">
      <c r="A158" s="1021"/>
      <c r="B158" s="788" t="s">
        <v>4840</v>
      </c>
      <c r="C158" s="320" t="s">
        <v>2321</v>
      </c>
      <c r="D158" s="1103" t="s">
        <v>23</v>
      </c>
      <c r="E158" s="120">
        <v>771</v>
      </c>
      <c r="F158" s="121"/>
      <c r="G158" s="223" t="s">
        <v>4841</v>
      </c>
      <c r="H158" s="648">
        <v>8478.6</v>
      </c>
      <c r="I158" s="794"/>
      <c r="J158" s="659">
        <v>8981.3799999999992</v>
      </c>
      <c r="K158" s="1606">
        <v>748.45</v>
      </c>
    </row>
    <row r="159" spans="1:16" ht="30.75" customHeight="1">
      <c r="A159" s="1021"/>
      <c r="B159" s="1336"/>
      <c r="C159" s="1681"/>
      <c r="D159" s="924"/>
      <c r="E159" s="929"/>
      <c r="F159" s="777"/>
      <c r="G159" s="223"/>
      <c r="H159" s="647"/>
      <c r="I159" s="2108"/>
      <c r="J159" s="926"/>
      <c r="K159" s="378"/>
    </row>
    <row r="160" spans="1:16" ht="30.75" customHeight="1">
      <c r="A160" s="1021"/>
      <c r="B160" s="1336"/>
      <c r="C160" s="1473"/>
      <c r="D160" s="924"/>
      <c r="E160" s="929"/>
      <c r="F160" s="777"/>
      <c r="G160" s="223"/>
      <c r="H160" s="647"/>
      <c r="I160" s="925"/>
      <c r="J160" s="926"/>
      <c r="K160" s="378"/>
      <c r="L160" s="454"/>
    </row>
    <row r="161" spans="1:16" ht="30.75" customHeight="1">
      <c r="A161" s="279"/>
      <c r="B161" s="127"/>
      <c r="C161" s="68"/>
      <c r="F161" s="68"/>
      <c r="L161" s="454"/>
    </row>
    <row r="162" spans="1:16" ht="30.75" customHeight="1">
      <c r="A162" s="279" t="s">
        <v>4842</v>
      </c>
      <c r="B162" s="127"/>
      <c r="C162" s="68"/>
      <c r="F162" s="68"/>
    </row>
    <row r="163" spans="1:16" ht="30.75" customHeight="1">
      <c r="A163" s="279"/>
      <c r="B163" s="127" t="s">
        <v>4843</v>
      </c>
      <c r="C163" s="991" t="s">
        <v>4844</v>
      </c>
      <c r="D163" s="991"/>
      <c r="E163" s="991"/>
      <c r="F163" s="990"/>
    </row>
    <row r="164" spans="1:16" ht="30.75" customHeight="1" thickBot="1">
      <c r="F164" s="68"/>
    </row>
    <row r="165" spans="1:16" ht="30.75" customHeight="1">
      <c r="A165" s="1026" t="s">
        <v>1454</v>
      </c>
      <c r="B165" s="136" t="s">
        <v>2</v>
      </c>
      <c r="C165" s="48" t="s">
        <v>3</v>
      </c>
      <c r="D165" s="128" t="s">
        <v>4</v>
      </c>
      <c r="E165" s="77" t="s">
        <v>5</v>
      </c>
      <c r="F165" s="78" t="s">
        <v>5</v>
      </c>
      <c r="G165" s="211" t="s">
        <v>6</v>
      </c>
      <c r="H165" s="636" t="s">
        <v>7</v>
      </c>
      <c r="I165" s="470" t="s">
        <v>8</v>
      </c>
      <c r="J165" s="651" t="s">
        <v>9</v>
      </c>
      <c r="K165" s="367" t="s">
        <v>9</v>
      </c>
      <c r="M165" s="190" t="s">
        <v>5</v>
      </c>
      <c r="N165" s="568"/>
      <c r="O165" s="568">
        <v>7.0000000000000007E-2</v>
      </c>
      <c r="P165" s="571" t="s">
        <v>4845</v>
      </c>
    </row>
    <row r="166" spans="1:16" ht="30.75" customHeight="1" thickBot="1">
      <c r="A166" s="1027"/>
      <c r="B166" s="1052"/>
      <c r="C166" s="50"/>
      <c r="D166" s="129" t="s">
        <v>10</v>
      </c>
      <c r="E166" s="79" t="s">
        <v>11</v>
      </c>
      <c r="F166" s="80" t="s">
        <v>12</v>
      </c>
      <c r="G166" s="212"/>
      <c r="H166" s="637" t="s">
        <v>13</v>
      </c>
      <c r="I166" s="471"/>
      <c r="J166" s="652" t="s">
        <v>14</v>
      </c>
      <c r="K166" s="368" t="s">
        <v>15</v>
      </c>
      <c r="M166" s="190"/>
      <c r="N166" s="568"/>
    </row>
    <row r="167" spans="1:16" ht="30.75" customHeight="1">
      <c r="A167" s="406"/>
      <c r="B167" s="1733" t="s">
        <v>4846</v>
      </c>
      <c r="C167" s="101" t="s">
        <v>123</v>
      </c>
      <c r="D167" s="132" t="s">
        <v>23</v>
      </c>
      <c r="E167" s="387"/>
      <c r="F167" s="2238"/>
      <c r="G167" s="206" t="s">
        <v>4847</v>
      </c>
      <c r="H167" s="639"/>
      <c r="I167" s="3754"/>
      <c r="J167" s="469"/>
      <c r="K167" s="363">
        <v>315</v>
      </c>
      <c r="L167" s="454"/>
      <c r="M167" s="188">
        <v>5784.96</v>
      </c>
      <c r="O167" s="565">
        <v>7.0000000000000007E-2</v>
      </c>
      <c r="P167" s="566">
        <f>(M167*O167)+M167</f>
        <v>6189.9071999999996</v>
      </c>
    </row>
    <row r="168" spans="1:16" ht="30.75" customHeight="1">
      <c r="A168" s="406"/>
      <c r="B168" s="105"/>
      <c r="C168" s="101" t="s">
        <v>4760</v>
      </c>
      <c r="D168" s="132" t="s">
        <v>30</v>
      </c>
      <c r="E168" s="243"/>
      <c r="F168" s="1404"/>
      <c r="G168" s="206" t="s">
        <v>4847</v>
      </c>
      <c r="H168" s="639"/>
      <c r="I168" s="355"/>
      <c r="J168" s="469"/>
      <c r="K168" s="363">
        <v>907.18</v>
      </c>
      <c r="L168" s="454"/>
      <c r="M168" s="188">
        <v>12330</v>
      </c>
      <c r="O168" s="565">
        <v>7.0000000000000007E-2</v>
      </c>
      <c r="P168" s="566">
        <f>(M168*O168)+M168</f>
        <v>13193.1</v>
      </c>
    </row>
    <row r="169" spans="1:16" ht="30.75" customHeight="1">
      <c r="A169" s="406"/>
      <c r="B169" s="1733" t="s">
        <v>4848</v>
      </c>
      <c r="C169" s="101" t="s">
        <v>123</v>
      </c>
      <c r="D169" s="132" t="s">
        <v>23</v>
      </c>
      <c r="E169" s="243"/>
      <c r="F169" s="1404"/>
      <c r="G169" s="206" t="s">
        <v>4847</v>
      </c>
      <c r="H169" s="639"/>
      <c r="I169" s="796"/>
      <c r="J169" s="469"/>
      <c r="K169" s="363">
        <v>286.61</v>
      </c>
      <c r="L169" s="454"/>
      <c r="M169" s="191"/>
      <c r="N169" s="570"/>
      <c r="O169" s="565">
        <v>7.0000000000000007E-2</v>
      </c>
      <c r="P169" s="566">
        <f>(M169*O169)+M169</f>
        <v>0</v>
      </c>
    </row>
    <row r="170" spans="1:16" ht="30.75" customHeight="1">
      <c r="A170" s="406"/>
      <c r="B170" s="105"/>
      <c r="C170" s="101" t="s">
        <v>4760</v>
      </c>
      <c r="D170" s="132" t="s">
        <v>30</v>
      </c>
      <c r="E170" s="243"/>
      <c r="F170" s="61"/>
      <c r="G170" s="206" t="s">
        <v>4847</v>
      </c>
      <c r="H170" s="639"/>
      <c r="I170" s="355"/>
      <c r="J170" s="469"/>
      <c r="K170" s="363">
        <v>776.91</v>
      </c>
      <c r="L170" s="454"/>
      <c r="M170" s="191">
        <v>12087.9</v>
      </c>
      <c r="N170" s="570"/>
      <c r="O170" s="565">
        <v>7.0000000000000007E-2</v>
      </c>
      <c r="P170" s="566">
        <f>(M170*O170)+M170</f>
        <v>12934.053</v>
      </c>
    </row>
    <row r="171" spans="1:16" ht="30.75" customHeight="1">
      <c r="A171" s="770"/>
      <c r="B171" s="2133" t="s">
        <v>4849</v>
      </c>
      <c r="C171" s="101" t="s">
        <v>123</v>
      </c>
      <c r="D171" s="132" t="s">
        <v>23</v>
      </c>
      <c r="E171" s="387"/>
      <c r="F171" s="69"/>
      <c r="G171" s="206" t="s">
        <v>4847</v>
      </c>
      <c r="H171" s="640"/>
      <c r="I171" s="3755"/>
      <c r="J171" s="655"/>
      <c r="K171" s="364">
        <v>241.77</v>
      </c>
      <c r="L171" s="454"/>
      <c r="M171" s="191"/>
      <c r="N171" s="570"/>
      <c r="O171" s="565">
        <v>7.0000000000000007E-2</v>
      </c>
      <c r="P171" s="566">
        <f>(M171*O171)+M171</f>
        <v>0</v>
      </c>
    </row>
    <row r="172" spans="1:16" ht="30.75" customHeight="1" thickBot="1">
      <c r="A172" s="1905"/>
      <c r="B172" s="2134"/>
      <c r="C172" s="1906" t="s">
        <v>4760</v>
      </c>
      <c r="D172" s="2121" t="s">
        <v>30</v>
      </c>
      <c r="E172" s="2135"/>
      <c r="F172" s="2131"/>
      <c r="G172" s="206" t="s">
        <v>4847</v>
      </c>
      <c r="H172" s="2136"/>
      <c r="I172" s="3756"/>
      <c r="J172" s="2137"/>
      <c r="K172" s="2138">
        <v>678.09</v>
      </c>
      <c r="L172" s="454"/>
    </row>
    <row r="173" spans="1:16" ht="30.75" customHeight="1" thickTop="1">
      <c r="A173" s="406"/>
      <c r="B173" s="2133" t="s">
        <v>4850</v>
      </c>
      <c r="C173" s="101" t="s">
        <v>4851</v>
      </c>
      <c r="D173" s="132" t="s">
        <v>23</v>
      </c>
      <c r="E173" s="387">
        <v>115</v>
      </c>
      <c r="F173" s="2238">
        <v>125</v>
      </c>
      <c r="G173" s="206" t="s">
        <v>4852</v>
      </c>
      <c r="H173" s="639">
        <v>112.92</v>
      </c>
      <c r="I173" s="3754" t="s">
        <v>4853</v>
      </c>
      <c r="J173" s="469">
        <v>1348.37</v>
      </c>
      <c r="K173" s="363">
        <v>112.36</v>
      </c>
      <c r="L173" s="454">
        <v>342.94</v>
      </c>
      <c r="M173" s="188">
        <v>11538</v>
      </c>
      <c r="O173" s="565">
        <v>7.0000000000000007E-2</v>
      </c>
      <c r="P173" s="566">
        <f>(M173*O173)+M173</f>
        <v>12345.66</v>
      </c>
    </row>
    <row r="174" spans="1:16" ht="30.75" customHeight="1">
      <c r="A174" s="406"/>
      <c r="B174" s="139"/>
      <c r="C174" s="101" t="s">
        <v>123</v>
      </c>
      <c r="D174" s="132" t="s">
        <v>23</v>
      </c>
      <c r="E174" s="243">
        <v>225</v>
      </c>
      <c r="F174" s="1404">
        <v>243</v>
      </c>
      <c r="G174" s="206" t="s">
        <v>4852</v>
      </c>
      <c r="H174" s="639">
        <v>220.84</v>
      </c>
      <c r="I174" s="355" t="s">
        <v>4854</v>
      </c>
      <c r="J174" s="469">
        <v>2637.13</v>
      </c>
      <c r="K174" s="363">
        <v>219.76</v>
      </c>
      <c r="L174" s="454"/>
      <c r="M174" s="191"/>
      <c r="N174" s="570"/>
      <c r="O174" s="572"/>
    </row>
    <row r="175" spans="1:16" ht="30.75" customHeight="1">
      <c r="A175" s="406"/>
      <c r="B175" s="139"/>
      <c r="C175" s="101" t="s">
        <v>4760</v>
      </c>
      <c r="D175" s="132" t="s">
        <v>30</v>
      </c>
      <c r="E175" s="243">
        <v>672</v>
      </c>
      <c r="F175" s="1404">
        <v>720</v>
      </c>
      <c r="G175" s="206" t="s">
        <v>4852</v>
      </c>
      <c r="H175" s="639">
        <v>859.851</v>
      </c>
      <c r="I175" s="796" t="s">
        <v>4855</v>
      </c>
      <c r="J175" s="469">
        <v>2626.31</v>
      </c>
      <c r="K175" s="363">
        <v>656.58</v>
      </c>
      <c r="L175" s="454"/>
      <c r="M175" s="191">
        <v>10746.78</v>
      </c>
      <c r="N175" s="570"/>
      <c r="O175" s="565">
        <v>7.0000000000000007E-2</v>
      </c>
      <c r="P175" s="566">
        <f t="shared" ref="P175:P183" si="12">(M175*O175)+M175</f>
        <v>11499.054600000001</v>
      </c>
    </row>
    <row r="176" spans="1:16" ht="30.75" customHeight="1">
      <c r="A176" s="406"/>
      <c r="B176" s="466"/>
      <c r="C176" s="320" t="s">
        <v>4762</v>
      </c>
      <c r="D176" s="532" t="s">
        <v>30</v>
      </c>
      <c r="E176" s="243">
        <v>883</v>
      </c>
      <c r="F176" s="61"/>
      <c r="G176" s="206" t="s">
        <v>4856</v>
      </c>
      <c r="H176" s="639"/>
      <c r="I176" s="355"/>
      <c r="J176" s="469">
        <v>3716</v>
      </c>
      <c r="K176" s="363">
        <v>929</v>
      </c>
      <c r="L176" s="724"/>
      <c r="M176" s="191">
        <v>13999.5</v>
      </c>
      <c r="N176" s="570"/>
      <c r="O176" s="565">
        <v>7.0000000000000007E-2</v>
      </c>
      <c r="P176" s="566">
        <f t="shared" si="12"/>
        <v>14979.465</v>
      </c>
    </row>
    <row r="177" spans="1:16" ht="30.75" customHeight="1">
      <c r="A177" s="770"/>
      <c r="B177" s="1402"/>
      <c r="C177" s="103"/>
      <c r="D177" s="467"/>
      <c r="E177" s="387"/>
      <c r="F177" s="69"/>
      <c r="G177" s="216"/>
      <c r="H177" s="640"/>
      <c r="I177" s="3755"/>
      <c r="J177" s="655"/>
      <c r="K177" s="364"/>
      <c r="L177" s="454"/>
      <c r="M177" s="191">
        <v>8130.24</v>
      </c>
      <c r="N177" s="570"/>
      <c r="O177" s="565">
        <v>7.0000000000000007E-2</v>
      </c>
      <c r="P177" s="566">
        <f t="shared" si="12"/>
        <v>8699.3567999999996</v>
      </c>
    </row>
    <row r="178" spans="1:16" ht="30.75" customHeight="1">
      <c r="A178" s="406"/>
      <c r="B178" s="1402" t="s">
        <v>4857</v>
      </c>
      <c r="C178" s="103" t="s">
        <v>4851</v>
      </c>
      <c r="D178" s="467" t="s">
        <v>23</v>
      </c>
      <c r="E178" s="387">
        <v>107</v>
      </c>
      <c r="F178" s="2238">
        <v>115</v>
      </c>
      <c r="G178" s="216" t="s">
        <v>4852</v>
      </c>
      <c r="H178" s="640">
        <v>104.58</v>
      </c>
      <c r="I178" s="3755" t="s">
        <v>4858</v>
      </c>
      <c r="J178" s="655">
        <v>1248.76</v>
      </c>
      <c r="K178" s="364">
        <v>104.06</v>
      </c>
      <c r="L178" s="454"/>
      <c r="M178" s="191">
        <v>7341.57</v>
      </c>
      <c r="N178" s="570"/>
      <c r="O178" s="565">
        <v>7.0000000000000007E-2</v>
      </c>
      <c r="P178" s="566">
        <f t="shared" si="12"/>
        <v>7855.4798999999994</v>
      </c>
    </row>
    <row r="179" spans="1:16" ht="30.75" customHeight="1">
      <c r="A179" s="406"/>
      <c r="B179" s="139"/>
      <c r="C179" s="101" t="s">
        <v>123</v>
      </c>
      <c r="D179" s="132" t="s">
        <v>23</v>
      </c>
      <c r="E179" s="243">
        <v>212</v>
      </c>
      <c r="F179" s="1404">
        <v>229</v>
      </c>
      <c r="G179" s="206" t="s">
        <v>4852</v>
      </c>
      <c r="H179" s="639">
        <v>207.75</v>
      </c>
      <c r="I179" s="3754" t="s">
        <v>4859</v>
      </c>
      <c r="J179" s="469">
        <v>2480.81</v>
      </c>
      <c r="K179" s="363">
        <v>206.73</v>
      </c>
      <c r="L179" s="724"/>
      <c r="M179" s="191"/>
      <c r="N179" s="570"/>
      <c r="O179" s="565">
        <v>7.0000000000000007E-2</v>
      </c>
      <c r="P179" s="566">
        <f t="shared" si="12"/>
        <v>0</v>
      </c>
    </row>
    <row r="180" spans="1:16" ht="30.75" customHeight="1">
      <c r="A180" s="406"/>
      <c r="B180" s="139"/>
      <c r="C180" s="320" t="s">
        <v>4760</v>
      </c>
      <c r="D180" s="532" t="s">
        <v>30</v>
      </c>
      <c r="E180" s="243">
        <v>635</v>
      </c>
      <c r="F180" s="1404">
        <v>682</v>
      </c>
      <c r="G180" s="223" t="s">
        <v>4852</v>
      </c>
      <c r="H180" s="648">
        <v>624.29999999999995</v>
      </c>
      <c r="I180" s="3757" t="s">
        <v>4860</v>
      </c>
      <c r="J180" s="659">
        <v>2484.96</v>
      </c>
      <c r="K180" s="646">
        <v>621.24</v>
      </c>
      <c r="L180" s="454"/>
      <c r="M180" s="191">
        <v>5420.16</v>
      </c>
      <c r="N180" s="570"/>
      <c r="O180" s="565">
        <v>7.0000000000000007E-2</v>
      </c>
      <c r="P180" s="566">
        <f t="shared" si="12"/>
        <v>5799.5712000000003</v>
      </c>
    </row>
    <row r="181" spans="1:16" ht="30.75" customHeight="1">
      <c r="A181" s="406"/>
      <c r="B181" s="2132"/>
      <c r="C181" s="320" t="s">
        <v>4762</v>
      </c>
      <c r="D181" s="532" t="s">
        <v>30</v>
      </c>
      <c r="E181" s="61">
        <v>828</v>
      </c>
      <c r="F181" s="1404"/>
      <c r="G181" s="223" t="s">
        <v>4847</v>
      </c>
      <c r="H181" s="648">
        <v>775.69</v>
      </c>
      <c r="I181" s="3757" t="s">
        <v>4861</v>
      </c>
      <c r="J181" s="659">
        <v>3484</v>
      </c>
      <c r="K181" s="646">
        <v>871</v>
      </c>
      <c r="L181" s="454"/>
      <c r="M181" s="191">
        <v>4894.38</v>
      </c>
      <c r="N181" s="570"/>
      <c r="O181" s="565">
        <v>7.0000000000000007E-2</v>
      </c>
      <c r="P181" s="566">
        <f t="shared" si="12"/>
        <v>5236.9866000000002</v>
      </c>
    </row>
    <row r="182" spans="1:16" ht="30.75" customHeight="1" thickBot="1">
      <c r="A182" s="1905"/>
      <c r="B182" s="2123"/>
      <c r="C182" s="1912" t="s">
        <v>29</v>
      </c>
      <c r="D182" s="2124" t="s">
        <v>30</v>
      </c>
      <c r="E182" s="2122">
        <v>1013</v>
      </c>
      <c r="F182" s="2125"/>
      <c r="G182" s="2126" t="s">
        <v>4847</v>
      </c>
      <c r="H182" s="2127">
        <v>995.33</v>
      </c>
      <c r="I182" s="3758"/>
      <c r="J182" s="2128">
        <v>4260</v>
      </c>
      <c r="K182" s="2129">
        <v>1065</v>
      </c>
      <c r="L182" s="454"/>
      <c r="M182" s="191"/>
      <c r="N182" s="570"/>
      <c r="P182" s="566">
        <f t="shared" si="12"/>
        <v>0</v>
      </c>
    </row>
    <row r="183" spans="1:16" ht="30.75" customHeight="1" thickTop="1">
      <c r="A183" s="2139"/>
      <c r="B183" s="2140" t="s">
        <v>4862</v>
      </c>
      <c r="C183" s="947" t="s">
        <v>4863</v>
      </c>
      <c r="D183" s="2141" t="s">
        <v>23</v>
      </c>
      <c r="E183" s="2156">
        <v>112</v>
      </c>
      <c r="F183" s="2157"/>
      <c r="G183" s="949" t="s">
        <v>4864</v>
      </c>
      <c r="H183" s="2144"/>
      <c r="I183" s="2158"/>
      <c r="J183" s="2146">
        <v>1308</v>
      </c>
      <c r="K183" s="2147">
        <v>109</v>
      </c>
      <c r="L183" s="454"/>
      <c r="M183" s="191"/>
      <c r="N183" s="570"/>
      <c r="O183" s="565">
        <v>7.0000000000000007E-2</v>
      </c>
      <c r="P183" s="566">
        <f t="shared" si="12"/>
        <v>0</v>
      </c>
    </row>
    <row r="184" spans="1:16" ht="30.75" customHeight="1">
      <c r="A184" s="2139"/>
      <c r="B184" s="2148"/>
      <c r="C184" s="947" t="s">
        <v>123</v>
      </c>
      <c r="D184" s="2141" t="s">
        <v>23</v>
      </c>
      <c r="E184" s="2142">
        <v>179</v>
      </c>
      <c r="F184" s="2143"/>
      <c r="G184" s="949" t="s">
        <v>4864</v>
      </c>
      <c r="H184" s="2144">
        <v>185.05</v>
      </c>
      <c r="I184" s="2145"/>
      <c r="J184" s="2146">
        <v>2148</v>
      </c>
      <c r="K184" s="2147">
        <v>179</v>
      </c>
      <c r="L184" s="454"/>
      <c r="M184" s="191"/>
      <c r="N184" s="570"/>
    </row>
    <row r="185" spans="1:16" ht="30.75" customHeight="1">
      <c r="A185" s="938"/>
      <c r="B185" s="2148"/>
      <c r="C185" s="954" t="s">
        <v>4760</v>
      </c>
      <c r="D185" s="2149" t="s">
        <v>30</v>
      </c>
      <c r="E185" s="2150">
        <v>530</v>
      </c>
      <c r="F185" s="2151"/>
      <c r="G185" s="942" t="s">
        <v>4865</v>
      </c>
      <c r="H185" s="2152">
        <v>524.29999999999995</v>
      </c>
      <c r="I185" s="3759" t="s">
        <v>4866</v>
      </c>
      <c r="J185" s="2153">
        <v>2099.86</v>
      </c>
      <c r="K185" s="2154">
        <v>524.97</v>
      </c>
      <c r="L185" s="454"/>
      <c r="M185" s="191"/>
      <c r="N185" s="570"/>
    </row>
    <row r="186" spans="1:16" ht="30.75" customHeight="1">
      <c r="A186" s="938"/>
      <c r="B186" s="2148"/>
      <c r="C186" s="947" t="s">
        <v>29</v>
      </c>
      <c r="D186" s="2141" t="s">
        <v>30</v>
      </c>
      <c r="E186" s="2156">
        <v>850</v>
      </c>
      <c r="F186" s="2157"/>
      <c r="G186" s="949" t="s">
        <v>4864</v>
      </c>
      <c r="H186" s="2144"/>
      <c r="I186" s="2158"/>
      <c r="J186" s="2146">
        <v>3340.8</v>
      </c>
      <c r="K186" s="2147">
        <v>835.2</v>
      </c>
      <c r="L186" s="454"/>
      <c r="M186" s="191"/>
      <c r="N186" s="570"/>
    </row>
    <row r="187" spans="1:16" ht="30.75" customHeight="1">
      <c r="A187" s="938"/>
      <c r="B187" s="2155"/>
      <c r="C187" s="947"/>
      <c r="D187" s="2141"/>
      <c r="E187" s="2156"/>
      <c r="F187" s="2157"/>
      <c r="G187" s="949"/>
      <c r="H187" s="2144"/>
      <c r="I187" s="2158"/>
      <c r="J187" s="2146"/>
      <c r="K187" s="2147"/>
      <c r="L187" s="454"/>
      <c r="M187" s="191"/>
      <c r="N187" s="570"/>
      <c r="O187" s="565">
        <v>7.0000000000000007E-2</v>
      </c>
    </row>
    <row r="188" spans="1:16" ht="30.75" customHeight="1">
      <c r="A188" s="938"/>
      <c r="B188" s="2155" t="s">
        <v>4867</v>
      </c>
      <c r="C188" s="947" t="s">
        <v>4863</v>
      </c>
      <c r="D188" s="2141" t="s">
        <v>23</v>
      </c>
      <c r="E188" s="2156">
        <v>112</v>
      </c>
      <c r="F188" s="2157"/>
      <c r="G188" s="949" t="s">
        <v>4864</v>
      </c>
      <c r="H188" s="2144"/>
      <c r="I188" s="2158"/>
      <c r="J188" s="2146">
        <v>1308</v>
      </c>
      <c r="K188" s="2147">
        <v>109</v>
      </c>
      <c r="L188" s="724"/>
      <c r="M188" s="191"/>
      <c r="N188" s="570"/>
      <c r="O188" s="565">
        <v>7.0000000000000007E-2</v>
      </c>
    </row>
    <row r="189" spans="1:16" ht="30.75" customHeight="1">
      <c r="A189" s="938"/>
      <c r="B189" s="2155"/>
      <c r="C189" s="954" t="s">
        <v>123</v>
      </c>
      <c r="D189" s="2149" t="s">
        <v>23</v>
      </c>
      <c r="E189" s="2142">
        <v>184</v>
      </c>
      <c r="F189" s="2143"/>
      <c r="G189" s="949" t="s">
        <v>4868</v>
      </c>
      <c r="H189" s="2144">
        <v>185.05</v>
      </c>
      <c r="I189" s="2145" t="s">
        <v>4869</v>
      </c>
      <c r="J189" s="2146">
        <v>2148</v>
      </c>
      <c r="K189" s="2147">
        <v>179</v>
      </c>
      <c r="L189" s="724"/>
      <c r="M189" s="191"/>
      <c r="N189" s="570"/>
    </row>
    <row r="190" spans="1:16" ht="30.75" customHeight="1">
      <c r="A190" s="2159"/>
      <c r="B190" s="2160"/>
      <c r="C190" s="2161" t="s">
        <v>4760</v>
      </c>
      <c r="D190" s="2162" t="s">
        <v>30</v>
      </c>
      <c r="E190" s="2150">
        <v>460</v>
      </c>
      <c r="F190" s="2151"/>
      <c r="G190" s="942" t="s">
        <v>4870</v>
      </c>
      <c r="H190" s="2152">
        <v>524.29999999999995</v>
      </c>
      <c r="I190" s="3759" t="s">
        <v>4871</v>
      </c>
      <c r="J190" s="2153">
        <v>1804.42</v>
      </c>
      <c r="K190" s="2154">
        <v>451.1</v>
      </c>
      <c r="L190" s="724"/>
      <c r="M190" s="191"/>
      <c r="N190" s="570"/>
    </row>
    <row r="191" spans="1:16" ht="30.75" customHeight="1">
      <c r="A191" s="2163"/>
      <c r="B191" s="2155"/>
      <c r="C191" s="947" t="s">
        <v>29</v>
      </c>
      <c r="D191" s="2141" t="s">
        <v>30</v>
      </c>
      <c r="E191" s="2156">
        <v>850</v>
      </c>
      <c r="F191" s="2157"/>
      <c r="G191" s="949" t="s">
        <v>4864</v>
      </c>
      <c r="H191" s="2144"/>
      <c r="I191" s="2158"/>
      <c r="J191" s="2146">
        <v>3340.8</v>
      </c>
      <c r="K191" s="2147">
        <v>835.2</v>
      </c>
      <c r="L191" s="454"/>
      <c r="M191" s="191">
        <v>6678</v>
      </c>
      <c r="N191" s="570"/>
      <c r="O191" s="565">
        <v>7.0000000000000007E-2</v>
      </c>
      <c r="P191" s="566">
        <f>(M191*O191)+M191</f>
        <v>7145.46</v>
      </c>
    </row>
    <row r="192" spans="1:16" ht="30.75" customHeight="1" thickBot="1">
      <c r="A192" s="2164"/>
      <c r="B192" s="2165"/>
      <c r="C192" s="2166"/>
      <c r="D192" s="2167"/>
      <c r="E192" s="2168"/>
      <c r="F192" s="2169"/>
      <c r="G192" s="2170"/>
      <c r="H192" s="2171"/>
      <c r="I192" s="2172"/>
      <c r="J192" s="2173"/>
      <c r="K192" s="2174"/>
      <c r="L192" s="454"/>
      <c r="M192" s="191"/>
      <c r="N192" s="570"/>
      <c r="O192" s="565">
        <v>7.0000000000000007E-2</v>
      </c>
      <c r="P192" s="566">
        <f>(M192*O192)+M192</f>
        <v>0</v>
      </c>
    </row>
    <row r="193" spans="1:17" ht="30.75" customHeight="1" thickTop="1">
      <c r="A193" s="999"/>
      <c r="B193" s="1402"/>
      <c r="C193" s="103"/>
      <c r="D193" s="467"/>
      <c r="E193" s="69"/>
      <c r="F193" s="1403"/>
      <c r="G193" s="216"/>
      <c r="H193" s="640"/>
      <c r="I193" s="1854"/>
      <c r="J193" s="655"/>
      <c r="K193" s="364"/>
      <c r="L193" s="454"/>
      <c r="M193" s="191"/>
      <c r="N193" s="570"/>
      <c r="Q193" s="567">
        <f>598.5/12</f>
        <v>49.875</v>
      </c>
    </row>
    <row r="194" spans="1:17" ht="30.75" customHeight="1">
      <c r="A194" s="406"/>
      <c r="B194" s="1402" t="s">
        <v>4872</v>
      </c>
      <c r="C194" s="103" t="s">
        <v>1829</v>
      </c>
      <c r="D194" s="467" t="s">
        <v>23</v>
      </c>
      <c r="E194" s="69">
        <v>129</v>
      </c>
      <c r="F194" s="1403"/>
      <c r="G194" s="216" t="s">
        <v>4847</v>
      </c>
      <c r="H194" s="640">
        <v>117.12</v>
      </c>
      <c r="I194" s="1854" t="s">
        <v>4873</v>
      </c>
      <c r="J194" s="655">
        <v>1503.82</v>
      </c>
      <c r="K194" s="364">
        <v>125.31</v>
      </c>
      <c r="L194" s="454"/>
      <c r="M194" s="191">
        <v>6678</v>
      </c>
      <c r="N194" s="570"/>
      <c r="O194" s="565">
        <v>7.0000000000000007E-2</v>
      </c>
      <c r="P194" s="566">
        <f>(M194*O194)+M194</f>
        <v>7145.46</v>
      </c>
      <c r="Q194" s="567">
        <f>450/12</f>
        <v>37.5</v>
      </c>
    </row>
    <row r="195" spans="1:17" ht="30.75" customHeight="1">
      <c r="A195" s="770"/>
      <c r="B195" s="3468"/>
      <c r="C195" s="320" t="s">
        <v>2321</v>
      </c>
      <c r="D195" s="532" t="s">
        <v>23</v>
      </c>
      <c r="E195" s="61">
        <v>199</v>
      </c>
      <c r="F195" s="1098"/>
      <c r="G195" s="223" t="s">
        <v>4847</v>
      </c>
      <c r="H195" s="639">
        <v>180.75</v>
      </c>
      <c r="I195" s="474"/>
      <c r="J195" s="469">
        <v>2320.83</v>
      </c>
      <c r="K195" s="363">
        <f>J195/12</f>
        <v>193.4025</v>
      </c>
      <c r="L195" s="454">
        <v>790.88</v>
      </c>
      <c r="M195" s="191">
        <v>5913.12</v>
      </c>
      <c r="N195" s="570"/>
      <c r="O195" s="565">
        <v>7.0000000000000007E-2</v>
      </c>
      <c r="P195" s="566">
        <f>(M195*O195)+M195</f>
        <v>6327.0383999999995</v>
      </c>
    </row>
    <row r="196" spans="1:17" ht="30.75" customHeight="1">
      <c r="A196" s="770"/>
      <c r="B196" s="468" t="s">
        <v>4874</v>
      </c>
      <c r="C196" s="103" t="s">
        <v>1829</v>
      </c>
      <c r="D196" s="467" t="s">
        <v>23</v>
      </c>
      <c r="E196" s="69">
        <v>129</v>
      </c>
      <c r="F196" s="1403"/>
      <c r="G196" s="216" t="s">
        <v>4847</v>
      </c>
      <c r="H196" s="640">
        <v>117.12</v>
      </c>
      <c r="I196" s="1854" t="s">
        <v>4873</v>
      </c>
      <c r="J196" s="655">
        <v>1503.82</v>
      </c>
      <c r="K196" s="364">
        <v>125.31</v>
      </c>
      <c r="L196" s="724"/>
      <c r="M196" s="191"/>
      <c r="N196" s="570"/>
    </row>
    <row r="197" spans="1:17" ht="30.75" customHeight="1">
      <c r="A197" s="770"/>
      <c r="B197" s="139"/>
      <c r="C197" s="320" t="s">
        <v>103</v>
      </c>
      <c r="D197" s="532" t="s">
        <v>23</v>
      </c>
      <c r="E197" s="61">
        <v>199</v>
      </c>
      <c r="F197" s="1098"/>
      <c r="G197" s="223" t="s">
        <v>4847</v>
      </c>
      <c r="H197" s="639">
        <v>180.75</v>
      </c>
      <c r="I197" s="474"/>
      <c r="J197" s="469">
        <v>2320.83</v>
      </c>
      <c r="K197" s="363">
        <f>J197/12</f>
        <v>193.4025</v>
      </c>
      <c r="M197" s="191"/>
      <c r="N197" s="570"/>
    </row>
    <row r="198" spans="1:17" ht="30.75" customHeight="1">
      <c r="A198" s="770"/>
      <c r="B198" s="468" t="s">
        <v>4875</v>
      </c>
      <c r="C198" s="101" t="s">
        <v>1829</v>
      </c>
      <c r="D198" s="132" t="s">
        <v>23</v>
      </c>
      <c r="E198" s="91">
        <v>129</v>
      </c>
      <c r="F198" s="1098"/>
      <c r="G198" s="216" t="s">
        <v>4847</v>
      </c>
      <c r="H198" s="640">
        <v>117.12</v>
      </c>
      <c r="I198" s="1854" t="s">
        <v>4873</v>
      </c>
      <c r="J198" s="655">
        <v>1503.82</v>
      </c>
      <c r="K198" s="364">
        <v>125.31</v>
      </c>
      <c r="L198" s="724"/>
      <c r="M198" s="191"/>
      <c r="N198" s="570"/>
    </row>
    <row r="199" spans="1:17" ht="30.75" customHeight="1">
      <c r="A199" s="224"/>
      <c r="B199" s="139"/>
      <c r="C199" s="101" t="s">
        <v>103</v>
      </c>
      <c r="D199" s="132" t="s">
        <v>23</v>
      </c>
      <c r="E199" s="61">
        <v>199</v>
      </c>
      <c r="F199" s="61"/>
      <c r="G199" s="223" t="s">
        <v>4847</v>
      </c>
      <c r="H199" s="639">
        <v>180.75</v>
      </c>
      <c r="I199" s="474"/>
      <c r="J199" s="469">
        <v>2320.83</v>
      </c>
      <c r="K199" s="363">
        <f>J199/12</f>
        <v>193.4025</v>
      </c>
      <c r="L199" s="724"/>
      <c r="M199" s="191"/>
      <c r="N199" s="570"/>
    </row>
    <row r="200" spans="1:17" ht="30.75" customHeight="1">
      <c r="A200" s="224"/>
      <c r="B200" s="468" t="s">
        <v>4876</v>
      </c>
      <c r="C200" s="101" t="s">
        <v>1829</v>
      </c>
      <c r="D200" s="132" t="s">
        <v>23</v>
      </c>
      <c r="E200" s="91">
        <v>129</v>
      </c>
      <c r="F200" s="1098"/>
      <c r="G200" s="216" t="s">
        <v>4847</v>
      </c>
      <c r="H200" s="640">
        <v>117.12</v>
      </c>
      <c r="I200" s="1854" t="s">
        <v>4873</v>
      </c>
      <c r="J200" s="655">
        <v>1503.82</v>
      </c>
      <c r="K200" s="364">
        <v>125.31</v>
      </c>
      <c r="L200" s="454"/>
      <c r="M200" s="191"/>
      <c r="N200" s="570"/>
    </row>
    <row r="201" spans="1:17" ht="30.75" customHeight="1">
      <c r="A201" s="224"/>
      <c r="B201" s="139"/>
      <c r="C201" s="101" t="s">
        <v>103</v>
      </c>
      <c r="D201" s="132" t="s">
        <v>23</v>
      </c>
      <c r="E201" s="61">
        <v>199</v>
      </c>
      <c r="F201" s="61"/>
      <c r="G201" s="223" t="s">
        <v>4847</v>
      </c>
      <c r="H201" s="639">
        <v>180.75</v>
      </c>
      <c r="I201" s="474"/>
      <c r="J201" s="469">
        <v>2320.83</v>
      </c>
      <c r="K201" s="363">
        <f>J201/12</f>
        <v>193.4025</v>
      </c>
      <c r="L201" s="454"/>
      <c r="M201" s="191"/>
      <c r="N201" s="570"/>
    </row>
    <row r="202" spans="1:17" ht="30.75" customHeight="1">
      <c r="A202" s="279"/>
      <c r="B202" s="127"/>
      <c r="C202" s="68"/>
      <c r="F202" s="68"/>
      <c r="L202" s="454"/>
      <c r="M202" s="191"/>
      <c r="N202" s="570"/>
    </row>
    <row r="203" spans="1:17" ht="30.75" customHeight="1">
      <c r="A203" s="279" t="s">
        <v>0</v>
      </c>
      <c r="B203" s="127"/>
      <c r="C203" s="68"/>
      <c r="F203" s="68"/>
    </row>
    <row r="204" spans="1:17" ht="30.75" customHeight="1">
      <c r="A204" s="279" t="s">
        <v>1453</v>
      </c>
      <c r="B204" s="127" t="s">
        <v>4843</v>
      </c>
      <c r="C204" s="991" t="s">
        <v>4844</v>
      </c>
      <c r="D204" s="991"/>
      <c r="E204" s="991"/>
      <c r="F204" s="990"/>
    </row>
    <row r="205" spans="1:17" ht="30.75" customHeight="1" thickBot="1">
      <c r="F205" s="68"/>
      <c r="M205" s="190"/>
      <c r="N205" s="568"/>
    </row>
    <row r="206" spans="1:17" ht="30.75" customHeight="1">
      <c r="A206" s="1026" t="s">
        <v>1454</v>
      </c>
      <c r="B206" s="136" t="s">
        <v>2</v>
      </c>
      <c r="C206" s="48" t="s">
        <v>3</v>
      </c>
      <c r="D206" s="128" t="s">
        <v>4</v>
      </c>
      <c r="E206" s="77" t="s">
        <v>5</v>
      </c>
      <c r="F206" s="78" t="s">
        <v>5</v>
      </c>
      <c r="G206" s="211" t="s">
        <v>6</v>
      </c>
      <c r="H206" s="636" t="s">
        <v>7</v>
      </c>
      <c r="I206" s="470" t="s">
        <v>8</v>
      </c>
      <c r="J206" s="651" t="s">
        <v>9</v>
      </c>
      <c r="K206" s="367" t="s">
        <v>9</v>
      </c>
      <c r="M206" s="190"/>
      <c r="N206" s="568"/>
    </row>
    <row r="207" spans="1:17" ht="30.75" customHeight="1" thickBot="1">
      <c r="A207" s="1027"/>
      <c r="B207" s="137"/>
      <c r="C207" s="50"/>
      <c r="D207" s="129" t="s">
        <v>10</v>
      </c>
      <c r="E207" s="79" t="s">
        <v>12</v>
      </c>
      <c r="F207" s="80" t="s">
        <v>11</v>
      </c>
      <c r="G207" s="212"/>
      <c r="H207" s="637" t="s">
        <v>13</v>
      </c>
      <c r="I207" s="471"/>
      <c r="J207" s="652" t="s">
        <v>14</v>
      </c>
      <c r="K207" s="368" t="s">
        <v>15</v>
      </c>
    </row>
    <row r="208" spans="1:17" ht="30.75" customHeight="1">
      <c r="A208" s="406"/>
      <c r="B208" s="1075" t="s">
        <v>4877</v>
      </c>
      <c r="C208" s="1076" t="s">
        <v>262</v>
      </c>
      <c r="D208" s="1077" t="s">
        <v>23</v>
      </c>
      <c r="E208" s="1124">
        <v>143</v>
      </c>
      <c r="F208" s="1078"/>
      <c r="G208" s="1079" t="s">
        <v>4852</v>
      </c>
      <c r="H208" s="1080">
        <v>140</v>
      </c>
      <c r="I208" s="1081"/>
      <c r="J208" s="1082">
        <v>1671.77</v>
      </c>
      <c r="K208" s="1083">
        <v>139.32</v>
      </c>
    </row>
    <row r="209" spans="1:12" ht="30.75" customHeight="1">
      <c r="A209" s="406"/>
      <c r="B209" s="1075"/>
      <c r="C209" s="1076" t="s">
        <v>276</v>
      </c>
      <c r="D209" s="1077" t="s">
        <v>18</v>
      </c>
      <c r="E209" s="1124">
        <v>288</v>
      </c>
      <c r="F209" s="1078"/>
      <c r="G209" s="1079" t="s">
        <v>4878</v>
      </c>
      <c r="H209" s="1080">
        <v>261</v>
      </c>
      <c r="I209" s="1081" t="s">
        <v>4879</v>
      </c>
      <c r="J209" s="1082">
        <v>6702.48</v>
      </c>
      <c r="K209" s="1083">
        <v>279.27</v>
      </c>
    </row>
    <row r="210" spans="1:12" ht="30.75" customHeight="1">
      <c r="A210" s="406"/>
      <c r="B210" s="1084"/>
      <c r="C210" s="1085" t="s">
        <v>123</v>
      </c>
      <c r="D210" s="1086" t="s">
        <v>23</v>
      </c>
      <c r="E210" s="1125">
        <v>346</v>
      </c>
      <c r="F210" s="3760"/>
      <c r="G210" s="1079" t="s">
        <v>4880</v>
      </c>
      <c r="H210" s="1088">
        <v>341</v>
      </c>
      <c r="I210" s="1089" t="s">
        <v>4881</v>
      </c>
      <c r="J210" s="1090">
        <v>4061.88</v>
      </c>
      <c r="K210" s="1083">
        <v>338.49</v>
      </c>
    </row>
    <row r="211" spans="1:12" ht="30.75" customHeight="1">
      <c r="A211" s="406"/>
      <c r="B211" s="1091"/>
      <c r="C211" s="1085" t="s">
        <v>4760</v>
      </c>
      <c r="D211" s="1092" t="s">
        <v>30</v>
      </c>
      <c r="E211" s="1125">
        <v>1054</v>
      </c>
      <c r="F211" s="1405"/>
      <c r="G211" s="1079" t="s">
        <v>1493</v>
      </c>
      <c r="H211" s="1088">
        <v>1082.3800000000001</v>
      </c>
      <c r="I211" s="1093" t="s">
        <v>4882</v>
      </c>
      <c r="J211" s="1090">
        <v>4418.6000000000004</v>
      </c>
      <c r="K211" s="1083">
        <v>1104.6500000000001</v>
      </c>
    </row>
    <row r="212" spans="1:12" ht="30.75" customHeight="1">
      <c r="A212" s="406"/>
      <c r="B212" s="1094"/>
      <c r="C212" s="1085" t="s">
        <v>4762</v>
      </c>
      <c r="D212" s="1092" t="s">
        <v>30</v>
      </c>
      <c r="E212" s="1125">
        <v>1374</v>
      </c>
      <c r="F212" s="1405"/>
      <c r="G212" s="1079" t="s">
        <v>4883</v>
      </c>
      <c r="H212" s="1088">
        <v>1346.54</v>
      </c>
      <c r="I212" s="1093"/>
      <c r="J212" s="1090">
        <v>5198.3999999999996</v>
      </c>
      <c r="K212" s="1083">
        <v>1440.8</v>
      </c>
    </row>
    <row r="213" spans="1:12" ht="30.75" customHeight="1">
      <c r="A213" s="406"/>
      <c r="B213" s="1075" t="s">
        <v>4884</v>
      </c>
      <c r="C213" s="1076" t="s">
        <v>276</v>
      </c>
      <c r="D213" s="1077" t="s">
        <v>18</v>
      </c>
      <c r="E213" s="1124">
        <v>237</v>
      </c>
      <c r="F213" s="1078"/>
      <c r="G213" s="1079" t="s">
        <v>4885</v>
      </c>
      <c r="H213" s="1080"/>
      <c r="I213" s="1081"/>
      <c r="J213" s="1082">
        <v>5556.24</v>
      </c>
      <c r="K213" s="1083">
        <v>231.51</v>
      </c>
    </row>
    <row r="214" spans="1:12" ht="30.75" customHeight="1">
      <c r="A214" s="406"/>
      <c r="B214" s="1084"/>
      <c r="C214" s="1085" t="s">
        <v>123</v>
      </c>
      <c r="D214" s="1086" t="s">
        <v>23</v>
      </c>
      <c r="E214" s="1125">
        <v>308</v>
      </c>
      <c r="F214" s="1087"/>
      <c r="G214" s="1079" t="s">
        <v>4886</v>
      </c>
      <c r="H214" s="1088">
        <v>301.58</v>
      </c>
      <c r="I214" s="3761"/>
      <c r="J214" s="1090">
        <v>3872.31</v>
      </c>
      <c r="K214" s="1083">
        <v>322.69</v>
      </c>
    </row>
    <row r="215" spans="1:12" ht="30.75" customHeight="1">
      <c r="A215" s="406"/>
      <c r="B215" s="1084"/>
      <c r="C215" s="1085" t="s">
        <v>4887</v>
      </c>
      <c r="D215" s="1092" t="s">
        <v>30</v>
      </c>
      <c r="E215" s="1125">
        <v>911</v>
      </c>
      <c r="F215" s="1087"/>
      <c r="G215" s="1079" t="s">
        <v>4852</v>
      </c>
      <c r="H215" s="1088">
        <v>892.38</v>
      </c>
      <c r="I215" s="1089"/>
      <c r="J215" s="1090">
        <v>3552.03</v>
      </c>
      <c r="K215" s="1083">
        <v>888</v>
      </c>
    </row>
    <row r="216" spans="1:12" ht="30.75" customHeight="1">
      <c r="A216" s="406"/>
      <c r="B216" s="1084"/>
      <c r="C216" s="1085" t="s">
        <v>4762</v>
      </c>
      <c r="D216" s="1092" t="s">
        <v>30</v>
      </c>
      <c r="E216" s="1126">
        <v>1187</v>
      </c>
      <c r="F216" s="1097"/>
      <c r="G216" s="1079" t="s">
        <v>4888</v>
      </c>
      <c r="H216" s="1088">
        <v>1237.8499999999999</v>
      </c>
      <c r="I216" s="1089"/>
      <c r="J216" s="1090">
        <v>4979.12</v>
      </c>
      <c r="K216" s="1083">
        <v>1244.78</v>
      </c>
    </row>
    <row r="217" spans="1:12" ht="30.75" customHeight="1">
      <c r="A217" s="406"/>
      <c r="B217" s="1084"/>
      <c r="C217" s="1085" t="s">
        <v>29</v>
      </c>
      <c r="D217" s="1092" t="s">
        <v>30</v>
      </c>
      <c r="E217" s="1126">
        <v>1445</v>
      </c>
      <c r="F217" s="1097"/>
      <c r="G217" s="1079" t="s">
        <v>4888</v>
      </c>
      <c r="H217" s="1088"/>
      <c r="I217" s="1089"/>
      <c r="J217" s="1090">
        <v>6062.88</v>
      </c>
      <c r="K217" s="1083">
        <v>1515.72</v>
      </c>
    </row>
    <row r="218" spans="1:12" ht="30.75" customHeight="1">
      <c r="A218" s="406"/>
      <c r="B218" s="788" t="s">
        <v>4889</v>
      </c>
      <c r="C218" s="320" t="s">
        <v>123</v>
      </c>
      <c r="D218" s="531" t="s">
        <v>23</v>
      </c>
      <c r="E218" s="1412">
        <v>254</v>
      </c>
      <c r="F218" s="3762"/>
      <c r="G218" s="223" t="s">
        <v>4847</v>
      </c>
      <c r="H218" s="648">
        <v>229.92</v>
      </c>
      <c r="I218" s="554"/>
      <c r="J218" s="659">
        <v>2952.12</v>
      </c>
      <c r="K218" s="646">
        <v>246.01</v>
      </c>
    </row>
    <row r="219" spans="1:12" ht="30.75" customHeight="1">
      <c r="A219" s="406"/>
      <c r="B219" s="139"/>
      <c r="C219" s="101" t="s">
        <v>4760</v>
      </c>
      <c r="D219" s="462" t="s">
        <v>30</v>
      </c>
      <c r="E219" s="1412">
        <v>667</v>
      </c>
      <c r="F219" s="3762"/>
      <c r="G219" s="206" t="s">
        <v>4847</v>
      </c>
      <c r="H219" s="639">
        <v>657.77</v>
      </c>
      <c r="I219" s="796"/>
      <c r="J219" s="469">
        <v>2618.1999999999998</v>
      </c>
      <c r="K219" s="363">
        <v>654.54999999999995</v>
      </c>
    </row>
    <row r="220" spans="1:12" ht="30.75" customHeight="1">
      <c r="A220" s="406"/>
      <c r="B220" s="551"/>
      <c r="C220" s="320" t="s">
        <v>4762</v>
      </c>
      <c r="D220" s="531" t="s">
        <v>30</v>
      </c>
      <c r="E220" s="1412">
        <v>935</v>
      </c>
      <c r="F220" s="3762"/>
      <c r="G220" s="223" t="s">
        <v>4847</v>
      </c>
      <c r="H220" s="648">
        <v>857.16</v>
      </c>
      <c r="I220" s="554"/>
      <c r="J220" s="659">
        <v>3668.64</v>
      </c>
      <c r="K220" s="646">
        <v>917.16</v>
      </c>
    </row>
    <row r="221" spans="1:12" ht="30.75" customHeight="1">
      <c r="A221" s="406"/>
      <c r="B221" s="788"/>
      <c r="C221" s="320" t="s">
        <v>29</v>
      </c>
      <c r="D221" s="531" t="s">
        <v>30</v>
      </c>
      <c r="E221" s="1412">
        <v>1072</v>
      </c>
      <c r="F221" s="3762"/>
      <c r="G221" s="223" t="s">
        <v>4847</v>
      </c>
      <c r="H221" s="648"/>
      <c r="I221" s="554"/>
      <c r="J221" s="659">
        <v>4209.4399999999996</v>
      </c>
      <c r="K221" s="646">
        <v>1052.3599999999999</v>
      </c>
    </row>
    <row r="222" spans="1:12" ht="30.75" customHeight="1">
      <c r="A222" s="406"/>
      <c r="B222" s="466" t="s">
        <v>4890</v>
      </c>
      <c r="C222" s="320" t="s">
        <v>123</v>
      </c>
      <c r="D222" s="531" t="s">
        <v>23</v>
      </c>
      <c r="E222" s="1412">
        <v>234</v>
      </c>
      <c r="F222" s="3762"/>
      <c r="G222" s="223" t="s">
        <v>4868</v>
      </c>
      <c r="H222" s="648">
        <v>229.92</v>
      </c>
      <c r="I222" s="554" t="s">
        <v>4891</v>
      </c>
      <c r="J222" s="659">
        <v>2725</v>
      </c>
      <c r="K222" s="646">
        <v>227</v>
      </c>
    </row>
    <row r="223" spans="1:12" ht="30.75" customHeight="1">
      <c r="A223" s="406"/>
      <c r="B223" s="466"/>
      <c r="C223" s="101" t="s">
        <v>4760</v>
      </c>
      <c r="D223" s="462" t="s">
        <v>30</v>
      </c>
      <c r="E223" s="1412">
        <v>667</v>
      </c>
      <c r="F223" s="3762"/>
      <c r="G223" s="206" t="s">
        <v>4847</v>
      </c>
      <c r="H223" s="639">
        <v>657.77</v>
      </c>
      <c r="I223" s="796"/>
      <c r="J223" s="469">
        <v>2618.1999999999998</v>
      </c>
      <c r="K223" s="363">
        <v>654.54999999999995</v>
      </c>
    </row>
    <row r="224" spans="1:12" ht="30.75" customHeight="1">
      <c r="A224" s="406"/>
      <c r="B224" s="105"/>
      <c r="C224" s="320" t="s">
        <v>4762</v>
      </c>
      <c r="D224" s="531" t="s">
        <v>30</v>
      </c>
      <c r="E224" s="1412">
        <v>935</v>
      </c>
      <c r="F224" s="3762"/>
      <c r="G224" s="223" t="s">
        <v>4847</v>
      </c>
      <c r="H224" s="648">
        <v>857.16</v>
      </c>
      <c r="I224" s="554"/>
      <c r="J224" s="659">
        <v>3668.64</v>
      </c>
      <c r="K224" s="646">
        <v>917.16</v>
      </c>
      <c r="L224" s="366" t="s">
        <v>4892</v>
      </c>
    </row>
    <row r="225" spans="1:32" ht="30.75" customHeight="1" thickBot="1">
      <c r="A225" s="406"/>
      <c r="B225" s="2206"/>
      <c r="C225" s="320" t="s">
        <v>29</v>
      </c>
      <c r="D225" s="531" t="s">
        <v>30</v>
      </c>
      <c r="E225" s="1412">
        <v>1072</v>
      </c>
      <c r="F225" s="3762"/>
      <c r="G225" s="223" t="s">
        <v>4847</v>
      </c>
      <c r="H225" s="648"/>
      <c r="I225" s="554"/>
      <c r="J225" s="659">
        <v>4209.4399999999996</v>
      </c>
      <c r="K225" s="646">
        <v>1052.3599999999999</v>
      </c>
    </row>
    <row r="226" spans="1:32" ht="30.75" customHeight="1">
      <c r="A226" s="406"/>
      <c r="B226" s="2120" t="s">
        <v>4893</v>
      </c>
      <c r="C226" s="661" t="s">
        <v>4894</v>
      </c>
      <c r="D226" s="797" t="s">
        <v>23</v>
      </c>
      <c r="E226" s="1122">
        <v>222</v>
      </c>
      <c r="F226" s="3763"/>
      <c r="G226" s="799" t="s">
        <v>4852</v>
      </c>
      <c r="H226" s="800">
        <v>217.07</v>
      </c>
      <c r="I226" s="1410" t="s">
        <v>2355</v>
      </c>
      <c r="J226" s="801">
        <v>2592</v>
      </c>
      <c r="K226" s="802">
        <v>216</v>
      </c>
    </row>
    <row r="227" spans="1:32" ht="30.75" customHeight="1">
      <c r="A227" s="406"/>
      <c r="B227" s="803"/>
      <c r="C227" s="661" t="s">
        <v>123</v>
      </c>
      <c r="D227" s="797" t="s">
        <v>23</v>
      </c>
      <c r="E227" s="1122">
        <v>572</v>
      </c>
      <c r="F227" s="3763"/>
      <c r="G227" s="907" t="s">
        <v>4789</v>
      </c>
      <c r="H227" s="800">
        <v>519.91</v>
      </c>
      <c r="I227" s="1410"/>
      <c r="J227" s="801">
        <v>6676</v>
      </c>
      <c r="K227" s="802">
        <v>556.29999999999995</v>
      </c>
    </row>
    <row r="228" spans="1:32" ht="30.75" customHeight="1">
      <c r="A228" s="766"/>
      <c r="B228" s="804"/>
      <c r="C228" s="661" t="s">
        <v>4760</v>
      </c>
      <c r="D228" s="797" t="s">
        <v>30</v>
      </c>
      <c r="E228" s="1122">
        <v>1582</v>
      </c>
      <c r="F228" s="798"/>
      <c r="G228" s="799" t="s">
        <v>4852</v>
      </c>
      <c r="H228" s="800">
        <v>1557.95</v>
      </c>
      <c r="I228" s="1411"/>
      <c r="J228" s="801">
        <v>6201.24</v>
      </c>
      <c r="K228" s="802">
        <v>1550.31</v>
      </c>
    </row>
    <row r="229" spans="1:32" ht="30.75" customHeight="1">
      <c r="A229" s="766"/>
      <c r="B229" s="1683"/>
      <c r="C229" s="661" t="s">
        <v>4762</v>
      </c>
      <c r="D229" s="797" t="s">
        <v>30</v>
      </c>
      <c r="E229" s="1123">
        <v>2051</v>
      </c>
      <c r="F229" s="1633"/>
      <c r="G229" s="799" t="s">
        <v>4883</v>
      </c>
      <c r="H229" s="800">
        <v>1891.49</v>
      </c>
      <c r="I229" s="3764" t="s">
        <v>4895</v>
      </c>
      <c r="J229" s="801">
        <v>8640</v>
      </c>
      <c r="K229" s="802">
        <v>2160</v>
      </c>
    </row>
    <row r="230" spans="1:32" ht="30.75" customHeight="1">
      <c r="A230" s="406"/>
      <c r="B230" s="2248" t="s">
        <v>4896</v>
      </c>
      <c r="C230" s="661" t="s">
        <v>123</v>
      </c>
      <c r="D230" s="797" t="s">
        <v>23</v>
      </c>
      <c r="E230" s="1122">
        <v>431</v>
      </c>
      <c r="F230" s="3763"/>
      <c r="G230" s="799" t="s">
        <v>4897</v>
      </c>
      <c r="H230" s="800">
        <v>434.3</v>
      </c>
      <c r="I230" s="1410" t="s">
        <v>2355</v>
      </c>
      <c r="J230" s="801">
        <v>5057.3999999999996</v>
      </c>
      <c r="K230" s="802">
        <v>421.45</v>
      </c>
      <c r="AF230" s="76" t="s">
        <v>4898</v>
      </c>
    </row>
    <row r="231" spans="1:32" ht="30.75" customHeight="1">
      <c r="A231" s="999"/>
      <c r="B231" s="803"/>
      <c r="C231" s="661" t="s">
        <v>4760</v>
      </c>
      <c r="D231" s="797" t="s">
        <v>30</v>
      </c>
      <c r="E231" s="1122">
        <v>1289</v>
      </c>
      <c r="F231" s="798"/>
      <c r="G231" s="799" t="s">
        <v>4852</v>
      </c>
      <c r="H231" s="800">
        <v>1269.5</v>
      </c>
      <c r="I231" s="1410" t="s">
        <v>2355</v>
      </c>
      <c r="J231" s="801">
        <v>5053.09</v>
      </c>
      <c r="K231" s="802">
        <v>1263.27</v>
      </c>
    </row>
    <row r="232" spans="1:32" ht="30.75" customHeight="1">
      <c r="A232" s="999"/>
      <c r="B232" s="804"/>
      <c r="C232" s="661" t="s">
        <v>4762</v>
      </c>
      <c r="D232" s="797" t="s">
        <v>30</v>
      </c>
      <c r="E232" s="1123">
        <v>2452</v>
      </c>
      <c r="F232" s="1633"/>
      <c r="G232" s="799" t="s">
        <v>4899</v>
      </c>
      <c r="H232" s="800">
        <v>1661.13</v>
      </c>
      <c r="I232" s="1411" t="s">
        <v>4900</v>
      </c>
      <c r="J232" s="801">
        <v>7109.63</v>
      </c>
      <c r="K232" s="802">
        <v>1790.5</v>
      </c>
    </row>
    <row r="233" spans="1:32" ht="30.75" customHeight="1">
      <c r="A233" s="770"/>
      <c r="B233" s="803"/>
      <c r="C233" s="661" t="s">
        <v>29</v>
      </c>
      <c r="D233" s="797" t="s">
        <v>30</v>
      </c>
      <c r="E233" s="1122">
        <v>2259</v>
      </c>
      <c r="F233" s="798"/>
      <c r="G233" s="799" t="s">
        <v>4883</v>
      </c>
      <c r="H233" s="800"/>
      <c r="I233" s="1411"/>
      <c r="J233" s="801">
        <v>8868</v>
      </c>
      <c r="K233" s="802">
        <v>2217</v>
      </c>
    </row>
    <row r="234" spans="1:32" ht="30.75" customHeight="1">
      <c r="A234" s="406"/>
      <c r="B234" s="804" t="s">
        <v>4901</v>
      </c>
      <c r="C234" s="661" t="s">
        <v>123</v>
      </c>
      <c r="D234" s="797" t="s">
        <v>23</v>
      </c>
      <c r="E234" s="1123">
        <v>341</v>
      </c>
      <c r="F234" s="1633"/>
      <c r="G234" s="799" t="s">
        <v>4902</v>
      </c>
      <c r="H234" s="800">
        <v>309.35000000000002</v>
      </c>
      <c r="I234" s="1634"/>
      <c r="J234" s="801">
        <v>3972.01</v>
      </c>
      <c r="K234" s="802">
        <v>331</v>
      </c>
    </row>
    <row r="235" spans="1:32" ht="30.75" customHeight="1">
      <c r="A235" s="773"/>
      <c r="B235" s="806"/>
      <c r="C235" s="661" t="s">
        <v>4760</v>
      </c>
      <c r="D235" s="807" t="s">
        <v>30</v>
      </c>
      <c r="E235" s="448">
        <v>950</v>
      </c>
      <c r="F235" s="1633"/>
      <c r="G235" s="799" t="s">
        <v>4852</v>
      </c>
      <c r="H235" s="800">
        <v>911.88</v>
      </c>
      <c r="I235" s="805"/>
      <c r="J235" s="801">
        <v>3695.2</v>
      </c>
      <c r="K235" s="808">
        <v>923.8</v>
      </c>
    </row>
    <row r="236" spans="1:32" ht="30.75" customHeight="1">
      <c r="A236" s="773"/>
      <c r="B236" s="806"/>
      <c r="C236" s="661" t="s">
        <v>4762</v>
      </c>
      <c r="D236" s="807" t="s">
        <v>30</v>
      </c>
      <c r="E236" s="448">
        <v>1267</v>
      </c>
      <c r="F236" s="1633"/>
      <c r="G236" s="799" t="s">
        <v>4883</v>
      </c>
      <c r="H236" s="800">
        <v>1129.97</v>
      </c>
      <c r="I236" s="805"/>
      <c r="J236" s="801">
        <v>4980.3599999999997</v>
      </c>
      <c r="K236" s="808">
        <v>1245.0899999999999</v>
      </c>
    </row>
    <row r="237" spans="1:32" ht="30.75" customHeight="1">
      <c r="A237" s="770"/>
      <c r="B237" s="806"/>
      <c r="C237" s="661" t="s">
        <v>29</v>
      </c>
      <c r="D237" s="807" t="s">
        <v>30</v>
      </c>
      <c r="E237" s="448">
        <v>1560</v>
      </c>
      <c r="F237" s="1633"/>
      <c r="G237" s="799" t="s">
        <v>4903</v>
      </c>
      <c r="H237" s="800">
        <v>1423.4</v>
      </c>
      <c r="I237" s="805" t="s">
        <v>4904</v>
      </c>
      <c r="J237" s="801">
        <v>6121.04</v>
      </c>
      <c r="K237" s="808">
        <v>1530.26</v>
      </c>
    </row>
    <row r="238" spans="1:32" ht="30.75" customHeight="1" thickBot="1">
      <c r="A238" s="1028"/>
      <c r="B238" s="1683" t="s">
        <v>4905</v>
      </c>
      <c r="C238" s="661" t="s">
        <v>123</v>
      </c>
      <c r="D238" s="797" t="s">
        <v>23</v>
      </c>
      <c r="E238" s="1123">
        <v>341</v>
      </c>
      <c r="F238" s="1633"/>
      <c r="G238" s="799" t="s">
        <v>4902</v>
      </c>
      <c r="H238" s="800">
        <v>309.35000000000002</v>
      </c>
      <c r="I238" s="1634"/>
      <c r="J238" s="801">
        <v>3972.01</v>
      </c>
      <c r="K238" s="802">
        <v>331</v>
      </c>
    </row>
    <row r="239" spans="1:32" ht="30.75" customHeight="1">
      <c r="A239" s="1019"/>
      <c r="B239" s="806"/>
      <c r="C239" s="661" t="s">
        <v>4760</v>
      </c>
      <c r="D239" s="807" t="s">
        <v>30</v>
      </c>
      <c r="E239" s="448">
        <v>942</v>
      </c>
      <c r="F239" s="1633">
        <v>975</v>
      </c>
      <c r="G239" s="799" t="s">
        <v>4906</v>
      </c>
      <c r="H239" s="800">
        <v>911.88</v>
      </c>
      <c r="I239" s="805" t="s">
        <v>4907</v>
      </c>
      <c r="J239" s="801">
        <v>3695.2</v>
      </c>
      <c r="K239" s="808">
        <v>923.8</v>
      </c>
    </row>
    <row r="240" spans="1:32" ht="30.75" customHeight="1">
      <c r="A240" s="1019"/>
      <c r="B240" s="806"/>
      <c r="C240" s="661" t="s">
        <v>4762</v>
      </c>
      <c r="D240" s="807" t="s">
        <v>30</v>
      </c>
      <c r="E240" s="448">
        <v>1267</v>
      </c>
      <c r="F240" s="1633"/>
      <c r="G240" s="799" t="s">
        <v>4883</v>
      </c>
      <c r="H240" s="800">
        <v>1129.97</v>
      </c>
      <c r="I240" s="805"/>
      <c r="J240" s="801">
        <v>4980.3599999999997</v>
      </c>
      <c r="K240" s="808">
        <v>1245.0899999999999</v>
      </c>
    </row>
    <row r="241" spans="1:16" ht="30.75" customHeight="1">
      <c r="A241" s="1019"/>
      <c r="B241" s="806"/>
      <c r="C241" s="661" t="s">
        <v>29</v>
      </c>
      <c r="D241" s="807" t="s">
        <v>30</v>
      </c>
      <c r="E241" s="448">
        <v>1560</v>
      </c>
      <c r="F241" s="1633"/>
      <c r="G241" s="799" t="s">
        <v>4903</v>
      </c>
      <c r="H241" s="800">
        <v>1423.4</v>
      </c>
      <c r="I241" s="805" t="s">
        <v>4904</v>
      </c>
      <c r="J241" s="801">
        <v>6121.04</v>
      </c>
      <c r="K241" s="808">
        <v>1530.26</v>
      </c>
    </row>
    <row r="242" spans="1:16" ht="30.75" customHeight="1">
      <c r="A242" s="279"/>
      <c r="B242" s="127"/>
      <c r="C242" s="68"/>
      <c r="F242" s="68"/>
    </row>
    <row r="243" spans="1:16" ht="30.75" customHeight="1">
      <c r="A243" s="279" t="s">
        <v>4908</v>
      </c>
      <c r="B243" s="1067" t="s">
        <v>4909</v>
      </c>
      <c r="C243" s="1067"/>
      <c r="D243" s="1068"/>
      <c r="E243" s="1069"/>
      <c r="F243" s="1070"/>
    </row>
    <row r="244" spans="1:16" ht="30.75" customHeight="1" thickBot="1">
      <c r="A244" s="1023"/>
      <c r="B244" s="232"/>
      <c r="C244" s="360"/>
      <c r="D244" s="361"/>
      <c r="E244" s="231"/>
      <c r="F244" s="231"/>
      <c r="G244" s="231"/>
    </row>
    <row r="245" spans="1:16" ht="30.75" customHeight="1">
      <c r="A245" s="3481" t="s">
        <v>2</v>
      </c>
      <c r="B245" s="3482"/>
      <c r="C245" s="48" t="s">
        <v>3</v>
      </c>
      <c r="D245" s="128" t="s">
        <v>4</v>
      </c>
      <c r="E245" s="78" t="s">
        <v>5</v>
      </c>
      <c r="F245" s="78" t="s">
        <v>5</v>
      </c>
      <c r="G245" s="211" t="s">
        <v>6</v>
      </c>
      <c r="H245" s="636" t="s">
        <v>7</v>
      </c>
      <c r="I245" s="470" t="s">
        <v>1511</v>
      </c>
      <c r="J245" s="651" t="s">
        <v>9</v>
      </c>
      <c r="K245" s="367" t="s">
        <v>9</v>
      </c>
      <c r="M245" s="190"/>
      <c r="N245" s="568"/>
    </row>
    <row r="246" spans="1:16" ht="30.75" customHeight="1" thickBot="1">
      <c r="A246" s="1018"/>
      <c r="B246" s="494"/>
      <c r="C246" s="50"/>
      <c r="D246" s="129" t="s">
        <v>10</v>
      </c>
      <c r="E246" s="80" t="s">
        <v>11</v>
      </c>
      <c r="F246" s="80" t="s">
        <v>12</v>
      </c>
      <c r="G246" s="212"/>
      <c r="H246" s="637" t="s">
        <v>13</v>
      </c>
      <c r="I246" s="471" t="s">
        <v>1512</v>
      </c>
      <c r="J246" s="652" t="s">
        <v>14</v>
      </c>
      <c r="K246" s="368" t="s">
        <v>15</v>
      </c>
      <c r="M246" s="190"/>
      <c r="N246" s="568"/>
    </row>
    <row r="247" spans="1:16" ht="30.75" customHeight="1">
      <c r="A247" s="1024"/>
      <c r="B247" s="1679" t="s">
        <v>4910</v>
      </c>
      <c r="C247" s="1678"/>
      <c r="D247" s="124"/>
      <c r="E247" s="392"/>
      <c r="F247" s="61"/>
      <c r="G247" s="206"/>
      <c r="H247" s="150"/>
      <c r="I247" s="115"/>
      <c r="J247" s="644"/>
      <c r="K247" s="365"/>
      <c r="L247" s="427"/>
      <c r="O247" s="565">
        <v>7.0000000000000007E-2</v>
      </c>
      <c r="P247" s="566">
        <f t="shared" ref="P247:P274" si="13">(N247*O247)+N247</f>
        <v>0</v>
      </c>
    </row>
    <row r="248" spans="1:16" ht="30.75" customHeight="1">
      <c r="A248" s="398"/>
      <c r="B248" s="912" t="s">
        <v>1437</v>
      </c>
      <c r="C248" s="913" t="s">
        <v>297</v>
      </c>
      <c r="D248" s="914" t="s">
        <v>18</v>
      </c>
      <c r="E248" s="915">
        <v>227</v>
      </c>
      <c r="F248" s="916"/>
      <c r="G248" s="923" t="s">
        <v>1438</v>
      </c>
      <c r="H248" s="918">
        <v>4952</v>
      </c>
      <c r="I248" s="1751"/>
      <c r="J248" s="920">
        <v>5298.64</v>
      </c>
      <c r="K248" s="922">
        <v>220.77</v>
      </c>
      <c r="L248" s="427"/>
      <c r="O248" s="565">
        <v>7.0000000000000007E-2</v>
      </c>
      <c r="P248" s="566">
        <f t="shared" si="13"/>
        <v>0</v>
      </c>
    </row>
    <row r="249" spans="1:16" ht="30.75" customHeight="1">
      <c r="A249" s="398"/>
      <c r="B249" s="912" t="s">
        <v>1437</v>
      </c>
      <c r="C249" s="913" t="s">
        <v>123</v>
      </c>
      <c r="D249" s="914" t="s">
        <v>23</v>
      </c>
      <c r="E249" s="915">
        <v>355</v>
      </c>
      <c r="F249" s="916"/>
      <c r="G249" s="923" t="s">
        <v>1439</v>
      </c>
      <c r="H249" s="918">
        <v>3871</v>
      </c>
      <c r="I249" s="919" t="s">
        <v>1363</v>
      </c>
      <c r="J249" s="920">
        <v>3123.87</v>
      </c>
      <c r="K249" s="922">
        <v>341.71</v>
      </c>
      <c r="L249" s="427"/>
      <c r="O249" s="565">
        <v>7.0000000000000007E-2</v>
      </c>
      <c r="P249" s="566">
        <f t="shared" si="13"/>
        <v>0</v>
      </c>
    </row>
    <row r="250" spans="1:16" ht="30.75" customHeight="1">
      <c r="A250" s="398"/>
      <c r="B250" s="1651" t="s">
        <v>4911</v>
      </c>
      <c r="C250" s="1650" t="s">
        <v>4912</v>
      </c>
      <c r="D250" s="914" t="s">
        <v>23</v>
      </c>
      <c r="E250" s="915">
        <v>269</v>
      </c>
      <c r="F250" s="916"/>
      <c r="G250" s="923" t="s">
        <v>1501</v>
      </c>
      <c r="H250" s="918">
        <v>2949</v>
      </c>
      <c r="I250" s="919" t="s">
        <v>1363</v>
      </c>
      <c r="J250" s="920">
        <v>3123</v>
      </c>
      <c r="K250" s="922">
        <v>260.32</v>
      </c>
      <c r="L250" s="427"/>
      <c r="O250" s="565">
        <v>7.0000000000000007E-2</v>
      </c>
      <c r="P250" s="566">
        <f t="shared" si="13"/>
        <v>0</v>
      </c>
    </row>
    <row r="251" spans="1:16" ht="30.75" customHeight="1">
      <c r="A251" s="398"/>
      <c r="B251" s="1651" t="s">
        <v>4911</v>
      </c>
      <c r="C251" s="1650" t="s">
        <v>4912</v>
      </c>
      <c r="D251" s="914" t="s">
        <v>23</v>
      </c>
      <c r="E251" s="915">
        <v>260</v>
      </c>
      <c r="F251" s="916"/>
      <c r="G251" s="923" t="s">
        <v>4913</v>
      </c>
      <c r="H251" s="918">
        <v>2949</v>
      </c>
      <c r="I251" s="919" t="s">
        <v>4914</v>
      </c>
      <c r="J251" s="920">
        <v>2975.67</v>
      </c>
      <c r="K251" s="922">
        <v>247.98</v>
      </c>
      <c r="O251" s="565">
        <v>7.0000000000000007E-2</v>
      </c>
      <c r="P251" s="566">
        <f t="shared" si="13"/>
        <v>0</v>
      </c>
    </row>
    <row r="252" spans="1:16" ht="30.75" customHeight="1">
      <c r="A252" s="398"/>
      <c r="B252" s="775" t="s">
        <v>1440</v>
      </c>
      <c r="C252" s="903" t="s">
        <v>256</v>
      </c>
      <c r="D252" s="904" t="s">
        <v>18</v>
      </c>
      <c r="E252" s="905">
        <v>79</v>
      </c>
      <c r="F252" s="906"/>
      <c r="G252" s="907" t="s">
        <v>1439</v>
      </c>
      <c r="H252" s="908">
        <v>1680</v>
      </c>
      <c r="I252" s="909" t="s">
        <v>1363</v>
      </c>
      <c r="J252" s="910">
        <v>1779.63</v>
      </c>
      <c r="K252" s="911">
        <v>74.16</v>
      </c>
      <c r="O252" s="565">
        <v>7.0000000000000007E-2</v>
      </c>
      <c r="P252" s="566">
        <f t="shared" si="13"/>
        <v>0</v>
      </c>
    </row>
    <row r="253" spans="1:16" ht="30.75" customHeight="1">
      <c r="A253" s="398"/>
      <c r="B253" s="775" t="s">
        <v>1440</v>
      </c>
      <c r="C253" s="903" t="s">
        <v>297</v>
      </c>
      <c r="D253" s="904" t="s">
        <v>18</v>
      </c>
      <c r="E253" s="905">
        <v>149</v>
      </c>
      <c r="F253" s="906" t="s">
        <v>1357</v>
      </c>
      <c r="G253" s="907" t="s">
        <v>1909</v>
      </c>
      <c r="H253" s="908">
        <v>3237</v>
      </c>
      <c r="I253" s="1750"/>
      <c r="J253" s="910">
        <v>3463.59</v>
      </c>
      <c r="K253" s="911">
        <v>144.31</v>
      </c>
      <c r="L253" s="427"/>
    </row>
    <row r="254" spans="1:16" ht="30.75" customHeight="1">
      <c r="A254" s="398"/>
      <c r="B254" s="775" t="s">
        <v>1440</v>
      </c>
      <c r="C254" s="903" t="s">
        <v>2321</v>
      </c>
      <c r="D254" s="904" t="s">
        <v>23</v>
      </c>
      <c r="E254" s="905">
        <v>327</v>
      </c>
      <c r="F254" s="906"/>
      <c r="G254" s="907" t="s">
        <v>4915</v>
      </c>
      <c r="H254" s="908">
        <v>3557.94</v>
      </c>
      <c r="I254" s="909"/>
      <c r="J254" s="910">
        <v>3806.99</v>
      </c>
      <c r="K254" s="911">
        <v>317.25</v>
      </c>
      <c r="O254" s="565">
        <v>7.0000000000000007E-2</v>
      </c>
      <c r="P254" s="566">
        <f t="shared" si="13"/>
        <v>0</v>
      </c>
    </row>
    <row r="255" spans="1:16" ht="30.75" customHeight="1">
      <c r="A255" s="398"/>
      <c r="B255" s="775" t="s">
        <v>1445</v>
      </c>
      <c r="C255" s="903" t="s">
        <v>1509</v>
      </c>
      <c r="D255" s="904" t="s">
        <v>27</v>
      </c>
      <c r="E255" s="905">
        <v>422</v>
      </c>
      <c r="F255" s="906"/>
      <c r="G255" s="907" t="s">
        <v>3244</v>
      </c>
      <c r="H255" s="908">
        <v>3060.75</v>
      </c>
      <c r="I255" s="909"/>
      <c r="J255" s="910">
        <v>3275</v>
      </c>
      <c r="K255" s="911">
        <v>409.38</v>
      </c>
      <c r="L255" s="725"/>
      <c r="O255" s="565">
        <v>7.0000000000000007E-2</v>
      </c>
      <c r="P255" s="566">
        <f t="shared" si="13"/>
        <v>0</v>
      </c>
    </row>
    <row r="256" spans="1:16" ht="30.75" customHeight="1">
      <c r="A256" s="398"/>
      <c r="B256" s="1652" t="s">
        <v>4916</v>
      </c>
      <c r="C256" s="1680" t="s">
        <v>1447</v>
      </c>
      <c r="D256" s="904" t="s">
        <v>23</v>
      </c>
      <c r="E256" s="905">
        <v>187</v>
      </c>
      <c r="F256" s="906"/>
      <c r="G256" s="907" t="s">
        <v>4917</v>
      </c>
      <c r="H256" s="908">
        <v>2031</v>
      </c>
      <c r="I256" s="2242" t="s">
        <v>4918</v>
      </c>
      <c r="J256" s="910">
        <v>2173.17</v>
      </c>
      <c r="K256" s="911">
        <v>181.09</v>
      </c>
      <c r="O256" s="565">
        <v>7.0000000000000007E-2</v>
      </c>
      <c r="P256" s="566">
        <f t="shared" si="13"/>
        <v>0</v>
      </c>
    </row>
    <row r="257" spans="1:16" ht="30.75" customHeight="1">
      <c r="A257" s="398"/>
      <c r="B257" s="899" t="s">
        <v>4919</v>
      </c>
      <c r="C257" s="2055" t="s">
        <v>4920</v>
      </c>
      <c r="D257" s="1645" t="s">
        <v>23</v>
      </c>
      <c r="E257" s="1646">
        <v>202</v>
      </c>
      <c r="F257" s="978"/>
      <c r="G257" s="979" t="s">
        <v>4492</v>
      </c>
      <c r="H257" s="977">
        <v>2194</v>
      </c>
      <c r="I257" s="909"/>
      <c r="J257" s="1159">
        <v>2347.58</v>
      </c>
      <c r="K257" s="980">
        <v>195.63</v>
      </c>
      <c r="O257" s="565">
        <v>7.0000000000000007E-2</v>
      </c>
      <c r="P257" s="566">
        <f t="shared" si="13"/>
        <v>0</v>
      </c>
    </row>
    <row r="258" spans="1:16" ht="30.75" customHeight="1">
      <c r="A258" s="398"/>
      <c r="B258" s="43"/>
      <c r="C258" s="74"/>
      <c r="D258" s="516"/>
      <c r="E258" s="243"/>
      <c r="F258" s="61"/>
      <c r="G258" s="248"/>
      <c r="H258" s="150"/>
      <c r="I258" s="115"/>
      <c r="J258" s="644"/>
      <c r="K258" s="394"/>
      <c r="L258" s="427"/>
      <c r="O258" s="565">
        <v>7.0000000000000007E-2</v>
      </c>
      <c r="P258" s="566">
        <f t="shared" si="13"/>
        <v>0</v>
      </c>
    </row>
    <row r="259" spans="1:16" ht="30.75" customHeight="1">
      <c r="A259" s="398"/>
      <c r="B259" s="43"/>
      <c r="C259" s="74"/>
      <c r="D259" s="516"/>
      <c r="E259" s="243"/>
      <c r="F259" s="61"/>
      <c r="G259" s="248"/>
      <c r="H259" s="150"/>
      <c r="I259" s="115"/>
      <c r="J259" s="644"/>
      <c r="K259" s="365"/>
      <c r="O259" s="565">
        <v>7.0000000000000007E-2</v>
      </c>
      <c r="P259" s="566">
        <f t="shared" si="13"/>
        <v>0</v>
      </c>
    </row>
    <row r="260" spans="1:16" ht="30.75" customHeight="1">
      <c r="A260" s="398"/>
      <c r="B260" s="43"/>
      <c r="C260" s="74"/>
      <c r="D260" s="516"/>
      <c r="E260" s="61"/>
      <c r="F260" s="61"/>
      <c r="G260" s="248"/>
      <c r="H260" s="150"/>
      <c r="I260" s="115"/>
      <c r="J260" s="644"/>
      <c r="K260" s="365"/>
      <c r="O260" s="565">
        <v>7.0000000000000007E-2</v>
      </c>
      <c r="P260" s="566">
        <f t="shared" si="13"/>
        <v>0</v>
      </c>
    </row>
    <row r="261" spans="1:16" ht="30.75" customHeight="1">
      <c r="A261" s="398"/>
      <c r="B261" s="406"/>
      <c r="C261" s="224"/>
      <c r="D261" s="924"/>
      <c r="E261" s="61"/>
      <c r="F261" s="61"/>
      <c r="G261" s="223"/>
      <c r="H261" s="647"/>
      <c r="I261" s="925"/>
      <c r="J261" s="926"/>
      <c r="K261" s="378"/>
      <c r="O261" s="565">
        <v>7.0000000000000007E-2</v>
      </c>
      <c r="P261" s="566">
        <f t="shared" si="13"/>
        <v>0</v>
      </c>
    </row>
    <row r="262" spans="1:16" ht="30.75" customHeight="1">
      <c r="A262" s="398"/>
      <c r="B262" s="406"/>
      <c r="C262" s="224"/>
      <c r="D262" s="924"/>
      <c r="E262" s="61"/>
      <c r="F262" s="61"/>
      <c r="G262" s="223"/>
      <c r="H262" s="647"/>
      <c r="I262" s="925"/>
      <c r="J262" s="926"/>
      <c r="K262" s="378"/>
      <c r="O262" s="565">
        <v>7.0000000000000007E-2</v>
      </c>
      <c r="P262" s="566">
        <f t="shared" si="13"/>
        <v>0</v>
      </c>
    </row>
    <row r="263" spans="1:16" ht="30.75" customHeight="1">
      <c r="A263" s="398"/>
      <c r="B263" s="406"/>
      <c r="C263" s="224"/>
      <c r="D263" s="924"/>
      <c r="E263" s="61"/>
      <c r="F263" s="61"/>
      <c r="G263" s="223"/>
      <c r="H263" s="647"/>
      <c r="I263" s="925"/>
      <c r="J263" s="926"/>
      <c r="K263" s="378"/>
      <c r="O263" s="565">
        <v>7.0000000000000007E-2</v>
      </c>
      <c r="P263" s="566">
        <f t="shared" si="13"/>
        <v>0</v>
      </c>
    </row>
    <row r="264" spans="1:16" ht="30.75" customHeight="1">
      <c r="A264" s="398"/>
      <c r="B264" s="1336"/>
      <c r="C264" s="1473"/>
      <c r="D264" s="924"/>
      <c r="E264" s="61"/>
      <c r="F264" s="61"/>
      <c r="G264" s="223"/>
      <c r="H264" s="647"/>
      <c r="I264" s="925"/>
      <c r="J264" s="926"/>
      <c r="K264" s="378"/>
      <c r="O264" s="565">
        <v>7.0000000000000007E-2</v>
      </c>
      <c r="P264" s="566">
        <f t="shared" si="13"/>
        <v>0</v>
      </c>
    </row>
    <row r="265" spans="1:16" ht="30.75" customHeight="1">
      <c r="A265" s="398"/>
      <c r="B265" s="406"/>
      <c r="C265" s="224"/>
      <c r="D265" s="924"/>
      <c r="E265" s="61"/>
      <c r="F265" s="61"/>
      <c r="G265" s="223"/>
      <c r="H265" s="647"/>
      <c r="I265" s="925"/>
      <c r="J265" s="926"/>
      <c r="K265" s="378"/>
      <c r="O265" s="565">
        <v>7.0000000000000007E-2</v>
      </c>
      <c r="P265" s="566">
        <f t="shared" si="13"/>
        <v>0</v>
      </c>
    </row>
    <row r="266" spans="1:16" ht="30.75" customHeight="1">
      <c r="A266" s="398"/>
      <c r="B266" s="406"/>
      <c r="C266" s="224"/>
      <c r="D266" s="924"/>
      <c r="E266" s="61"/>
      <c r="F266" s="61"/>
      <c r="G266" s="223"/>
      <c r="H266" s="647"/>
      <c r="I266" s="925"/>
      <c r="J266" s="926"/>
      <c r="K266" s="378"/>
      <c r="O266" s="565">
        <v>7.0000000000000007E-2</v>
      </c>
      <c r="P266" s="566">
        <f t="shared" si="13"/>
        <v>0</v>
      </c>
    </row>
    <row r="267" spans="1:16" ht="30.75" customHeight="1">
      <c r="A267" s="438"/>
      <c r="B267" s="406"/>
      <c r="C267" s="224"/>
      <c r="D267" s="924"/>
      <c r="E267" s="61"/>
      <c r="F267" s="61"/>
      <c r="G267" s="223"/>
      <c r="H267" s="647"/>
      <c r="I267" s="925"/>
      <c r="J267" s="926"/>
      <c r="K267" s="378"/>
      <c r="O267" s="565">
        <v>7.0000000000000007E-2</v>
      </c>
      <c r="P267" s="566">
        <f t="shared" si="13"/>
        <v>0</v>
      </c>
    </row>
    <row r="268" spans="1:16" ht="30.75" customHeight="1">
      <c r="A268" s="438"/>
      <c r="B268" s="406"/>
      <c r="C268" s="224"/>
      <c r="D268" s="924"/>
      <c r="E268" s="61"/>
      <c r="F268" s="61"/>
      <c r="G268" s="223"/>
      <c r="H268" s="647"/>
      <c r="I268" s="925"/>
      <c r="J268" s="926"/>
      <c r="K268" s="378"/>
      <c r="O268" s="565">
        <v>7.0000000000000007E-2</v>
      </c>
      <c r="P268" s="566">
        <f t="shared" si="13"/>
        <v>0</v>
      </c>
    </row>
    <row r="269" spans="1:16" ht="30.75" customHeight="1">
      <c r="A269" s="398"/>
      <c r="B269" s="1336"/>
      <c r="C269" s="1681"/>
      <c r="D269" s="924"/>
      <c r="E269" s="61"/>
      <c r="F269" s="61"/>
      <c r="G269" s="223"/>
      <c r="H269" s="647"/>
      <c r="I269" s="925"/>
      <c r="J269" s="926"/>
      <c r="K269" s="378"/>
      <c r="O269" s="565">
        <v>7.0000000000000007E-2</v>
      </c>
      <c r="P269" s="566">
        <f t="shared" si="13"/>
        <v>0</v>
      </c>
    </row>
    <row r="270" spans="1:16" ht="30.75" customHeight="1">
      <c r="A270" s="998"/>
      <c r="B270" s="1336"/>
      <c r="C270" s="925"/>
      <c r="D270" s="924"/>
      <c r="E270" s="69"/>
      <c r="F270" s="69"/>
      <c r="G270" s="223"/>
      <c r="H270" s="647"/>
      <c r="I270" s="925"/>
      <c r="J270" s="926"/>
      <c r="K270" s="378"/>
      <c r="O270" s="565">
        <v>7.0000000000000007E-2</v>
      </c>
      <c r="P270" s="566">
        <f t="shared" si="13"/>
        <v>0</v>
      </c>
    </row>
    <row r="271" spans="1:16" ht="30.75" customHeight="1">
      <c r="A271" s="998"/>
      <c r="B271" s="139"/>
      <c r="C271" s="101"/>
      <c r="D271" s="132"/>
      <c r="E271" s="61"/>
      <c r="F271" s="61"/>
      <c r="G271" s="206"/>
      <c r="H271" s="150"/>
      <c r="I271" s="355"/>
      <c r="J271" s="653"/>
      <c r="K271" s="365"/>
      <c r="O271" s="565">
        <v>7.0000000000000007E-2</v>
      </c>
      <c r="P271" s="566">
        <f t="shared" si="13"/>
        <v>0</v>
      </c>
    </row>
    <row r="272" spans="1:16" ht="30.75" customHeight="1">
      <c r="A272" s="1019"/>
      <c r="B272" s="139"/>
      <c r="C272" s="101"/>
      <c r="D272" s="132"/>
      <c r="E272" s="61"/>
      <c r="F272" s="61"/>
      <c r="G272" s="206"/>
      <c r="H272" s="150"/>
      <c r="I272" s="355"/>
      <c r="J272" s="653"/>
      <c r="K272" s="365"/>
      <c r="O272" s="565">
        <v>7.0000000000000007E-2</v>
      </c>
      <c r="P272" s="566">
        <f t="shared" si="13"/>
        <v>0</v>
      </c>
    </row>
    <row r="273" spans="1:16" ht="30.75" customHeight="1">
      <c r="A273" s="398"/>
      <c r="B273" s="139"/>
      <c r="C273" s="101"/>
      <c r="D273" s="132"/>
      <c r="E273" s="61"/>
      <c r="F273" s="61"/>
      <c r="G273" s="215"/>
      <c r="H273" s="150"/>
      <c r="I273" s="359"/>
      <c r="J273" s="653"/>
      <c r="K273" s="365"/>
      <c r="O273" s="565">
        <v>7.0000000000000007E-2</v>
      </c>
      <c r="P273" s="566">
        <f t="shared" si="13"/>
        <v>0</v>
      </c>
    </row>
    <row r="274" spans="1:16" ht="30.75" customHeight="1">
      <c r="A274" s="772"/>
      <c r="B274" s="460"/>
      <c r="C274" s="101"/>
      <c r="D274" s="132"/>
      <c r="E274" s="61"/>
      <c r="F274" s="61"/>
      <c r="G274" s="215"/>
      <c r="H274" s="150"/>
      <c r="I274" s="359"/>
      <c r="J274" s="653"/>
      <c r="K274" s="365"/>
      <c r="M274" s="191"/>
      <c r="N274" s="570"/>
      <c r="O274" s="565">
        <v>7.0000000000000007E-2</v>
      </c>
      <c r="P274" s="566">
        <f t="shared" si="13"/>
        <v>0</v>
      </c>
    </row>
    <row r="275" spans="1:16" ht="30.75" customHeight="1">
      <c r="A275" s="998"/>
      <c r="B275" s="233"/>
      <c r="C275" s="101"/>
      <c r="D275" s="132"/>
      <c r="E275" s="61"/>
      <c r="F275" s="61"/>
      <c r="G275" s="206"/>
      <c r="H275" s="150"/>
      <c r="I275" s="355"/>
      <c r="J275" s="653"/>
      <c r="K275" s="365"/>
    </row>
    <row r="276" spans="1:16" ht="30.75" customHeight="1">
      <c r="A276" s="1019"/>
      <c r="B276" s="139"/>
      <c r="C276" s="101"/>
      <c r="D276" s="132"/>
      <c r="E276" s="61"/>
      <c r="F276" s="61"/>
      <c r="G276" s="206"/>
      <c r="H276" s="150"/>
      <c r="I276" s="355"/>
      <c r="J276" s="653"/>
      <c r="K276" s="365"/>
    </row>
    <row r="277" spans="1:16" ht="30.75" customHeight="1">
      <c r="A277" s="1019"/>
      <c r="B277" s="233"/>
      <c r="C277" s="103"/>
      <c r="D277" s="467"/>
      <c r="E277" s="69"/>
      <c r="F277" s="69"/>
      <c r="G277" s="214"/>
      <c r="H277" s="638"/>
      <c r="I277" s="473"/>
      <c r="J277" s="658"/>
      <c r="K277" s="365"/>
    </row>
    <row r="278" spans="1:16" ht="30.75" customHeight="1">
      <c r="A278" s="1019"/>
      <c r="B278" s="233"/>
      <c r="C278" s="101"/>
      <c r="D278" s="132"/>
      <c r="E278" s="61"/>
      <c r="F278" s="61"/>
      <c r="G278" s="215"/>
      <c r="H278" s="150"/>
      <c r="I278" s="359"/>
      <c r="J278" s="653"/>
      <c r="K278" s="365"/>
    </row>
    <row r="279" spans="1:16" ht="30.75" customHeight="1">
      <c r="A279" s="1019"/>
      <c r="B279" s="139"/>
      <c r="C279" s="101"/>
      <c r="D279" s="132"/>
      <c r="E279" s="61"/>
      <c r="F279" s="61"/>
      <c r="G279" s="206"/>
      <c r="H279" s="150"/>
      <c r="I279" s="355"/>
      <c r="J279" s="653"/>
      <c r="K279" s="365"/>
    </row>
    <row r="280" spans="1:16" ht="30.75" customHeight="1">
      <c r="A280" s="1019"/>
      <c r="B280" s="139"/>
      <c r="C280" s="101"/>
      <c r="D280" s="132"/>
      <c r="E280" s="61"/>
      <c r="F280" s="61"/>
      <c r="G280" s="206"/>
      <c r="H280" s="150"/>
      <c r="I280" s="355"/>
      <c r="J280" s="653"/>
      <c r="K280" s="365"/>
    </row>
    <row r="281" spans="1:16" ht="30.75" customHeight="1" thickBot="1">
      <c r="A281" s="772"/>
      <c r="B281" s="139"/>
      <c r="C281" s="101"/>
      <c r="D281" s="132"/>
      <c r="E281" s="61"/>
      <c r="F281" s="61"/>
      <c r="G281" s="206"/>
      <c r="H281" s="150"/>
      <c r="I281" s="355"/>
      <c r="J281" s="653"/>
      <c r="K281" s="365"/>
    </row>
    <row r="282" spans="1:16" ht="30.75" customHeight="1">
      <c r="A282" s="3481" t="s">
        <v>2</v>
      </c>
      <c r="B282" s="3482"/>
      <c r="C282" s="48" t="s">
        <v>3</v>
      </c>
      <c r="D282" s="128" t="s">
        <v>4</v>
      </c>
      <c r="E282" s="77" t="s">
        <v>5</v>
      </c>
      <c r="F282" s="78" t="s">
        <v>5</v>
      </c>
      <c r="G282" s="219" t="s">
        <v>6</v>
      </c>
      <c r="H282" s="636" t="s">
        <v>7</v>
      </c>
      <c r="I282" s="470" t="s">
        <v>1511</v>
      </c>
      <c r="J282" s="651" t="s">
        <v>9</v>
      </c>
      <c r="K282" s="367" t="s">
        <v>9</v>
      </c>
      <c r="M282" s="190"/>
      <c r="N282" s="568"/>
    </row>
    <row r="283" spans="1:16" ht="30.75" customHeight="1" thickBot="1">
      <c r="A283" s="1018"/>
      <c r="B283" s="138"/>
      <c r="C283" s="50"/>
      <c r="D283" s="129" t="s">
        <v>10</v>
      </c>
      <c r="E283" s="80" t="s">
        <v>11</v>
      </c>
      <c r="F283" s="80" t="s">
        <v>12</v>
      </c>
      <c r="G283" s="212"/>
      <c r="H283" s="637" t="s">
        <v>13</v>
      </c>
      <c r="I283" s="471" t="s">
        <v>1512</v>
      </c>
      <c r="J283" s="652" t="s">
        <v>14</v>
      </c>
      <c r="K283" s="368" t="s">
        <v>15</v>
      </c>
      <c r="M283" s="190"/>
      <c r="N283" s="568"/>
    </row>
    <row r="284" spans="1:16" ht="30.75" customHeight="1">
      <c r="A284" s="398"/>
      <c r="B284" s="139" t="s">
        <v>4921</v>
      </c>
      <c r="C284" s="101" t="s">
        <v>4922</v>
      </c>
      <c r="D284" s="132" t="s">
        <v>4788</v>
      </c>
      <c r="E284" s="69">
        <v>137</v>
      </c>
      <c r="F284" s="69"/>
      <c r="G284" s="206" t="s">
        <v>4923</v>
      </c>
      <c r="H284" s="644">
        <v>1916.5</v>
      </c>
      <c r="I284" s="355"/>
      <c r="J284" s="653">
        <v>1989.13</v>
      </c>
      <c r="K284" s="365">
        <f>J284/15</f>
        <v>132.60866666666666</v>
      </c>
      <c r="M284" s="191"/>
      <c r="N284" s="570"/>
      <c r="O284" s="565">
        <v>7.0000000000000007E-2</v>
      </c>
      <c r="P284" s="566">
        <f>(M284*O284)+M284</f>
        <v>0</v>
      </c>
    </row>
    <row r="285" spans="1:16" ht="30.75" customHeight="1">
      <c r="A285" s="398"/>
      <c r="B285" s="139"/>
      <c r="C285" s="101" t="s">
        <v>103</v>
      </c>
      <c r="D285" s="132" t="s">
        <v>23</v>
      </c>
      <c r="E285" s="61">
        <v>195</v>
      </c>
      <c r="F285" s="61"/>
      <c r="G285" s="206" t="s">
        <v>4923</v>
      </c>
      <c r="H285" s="150">
        <v>2388.48</v>
      </c>
      <c r="I285" s="355"/>
      <c r="J285" s="653">
        <v>2253.67</v>
      </c>
      <c r="K285" s="365">
        <f>J285/12</f>
        <v>187.80583333333334</v>
      </c>
      <c r="O285" s="565">
        <v>7.0000000000000007E-2</v>
      </c>
      <c r="P285" s="566">
        <f t="shared" ref="P285:P293" si="14">(M285*O285)+M285</f>
        <v>0</v>
      </c>
    </row>
    <row r="286" spans="1:16" ht="30.75" customHeight="1">
      <c r="A286" s="398"/>
      <c r="B286" s="139" t="s">
        <v>4924</v>
      </c>
      <c r="C286" s="101" t="s">
        <v>4922</v>
      </c>
      <c r="D286" s="132" t="s">
        <v>4788</v>
      </c>
      <c r="E286" s="69">
        <v>137</v>
      </c>
      <c r="F286" s="69"/>
      <c r="G286" s="206" t="s">
        <v>4923</v>
      </c>
      <c r="H286" s="644">
        <v>1916.5</v>
      </c>
      <c r="I286" s="355"/>
      <c r="J286" s="653">
        <v>1989.13</v>
      </c>
      <c r="K286" s="365">
        <f>J286/15</f>
        <v>132.60866666666666</v>
      </c>
      <c r="O286" s="565">
        <v>7.0000000000000007E-2</v>
      </c>
      <c r="P286" s="566">
        <f t="shared" si="14"/>
        <v>0</v>
      </c>
    </row>
    <row r="287" spans="1:16" ht="30.75" customHeight="1">
      <c r="A287" s="398"/>
      <c r="B287" s="139"/>
      <c r="C287" s="101" t="s">
        <v>103</v>
      </c>
      <c r="D287" s="132" t="s">
        <v>23</v>
      </c>
      <c r="E287" s="61">
        <v>195</v>
      </c>
      <c r="F287" s="61"/>
      <c r="G287" s="206" t="s">
        <v>4923</v>
      </c>
      <c r="H287" s="150">
        <v>2388.48</v>
      </c>
      <c r="I287" s="355"/>
      <c r="J287" s="653">
        <v>2253.67</v>
      </c>
      <c r="K287" s="365">
        <f>J287/12</f>
        <v>187.80583333333334</v>
      </c>
      <c r="O287" s="565">
        <v>7.0000000000000007E-2</v>
      </c>
      <c r="P287" s="566">
        <f t="shared" si="14"/>
        <v>0</v>
      </c>
    </row>
    <row r="288" spans="1:16" ht="30.75" customHeight="1">
      <c r="A288" s="398"/>
      <c r="B288" s="139" t="s">
        <v>4925</v>
      </c>
      <c r="C288" s="101" t="s">
        <v>4922</v>
      </c>
      <c r="D288" s="132" t="s">
        <v>4788</v>
      </c>
      <c r="E288" s="69">
        <v>137</v>
      </c>
      <c r="F288" s="69"/>
      <c r="G288" s="206" t="s">
        <v>4923</v>
      </c>
      <c r="H288" s="644">
        <v>1916.5</v>
      </c>
      <c r="I288" s="355"/>
      <c r="J288" s="653">
        <v>1989.13</v>
      </c>
      <c r="K288" s="365">
        <f>J288/15</f>
        <v>132.60866666666666</v>
      </c>
      <c r="O288" s="565">
        <v>7.0000000000000007E-2</v>
      </c>
      <c r="P288" s="566">
        <f t="shared" si="14"/>
        <v>0</v>
      </c>
    </row>
    <row r="289" spans="1:16" ht="30.75" customHeight="1">
      <c r="A289" s="398"/>
      <c r="B289" s="139"/>
      <c r="C289" s="101" t="s">
        <v>103</v>
      </c>
      <c r="D289" s="132" t="s">
        <v>23</v>
      </c>
      <c r="E289" s="61">
        <v>195</v>
      </c>
      <c r="F289" s="61"/>
      <c r="G289" s="206" t="s">
        <v>4923</v>
      </c>
      <c r="H289" s="150">
        <v>2388.48</v>
      </c>
      <c r="I289" s="355"/>
      <c r="J289" s="653">
        <v>2253.67</v>
      </c>
      <c r="K289" s="365">
        <f>J289/12</f>
        <v>187.80583333333334</v>
      </c>
      <c r="O289" s="565">
        <v>7.0000000000000007E-2</v>
      </c>
      <c r="P289" s="566">
        <f t="shared" si="14"/>
        <v>0</v>
      </c>
    </row>
    <row r="290" spans="1:16" ht="30.75" customHeight="1">
      <c r="A290" s="398"/>
      <c r="B290" s="139" t="s">
        <v>4926</v>
      </c>
      <c r="C290" s="101" t="s">
        <v>4922</v>
      </c>
      <c r="D290" s="132" t="s">
        <v>4788</v>
      </c>
      <c r="E290" s="69">
        <v>137</v>
      </c>
      <c r="F290" s="69"/>
      <c r="G290" s="206" t="s">
        <v>4923</v>
      </c>
      <c r="H290" s="644">
        <v>1916.5</v>
      </c>
      <c r="I290" s="355"/>
      <c r="J290" s="653">
        <v>1989.13</v>
      </c>
      <c r="K290" s="365">
        <f>J290/15</f>
        <v>132.60866666666666</v>
      </c>
      <c r="O290" s="565">
        <v>7.0000000000000007E-2</v>
      </c>
      <c r="P290" s="566">
        <f t="shared" si="14"/>
        <v>0</v>
      </c>
    </row>
    <row r="291" spans="1:16" ht="30.75" customHeight="1">
      <c r="A291" s="398"/>
      <c r="B291" s="139"/>
      <c r="C291" s="101" t="s">
        <v>103</v>
      </c>
      <c r="D291" s="132" t="s">
        <v>23</v>
      </c>
      <c r="E291" s="61">
        <v>195</v>
      </c>
      <c r="F291" s="61"/>
      <c r="G291" s="206" t="s">
        <v>4923</v>
      </c>
      <c r="H291" s="150">
        <v>2388.48</v>
      </c>
      <c r="I291" s="355"/>
      <c r="J291" s="653">
        <v>2253.67</v>
      </c>
      <c r="K291" s="365">
        <f>J291/12</f>
        <v>187.80583333333334</v>
      </c>
      <c r="O291" s="565">
        <v>7.0000000000000007E-2</v>
      </c>
      <c r="P291" s="566">
        <f t="shared" si="14"/>
        <v>0</v>
      </c>
    </row>
    <row r="292" spans="1:16" ht="30.75" customHeight="1">
      <c r="A292" s="398"/>
      <c r="B292" s="139" t="s">
        <v>4927</v>
      </c>
      <c r="C292" s="101" t="s">
        <v>4922</v>
      </c>
      <c r="D292" s="132" t="s">
        <v>4788</v>
      </c>
      <c r="E292" s="69">
        <v>137</v>
      </c>
      <c r="F292" s="69"/>
      <c r="G292" s="206" t="s">
        <v>4923</v>
      </c>
      <c r="H292" s="644">
        <v>1916.5</v>
      </c>
      <c r="I292" s="355"/>
      <c r="J292" s="653">
        <v>1989.13</v>
      </c>
      <c r="K292" s="365">
        <f>J292/15</f>
        <v>132.60866666666666</v>
      </c>
      <c r="O292" s="565">
        <v>7.0000000000000007E-2</v>
      </c>
      <c r="P292" s="566">
        <f t="shared" si="14"/>
        <v>0</v>
      </c>
    </row>
    <row r="293" spans="1:16" ht="30.75" customHeight="1">
      <c r="A293" s="398"/>
      <c r="B293" s="139"/>
      <c r="C293" s="101" t="s">
        <v>103</v>
      </c>
      <c r="D293" s="132" t="s">
        <v>23</v>
      </c>
      <c r="E293" s="61">
        <v>195</v>
      </c>
      <c r="F293" s="61"/>
      <c r="G293" s="206" t="s">
        <v>4923</v>
      </c>
      <c r="H293" s="150">
        <v>2388.48</v>
      </c>
      <c r="I293" s="355"/>
      <c r="J293" s="653">
        <v>2253.67</v>
      </c>
      <c r="K293" s="365">
        <f>J293/12</f>
        <v>187.80583333333334</v>
      </c>
      <c r="M293" s="188">
        <v>1397.88</v>
      </c>
      <c r="O293" s="565">
        <v>7.0000000000000007E-2</v>
      </c>
      <c r="P293" s="566">
        <f t="shared" si="14"/>
        <v>1495.7316000000001</v>
      </c>
    </row>
    <row r="294" spans="1:16" ht="30.75" customHeight="1">
      <c r="A294" s="398"/>
      <c r="B294" s="139"/>
      <c r="C294" s="101"/>
      <c r="D294" s="132"/>
      <c r="E294" s="61"/>
      <c r="F294" s="61"/>
      <c r="G294" s="206"/>
      <c r="H294" s="150"/>
      <c r="I294" s="355"/>
      <c r="J294" s="653"/>
      <c r="K294" s="365"/>
    </row>
    <row r="295" spans="1:16" ht="30.75" customHeight="1">
      <c r="A295" s="398"/>
      <c r="B295" s="139"/>
      <c r="C295" s="101"/>
      <c r="D295" s="132"/>
      <c r="E295" s="61"/>
      <c r="F295" s="61"/>
      <c r="G295" s="206"/>
      <c r="H295" s="150"/>
      <c r="I295" s="355"/>
      <c r="J295" s="653"/>
      <c r="K295" s="365"/>
    </row>
    <row r="296" spans="1:16" ht="30.75" customHeight="1">
      <c r="A296" s="398"/>
      <c r="B296" s="139"/>
      <c r="C296" s="101"/>
      <c r="D296" s="132"/>
      <c r="E296" s="61"/>
      <c r="F296" s="61"/>
      <c r="G296" s="206"/>
      <c r="H296" s="150"/>
      <c r="I296" s="355"/>
      <c r="J296" s="653"/>
      <c r="K296" s="365"/>
    </row>
    <row r="297" spans="1:16" ht="30.75" customHeight="1">
      <c r="A297" s="398"/>
      <c r="B297" s="139"/>
      <c r="C297" s="101"/>
      <c r="D297" s="132"/>
      <c r="E297" s="61"/>
      <c r="F297" s="61"/>
      <c r="G297" s="206"/>
      <c r="H297" s="150"/>
      <c r="I297" s="355"/>
      <c r="J297" s="653"/>
      <c r="K297" s="365"/>
    </row>
    <row r="298" spans="1:16" ht="30.75" customHeight="1">
      <c r="A298" s="398"/>
      <c r="B298" s="139" t="s">
        <v>4928</v>
      </c>
      <c r="C298" s="101" t="s">
        <v>330</v>
      </c>
      <c r="D298" s="132" t="s">
        <v>1866</v>
      </c>
      <c r="E298" s="61">
        <v>38</v>
      </c>
      <c r="F298" s="61"/>
      <c r="G298" s="206"/>
      <c r="H298" s="150"/>
      <c r="I298" s="355"/>
      <c r="J298" s="653">
        <v>1429.73</v>
      </c>
      <c r="K298" s="365">
        <f>J298/40</f>
        <v>35.743250000000003</v>
      </c>
    </row>
    <row r="299" spans="1:16" ht="30.75" customHeight="1">
      <c r="A299" s="398"/>
      <c r="B299" s="139" t="s">
        <v>4929</v>
      </c>
      <c r="C299" s="101" t="s">
        <v>1635</v>
      </c>
      <c r="D299" s="132" t="s">
        <v>18</v>
      </c>
      <c r="E299" s="61">
        <v>83</v>
      </c>
      <c r="F299" s="61"/>
      <c r="G299" s="206" t="s">
        <v>4930</v>
      </c>
      <c r="H299" s="150">
        <v>1774.56</v>
      </c>
      <c r="I299" s="355"/>
      <c r="J299" s="653">
        <v>1908.24</v>
      </c>
      <c r="K299" s="365">
        <v>79.510000000000005</v>
      </c>
    </row>
    <row r="300" spans="1:16" ht="30.75" customHeight="1">
      <c r="A300" s="398"/>
      <c r="B300" s="139" t="s">
        <v>4931</v>
      </c>
      <c r="C300" s="101" t="s">
        <v>1635</v>
      </c>
      <c r="D300" s="132" t="s">
        <v>18</v>
      </c>
      <c r="E300" s="61">
        <v>83</v>
      </c>
      <c r="F300" s="61"/>
      <c r="G300" s="206" t="s">
        <v>4930</v>
      </c>
      <c r="H300" s="150">
        <v>1774.56</v>
      </c>
      <c r="I300" s="355"/>
      <c r="J300" s="653">
        <v>1908.24</v>
      </c>
      <c r="K300" s="365">
        <v>79.510000000000005</v>
      </c>
    </row>
    <row r="301" spans="1:16" ht="30.75" customHeight="1">
      <c r="A301" s="398"/>
      <c r="B301" s="139" t="s">
        <v>4932</v>
      </c>
      <c r="C301" s="101" t="s">
        <v>1635</v>
      </c>
      <c r="D301" s="132" t="s">
        <v>18</v>
      </c>
      <c r="E301" s="61">
        <v>83</v>
      </c>
      <c r="F301" s="61"/>
      <c r="G301" s="206" t="s">
        <v>4930</v>
      </c>
      <c r="H301" s="150">
        <v>1774.56</v>
      </c>
      <c r="I301" s="355"/>
      <c r="J301" s="653">
        <v>1908.24</v>
      </c>
      <c r="K301" s="365">
        <v>79.510000000000005</v>
      </c>
    </row>
    <row r="302" spans="1:16" ht="30.75" customHeight="1">
      <c r="A302" s="398"/>
      <c r="B302" s="139" t="s">
        <v>4933</v>
      </c>
      <c r="C302" s="101" t="s">
        <v>256</v>
      </c>
      <c r="D302" s="132" t="s">
        <v>18</v>
      </c>
      <c r="E302" s="61">
        <v>83</v>
      </c>
      <c r="F302" s="61"/>
      <c r="G302" s="206" t="s">
        <v>4930</v>
      </c>
      <c r="H302" s="150">
        <v>1774.56</v>
      </c>
      <c r="I302" s="355"/>
      <c r="J302" s="653">
        <v>1908.24</v>
      </c>
      <c r="K302" s="365">
        <v>79.510000000000005</v>
      </c>
    </row>
    <row r="303" spans="1:16" ht="30.75" customHeight="1">
      <c r="A303" s="438"/>
      <c r="B303" s="139" t="s">
        <v>4934</v>
      </c>
      <c r="C303" s="101" t="s">
        <v>1635</v>
      </c>
      <c r="D303" s="132" t="s">
        <v>18</v>
      </c>
      <c r="E303" s="61">
        <v>83</v>
      </c>
      <c r="F303" s="61"/>
      <c r="G303" s="206" t="s">
        <v>4930</v>
      </c>
      <c r="H303" s="150">
        <v>1774.56</v>
      </c>
      <c r="I303" s="355"/>
      <c r="J303" s="653">
        <v>1908.24</v>
      </c>
      <c r="K303" s="365">
        <v>79.510000000000005</v>
      </c>
    </row>
    <row r="304" spans="1:16" ht="30.75" customHeight="1">
      <c r="A304" s="438"/>
      <c r="B304" s="154"/>
      <c r="C304" s="63"/>
      <c r="D304" s="133"/>
      <c r="E304" s="145"/>
      <c r="F304" s="61"/>
      <c r="G304" s="206"/>
      <c r="H304" s="150"/>
      <c r="I304" s="355"/>
      <c r="J304" s="653"/>
      <c r="K304" s="365"/>
    </row>
    <row r="305" spans="1:11" ht="30.75" customHeight="1">
      <c r="A305" s="398"/>
      <c r="B305" s="1012" t="s">
        <v>4935</v>
      </c>
      <c r="C305" s="63"/>
      <c r="D305" s="133"/>
      <c r="E305" s="145"/>
      <c r="F305" s="61"/>
      <c r="G305" s="206"/>
      <c r="H305" s="150"/>
      <c r="I305" s="355"/>
      <c r="J305" s="653"/>
      <c r="K305" s="365"/>
    </row>
    <row r="306" spans="1:11" ht="30.75" customHeight="1">
      <c r="A306" s="998"/>
      <c r="B306" s="105" t="s">
        <v>4936</v>
      </c>
      <c r="C306" s="1162" t="s">
        <v>1736</v>
      </c>
      <c r="D306" s="132" t="s">
        <v>23</v>
      </c>
      <c r="E306" s="145">
        <v>9</v>
      </c>
      <c r="F306" s="61">
        <v>85</v>
      </c>
      <c r="G306" s="206" t="s">
        <v>4937</v>
      </c>
      <c r="H306" s="150">
        <v>73</v>
      </c>
      <c r="I306" s="355" t="s">
        <v>1760</v>
      </c>
      <c r="J306" s="653">
        <v>937.32</v>
      </c>
      <c r="K306" s="1029" t="s">
        <v>4938</v>
      </c>
    </row>
    <row r="307" spans="1:11" ht="30.75" customHeight="1">
      <c r="A307" s="998"/>
      <c r="B307" s="105" t="s">
        <v>4939</v>
      </c>
      <c r="C307" s="1162" t="s">
        <v>1736</v>
      </c>
      <c r="D307" s="132" t="s">
        <v>23</v>
      </c>
      <c r="E307" s="145">
        <v>9</v>
      </c>
      <c r="F307" s="61">
        <v>85</v>
      </c>
      <c r="G307" s="206" t="s">
        <v>4937</v>
      </c>
      <c r="H307" s="150">
        <v>73</v>
      </c>
      <c r="I307" s="355" t="s">
        <v>1760</v>
      </c>
      <c r="J307" s="653">
        <v>937.32</v>
      </c>
      <c r="K307" s="1029" t="s">
        <v>4938</v>
      </c>
    </row>
    <row r="308" spans="1:11" ht="30.75" customHeight="1">
      <c r="A308" s="1019"/>
      <c r="B308" s="105" t="s">
        <v>4940</v>
      </c>
      <c r="C308" s="1162" t="s">
        <v>1736</v>
      </c>
      <c r="D308" s="132" t="s">
        <v>23</v>
      </c>
      <c r="E308" s="145">
        <v>8</v>
      </c>
      <c r="F308" s="61">
        <v>70</v>
      </c>
      <c r="G308" s="206" t="s">
        <v>4941</v>
      </c>
      <c r="H308" s="150">
        <v>58</v>
      </c>
      <c r="I308" s="355" t="s">
        <v>1760</v>
      </c>
      <c r="J308" s="653">
        <v>744.72</v>
      </c>
      <c r="K308" s="1029" t="s">
        <v>4942</v>
      </c>
    </row>
    <row r="309" spans="1:11" ht="30.75" customHeight="1">
      <c r="A309" s="398"/>
      <c r="B309" s="139"/>
      <c r="C309" s="101"/>
      <c r="D309" s="132"/>
      <c r="E309" s="90"/>
      <c r="F309" s="61"/>
      <c r="G309" s="206"/>
      <c r="H309" s="150"/>
      <c r="I309" s="355"/>
      <c r="J309" s="653"/>
      <c r="K309" s="365"/>
    </row>
    <row r="310" spans="1:11" ht="30.75" customHeight="1">
      <c r="A310" s="772"/>
      <c r="B310" s="3452" t="s">
        <v>4943</v>
      </c>
      <c r="C310" s="63"/>
      <c r="D310" s="133"/>
      <c r="E310" s="90"/>
      <c r="F310" s="61"/>
      <c r="G310" s="206"/>
      <c r="H310" s="150"/>
      <c r="I310" s="355"/>
      <c r="J310" s="653"/>
      <c r="K310" s="365"/>
    </row>
    <row r="311" spans="1:11" ht="30.75" customHeight="1">
      <c r="A311" s="772"/>
      <c r="B311" s="139" t="s">
        <v>4944</v>
      </c>
      <c r="C311" s="101" t="s">
        <v>4945</v>
      </c>
      <c r="D311" s="132" t="s">
        <v>80</v>
      </c>
      <c r="E311" s="90">
        <v>172</v>
      </c>
      <c r="F311" s="61"/>
      <c r="G311" s="206" t="s">
        <v>4946</v>
      </c>
      <c r="H311" s="150">
        <v>2770</v>
      </c>
      <c r="I311" s="355"/>
      <c r="J311" s="653">
        <v>2963.9</v>
      </c>
      <c r="K311" s="365">
        <v>164.66</v>
      </c>
    </row>
    <row r="312" spans="1:11" ht="30.75" customHeight="1">
      <c r="A312" s="772"/>
      <c r="B312" s="139" t="s">
        <v>4947</v>
      </c>
      <c r="C312" s="101" t="s">
        <v>4948</v>
      </c>
      <c r="D312" s="132" t="s">
        <v>23</v>
      </c>
      <c r="E312" s="90">
        <v>423</v>
      </c>
      <c r="F312" s="61"/>
      <c r="G312" s="206" t="s">
        <v>4949</v>
      </c>
      <c r="H312" s="150">
        <v>4554.09</v>
      </c>
      <c r="I312" s="796"/>
      <c r="J312" s="653">
        <v>4872.8999999999996</v>
      </c>
      <c r="K312" s="365">
        <v>406.08</v>
      </c>
    </row>
    <row r="313" spans="1:11" ht="30.75" customHeight="1">
      <c r="A313" s="772"/>
      <c r="B313" s="139" t="s">
        <v>4950</v>
      </c>
      <c r="C313" s="101" t="s">
        <v>1286</v>
      </c>
      <c r="D313" s="132" t="s">
        <v>23</v>
      </c>
      <c r="E313" s="90">
        <v>157</v>
      </c>
      <c r="F313" s="61"/>
      <c r="G313" s="206"/>
      <c r="H313" s="150"/>
      <c r="I313" s="355"/>
      <c r="J313" s="653"/>
      <c r="K313" s="365">
        <v>150.1</v>
      </c>
    </row>
    <row r="314" spans="1:11" ht="30.75" customHeight="1">
      <c r="A314" s="1025"/>
      <c r="B314" s="139" t="s">
        <v>4950</v>
      </c>
      <c r="C314" s="101" t="s">
        <v>4948</v>
      </c>
      <c r="D314" s="132" t="s">
        <v>23</v>
      </c>
      <c r="E314" s="90">
        <v>384</v>
      </c>
      <c r="F314" s="61"/>
      <c r="G314" s="206" t="s">
        <v>4949</v>
      </c>
      <c r="H314" s="150">
        <v>4130.5</v>
      </c>
      <c r="I314" s="355"/>
      <c r="J314" s="653">
        <v>4419.7</v>
      </c>
      <c r="K314" s="365">
        <v>368.31</v>
      </c>
    </row>
    <row r="315" spans="1:11" ht="30.75" customHeight="1">
      <c r="A315" s="1025"/>
      <c r="B315" s="139" t="s">
        <v>4951</v>
      </c>
      <c r="C315" s="101" t="s">
        <v>4948</v>
      </c>
      <c r="D315" s="132" t="s">
        <v>23</v>
      </c>
      <c r="E315" s="236">
        <v>246</v>
      </c>
      <c r="F315" s="61"/>
      <c r="G315" s="206" t="s">
        <v>4952</v>
      </c>
      <c r="H315" s="150">
        <v>2676</v>
      </c>
      <c r="I315" s="359"/>
      <c r="J315" s="653">
        <v>2863.32</v>
      </c>
      <c r="K315" s="365">
        <v>238.61</v>
      </c>
    </row>
    <row r="316" spans="1:11" ht="30.75" customHeight="1">
      <c r="A316" s="1025"/>
      <c r="B316" s="233"/>
      <c r="C316" s="103"/>
      <c r="D316" s="467"/>
      <c r="E316" s="94"/>
      <c r="F316" s="69"/>
      <c r="G316" s="214"/>
      <c r="H316" s="638"/>
      <c r="I316" s="473"/>
      <c r="J316" s="658"/>
      <c r="K316" s="369"/>
    </row>
    <row r="317" spans="1:11" ht="30.75" customHeight="1">
      <c r="A317" s="1025"/>
      <c r="B317" s="233"/>
      <c r="C317" s="103"/>
      <c r="D317" s="467"/>
      <c r="E317" s="94"/>
      <c r="F317" s="69"/>
      <c r="G317" s="214"/>
      <c r="H317" s="638"/>
      <c r="I317" s="473"/>
      <c r="J317" s="658"/>
      <c r="K317" s="369"/>
    </row>
    <row r="318" spans="1:11" ht="30.75" customHeight="1">
      <c r="A318" s="1025"/>
      <c r="B318" s="233"/>
      <c r="C318" s="103"/>
      <c r="D318" s="467"/>
      <c r="E318" s="94"/>
      <c r="F318" s="69"/>
      <c r="G318" s="214"/>
      <c r="H318" s="638"/>
      <c r="I318" s="473"/>
      <c r="J318" s="658"/>
      <c r="K318" s="369"/>
    </row>
    <row r="319" spans="1:11" ht="30.75" customHeight="1">
      <c r="B319" s="809"/>
      <c r="C319" s="661"/>
      <c r="D319" s="807"/>
      <c r="E319" s="448"/>
      <c r="F319" s="1633"/>
      <c r="G319" s="799"/>
      <c r="H319" s="800"/>
      <c r="I319" s="805"/>
      <c r="J319" s="801"/>
      <c r="K319" s="808"/>
    </row>
    <row r="320" spans="1:11" ht="30.75" customHeight="1">
      <c r="A320" s="279" t="s">
        <v>4908</v>
      </c>
      <c r="B320" s="127"/>
      <c r="C320" s="127" t="s">
        <v>4953</v>
      </c>
      <c r="D320" s="3444"/>
      <c r="F320" s="68"/>
      <c r="G320" s="1067" t="s">
        <v>4954</v>
      </c>
      <c r="H320" s="1068"/>
      <c r="I320" s="1069"/>
      <c r="J320" s="1070"/>
    </row>
    <row r="321" spans="1:16" ht="30.75" customHeight="1" thickBot="1">
      <c r="A321" s="1023"/>
      <c r="B321" s="232"/>
      <c r="C321" s="360"/>
      <c r="D321" s="361"/>
      <c r="E321" s="231"/>
      <c r="F321" s="231"/>
      <c r="G321" s="231"/>
    </row>
    <row r="322" spans="1:16" ht="30.75" customHeight="1">
      <c r="A322" s="3481" t="s">
        <v>2</v>
      </c>
      <c r="B322" s="3482"/>
      <c r="C322" s="48" t="s">
        <v>3</v>
      </c>
      <c r="D322" s="128" t="s">
        <v>4</v>
      </c>
      <c r="E322" s="78" t="s">
        <v>5</v>
      </c>
      <c r="F322" s="78" t="s">
        <v>5</v>
      </c>
      <c r="G322" s="211" t="s">
        <v>6</v>
      </c>
      <c r="H322" s="636" t="s">
        <v>7</v>
      </c>
      <c r="I322" s="470" t="s">
        <v>1511</v>
      </c>
      <c r="J322" s="651" t="s">
        <v>9</v>
      </c>
      <c r="K322" s="367" t="s">
        <v>9</v>
      </c>
      <c r="M322" s="190"/>
      <c r="N322" s="568"/>
    </row>
    <row r="323" spans="1:16" ht="30.75" customHeight="1" thickBot="1">
      <c r="A323" s="1018"/>
      <c r="B323" s="494"/>
      <c r="C323" s="50"/>
      <c r="D323" s="129" t="s">
        <v>10</v>
      </c>
      <c r="E323" s="80" t="s">
        <v>11</v>
      </c>
      <c r="F323" s="80" t="s">
        <v>12</v>
      </c>
      <c r="G323" s="212"/>
      <c r="H323" s="637" t="s">
        <v>13</v>
      </c>
      <c r="I323" s="471" t="s">
        <v>1512</v>
      </c>
      <c r="J323" s="652" t="s">
        <v>14</v>
      </c>
      <c r="K323" s="368" t="s">
        <v>15</v>
      </c>
      <c r="M323" s="190"/>
      <c r="N323" s="568"/>
    </row>
    <row r="324" spans="1:16" ht="30.75" customHeight="1">
      <c r="A324" s="1024"/>
      <c r="B324" s="552" t="s">
        <v>4955</v>
      </c>
      <c r="C324" s="320" t="s">
        <v>297</v>
      </c>
      <c r="D324" s="532" t="s">
        <v>317</v>
      </c>
      <c r="E324" s="69">
        <v>130</v>
      </c>
      <c r="F324" s="69"/>
      <c r="G324" s="223" t="s">
        <v>4956</v>
      </c>
      <c r="H324" s="647">
        <v>2361.1999999999998</v>
      </c>
      <c r="I324" s="472"/>
      <c r="J324" s="654">
        <v>2526.48</v>
      </c>
      <c r="K324" s="378">
        <v>126.32</v>
      </c>
      <c r="L324" s="427"/>
      <c r="O324" s="565">
        <v>7.0000000000000007E-2</v>
      </c>
      <c r="P324" s="566">
        <f t="shared" ref="P324:P329" si="15">(N324*O324)+N324</f>
        <v>0</v>
      </c>
    </row>
    <row r="325" spans="1:16" ht="30.75" customHeight="1">
      <c r="A325" s="398"/>
      <c r="B325" s="3468"/>
      <c r="C325" s="320" t="s">
        <v>123</v>
      </c>
      <c r="D325" s="532" t="s">
        <v>309</v>
      </c>
      <c r="E325" s="61">
        <v>279</v>
      </c>
      <c r="F325" s="61"/>
      <c r="G325" s="223" t="s">
        <v>4923</v>
      </c>
      <c r="H325" s="647">
        <v>2519.04</v>
      </c>
      <c r="I325" s="472"/>
      <c r="J325" s="654">
        <v>2695.37</v>
      </c>
      <c r="K325" s="378">
        <v>269.54000000000002</v>
      </c>
      <c r="L325" s="427"/>
      <c r="O325" s="565">
        <v>7.0000000000000007E-2</v>
      </c>
      <c r="P325" s="566">
        <f t="shared" si="15"/>
        <v>0</v>
      </c>
    </row>
    <row r="326" spans="1:16" ht="30.75" customHeight="1">
      <c r="A326" s="398"/>
      <c r="B326" s="3468"/>
      <c r="C326" s="1734" t="s">
        <v>4754</v>
      </c>
      <c r="D326" s="1735" t="s">
        <v>23</v>
      </c>
      <c r="E326" s="1404">
        <v>214</v>
      </c>
      <c r="F326" s="1404"/>
      <c r="G326" s="1736" t="s">
        <v>4956</v>
      </c>
      <c r="H326" s="1737">
        <v>2334</v>
      </c>
      <c r="I326" s="1738"/>
      <c r="J326" s="1739">
        <v>2497.38</v>
      </c>
      <c r="K326" s="1740">
        <v>208.11</v>
      </c>
      <c r="L326" s="427"/>
      <c r="O326" s="565">
        <v>7.0000000000000007E-2</v>
      </c>
      <c r="P326" s="566">
        <f t="shared" si="15"/>
        <v>0</v>
      </c>
    </row>
    <row r="327" spans="1:16" ht="30.75" customHeight="1">
      <c r="A327" s="398"/>
      <c r="B327" s="3468"/>
      <c r="C327" s="320" t="s">
        <v>4957</v>
      </c>
      <c r="D327" s="532" t="s">
        <v>40</v>
      </c>
      <c r="E327" s="61">
        <v>398</v>
      </c>
      <c r="F327" s="61"/>
      <c r="G327" s="223" t="s">
        <v>4956</v>
      </c>
      <c r="H327" s="647">
        <v>2165.8200000000002</v>
      </c>
      <c r="I327" s="472"/>
      <c r="J327" s="654">
        <v>2317.42</v>
      </c>
      <c r="K327" s="378">
        <v>386.23</v>
      </c>
      <c r="L327" s="427"/>
      <c r="O327" s="565">
        <v>7.0000000000000007E-2</v>
      </c>
      <c r="P327" s="566">
        <f t="shared" si="15"/>
        <v>0</v>
      </c>
    </row>
    <row r="328" spans="1:16" ht="30.75" customHeight="1">
      <c r="A328" s="398"/>
      <c r="B328" s="3468" t="s">
        <v>4958</v>
      </c>
      <c r="C328" s="320" t="s">
        <v>297</v>
      </c>
      <c r="D328" s="532" t="s">
        <v>317</v>
      </c>
      <c r="E328" s="61">
        <v>119</v>
      </c>
      <c r="F328" s="92"/>
      <c r="G328" s="223" t="s">
        <v>4956</v>
      </c>
      <c r="H328" s="647">
        <v>2146</v>
      </c>
      <c r="I328" s="472"/>
      <c r="J328" s="654">
        <v>2296.2199999999998</v>
      </c>
      <c r="K328" s="378">
        <v>114.81</v>
      </c>
      <c r="O328" s="565">
        <v>7.0000000000000007E-2</v>
      </c>
      <c r="P328" s="566">
        <f t="shared" si="15"/>
        <v>0</v>
      </c>
    </row>
    <row r="329" spans="1:16" ht="30.75" customHeight="1">
      <c r="A329" s="398"/>
      <c r="B329" s="139"/>
      <c r="C329" s="101" t="s">
        <v>123</v>
      </c>
      <c r="D329" s="132" t="s">
        <v>309</v>
      </c>
      <c r="E329" s="61">
        <v>210</v>
      </c>
      <c r="F329" s="92"/>
      <c r="G329" s="206" t="s">
        <v>3199</v>
      </c>
      <c r="H329" s="150">
        <v>2290.08</v>
      </c>
      <c r="I329" s="355"/>
      <c r="J329" s="653">
        <v>2042.5</v>
      </c>
      <c r="K329" s="365">
        <v>204.25</v>
      </c>
      <c r="O329" s="565">
        <v>7.0000000000000007E-2</v>
      </c>
      <c r="P329" s="566">
        <f t="shared" si="15"/>
        <v>0</v>
      </c>
    </row>
    <row r="330" spans="1:16" ht="30.75" customHeight="1">
      <c r="A330" s="398"/>
      <c r="B330" s="139"/>
      <c r="C330" s="1741" t="s">
        <v>4754</v>
      </c>
      <c r="D330" s="1742" t="s">
        <v>23</v>
      </c>
      <c r="E330" s="1404">
        <v>179</v>
      </c>
      <c r="F330" s="1743"/>
      <c r="G330" s="1744" t="s">
        <v>4959</v>
      </c>
      <c r="H330" s="1745">
        <v>1941.6</v>
      </c>
      <c r="I330" s="1746"/>
      <c r="J330" s="1747">
        <v>2077.5100000000002</v>
      </c>
      <c r="K330" s="1748">
        <v>173.12</v>
      </c>
      <c r="L330" s="427"/>
    </row>
    <row r="331" spans="1:16" ht="30.75" customHeight="1">
      <c r="A331" s="398"/>
      <c r="B331" s="139"/>
      <c r="C331" s="101" t="s">
        <v>4957</v>
      </c>
      <c r="D331" s="132" t="s">
        <v>40</v>
      </c>
      <c r="E331" s="61">
        <v>354</v>
      </c>
      <c r="F331" s="92"/>
      <c r="G331" s="206" t="s">
        <v>4956</v>
      </c>
      <c r="H331" s="150">
        <v>1941.6</v>
      </c>
      <c r="I331" s="355"/>
      <c r="J331" s="653">
        <v>2061.14</v>
      </c>
      <c r="K331" s="365">
        <v>343.52</v>
      </c>
      <c r="O331" s="565">
        <v>7.0000000000000007E-2</v>
      </c>
      <c r="P331" s="566">
        <f t="shared" ref="P331:P351" si="16">(N331*O331)+N331</f>
        <v>0</v>
      </c>
    </row>
    <row r="332" spans="1:16" ht="30.75" customHeight="1">
      <c r="A332" s="398"/>
      <c r="B332" s="3468"/>
      <c r="C332" s="320" t="s">
        <v>4960</v>
      </c>
      <c r="D332" s="532" t="s">
        <v>30</v>
      </c>
      <c r="E332" s="61">
        <v>614</v>
      </c>
      <c r="F332" s="92"/>
      <c r="G332" s="223" t="s">
        <v>3199</v>
      </c>
      <c r="H332" s="647">
        <v>2223</v>
      </c>
      <c r="I332" s="472"/>
      <c r="J332" s="654">
        <v>2380</v>
      </c>
      <c r="K332" s="378">
        <v>595</v>
      </c>
      <c r="L332" s="427"/>
      <c r="O332" s="565">
        <v>7.0000000000000007E-2</v>
      </c>
      <c r="P332" s="566">
        <f t="shared" si="16"/>
        <v>0</v>
      </c>
    </row>
    <row r="333" spans="1:16" ht="30.75" customHeight="1">
      <c r="A333" s="398"/>
      <c r="B333" s="139" t="s">
        <v>4961</v>
      </c>
      <c r="C333" s="101" t="s">
        <v>297</v>
      </c>
      <c r="D333" s="132" t="s">
        <v>309</v>
      </c>
      <c r="E333" s="61"/>
      <c r="F333" s="61"/>
      <c r="G333" s="206"/>
      <c r="H333" s="150"/>
      <c r="I333" s="355"/>
      <c r="J333" s="653"/>
      <c r="K333" s="365">
        <f>J333/20</f>
        <v>0</v>
      </c>
      <c r="O333" s="565">
        <v>7.0000000000000007E-2</v>
      </c>
      <c r="P333" s="566">
        <f t="shared" si="16"/>
        <v>0</v>
      </c>
    </row>
    <row r="334" spans="1:16" ht="30.75" customHeight="1">
      <c r="A334" s="398"/>
      <c r="B334" s="139"/>
      <c r="C334" s="714" t="s">
        <v>3168</v>
      </c>
      <c r="D334" s="715" t="s">
        <v>309</v>
      </c>
      <c r="E334" s="716">
        <v>169</v>
      </c>
      <c r="F334" s="716"/>
      <c r="G334" s="717" t="s">
        <v>245</v>
      </c>
      <c r="H334" s="723">
        <v>1635.7</v>
      </c>
      <c r="I334" s="718" t="s">
        <v>4962</v>
      </c>
      <c r="J334" s="719">
        <v>1643.19</v>
      </c>
      <c r="K334" s="720">
        <f>J334/10</f>
        <v>164.31900000000002</v>
      </c>
      <c r="O334" s="565">
        <v>7.0000000000000007E-2</v>
      </c>
      <c r="P334" s="566">
        <f t="shared" si="16"/>
        <v>0</v>
      </c>
    </row>
    <row r="335" spans="1:16" ht="30.75" customHeight="1">
      <c r="A335" s="398"/>
      <c r="B335" s="139">
        <f>CC38346</f>
        <v>0</v>
      </c>
      <c r="C335" s="101" t="s">
        <v>4957</v>
      </c>
      <c r="D335" s="132" t="s">
        <v>40</v>
      </c>
      <c r="E335" s="61">
        <v>319</v>
      </c>
      <c r="F335" s="61"/>
      <c r="G335" s="206" t="s">
        <v>4651</v>
      </c>
      <c r="H335" s="150"/>
      <c r="I335" s="355" t="s">
        <v>4963</v>
      </c>
      <c r="J335" s="653">
        <v>1845.15</v>
      </c>
      <c r="K335" s="365">
        <f>J335/6</f>
        <v>307.52500000000003</v>
      </c>
      <c r="L335" s="427"/>
      <c r="O335" s="565">
        <v>7.0000000000000007E-2</v>
      </c>
      <c r="P335" s="566">
        <f t="shared" si="16"/>
        <v>0</v>
      </c>
    </row>
    <row r="336" spans="1:16" ht="30.75" customHeight="1">
      <c r="A336" s="398"/>
      <c r="B336" s="139"/>
      <c r="C336" s="101" t="s">
        <v>4960</v>
      </c>
      <c r="D336" s="132" t="s">
        <v>30</v>
      </c>
      <c r="E336" s="61"/>
      <c r="F336" s="61"/>
      <c r="G336" s="206"/>
      <c r="H336" s="150"/>
      <c r="I336" s="355"/>
      <c r="J336" s="653"/>
      <c r="K336" s="365"/>
      <c r="O336" s="565">
        <v>7.0000000000000007E-2</v>
      </c>
      <c r="P336" s="566">
        <f t="shared" si="16"/>
        <v>0</v>
      </c>
    </row>
    <row r="337" spans="1:16" ht="30.75" customHeight="1">
      <c r="A337" s="398"/>
      <c r="B337" s="3468" t="s">
        <v>4964</v>
      </c>
      <c r="C337" s="320" t="s">
        <v>297</v>
      </c>
      <c r="D337" s="532" t="s">
        <v>317</v>
      </c>
      <c r="E337" s="61">
        <v>136</v>
      </c>
      <c r="F337" s="61"/>
      <c r="G337" s="223" t="s">
        <v>4021</v>
      </c>
      <c r="H337" s="647">
        <v>2464</v>
      </c>
      <c r="I337" s="472"/>
      <c r="J337" s="654">
        <v>2636.48</v>
      </c>
      <c r="K337" s="378">
        <v>131.82</v>
      </c>
      <c r="O337" s="565">
        <v>7.0000000000000007E-2</v>
      </c>
      <c r="P337" s="566">
        <f t="shared" si="16"/>
        <v>0</v>
      </c>
    </row>
    <row r="338" spans="1:16" ht="30.75" customHeight="1">
      <c r="A338" s="398"/>
      <c r="B338" s="139" t="s">
        <v>4965</v>
      </c>
      <c r="C338" s="101" t="s">
        <v>123</v>
      </c>
      <c r="D338" s="132" t="s">
        <v>23</v>
      </c>
      <c r="E338" s="61">
        <v>234</v>
      </c>
      <c r="F338" s="61"/>
      <c r="G338" s="206" t="s">
        <v>4966</v>
      </c>
      <c r="H338" s="150">
        <v>2535</v>
      </c>
      <c r="I338" s="355"/>
      <c r="J338" s="653">
        <v>2725.81</v>
      </c>
      <c r="K338" s="365">
        <v>226.03</v>
      </c>
      <c r="O338" s="565">
        <v>7.0000000000000007E-2</v>
      </c>
      <c r="P338" s="566">
        <f t="shared" si="16"/>
        <v>0</v>
      </c>
    </row>
    <row r="339" spans="1:16" ht="30.75" customHeight="1">
      <c r="A339" s="398"/>
      <c r="B339" s="139"/>
      <c r="C339" s="101" t="s">
        <v>4957</v>
      </c>
      <c r="D339" s="132" t="s">
        <v>40</v>
      </c>
      <c r="E339" s="61">
        <v>412</v>
      </c>
      <c r="F339" s="61"/>
      <c r="G339" s="206" t="s">
        <v>4956</v>
      </c>
      <c r="H339" s="150">
        <v>2242.8000000000002</v>
      </c>
      <c r="I339" s="355"/>
      <c r="J339" s="653">
        <v>2399.79</v>
      </c>
      <c r="K339" s="365">
        <v>399.96</v>
      </c>
      <c r="O339" s="565">
        <v>7.0000000000000007E-2</v>
      </c>
      <c r="P339" s="566">
        <f t="shared" si="16"/>
        <v>0</v>
      </c>
    </row>
    <row r="340" spans="1:16" ht="30.75" customHeight="1">
      <c r="A340" s="398"/>
      <c r="B340" s="139" t="s">
        <v>4967</v>
      </c>
      <c r="C340" s="101" t="s">
        <v>4960</v>
      </c>
      <c r="D340" s="132" t="s">
        <v>30</v>
      </c>
      <c r="E340" s="61">
        <v>697</v>
      </c>
      <c r="F340" s="61"/>
      <c r="G340" s="206" t="s">
        <v>4966</v>
      </c>
      <c r="H340" s="150">
        <v>2528.6</v>
      </c>
      <c r="I340" s="355"/>
      <c r="J340" s="653">
        <v>2705.6</v>
      </c>
      <c r="K340" s="365">
        <v>676.4</v>
      </c>
      <c r="O340" s="565">
        <v>7.0000000000000007E-2</v>
      </c>
      <c r="P340" s="566">
        <f t="shared" si="16"/>
        <v>0</v>
      </c>
    </row>
    <row r="341" spans="1:16" ht="30.75" customHeight="1">
      <c r="A341" s="398"/>
      <c r="B341" s="139" t="s">
        <v>4968</v>
      </c>
      <c r="C341" s="101" t="s">
        <v>4969</v>
      </c>
      <c r="D341" s="132" t="s">
        <v>4763</v>
      </c>
      <c r="E341" s="61">
        <v>890</v>
      </c>
      <c r="F341" s="61"/>
      <c r="G341" s="206" t="s">
        <v>4966</v>
      </c>
      <c r="H341" s="150">
        <v>2420.4</v>
      </c>
      <c r="I341" s="355"/>
      <c r="J341" s="653">
        <v>2589.83</v>
      </c>
      <c r="K341" s="365">
        <v>863.28</v>
      </c>
      <c r="O341" s="565">
        <v>7.0000000000000007E-2</v>
      </c>
      <c r="P341" s="566">
        <f t="shared" si="16"/>
        <v>0</v>
      </c>
    </row>
    <row r="342" spans="1:16" ht="30.75" customHeight="1">
      <c r="A342" s="398"/>
      <c r="B342" s="139" t="s">
        <v>4970</v>
      </c>
      <c r="C342" s="101" t="s">
        <v>123</v>
      </c>
      <c r="D342" s="132" t="s">
        <v>23</v>
      </c>
      <c r="E342" s="61">
        <v>230</v>
      </c>
      <c r="F342" s="61"/>
      <c r="G342" s="206" t="s">
        <v>3199</v>
      </c>
      <c r="H342" s="150">
        <v>2503.1799999999998</v>
      </c>
      <c r="I342" s="355"/>
      <c r="J342" s="653">
        <v>2679</v>
      </c>
      <c r="K342" s="365">
        <v>223.25</v>
      </c>
      <c r="O342" s="565">
        <v>7.0000000000000007E-2</v>
      </c>
      <c r="P342" s="566">
        <f t="shared" si="16"/>
        <v>0</v>
      </c>
    </row>
    <row r="343" spans="1:16" ht="30.75" customHeight="1">
      <c r="A343" s="398"/>
      <c r="B343" s="139"/>
      <c r="C343" s="101" t="s">
        <v>1509</v>
      </c>
      <c r="D343" s="132" t="s">
        <v>23</v>
      </c>
      <c r="E343" s="61">
        <v>355</v>
      </c>
      <c r="F343" s="61"/>
      <c r="G343" s="206" t="s">
        <v>4971</v>
      </c>
      <c r="H343" s="150"/>
      <c r="I343" s="355"/>
      <c r="J343" s="653">
        <v>3792.29</v>
      </c>
      <c r="K343" s="365">
        <f>J343/12</f>
        <v>316.02416666666664</v>
      </c>
      <c r="O343" s="565">
        <v>7.0000000000000007E-2</v>
      </c>
      <c r="P343" s="566">
        <f t="shared" si="16"/>
        <v>0</v>
      </c>
    </row>
    <row r="344" spans="1:16" ht="30.75" customHeight="1">
      <c r="A344" s="438"/>
      <c r="B344" s="139"/>
      <c r="C344" s="101" t="s">
        <v>4760</v>
      </c>
      <c r="D344" s="132" t="s">
        <v>40</v>
      </c>
      <c r="E344" s="61">
        <v>647</v>
      </c>
      <c r="F344" s="61"/>
      <c r="G344" s="206" t="s">
        <v>3199</v>
      </c>
      <c r="H344" s="150">
        <v>3520.09</v>
      </c>
      <c r="I344" s="355"/>
      <c r="J344" s="653">
        <v>3766.5</v>
      </c>
      <c r="K344" s="365">
        <v>627.75</v>
      </c>
      <c r="O344" s="565">
        <v>7.0000000000000007E-2</v>
      </c>
      <c r="P344" s="566">
        <f t="shared" si="16"/>
        <v>0</v>
      </c>
    </row>
    <row r="345" spans="1:16" ht="30.75" customHeight="1">
      <c r="A345" s="438"/>
      <c r="B345" s="460" t="s">
        <v>4972</v>
      </c>
      <c r="C345" s="101" t="s">
        <v>123</v>
      </c>
      <c r="D345" s="132" t="s">
        <v>23</v>
      </c>
      <c r="E345" s="61">
        <v>230</v>
      </c>
      <c r="F345" s="61"/>
      <c r="G345" s="206" t="s">
        <v>3199</v>
      </c>
      <c r="H345" s="150">
        <v>2503.1799999999998</v>
      </c>
      <c r="I345" s="355"/>
      <c r="J345" s="653">
        <v>2679</v>
      </c>
      <c r="K345" s="365">
        <v>223.25</v>
      </c>
      <c r="O345" s="565">
        <v>7.0000000000000007E-2</v>
      </c>
      <c r="P345" s="566">
        <f t="shared" si="16"/>
        <v>0</v>
      </c>
    </row>
    <row r="346" spans="1:16" ht="30.75" customHeight="1">
      <c r="A346" s="398"/>
      <c r="B346" s="139"/>
      <c r="C346" s="101" t="s">
        <v>1509</v>
      </c>
      <c r="D346" s="132" t="s">
        <v>23</v>
      </c>
      <c r="E346" s="61">
        <v>355</v>
      </c>
      <c r="F346" s="61"/>
      <c r="G346" s="206" t="s">
        <v>4971</v>
      </c>
      <c r="H346" s="150"/>
      <c r="I346" s="355"/>
      <c r="J346" s="653">
        <v>3792.29</v>
      </c>
      <c r="K346" s="365">
        <f>J346/12</f>
        <v>316.02416666666664</v>
      </c>
      <c r="O346" s="565">
        <v>7.0000000000000007E-2</v>
      </c>
      <c r="P346" s="566">
        <f t="shared" si="16"/>
        <v>0</v>
      </c>
    </row>
    <row r="347" spans="1:16" ht="30.75" customHeight="1">
      <c r="A347" s="998"/>
      <c r="B347" s="139"/>
      <c r="C347" s="101" t="s">
        <v>4760</v>
      </c>
      <c r="D347" s="132" t="s">
        <v>40</v>
      </c>
      <c r="E347" s="61">
        <v>647</v>
      </c>
      <c r="F347" s="61"/>
      <c r="G347" s="206" t="s">
        <v>3199</v>
      </c>
      <c r="H347" s="150">
        <v>3520.09</v>
      </c>
      <c r="I347" s="355"/>
      <c r="J347" s="653">
        <v>3766.5</v>
      </c>
      <c r="K347" s="365">
        <v>627.75</v>
      </c>
      <c r="O347" s="565">
        <v>7.0000000000000007E-2</v>
      </c>
      <c r="P347" s="566">
        <f t="shared" si="16"/>
        <v>0</v>
      </c>
    </row>
    <row r="348" spans="1:16" ht="30.75" customHeight="1">
      <c r="A348" s="998"/>
      <c r="B348" s="139" t="s">
        <v>4973</v>
      </c>
      <c r="C348" s="101" t="s">
        <v>123</v>
      </c>
      <c r="D348" s="132" t="s">
        <v>23</v>
      </c>
      <c r="E348" s="61">
        <v>230</v>
      </c>
      <c r="F348" s="61"/>
      <c r="G348" s="206"/>
      <c r="H348" s="150"/>
      <c r="I348" s="355"/>
      <c r="J348" s="653">
        <v>2101.42</v>
      </c>
      <c r="K348" s="365">
        <f>J348/12</f>
        <v>175.11833333333334</v>
      </c>
      <c r="O348" s="565">
        <v>7.0000000000000007E-2</v>
      </c>
      <c r="P348" s="566">
        <f t="shared" si="16"/>
        <v>0</v>
      </c>
    </row>
    <row r="349" spans="1:16" ht="30.75" customHeight="1">
      <c r="A349" s="1019"/>
      <c r="B349" s="139"/>
      <c r="C349" s="101" t="s">
        <v>1509</v>
      </c>
      <c r="D349" s="132" t="s">
        <v>23</v>
      </c>
      <c r="E349" s="61">
        <v>354</v>
      </c>
      <c r="F349" s="61"/>
      <c r="G349" s="206" t="s">
        <v>2502</v>
      </c>
      <c r="H349" s="150">
        <v>3888</v>
      </c>
      <c r="I349" s="355" t="s">
        <v>4974</v>
      </c>
      <c r="J349" s="653">
        <v>4118.5600000000004</v>
      </c>
      <c r="K349" s="365">
        <f>J349/12</f>
        <v>343.21333333333337</v>
      </c>
      <c r="O349" s="565">
        <v>7.0000000000000007E-2</v>
      </c>
      <c r="P349" s="566">
        <f t="shared" si="16"/>
        <v>0</v>
      </c>
    </row>
    <row r="350" spans="1:16" ht="30.75" customHeight="1">
      <c r="A350" s="398"/>
      <c r="B350" s="139"/>
      <c r="C350" s="101" t="s">
        <v>4760</v>
      </c>
      <c r="D350" s="132" t="s">
        <v>40</v>
      </c>
      <c r="E350" s="61">
        <v>647</v>
      </c>
      <c r="F350" s="61"/>
      <c r="G350" s="215" t="s">
        <v>4975</v>
      </c>
      <c r="H350" s="150"/>
      <c r="I350" s="359"/>
      <c r="J350" s="653">
        <v>3041.25</v>
      </c>
      <c r="K350" s="365">
        <f>J350/6</f>
        <v>506.875</v>
      </c>
      <c r="O350" s="565">
        <v>7.0000000000000007E-2</v>
      </c>
      <c r="P350" s="566">
        <f t="shared" si="16"/>
        <v>0</v>
      </c>
    </row>
    <row r="351" spans="1:16" ht="30.75" customHeight="1">
      <c r="A351" s="772"/>
      <c r="B351" s="460" t="s">
        <v>4976</v>
      </c>
      <c r="C351" s="101" t="s">
        <v>123</v>
      </c>
      <c r="D351" s="132" t="s">
        <v>23</v>
      </c>
      <c r="E351" s="61">
        <v>230</v>
      </c>
      <c r="F351" s="61"/>
      <c r="G351" s="215"/>
      <c r="H351" s="150"/>
      <c r="I351" s="359"/>
      <c r="J351" s="653">
        <v>2101.42</v>
      </c>
      <c r="K351" s="365">
        <f>J351/12</f>
        <v>175.11833333333334</v>
      </c>
      <c r="M351" s="191"/>
      <c r="N351" s="570"/>
      <c r="O351" s="565">
        <v>7.0000000000000007E-2</v>
      </c>
      <c r="P351" s="566">
        <f t="shared" si="16"/>
        <v>0</v>
      </c>
    </row>
    <row r="352" spans="1:16" ht="30.75" customHeight="1">
      <c r="A352" s="998"/>
      <c r="B352" s="233"/>
      <c r="C352" s="101" t="s">
        <v>1509</v>
      </c>
      <c r="D352" s="132" t="s">
        <v>23</v>
      </c>
      <c r="E352" s="61">
        <v>354</v>
      </c>
      <c r="F352" s="61"/>
      <c r="G352" s="206" t="s">
        <v>2502</v>
      </c>
      <c r="H352" s="150">
        <v>3888</v>
      </c>
      <c r="I352" s="355" t="s">
        <v>4974</v>
      </c>
      <c r="J352" s="653">
        <v>4118.5600000000004</v>
      </c>
      <c r="K352" s="365">
        <f>J352/12</f>
        <v>343.21333333333337</v>
      </c>
    </row>
    <row r="353" spans="1:16" ht="30.75" customHeight="1">
      <c r="A353" s="266"/>
      <c r="B353" s="139"/>
      <c r="C353" s="101" t="s">
        <v>4760</v>
      </c>
      <c r="D353" s="132" t="s">
        <v>40</v>
      </c>
      <c r="E353" s="61">
        <v>647</v>
      </c>
      <c r="F353" s="61"/>
      <c r="G353" s="206"/>
      <c r="H353" s="150"/>
      <c r="I353" s="355"/>
      <c r="J353" s="653">
        <v>3041.25</v>
      </c>
      <c r="K353" s="365">
        <f>J353/6</f>
        <v>506.875</v>
      </c>
    </row>
    <row r="354" spans="1:16" ht="30.75" customHeight="1">
      <c r="A354" s="266"/>
      <c r="B354" s="1112"/>
      <c r="C354" s="992"/>
      <c r="D354" s="132"/>
      <c r="E354" s="61"/>
      <c r="F354" s="61"/>
      <c r="G354" s="206"/>
      <c r="H354" s="150"/>
      <c r="I354" s="355"/>
      <c r="J354" s="653"/>
      <c r="K354" s="365"/>
    </row>
    <row r="355" spans="1:16" ht="30.75" customHeight="1">
      <c r="A355" s="279" t="s">
        <v>0</v>
      </c>
      <c r="B355" s="1112"/>
      <c r="C355" s="992"/>
      <c r="D355" s="132"/>
      <c r="E355" s="61"/>
      <c r="F355" s="61"/>
      <c r="G355" s="215"/>
      <c r="H355" s="150"/>
      <c r="I355" s="359"/>
      <c r="J355" s="653"/>
      <c r="K355" s="365"/>
    </row>
    <row r="356" spans="1:16" ht="30.75" customHeight="1">
      <c r="A356" s="1019"/>
      <c r="B356" s="465"/>
      <c r="C356" s="101"/>
      <c r="D356" s="390"/>
      <c r="E356" s="118"/>
      <c r="F356" s="121"/>
      <c r="G356" s="215"/>
      <c r="H356" s="639"/>
      <c r="I356" s="355"/>
      <c r="J356" s="655"/>
      <c r="K356" s="364"/>
      <c r="O356" s="565">
        <v>7.0000000000000007E-2</v>
      </c>
      <c r="P356" s="566">
        <f>(M356*O356)+M356</f>
        <v>0</v>
      </c>
    </row>
    <row r="357" spans="1:16" ht="30.75" customHeight="1">
      <c r="A357" s="1019"/>
      <c r="B357" s="384"/>
      <c r="C357" s="101"/>
      <c r="D357" s="390"/>
      <c r="E357" s="118"/>
      <c r="F357" s="121"/>
      <c r="G357" s="214"/>
      <c r="H357" s="640"/>
      <c r="I357" s="355"/>
      <c r="J357" s="363"/>
      <c r="K357" s="363"/>
      <c r="M357" s="188">
        <v>1397.88</v>
      </c>
      <c r="O357" s="565">
        <v>7.0000000000000007E-2</v>
      </c>
      <c r="P357" s="566">
        <f>(M357*O357)+M357</f>
        <v>1495.7316000000001</v>
      </c>
    </row>
    <row r="358" spans="1:16" ht="30.75" customHeight="1">
      <c r="A358" s="1019"/>
      <c r="B358" s="384"/>
      <c r="C358" s="101"/>
      <c r="D358" s="390"/>
      <c r="E358" s="122"/>
      <c r="F358" s="123"/>
      <c r="G358" s="214"/>
      <c r="H358" s="640"/>
      <c r="I358" s="355"/>
      <c r="J358" s="363"/>
      <c r="K358" s="363"/>
    </row>
    <row r="359" spans="1:16" ht="30.75" customHeight="1">
      <c r="A359" s="1019"/>
      <c r="B359" s="1046"/>
      <c r="C359" s="992"/>
      <c r="D359" s="1047"/>
      <c r="E359" s="1048"/>
      <c r="F359" s="1049"/>
      <c r="G359" s="727"/>
      <c r="H359" s="1050"/>
      <c r="I359" s="993"/>
      <c r="J359" s="1051"/>
      <c r="K359" s="1051"/>
    </row>
    <row r="360" spans="1:16" ht="30.75" customHeight="1">
      <c r="A360" s="279"/>
      <c r="B360" s="127"/>
      <c r="C360" s="127"/>
      <c r="D360" s="3444"/>
      <c r="F360" s="68"/>
      <c r="G360" s="1067"/>
      <c r="H360" s="1068"/>
      <c r="I360" s="1069"/>
      <c r="J360" s="1070"/>
    </row>
    <row r="361" spans="1:16" ht="30.75" customHeight="1" thickBot="1">
      <c r="A361" s="1023"/>
      <c r="B361" s="232"/>
      <c r="C361" s="360"/>
      <c r="D361" s="361"/>
      <c r="E361" s="231"/>
      <c r="F361" s="231"/>
      <c r="G361" s="231"/>
    </row>
    <row r="362" spans="1:16" ht="30.75" customHeight="1">
      <c r="A362" s="3481"/>
      <c r="B362" s="3482"/>
      <c r="C362" s="48"/>
      <c r="D362" s="128"/>
      <c r="E362" s="78"/>
      <c r="F362" s="78"/>
      <c r="G362" s="211"/>
      <c r="H362" s="636"/>
      <c r="I362" s="470"/>
      <c r="J362" s="651"/>
      <c r="K362" s="367"/>
    </row>
    <row r="363" spans="1:16" ht="30.75" customHeight="1" thickBot="1">
      <c r="A363" s="1018"/>
      <c r="B363" s="494"/>
      <c r="C363" s="50"/>
      <c r="D363" s="129"/>
      <c r="E363" s="80"/>
      <c r="F363" s="80"/>
      <c r="G363" s="212"/>
      <c r="H363" s="637"/>
      <c r="I363" s="471"/>
      <c r="J363" s="652"/>
      <c r="K363" s="368"/>
      <c r="M363" s="190"/>
      <c r="N363" s="568"/>
    </row>
    <row r="364" spans="1:16" ht="30.75" customHeight="1">
      <c r="A364" s="1024"/>
      <c r="B364" s="552"/>
      <c r="C364" s="320"/>
      <c r="D364" s="532"/>
      <c r="E364" s="69"/>
      <c r="F364" s="69"/>
      <c r="G364" s="223"/>
      <c r="H364" s="647"/>
      <c r="I364" s="472"/>
      <c r="J364" s="654"/>
      <c r="K364" s="378"/>
      <c r="M364" s="190"/>
      <c r="N364" s="568"/>
    </row>
    <row r="365" spans="1:16" ht="30.75" customHeight="1">
      <c r="A365" s="398"/>
      <c r="B365" s="3468"/>
      <c r="C365" s="320"/>
      <c r="D365" s="532"/>
      <c r="E365" s="61"/>
      <c r="F365" s="61"/>
      <c r="G365" s="223"/>
      <c r="H365" s="647"/>
      <c r="I365" s="472"/>
      <c r="J365" s="654"/>
      <c r="K365" s="378"/>
    </row>
    <row r="366" spans="1:16" ht="30.75" customHeight="1">
      <c r="A366" s="398"/>
      <c r="B366" s="3468"/>
      <c r="C366" s="1734"/>
      <c r="D366" s="1735"/>
      <c r="E366" s="1404"/>
      <c r="F366" s="1404"/>
      <c r="G366" s="1736"/>
      <c r="H366" s="1737"/>
      <c r="I366" s="1738"/>
      <c r="J366" s="1739"/>
      <c r="K366" s="1740"/>
    </row>
    <row r="367" spans="1:16" ht="30.75" customHeight="1">
      <c r="A367" s="398"/>
      <c r="B367" s="3468"/>
      <c r="C367" s="320"/>
      <c r="D367" s="532"/>
      <c r="E367" s="61"/>
      <c r="F367" s="61"/>
      <c r="G367" s="223"/>
      <c r="H367" s="647"/>
      <c r="I367" s="472"/>
      <c r="J367" s="654"/>
      <c r="K367" s="378"/>
    </row>
    <row r="368" spans="1:16" ht="30.75" customHeight="1">
      <c r="A368" s="398"/>
      <c r="B368" s="3468"/>
      <c r="C368" s="320"/>
      <c r="D368" s="532"/>
      <c r="E368" s="61"/>
      <c r="F368" s="92"/>
      <c r="G368" s="223"/>
      <c r="H368" s="647"/>
      <c r="I368" s="472"/>
      <c r="J368" s="654"/>
      <c r="K368" s="378"/>
    </row>
    <row r="369" spans="1:11" ht="30.75" customHeight="1">
      <c r="A369" s="398"/>
      <c r="B369" s="139"/>
      <c r="C369" s="101"/>
      <c r="D369" s="132"/>
      <c r="E369" s="61"/>
      <c r="F369" s="92"/>
      <c r="G369" s="206"/>
      <c r="H369" s="150"/>
      <c r="I369" s="355"/>
      <c r="J369" s="653"/>
      <c r="K369" s="365"/>
    </row>
    <row r="370" spans="1:11" ht="30.75" customHeight="1">
      <c r="A370" s="398"/>
      <c r="B370" s="139"/>
      <c r="C370" s="1741"/>
      <c r="D370" s="1742"/>
      <c r="E370" s="1404"/>
      <c r="F370" s="1743"/>
      <c r="G370" s="1744"/>
      <c r="H370" s="1745"/>
      <c r="I370" s="1746"/>
      <c r="J370" s="1747"/>
      <c r="K370" s="1748"/>
    </row>
    <row r="371" spans="1:11" ht="30.75" customHeight="1">
      <c r="A371" s="398"/>
      <c r="B371" s="139"/>
      <c r="C371" s="101"/>
      <c r="D371" s="132"/>
      <c r="E371" s="61"/>
      <c r="F371" s="92"/>
      <c r="G371" s="206"/>
      <c r="H371" s="150"/>
      <c r="I371" s="355"/>
      <c r="J371" s="653"/>
      <c r="K371" s="365"/>
    </row>
    <row r="372" spans="1:11" ht="30.75" customHeight="1">
      <c r="A372" s="398"/>
      <c r="B372" s="3468"/>
      <c r="C372" s="320"/>
      <c r="D372" s="532"/>
      <c r="E372" s="61"/>
      <c r="F372" s="92"/>
      <c r="G372" s="223"/>
      <c r="H372" s="647"/>
      <c r="I372" s="472"/>
      <c r="J372" s="654"/>
      <c r="K372" s="378"/>
    </row>
    <row r="373" spans="1:11" ht="30.75" customHeight="1">
      <c r="A373" s="398"/>
      <c r="B373" s="139"/>
      <c r="C373" s="101"/>
      <c r="D373" s="132"/>
      <c r="E373" s="61"/>
      <c r="F373" s="61"/>
      <c r="G373" s="206"/>
      <c r="H373" s="150"/>
      <c r="I373" s="355"/>
      <c r="J373" s="653"/>
      <c r="K373" s="365"/>
    </row>
    <row r="374" spans="1:11" ht="30.75" customHeight="1">
      <c r="A374" s="398"/>
      <c r="B374" s="139"/>
      <c r="C374" s="714"/>
      <c r="D374" s="715"/>
      <c r="E374" s="716"/>
      <c r="F374" s="716"/>
      <c r="G374" s="717"/>
      <c r="H374" s="723"/>
      <c r="I374" s="718"/>
      <c r="J374" s="719"/>
      <c r="K374" s="720"/>
    </row>
    <row r="375" spans="1:11" ht="30.75" customHeight="1">
      <c r="A375" s="398"/>
      <c r="B375" s="139"/>
      <c r="C375" s="101"/>
      <c r="D375" s="132"/>
      <c r="E375" s="61"/>
      <c r="F375" s="61"/>
      <c r="G375" s="206"/>
      <c r="H375" s="150"/>
      <c r="I375" s="355"/>
      <c r="J375" s="653"/>
      <c r="K375" s="365"/>
    </row>
    <row r="376" spans="1:11" ht="30.75" customHeight="1">
      <c r="A376" s="398"/>
      <c r="B376" s="139"/>
      <c r="C376" s="101"/>
      <c r="D376" s="132"/>
      <c r="E376" s="61"/>
      <c r="F376" s="61"/>
      <c r="G376" s="206"/>
      <c r="H376" s="150"/>
      <c r="I376" s="355"/>
      <c r="J376" s="653"/>
      <c r="K376" s="365"/>
    </row>
    <row r="377" spans="1:11" ht="30.75" customHeight="1">
      <c r="A377" s="398"/>
      <c r="B377" s="3468"/>
      <c r="C377" s="320"/>
      <c r="D377" s="532"/>
      <c r="E377" s="61"/>
      <c r="F377" s="61"/>
      <c r="G377" s="223"/>
      <c r="H377" s="647"/>
      <c r="I377" s="472"/>
      <c r="J377" s="654"/>
      <c r="K377" s="378"/>
    </row>
    <row r="378" spans="1:11" ht="30.75" customHeight="1">
      <c r="A378" s="398"/>
      <c r="B378" s="139"/>
      <c r="C378" s="101"/>
      <c r="D378" s="132"/>
      <c r="E378" s="61"/>
      <c r="F378" s="61"/>
      <c r="G378" s="206"/>
      <c r="H378" s="150"/>
      <c r="I378" s="355"/>
      <c r="J378" s="653"/>
      <c r="K378" s="365"/>
    </row>
    <row r="379" spans="1:11" ht="30.75" customHeight="1">
      <c r="A379" s="398"/>
      <c r="B379" s="139"/>
      <c r="C379" s="101"/>
      <c r="D379" s="132"/>
      <c r="E379" s="61"/>
      <c r="F379" s="61"/>
      <c r="G379" s="206"/>
      <c r="H379" s="150"/>
      <c r="I379" s="355"/>
      <c r="J379" s="653"/>
      <c r="K379" s="365"/>
    </row>
    <row r="380" spans="1:11" ht="30.75" customHeight="1">
      <c r="A380" s="398"/>
      <c r="B380" s="139"/>
      <c r="C380" s="101"/>
      <c r="D380" s="132"/>
      <c r="E380" s="61"/>
      <c r="F380" s="61"/>
      <c r="G380" s="206"/>
      <c r="H380" s="150"/>
      <c r="I380" s="355"/>
      <c r="J380" s="653"/>
      <c r="K380" s="365"/>
    </row>
    <row r="381" spans="1:11" ht="30.75" customHeight="1">
      <c r="A381" s="398"/>
      <c r="B381" s="139"/>
      <c r="C381" s="101"/>
      <c r="D381" s="132"/>
      <c r="E381" s="61"/>
      <c r="F381" s="61"/>
      <c r="G381" s="206"/>
      <c r="H381" s="150"/>
      <c r="I381" s="355"/>
      <c r="J381" s="653"/>
      <c r="K381" s="365"/>
    </row>
    <row r="382" spans="1:11" ht="30.75" customHeight="1">
      <c r="A382" s="398"/>
      <c r="B382" s="139"/>
      <c r="C382" s="101"/>
      <c r="D382" s="132"/>
      <c r="E382" s="61"/>
      <c r="F382" s="61"/>
      <c r="G382" s="206"/>
      <c r="H382" s="150"/>
      <c r="I382" s="355"/>
      <c r="J382" s="653"/>
      <c r="K382" s="365"/>
    </row>
    <row r="383" spans="1:11" ht="30.75" customHeight="1">
      <c r="A383" s="398"/>
      <c r="B383" s="139"/>
      <c r="C383" s="101"/>
      <c r="D383" s="132"/>
      <c r="E383" s="61"/>
      <c r="F383" s="61"/>
      <c r="G383" s="206"/>
      <c r="H383" s="150"/>
      <c r="I383" s="355"/>
      <c r="J383" s="653"/>
      <c r="K383" s="365"/>
    </row>
    <row r="384" spans="1:11" ht="30.75" customHeight="1">
      <c r="A384" s="438"/>
      <c r="B384" s="139"/>
      <c r="C384" s="101"/>
      <c r="D384" s="132"/>
      <c r="E384" s="61"/>
      <c r="F384" s="61"/>
      <c r="G384" s="206"/>
      <c r="H384" s="150"/>
      <c r="I384" s="355"/>
      <c r="J384" s="653"/>
      <c r="K384" s="365"/>
    </row>
    <row r="385" spans="1:14" ht="30.75" customHeight="1">
      <c r="A385" s="438"/>
      <c r="B385" s="460"/>
      <c r="C385" s="101"/>
      <c r="D385" s="132"/>
      <c r="E385" s="61"/>
      <c r="F385" s="61"/>
      <c r="G385" s="206"/>
      <c r="H385" s="150"/>
      <c r="I385" s="355"/>
      <c r="J385" s="653"/>
      <c r="K385" s="365"/>
    </row>
    <row r="386" spans="1:14" ht="30.75" customHeight="1">
      <c r="A386" s="398"/>
      <c r="B386" s="139"/>
      <c r="C386" s="101"/>
      <c r="D386" s="132"/>
      <c r="E386" s="61"/>
      <c r="F386" s="61"/>
      <c r="G386" s="206"/>
      <c r="H386" s="150"/>
      <c r="I386" s="355"/>
      <c r="J386" s="653"/>
      <c r="K386" s="365"/>
    </row>
    <row r="387" spans="1:14" ht="30.75" customHeight="1">
      <c r="A387" s="998"/>
      <c r="B387" s="139"/>
      <c r="C387" s="101"/>
      <c r="D387" s="132"/>
      <c r="E387" s="61"/>
      <c r="F387" s="61"/>
      <c r="G387" s="206"/>
      <c r="H387" s="150"/>
      <c r="I387" s="355"/>
      <c r="J387" s="653"/>
      <c r="K387" s="365"/>
    </row>
    <row r="388" spans="1:14" ht="30.75" customHeight="1">
      <c r="A388" s="998"/>
      <c r="B388" s="139"/>
      <c r="C388" s="101"/>
      <c r="D388" s="132"/>
      <c r="E388" s="61"/>
      <c r="F388" s="61"/>
      <c r="G388" s="206"/>
      <c r="H388" s="150"/>
      <c r="I388" s="355"/>
      <c r="J388" s="653"/>
      <c r="K388" s="365"/>
    </row>
    <row r="389" spans="1:14" ht="30.75" customHeight="1">
      <c r="A389" s="1019"/>
      <c r="B389" s="139"/>
      <c r="C389" s="101"/>
      <c r="D389" s="132"/>
      <c r="E389" s="61"/>
      <c r="F389" s="61"/>
      <c r="G389" s="206"/>
      <c r="H389" s="150"/>
      <c r="I389" s="355"/>
      <c r="J389" s="653"/>
      <c r="K389" s="365"/>
    </row>
    <row r="390" spans="1:14" ht="30.75" customHeight="1">
      <c r="A390" s="398"/>
      <c r="B390" s="139"/>
      <c r="C390" s="101"/>
      <c r="D390" s="132"/>
      <c r="E390" s="61"/>
      <c r="F390" s="61"/>
      <c r="G390" s="215"/>
      <c r="H390" s="150"/>
      <c r="I390" s="359"/>
      <c r="J390" s="653"/>
      <c r="K390" s="365"/>
    </row>
    <row r="391" spans="1:14" ht="30.75" customHeight="1">
      <c r="A391" s="772"/>
      <c r="B391" s="460"/>
      <c r="C391" s="101"/>
      <c r="D391" s="132"/>
      <c r="E391" s="61"/>
      <c r="F391" s="61"/>
      <c r="G391" s="215"/>
      <c r="H391" s="150"/>
      <c r="I391" s="359"/>
      <c r="J391" s="653"/>
      <c r="K391" s="365"/>
    </row>
    <row r="392" spans="1:14" ht="30.75" customHeight="1">
      <c r="A392" s="998"/>
      <c r="B392" s="233"/>
      <c r="C392" s="101"/>
      <c r="D392" s="132"/>
      <c r="E392" s="61"/>
      <c r="F392" s="61"/>
      <c r="G392" s="206"/>
      <c r="H392" s="150"/>
      <c r="I392" s="355"/>
      <c r="J392" s="653"/>
      <c r="K392" s="365"/>
      <c r="N392" s="570"/>
    </row>
    <row r="393" spans="1:14" ht="30.75" customHeight="1">
      <c r="A393" s="266"/>
      <c r="B393" s="139"/>
      <c r="C393" s="101"/>
      <c r="D393" s="132"/>
      <c r="E393" s="61"/>
      <c r="F393" s="61"/>
      <c r="G393" s="206"/>
      <c r="H393" s="150"/>
      <c r="I393" s="355"/>
      <c r="J393" s="653"/>
      <c r="K393" s="365"/>
      <c r="N393" s="570"/>
    </row>
    <row r="394" spans="1:14" ht="30.75" customHeight="1">
      <c r="A394" s="266"/>
      <c r="B394" s="1112"/>
      <c r="C394" s="992"/>
      <c r="D394" s="132"/>
      <c r="E394" s="61"/>
      <c r="F394" s="61"/>
      <c r="G394" s="206"/>
      <c r="H394" s="150"/>
      <c r="I394" s="355"/>
      <c r="J394" s="653"/>
      <c r="K394" s="365"/>
      <c r="N394" s="570"/>
    </row>
    <row r="395" spans="1:14" ht="30.75" customHeight="1">
      <c r="A395" s="279"/>
      <c r="B395" s="1112"/>
      <c r="C395" s="992"/>
      <c r="D395" s="132"/>
      <c r="E395" s="61"/>
      <c r="F395" s="61"/>
      <c r="G395" s="215"/>
      <c r="H395" s="150"/>
      <c r="I395" s="359"/>
      <c r="J395" s="653"/>
      <c r="K395" s="365"/>
      <c r="N395" s="570"/>
    </row>
    <row r="396" spans="1:14" ht="30.75" customHeight="1">
      <c r="A396" s="1019"/>
      <c r="B396" s="465"/>
      <c r="C396" s="101"/>
      <c r="D396" s="390"/>
      <c r="E396" s="118"/>
      <c r="F396" s="121"/>
      <c r="G396" s="215"/>
      <c r="H396" s="639"/>
      <c r="I396" s="355"/>
      <c r="J396" s="655"/>
      <c r="K396" s="364"/>
      <c r="N396" s="570"/>
    </row>
    <row r="397" spans="1:14" ht="30.75" customHeight="1">
      <c r="A397" s="1019"/>
      <c r="B397" s="384"/>
      <c r="C397" s="101"/>
      <c r="D397" s="390"/>
      <c r="E397" s="118"/>
      <c r="F397" s="121"/>
      <c r="G397" s="214"/>
      <c r="H397" s="640"/>
      <c r="I397" s="355"/>
      <c r="J397" s="363"/>
      <c r="K397" s="363"/>
      <c r="N397" s="570"/>
    </row>
    <row r="398" spans="1:14" ht="30.75" customHeight="1">
      <c r="A398" s="1019"/>
      <c r="B398" s="384"/>
      <c r="C398" s="101"/>
      <c r="D398" s="390"/>
      <c r="E398" s="122"/>
      <c r="F398" s="123"/>
      <c r="G398" s="214"/>
      <c r="H398" s="640"/>
      <c r="I398" s="355"/>
      <c r="J398" s="363"/>
      <c r="K398" s="363"/>
      <c r="N398" s="570"/>
    </row>
    <row r="399" spans="1:14" ht="30.75" customHeight="1">
      <c r="A399" s="1019"/>
      <c r="B399" s="1046"/>
      <c r="C399" s="992"/>
      <c r="D399" s="1047"/>
      <c r="E399" s="1048"/>
      <c r="F399" s="1049"/>
      <c r="G399" s="727"/>
      <c r="H399" s="1050"/>
      <c r="I399" s="993"/>
      <c r="J399" s="1051"/>
      <c r="K399" s="1051"/>
      <c r="N399" s="570"/>
    </row>
    <row r="400" spans="1:14" ht="30.75" customHeight="1">
      <c r="A400" s="1019"/>
      <c r="B400" s="109"/>
      <c r="C400" s="104"/>
      <c r="D400" s="1057"/>
      <c r="E400" s="987"/>
      <c r="F400" s="987"/>
      <c r="G400" s="988"/>
      <c r="H400" s="649"/>
      <c r="I400" s="475"/>
      <c r="J400" s="454"/>
      <c r="K400" s="454"/>
      <c r="N400" s="570"/>
    </row>
    <row r="401" spans="1:14" ht="30.75" customHeight="1">
      <c r="A401" s="1019"/>
      <c r="B401" s="127"/>
      <c r="C401" s="104"/>
      <c r="D401" s="1057"/>
      <c r="E401" s="987"/>
      <c r="F401" s="987"/>
      <c r="G401" s="988"/>
      <c r="H401" s="649"/>
      <c r="I401" s="475"/>
      <c r="J401" s="454"/>
      <c r="K401" s="454"/>
      <c r="N401" s="570"/>
    </row>
    <row r="402" spans="1:14" ht="30.75" customHeight="1">
      <c r="A402" s="1019"/>
      <c r="B402" s="127" t="s">
        <v>4909</v>
      </c>
      <c r="D402" s="3444"/>
      <c r="F402" s="45"/>
      <c r="G402" s="68"/>
      <c r="H402" s="642"/>
      <c r="N402" s="570"/>
    </row>
    <row r="403" spans="1:14" ht="30.75" customHeight="1" thickBot="1">
      <c r="A403" s="1019"/>
      <c r="B403" s="1058"/>
      <c r="C403" s="1059"/>
      <c r="D403" s="1060"/>
      <c r="E403" s="1061"/>
      <c r="F403" s="1059"/>
      <c r="G403" s="1062"/>
      <c r="H403" s="1063"/>
      <c r="I403" s="1064"/>
      <c r="J403" s="1065"/>
      <c r="K403" s="1066"/>
      <c r="N403" s="570"/>
    </row>
    <row r="404" spans="1:14" ht="30.75" customHeight="1">
      <c r="A404" s="1026" t="s">
        <v>1454</v>
      </c>
      <c r="B404" s="1052" t="s">
        <v>2</v>
      </c>
      <c r="C404" s="350" t="s">
        <v>3</v>
      </c>
      <c r="D404" s="1053" t="s">
        <v>4</v>
      </c>
      <c r="E404" s="348" t="s">
        <v>5</v>
      </c>
      <c r="F404" s="349" t="s">
        <v>5</v>
      </c>
      <c r="G404" s="727" t="s">
        <v>6</v>
      </c>
      <c r="H404" s="1054" t="s">
        <v>7</v>
      </c>
      <c r="I404" s="1055" t="s">
        <v>8</v>
      </c>
      <c r="J404" s="1056" t="s">
        <v>9</v>
      </c>
      <c r="K404" s="371" t="s">
        <v>9</v>
      </c>
      <c r="M404" s="190"/>
      <c r="N404" s="568"/>
    </row>
    <row r="405" spans="1:14" ht="30.75" customHeight="1" thickBot="1">
      <c r="A405" s="1027"/>
      <c r="B405" s="137"/>
      <c r="C405" s="50"/>
      <c r="D405" s="129" t="s">
        <v>10</v>
      </c>
      <c r="E405" s="79" t="s">
        <v>12</v>
      </c>
      <c r="F405" s="80" t="s">
        <v>11</v>
      </c>
      <c r="G405" s="212"/>
      <c r="H405" s="637" t="s">
        <v>13</v>
      </c>
      <c r="I405" s="471"/>
      <c r="J405" s="652" t="s">
        <v>14</v>
      </c>
      <c r="K405" s="368" t="s">
        <v>15</v>
      </c>
      <c r="M405" s="190"/>
      <c r="N405" s="568"/>
    </row>
    <row r="406" spans="1:14" ht="30.75" customHeight="1">
      <c r="A406" s="398"/>
      <c r="B406" s="3452"/>
      <c r="C406" s="63"/>
      <c r="D406" s="133"/>
      <c r="E406" s="90"/>
      <c r="F406" s="61"/>
      <c r="G406" s="206"/>
      <c r="H406" s="150"/>
      <c r="I406" s="355"/>
      <c r="J406" s="653"/>
      <c r="K406" s="365"/>
    </row>
    <row r="407" spans="1:14" ht="30.75" customHeight="1">
      <c r="A407" s="438"/>
      <c r="B407" s="139"/>
      <c r="C407" s="101"/>
      <c r="D407" s="132"/>
      <c r="E407" s="90"/>
      <c r="F407" s="61"/>
      <c r="G407" s="206"/>
      <c r="H407" s="150"/>
      <c r="I407" s="355"/>
      <c r="J407" s="653"/>
      <c r="K407" s="365"/>
    </row>
    <row r="408" spans="1:14" ht="30.75" customHeight="1">
      <c r="A408" s="438"/>
      <c r="B408" s="139"/>
      <c r="C408" s="101"/>
      <c r="D408" s="132"/>
      <c r="E408" s="90"/>
      <c r="F408" s="61"/>
      <c r="G408" s="206"/>
      <c r="H408" s="150"/>
      <c r="I408" s="796"/>
      <c r="J408" s="653"/>
      <c r="K408" s="365"/>
    </row>
    <row r="409" spans="1:14" ht="30.75" customHeight="1">
      <c r="A409" s="398"/>
      <c r="B409" s="139"/>
      <c r="C409" s="101"/>
      <c r="D409" s="132"/>
      <c r="E409" s="90"/>
      <c r="F409" s="61"/>
      <c r="G409" s="206"/>
      <c r="H409" s="150"/>
      <c r="I409" s="355"/>
      <c r="J409" s="653"/>
      <c r="K409" s="365"/>
    </row>
    <row r="410" spans="1:14" ht="30.75" customHeight="1">
      <c r="A410" s="998"/>
      <c r="B410" s="139"/>
      <c r="C410" s="101"/>
      <c r="D410" s="132"/>
      <c r="E410" s="90"/>
      <c r="F410" s="61"/>
      <c r="G410" s="206"/>
      <c r="H410" s="150"/>
      <c r="I410" s="355"/>
      <c r="J410" s="653"/>
      <c r="K410" s="365"/>
    </row>
    <row r="411" spans="1:14" ht="30.75" customHeight="1">
      <c r="A411" s="998"/>
      <c r="B411" s="139"/>
      <c r="C411" s="101"/>
      <c r="D411" s="132"/>
      <c r="E411" s="236"/>
      <c r="F411" s="61"/>
      <c r="G411" s="206"/>
      <c r="H411" s="150"/>
      <c r="I411" s="359"/>
      <c r="J411" s="653"/>
      <c r="K411" s="365"/>
    </row>
    <row r="412" spans="1:14" ht="30.75" customHeight="1">
      <c r="A412" s="1019"/>
      <c r="B412" s="460"/>
      <c r="C412" s="101"/>
      <c r="D412" s="134"/>
      <c r="E412" s="143"/>
      <c r="F412" s="69"/>
      <c r="G412" s="216"/>
      <c r="H412" s="638"/>
      <c r="I412" s="358"/>
      <c r="J412" s="658"/>
      <c r="K412" s="365"/>
    </row>
    <row r="413" spans="1:14" ht="30.75" customHeight="1">
      <c r="A413" s="406"/>
      <c r="B413" s="105"/>
      <c r="C413" s="63"/>
      <c r="D413" s="133"/>
      <c r="E413" s="145"/>
      <c r="F413" s="61"/>
      <c r="G413" s="206"/>
      <c r="H413" s="150"/>
      <c r="I413" s="355"/>
      <c r="J413" s="653"/>
      <c r="K413" s="365"/>
    </row>
    <row r="414" spans="1:14" ht="30.75" customHeight="1">
      <c r="A414" s="406"/>
      <c r="B414" s="105"/>
      <c r="C414" s="63"/>
      <c r="D414" s="133"/>
      <c r="E414" s="145"/>
      <c r="F414" s="61"/>
      <c r="G414" s="206"/>
      <c r="H414" s="150"/>
      <c r="I414" s="355"/>
      <c r="J414" s="653"/>
      <c r="K414" s="365"/>
    </row>
    <row r="415" spans="1:14" ht="30.75" customHeight="1">
      <c r="A415" s="406"/>
      <c r="B415" s="105"/>
      <c r="C415" s="63"/>
      <c r="D415" s="133"/>
      <c r="E415" s="145"/>
      <c r="F415" s="61"/>
      <c r="G415" s="206"/>
      <c r="H415" s="150"/>
      <c r="I415" s="355"/>
      <c r="J415" s="653"/>
      <c r="K415" s="365"/>
    </row>
    <row r="416" spans="1:14" ht="30.75" customHeight="1">
      <c r="A416" s="406"/>
      <c r="B416" s="105"/>
      <c r="C416" s="63"/>
      <c r="D416" s="133"/>
      <c r="E416" s="145"/>
      <c r="F416" s="61"/>
      <c r="G416" s="206"/>
      <c r="H416" s="150"/>
      <c r="I416" s="355"/>
      <c r="J416" s="653"/>
      <c r="K416" s="365"/>
    </row>
    <row r="417" spans="1:11" ht="30.75" customHeight="1">
      <c r="A417" s="406"/>
      <c r="B417" s="1012"/>
      <c r="C417" s="63"/>
      <c r="D417" s="133"/>
      <c r="E417" s="145"/>
      <c r="F417" s="61"/>
      <c r="G417" s="206"/>
      <c r="H417" s="150"/>
      <c r="I417" s="355"/>
      <c r="J417" s="653"/>
      <c r="K417" s="365"/>
    </row>
    <row r="418" spans="1:11" ht="30.75" customHeight="1">
      <c r="A418" s="406"/>
      <c r="B418" s="105"/>
      <c r="C418" s="1162"/>
      <c r="D418" s="132"/>
      <c r="E418" s="145"/>
      <c r="F418" s="61"/>
      <c r="G418" s="206"/>
      <c r="H418" s="150"/>
      <c r="I418" s="355"/>
      <c r="J418" s="653"/>
      <c r="K418" s="1029"/>
    </row>
    <row r="419" spans="1:11" ht="30.75" customHeight="1">
      <c r="A419" s="406"/>
      <c r="B419" s="105"/>
      <c r="C419" s="1162"/>
      <c r="D419" s="132"/>
      <c r="E419" s="145"/>
      <c r="F419" s="61"/>
      <c r="G419" s="206"/>
      <c r="H419" s="150"/>
      <c r="I419" s="355"/>
      <c r="J419" s="653"/>
      <c r="K419" s="1029"/>
    </row>
    <row r="420" spans="1:11" ht="30.75" customHeight="1">
      <c r="A420" s="406"/>
      <c r="B420" s="105"/>
      <c r="C420" s="1162"/>
      <c r="D420" s="132"/>
      <c r="E420" s="145"/>
      <c r="F420" s="61"/>
      <c r="G420" s="206"/>
      <c r="H420" s="150"/>
      <c r="I420" s="355"/>
      <c r="J420" s="653"/>
      <c r="K420" s="1029"/>
    </row>
    <row r="421" spans="1:11" ht="30.75" customHeight="1">
      <c r="A421" s="406"/>
      <c r="B421" s="105"/>
      <c r="C421" s="63"/>
      <c r="D421" s="133"/>
      <c r="E421" s="145"/>
      <c r="F421" s="61"/>
      <c r="G421" s="206"/>
      <c r="H421" s="150"/>
      <c r="I421" s="355"/>
      <c r="J421" s="653"/>
      <c r="K421" s="365"/>
    </row>
    <row r="422" spans="1:11" ht="30.75" customHeight="1">
      <c r="A422" s="406"/>
      <c r="B422" s="105"/>
      <c r="C422" s="63"/>
      <c r="D422" s="133"/>
      <c r="E422" s="145"/>
      <c r="F422" s="61"/>
      <c r="G422" s="206"/>
      <c r="H422" s="150"/>
      <c r="I422" s="355"/>
      <c r="J422" s="653"/>
      <c r="K422" s="365"/>
    </row>
    <row r="423" spans="1:11" ht="30.75" customHeight="1">
      <c r="A423" s="406"/>
      <c r="B423" s="105"/>
      <c r="C423" s="63"/>
      <c r="D423" s="133"/>
      <c r="E423" s="145"/>
      <c r="F423" s="61"/>
      <c r="G423" s="206"/>
      <c r="H423" s="150"/>
      <c r="I423" s="355"/>
      <c r="J423" s="653"/>
      <c r="K423" s="365"/>
    </row>
    <row r="424" spans="1:11" ht="30.75" customHeight="1">
      <c r="A424" s="406"/>
      <c r="B424" s="105"/>
      <c r="C424" s="63"/>
      <c r="D424" s="133"/>
      <c r="E424" s="145"/>
      <c r="F424" s="61"/>
      <c r="G424" s="206"/>
      <c r="H424" s="150"/>
      <c r="I424" s="355"/>
      <c r="J424" s="653"/>
      <c r="K424" s="365"/>
    </row>
    <row r="425" spans="1:11" ht="30.75" customHeight="1">
      <c r="A425" s="406"/>
      <c r="B425" s="105"/>
      <c r="C425" s="63"/>
      <c r="D425" s="133"/>
      <c r="E425" s="90"/>
      <c r="F425" s="61"/>
      <c r="G425" s="206"/>
      <c r="H425" s="150"/>
      <c r="I425" s="355"/>
      <c r="J425" s="653"/>
      <c r="K425" s="365"/>
    </row>
    <row r="426" spans="1:11" ht="30.75" customHeight="1">
      <c r="A426" s="766"/>
      <c r="B426" s="126"/>
      <c r="C426" s="63"/>
      <c r="D426" s="133"/>
      <c r="E426" s="90"/>
      <c r="F426" s="61"/>
      <c r="G426" s="206"/>
      <c r="H426" s="150"/>
      <c r="I426" s="355"/>
      <c r="J426" s="653"/>
      <c r="K426" s="365"/>
    </row>
    <row r="427" spans="1:11" ht="30.75" customHeight="1">
      <c r="A427" s="766"/>
      <c r="B427" s="126"/>
      <c r="C427" s="63"/>
      <c r="D427" s="133"/>
      <c r="E427" s="90"/>
      <c r="F427" s="61"/>
      <c r="G427" s="206"/>
      <c r="H427" s="150"/>
      <c r="I427" s="355"/>
      <c r="J427" s="653"/>
      <c r="K427" s="365"/>
    </row>
    <row r="428" spans="1:11" ht="30.75" customHeight="1">
      <c r="A428" s="406"/>
      <c r="B428" s="105"/>
      <c r="C428" s="63"/>
      <c r="D428" s="133"/>
      <c r="E428" s="90"/>
      <c r="F428" s="61"/>
      <c r="G428" s="206"/>
      <c r="H428" s="150"/>
      <c r="I428" s="355"/>
      <c r="J428" s="653"/>
      <c r="K428" s="365"/>
    </row>
    <row r="429" spans="1:11" ht="30.75" customHeight="1">
      <c r="A429" s="999"/>
      <c r="B429" s="126"/>
      <c r="C429" s="63"/>
      <c r="D429" s="133"/>
      <c r="E429" s="91"/>
      <c r="F429" s="61"/>
      <c r="G429" s="215"/>
      <c r="H429" s="150"/>
      <c r="I429" s="359"/>
      <c r="J429" s="653"/>
      <c r="K429" s="365"/>
    </row>
    <row r="430" spans="1:11" ht="30.75" customHeight="1">
      <c r="A430" s="999"/>
      <c r="B430" s="126"/>
      <c r="C430" s="63"/>
      <c r="D430" s="133"/>
      <c r="E430" s="91"/>
      <c r="F430" s="61"/>
      <c r="G430" s="215"/>
      <c r="H430" s="150"/>
      <c r="I430" s="359"/>
      <c r="J430" s="653"/>
      <c r="K430" s="365"/>
    </row>
    <row r="431" spans="1:11" ht="30.75" customHeight="1">
      <c r="A431" s="770"/>
      <c r="B431" s="106"/>
      <c r="C431" s="57"/>
      <c r="D431" s="134"/>
      <c r="E431" s="143"/>
      <c r="F431" s="69"/>
      <c r="G431" s="216"/>
      <c r="H431" s="638"/>
      <c r="I431" s="358"/>
      <c r="J431" s="658"/>
      <c r="K431" s="369"/>
    </row>
    <row r="432" spans="1:11" ht="30.75" customHeight="1">
      <c r="A432" s="406"/>
      <c r="B432" s="105"/>
      <c r="C432" s="63"/>
      <c r="D432" s="133"/>
      <c r="E432" s="145"/>
      <c r="F432" s="61"/>
      <c r="G432" s="206"/>
      <c r="H432" s="150"/>
      <c r="I432" s="355"/>
      <c r="J432" s="653"/>
      <c r="K432" s="365"/>
    </row>
    <row r="433" spans="1:14" ht="30.75" customHeight="1">
      <c r="A433" s="770"/>
      <c r="B433" s="106"/>
      <c r="C433" s="57"/>
      <c r="D433" s="134"/>
      <c r="E433" s="143"/>
      <c r="F433" s="69"/>
      <c r="G433" s="216"/>
      <c r="H433" s="638"/>
      <c r="I433" s="358"/>
      <c r="J433" s="658"/>
      <c r="K433" s="369"/>
    </row>
    <row r="434" spans="1:14" ht="30.75" customHeight="1">
      <c r="A434" s="773"/>
      <c r="B434" s="107"/>
      <c r="C434" s="57"/>
      <c r="D434" s="134"/>
      <c r="E434" s="94"/>
      <c r="F434" s="69"/>
      <c r="G434" s="214"/>
      <c r="H434" s="638"/>
      <c r="I434" s="473"/>
      <c r="J434" s="658"/>
      <c r="K434" s="369"/>
      <c r="M434" s="191"/>
      <c r="N434" s="570"/>
    </row>
    <row r="435" spans="1:14" ht="30.75" customHeight="1">
      <c r="A435" s="773"/>
      <c r="B435" s="107"/>
      <c r="C435" s="57"/>
      <c r="D435" s="134"/>
      <c r="E435" s="387"/>
      <c r="F435" s="69"/>
      <c r="G435" s="214"/>
      <c r="H435" s="638"/>
      <c r="I435" s="473"/>
      <c r="J435" s="658"/>
      <c r="K435" s="369"/>
      <c r="M435" s="191"/>
      <c r="N435" s="570"/>
    </row>
    <row r="436" spans="1:14" ht="30.75" customHeight="1">
      <c r="A436" s="773"/>
      <c r="B436" s="107"/>
      <c r="C436" s="57"/>
      <c r="D436" s="134"/>
      <c r="E436" s="387"/>
      <c r="F436" s="69"/>
      <c r="G436" s="214"/>
      <c r="H436" s="638"/>
      <c r="I436" s="473"/>
      <c r="J436" s="658"/>
      <c r="K436" s="369"/>
      <c r="M436" s="191"/>
      <c r="N436" s="570"/>
    </row>
    <row r="437" spans="1:14" ht="30.75" customHeight="1">
      <c r="A437" s="773"/>
      <c r="B437" s="107"/>
      <c r="C437" s="57"/>
      <c r="D437" s="134"/>
      <c r="E437" s="387"/>
      <c r="F437" s="69"/>
      <c r="G437" s="214"/>
      <c r="H437" s="638"/>
      <c r="I437" s="473"/>
      <c r="J437" s="658"/>
      <c r="K437" s="369"/>
      <c r="M437" s="191"/>
      <c r="N437" s="570"/>
    </row>
    <row r="438" spans="1:14" ht="30.75" customHeight="1">
      <c r="A438" s="773"/>
      <c r="B438" s="107"/>
      <c r="C438" s="57"/>
      <c r="D438" s="134"/>
      <c r="E438" s="387"/>
      <c r="F438" s="69"/>
      <c r="G438" s="214"/>
      <c r="H438" s="638"/>
      <c r="I438" s="473"/>
      <c r="J438" s="658"/>
      <c r="K438" s="369"/>
      <c r="M438" s="191"/>
      <c r="N438" s="570"/>
    </row>
    <row r="439" spans="1:14" ht="30.75" customHeight="1">
      <c r="A439" s="773"/>
      <c r="B439" s="107"/>
      <c r="C439" s="57"/>
      <c r="D439" s="134"/>
      <c r="E439" s="387"/>
      <c r="F439" s="69"/>
      <c r="G439" s="214"/>
      <c r="H439" s="638"/>
      <c r="I439" s="473"/>
      <c r="J439" s="658"/>
      <c r="K439" s="369"/>
      <c r="M439" s="191"/>
      <c r="N439" s="570"/>
    </row>
    <row r="440" spans="1:14" ht="30.75" customHeight="1">
      <c r="A440" s="773"/>
      <c r="B440" s="107"/>
      <c r="C440" s="57"/>
      <c r="D440" s="134"/>
      <c r="E440" s="387"/>
      <c r="F440" s="69"/>
      <c r="G440" s="214"/>
      <c r="H440" s="638"/>
      <c r="I440" s="473"/>
      <c r="J440" s="658"/>
      <c r="K440" s="369"/>
      <c r="M440" s="191"/>
      <c r="N440" s="570"/>
    </row>
    <row r="441" spans="1:14" ht="30.75" customHeight="1">
      <c r="A441" s="773"/>
      <c r="B441" s="107"/>
      <c r="C441" s="57"/>
      <c r="D441" s="134"/>
      <c r="E441" s="387"/>
      <c r="F441" s="69"/>
      <c r="G441" s="214"/>
      <c r="H441" s="638"/>
      <c r="I441" s="473"/>
      <c r="J441" s="658"/>
      <c r="K441" s="369"/>
      <c r="M441" s="191"/>
      <c r="N441" s="570"/>
    </row>
    <row r="442" spans="1:14" ht="30.75" customHeight="1">
      <c r="A442" s="279"/>
      <c r="B442" s="127"/>
      <c r="C442" s="68"/>
      <c r="F442" s="68"/>
    </row>
    <row r="443" spans="1:14" ht="30.75" customHeight="1">
      <c r="A443" s="279" t="s">
        <v>4842</v>
      </c>
      <c r="B443" s="127"/>
      <c r="C443" s="68"/>
      <c r="F443" s="68"/>
    </row>
    <row r="444" spans="1:14" ht="30.75" customHeight="1">
      <c r="A444" s="127"/>
      <c r="B444" s="991"/>
      <c r="C444" s="991"/>
      <c r="D444" s="991"/>
      <c r="E444" s="991"/>
      <c r="F444" s="990"/>
    </row>
    <row r="445" spans="1:14" ht="30.75" customHeight="1" thickBot="1">
      <c r="F445" s="68"/>
    </row>
    <row r="446" spans="1:14" ht="30.75" customHeight="1">
      <c r="A446" s="1026" t="s">
        <v>1454</v>
      </c>
      <c r="B446" s="136" t="s">
        <v>2</v>
      </c>
      <c r="C446" s="48" t="s">
        <v>3</v>
      </c>
      <c r="D446" s="128" t="s">
        <v>4</v>
      </c>
      <c r="E446" s="77" t="s">
        <v>5</v>
      </c>
      <c r="F446" s="78" t="s">
        <v>5</v>
      </c>
      <c r="G446" s="211" t="s">
        <v>6</v>
      </c>
      <c r="H446" s="636" t="s">
        <v>7</v>
      </c>
      <c r="I446" s="470" t="s">
        <v>8</v>
      </c>
      <c r="J446" s="651" t="s">
        <v>9</v>
      </c>
      <c r="K446" s="367" t="s">
        <v>9</v>
      </c>
      <c r="M446" s="190"/>
      <c r="N446" s="568"/>
    </row>
    <row r="447" spans="1:14" ht="30.75" customHeight="1" thickBot="1">
      <c r="A447" s="1027"/>
      <c r="B447" s="137"/>
      <c r="C447" s="50"/>
      <c r="D447" s="129" t="s">
        <v>10</v>
      </c>
      <c r="E447" s="79" t="s">
        <v>12</v>
      </c>
      <c r="F447" s="80" t="s">
        <v>11</v>
      </c>
      <c r="G447" s="212"/>
      <c r="H447" s="637" t="s">
        <v>13</v>
      </c>
      <c r="I447" s="471"/>
      <c r="J447" s="652" t="s">
        <v>14</v>
      </c>
      <c r="K447" s="368" t="s">
        <v>15</v>
      </c>
      <c r="M447" s="190"/>
      <c r="N447" s="568"/>
    </row>
    <row r="448" spans="1:14" ht="30.75" customHeight="1">
      <c r="A448" s="406"/>
      <c r="B448" s="105"/>
      <c r="C448" s="63"/>
      <c r="D448" s="133"/>
      <c r="E448" s="145"/>
      <c r="F448" s="61"/>
      <c r="G448" s="206"/>
      <c r="H448" s="150"/>
      <c r="I448" s="355"/>
      <c r="J448" s="653"/>
      <c r="K448" s="365"/>
    </row>
    <row r="449" spans="1:11" ht="30.75" customHeight="1">
      <c r="A449" s="406"/>
      <c r="B449" s="105"/>
      <c r="C449" s="63"/>
      <c r="D449" s="133"/>
      <c r="E449" s="145"/>
      <c r="F449" s="61"/>
      <c r="G449" s="206"/>
      <c r="H449" s="150"/>
      <c r="I449" s="355"/>
      <c r="J449" s="653"/>
      <c r="K449" s="365"/>
    </row>
    <row r="450" spans="1:11" ht="30.75" customHeight="1">
      <c r="A450" s="406"/>
      <c r="B450" s="105"/>
      <c r="C450" s="63"/>
      <c r="D450" s="133"/>
      <c r="E450" s="145"/>
      <c r="F450" s="61"/>
      <c r="G450" s="206"/>
      <c r="H450" s="150"/>
      <c r="I450" s="355"/>
      <c r="J450" s="653"/>
      <c r="K450" s="365"/>
    </row>
    <row r="451" spans="1:11" ht="30.75" customHeight="1">
      <c r="A451" s="406"/>
      <c r="B451" s="105"/>
      <c r="C451" s="63"/>
      <c r="D451" s="133"/>
      <c r="E451" s="90"/>
      <c r="F451" s="61"/>
      <c r="G451" s="206"/>
      <c r="H451" s="150"/>
      <c r="I451" s="355"/>
      <c r="J451" s="653"/>
      <c r="K451" s="365"/>
    </row>
    <row r="452" spans="1:11" ht="30.75" customHeight="1">
      <c r="A452" s="406"/>
      <c r="B452" s="126"/>
      <c r="C452" s="63"/>
      <c r="D452" s="133"/>
      <c r="E452" s="90"/>
      <c r="F452" s="61"/>
      <c r="G452" s="206"/>
      <c r="H452" s="150"/>
      <c r="I452" s="355"/>
      <c r="J452" s="653"/>
      <c r="K452" s="365"/>
    </row>
    <row r="453" spans="1:11" ht="30.75" customHeight="1">
      <c r="A453" s="406"/>
      <c r="B453" s="126"/>
      <c r="C453" s="63"/>
      <c r="D453" s="133"/>
      <c r="E453" s="90"/>
      <c r="F453" s="61"/>
      <c r="G453" s="206"/>
      <c r="H453" s="150"/>
      <c r="I453" s="355"/>
      <c r="J453" s="653"/>
      <c r="K453" s="365"/>
    </row>
    <row r="454" spans="1:11" ht="30.75" customHeight="1">
      <c r="A454" s="406"/>
      <c r="B454" s="105"/>
      <c r="C454" s="63"/>
      <c r="D454" s="133"/>
      <c r="E454" s="90"/>
      <c r="F454" s="61"/>
      <c r="G454" s="206"/>
      <c r="H454" s="150"/>
      <c r="I454" s="355"/>
      <c r="J454" s="653"/>
      <c r="K454" s="365"/>
    </row>
    <row r="455" spans="1:11" ht="30.75" customHeight="1">
      <c r="A455" s="406"/>
      <c r="B455" s="126"/>
      <c r="C455" s="63"/>
      <c r="D455" s="133"/>
      <c r="E455" s="91"/>
      <c r="F455" s="61"/>
      <c r="G455" s="215"/>
      <c r="H455" s="150"/>
      <c r="I455" s="359"/>
      <c r="J455" s="653"/>
      <c r="K455" s="365"/>
    </row>
    <row r="456" spans="1:11" ht="30.75" customHeight="1">
      <c r="A456" s="406"/>
      <c r="B456" s="126"/>
      <c r="C456" s="63"/>
      <c r="D456" s="133"/>
      <c r="E456" s="91"/>
      <c r="F456" s="61"/>
      <c r="G456" s="215"/>
      <c r="H456" s="150"/>
      <c r="I456" s="359"/>
      <c r="J456" s="653"/>
      <c r="K456" s="365"/>
    </row>
    <row r="457" spans="1:11" ht="30.75" customHeight="1">
      <c r="A457" s="406"/>
      <c r="B457" s="106"/>
      <c r="C457" s="57"/>
      <c r="D457" s="134"/>
      <c r="E457" s="143"/>
      <c r="F457" s="69"/>
      <c r="G457" s="216"/>
      <c r="H457" s="638"/>
      <c r="I457" s="358"/>
      <c r="J457" s="658"/>
      <c r="K457" s="369"/>
    </row>
    <row r="458" spans="1:11" ht="30.75" customHeight="1">
      <c r="A458" s="406"/>
      <c r="B458" s="105"/>
      <c r="C458" s="63"/>
      <c r="D458" s="133"/>
      <c r="E458" s="145"/>
      <c r="F458" s="61"/>
      <c r="G458" s="206"/>
      <c r="H458" s="150"/>
      <c r="I458" s="355"/>
      <c r="J458" s="653"/>
      <c r="K458" s="365"/>
    </row>
    <row r="459" spans="1:11" ht="30.75" customHeight="1">
      <c r="A459" s="406"/>
      <c r="B459" s="106"/>
      <c r="C459" s="57"/>
      <c r="D459" s="134"/>
      <c r="E459" s="143"/>
      <c r="F459" s="69"/>
      <c r="G459" s="216"/>
      <c r="H459" s="638"/>
      <c r="I459" s="358"/>
      <c r="J459" s="658"/>
      <c r="K459" s="369"/>
    </row>
    <row r="460" spans="1:11" ht="30.75" customHeight="1">
      <c r="A460" s="406"/>
      <c r="B460" s="107"/>
      <c r="C460" s="57"/>
      <c r="D460" s="134"/>
      <c r="E460" s="94"/>
      <c r="F460" s="69"/>
      <c r="G460" s="214"/>
      <c r="H460" s="638"/>
      <c r="I460" s="473"/>
      <c r="J460" s="658"/>
      <c r="K460" s="369"/>
    </row>
    <row r="461" spans="1:11" ht="30.75" customHeight="1">
      <c r="A461" s="406"/>
      <c r="B461" s="107"/>
      <c r="C461" s="57"/>
      <c r="D461" s="134"/>
      <c r="E461" s="387"/>
      <c r="F461" s="69"/>
      <c r="G461" s="214"/>
      <c r="H461" s="638"/>
      <c r="I461" s="473"/>
      <c r="J461" s="658"/>
      <c r="K461" s="369"/>
    </row>
    <row r="462" spans="1:11" ht="30.75" customHeight="1">
      <c r="A462" s="406"/>
      <c r="B462" s="107"/>
      <c r="C462" s="57"/>
      <c r="D462" s="134"/>
      <c r="E462" s="387"/>
      <c r="F462" s="69"/>
      <c r="G462" s="214"/>
      <c r="H462" s="638"/>
      <c r="I462" s="473"/>
      <c r="J462" s="658"/>
      <c r="K462" s="369"/>
    </row>
    <row r="463" spans="1:11" ht="30.75" customHeight="1">
      <c r="A463" s="406"/>
      <c r="B463" s="107"/>
      <c r="C463" s="57"/>
      <c r="D463" s="134"/>
      <c r="E463" s="387"/>
      <c r="F463" s="69"/>
      <c r="G463" s="214"/>
      <c r="H463" s="638"/>
      <c r="I463" s="473"/>
      <c r="J463" s="658"/>
      <c r="K463" s="369"/>
    </row>
    <row r="464" spans="1:11" ht="30.75" customHeight="1">
      <c r="A464" s="406"/>
      <c r="B464" s="107"/>
      <c r="C464" s="57"/>
      <c r="D464" s="134"/>
      <c r="E464" s="387"/>
      <c r="F464" s="69"/>
      <c r="G464" s="214"/>
      <c r="H464" s="638"/>
      <c r="I464" s="473"/>
      <c r="J464" s="658"/>
      <c r="K464" s="369"/>
    </row>
    <row r="465" spans="1:11" ht="30.75" customHeight="1">
      <c r="A465" s="406"/>
      <c r="B465" s="105"/>
      <c r="C465" s="63"/>
      <c r="D465" s="133"/>
      <c r="E465" s="145"/>
      <c r="F465" s="61"/>
      <c r="G465" s="206"/>
      <c r="H465" s="150"/>
      <c r="I465" s="355"/>
      <c r="J465" s="653"/>
      <c r="K465" s="365"/>
    </row>
    <row r="466" spans="1:11" ht="30.75" customHeight="1">
      <c r="A466" s="406"/>
      <c r="B466" s="105"/>
      <c r="C466" s="63"/>
      <c r="D466" s="133"/>
      <c r="E466" s="145"/>
      <c r="F466" s="61"/>
      <c r="G466" s="206"/>
      <c r="H466" s="150"/>
      <c r="I466" s="355"/>
      <c r="J466" s="653"/>
      <c r="K466" s="365"/>
    </row>
    <row r="467" spans="1:11" ht="30.75" customHeight="1">
      <c r="A467" s="406"/>
      <c r="B467" s="105"/>
      <c r="C467" s="63"/>
      <c r="D467" s="133"/>
      <c r="E467" s="145"/>
      <c r="F467" s="61"/>
      <c r="G467" s="206"/>
      <c r="H467" s="150"/>
      <c r="I467" s="355"/>
      <c r="J467" s="653"/>
      <c r="K467" s="365"/>
    </row>
    <row r="468" spans="1:11" ht="30.75" customHeight="1">
      <c r="A468" s="766"/>
      <c r="B468" s="105"/>
      <c r="C468" s="63"/>
      <c r="D468" s="133"/>
      <c r="E468" s="90"/>
      <c r="F468" s="61"/>
      <c r="G468" s="206"/>
      <c r="H468" s="150"/>
      <c r="I468" s="355"/>
      <c r="J468" s="653"/>
      <c r="K468" s="365"/>
    </row>
    <row r="469" spans="1:11" ht="30.75" customHeight="1">
      <c r="A469" s="766"/>
      <c r="B469" s="126"/>
      <c r="C469" s="63"/>
      <c r="D469" s="133"/>
      <c r="E469" s="90"/>
      <c r="F469" s="61"/>
      <c r="G469" s="206"/>
      <c r="H469" s="150"/>
      <c r="I469" s="355"/>
      <c r="J469" s="653"/>
      <c r="K469" s="365"/>
    </row>
    <row r="470" spans="1:11" ht="30.75" customHeight="1">
      <c r="A470" s="406"/>
      <c r="B470" s="126"/>
      <c r="C470" s="63"/>
      <c r="D470" s="133"/>
      <c r="E470" s="90"/>
      <c r="F470" s="61"/>
      <c r="G470" s="206"/>
      <c r="H470" s="150"/>
      <c r="I470" s="355"/>
      <c r="J470" s="653"/>
      <c r="K470" s="365"/>
    </row>
    <row r="471" spans="1:11" ht="30.75" customHeight="1">
      <c r="A471" s="999"/>
      <c r="B471" s="105"/>
      <c r="C471" s="63"/>
      <c r="D471" s="133"/>
      <c r="E471" s="90"/>
      <c r="F471" s="61"/>
      <c r="G471" s="206"/>
      <c r="H471" s="150"/>
      <c r="I471" s="355"/>
      <c r="J471" s="653"/>
      <c r="K471" s="365"/>
    </row>
    <row r="472" spans="1:11" ht="30.75" customHeight="1">
      <c r="A472" s="406"/>
      <c r="B472" s="126"/>
      <c r="C472" s="63"/>
      <c r="D472" s="133"/>
      <c r="E472" s="91"/>
      <c r="F472" s="61"/>
      <c r="G472" s="215"/>
      <c r="H472" s="150"/>
      <c r="I472" s="359"/>
      <c r="J472" s="653"/>
      <c r="K472" s="365"/>
    </row>
    <row r="473" spans="1:11" ht="30.75" customHeight="1">
      <c r="A473" s="770"/>
      <c r="B473" s="126"/>
      <c r="C473" s="63"/>
      <c r="D473" s="133"/>
      <c r="E473" s="91"/>
      <c r="F473" s="61"/>
      <c r="G473" s="215"/>
      <c r="H473" s="150"/>
      <c r="I473" s="359"/>
      <c r="J473" s="653"/>
      <c r="K473" s="365"/>
    </row>
    <row r="474" spans="1:11" ht="30.75" customHeight="1">
      <c r="A474" s="770"/>
      <c r="B474" s="106"/>
      <c r="C474" s="57"/>
      <c r="D474" s="134"/>
      <c r="E474" s="143"/>
      <c r="F474" s="69"/>
      <c r="G474" s="216"/>
      <c r="H474" s="638"/>
      <c r="I474" s="358"/>
      <c r="J474" s="658"/>
      <c r="K474" s="369"/>
    </row>
    <row r="475" spans="1:11" ht="30.75" customHeight="1">
      <c r="A475" s="770"/>
      <c r="B475" s="105"/>
      <c r="C475" s="63"/>
      <c r="D475" s="133"/>
      <c r="E475" s="145"/>
      <c r="F475" s="61"/>
      <c r="G475" s="206"/>
      <c r="H475" s="150"/>
      <c r="I475" s="355"/>
      <c r="J475" s="653"/>
      <c r="K475" s="365"/>
    </row>
    <row r="476" spans="1:11" ht="30.75" customHeight="1">
      <c r="A476" s="770"/>
      <c r="B476" s="106"/>
      <c r="C476" s="57"/>
      <c r="D476" s="134"/>
      <c r="E476" s="143"/>
      <c r="F476" s="69"/>
      <c r="G476" s="216"/>
      <c r="H476" s="638"/>
      <c r="I476" s="358"/>
      <c r="J476" s="658"/>
      <c r="K476" s="369"/>
    </row>
    <row r="477" spans="1:11" ht="30.75" customHeight="1">
      <c r="A477" s="224"/>
      <c r="B477" s="107"/>
      <c r="C477" s="57"/>
      <c r="D477" s="134"/>
      <c r="E477" s="94"/>
      <c r="F477" s="69"/>
      <c r="G477" s="214"/>
      <c r="H477" s="638"/>
      <c r="I477" s="473"/>
      <c r="J477" s="658"/>
      <c r="K477" s="369"/>
    </row>
    <row r="478" spans="1:11" ht="30.75" customHeight="1">
      <c r="A478" s="224"/>
      <c r="B478" s="107"/>
      <c r="C478" s="57"/>
      <c r="D478" s="134"/>
      <c r="E478" s="387"/>
      <c r="F478" s="69"/>
      <c r="G478" s="214"/>
      <c r="H478" s="638"/>
      <c r="I478" s="473"/>
      <c r="J478" s="658"/>
      <c r="K478" s="369"/>
    </row>
    <row r="479" spans="1:11" ht="30.75" customHeight="1">
      <c r="A479" s="224"/>
      <c r="B479" s="107"/>
      <c r="C479" s="57"/>
      <c r="D479" s="134"/>
      <c r="E479" s="387"/>
      <c r="F479" s="69"/>
      <c r="G479" s="214"/>
      <c r="H479" s="638"/>
      <c r="I479" s="473"/>
      <c r="J479" s="658"/>
      <c r="K479" s="369"/>
    </row>
    <row r="480" spans="1:11" ht="30.75" customHeight="1">
      <c r="A480" s="224"/>
      <c r="B480" s="107"/>
      <c r="C480" s="57"/>
      <c r="D480" s="134"/>
      <c r="E480" s="387"/>
      <c r="F480" s="69"/>
      <c r="G480" s="214"/>
      <c r="H480" s="638"/>
      <c r="I480" s="473"/>
      <c r="J480" s="658"/>
      <c r="K480" s="369"/>
    </row>
    <row r="481" spans="1:14" ht="30.75" customHeight="1">
      <c r="A481" s="224"/>
      <c r="B481" s="107"/>
      <c r="C481" s="57"/>
      <c r="D481" s="134"/>
      <c r="E481" s="387"/>
      <c r="F481" s="69"/>
      <c r="G481" s="214"/>
      <c r="H481" s="638"/>
      <c r="I481" s="473"/>
      <c r="J481" s="658"/>
      <c r="K481" s="369"/>
    </row>
    <row r="482" spans="1:14" ht="30.75" customHeight="1">
      <c r="A482" s="224"/>
      <c r="B482" s="107"/>
      <c r="C482" s="57"/>
      <c r="D482" s="134"/>
      <c r="E482" s="387"/>
      <c r="F482" s="69"/>
      <c r="G482" s="214"/>
      <c r="H482" s="638"/>
      <c r="I482" s="473"/>
      <c r="J482" s="658"/>
      <c r="K482" s="369"/>
    </row>
    <row r="483" spans="1:14" ht="30.75" customHeight="1">
      <c r="A483" s="224"/>
      <c r="B483" s="107"/>
      <c r="C483" s="57"/>
      <c r="D483" s="134"/>
      <c r="E483" s="387"/>
      <c r="F483" s="69"/>
      <c r="G483" s="214"/>
      <c r="H483" s="638"/>
      <c r="I483" s="473"/>
      <c r="J483" s="658"/>
      <c r="K483" s="369"/>
    </row>
    <row r="484" spans="1:14" ht="30.75" customHeight="1">
      <c r="A484" s="224"/>
      <c r="B484" s="139"/>
      <c r="C484" s="101"/>
      <c r="D484" s="132"/>
      <c r="E484" s="243"/>
      <c r="F484" s="61"/>
      <c r="G484" s="206"/>
      <c r="H484" s="639"/>
      <c r="I484" s="796"/>
      <c r="J484" s="469"/>
      <c r="K484" s="363"/>
    </row>
    <row r="485" spans="1:14" ht="30.75" customHeight="1" thickBot="1">
      <c r="A485" s="1028"/>
      <c r="B485" s="108"/>
      <c r="C485" s="67"/>
      <c r="D485" s="356"/>
      <c r="E485" s="147"/>
      <c r="F485" s="66"/>
      <c r="G485" s="220"/>
      <c r="H485" s="643"/>
      <c r="I485" s="357"/>
      <c r="J485" s="660"/>
      <c r="K485" s="395"/>
    </row>
    <row r="486" spans="1:14" ht="30.75" customHeight="1">
      <c r="A486" s="279"/>
      <c r="B486" s="127"/>
      <c r="C486" s="68"/>
      <c r="F486" s="68"/>
    </row>
    <row r="487" spans="1:14" ht="30.75" customHeight="1">
      <c r="A487" s="279" t="s">
        <v>0</v>
      </c>
      <c r="B487" s="127"/>
      <c r="C487" s="68"/>
      <c r="F487" s="68"/>
    </row>
    <row r="488" spans="1:14" ht="30.75" customHeight="1">
      <c r="A488" s="279" t="s">
        <v>1453</v>
      </c>
      <c r="B488" s="127"/>
      <c r="C488" s="991"/>
      <c r="D488" s="991"/>
      <c r="E488" s="991"/>
      <c r="F488" s="990"/>
    </row>
    <row r="489" spans="1:14" ht="30.75" customHeight="1" thickBot="1">
      <c r="F489" s="68"/>
    </row>
    <row r="490" spans="1:14" ht="30.75" customHeight="1">
      <c r="A490" s="1026" t="s">
        <v>1454</v>
      </c>
      <c r="B490" s="136" t="s">
        <v>2</v>
      </c>
      <c r="C490" s="48" t="s">
        <v>3</v>
      </c>
      <c r="D490" s="128" t="s">
        <v>4</v>
      </c>
      <c r="E490" s="77" t="s">
        <v>5</v>
      </c>
      <c r="F490" s="78" t="s">
        <v>5</v>
      </c>
      <c r="G490" s="211" t="s">
        <v>6</v>
      </c>
      <c r="H490" s="636" t="s">
        <v>7</v>
      </c>
      <c r="I490" s="470" t="s">
        <v>8</v>
      </c>
      <c r="J490" s="651" t="s">
        <v>9</v>
      </c>
      <c r="K490" s="367" t="s">
        <v>9</v>
      </c>
      <c r="M490" s="190"/>
      <c r="N490" s="568"/>
    </row>
    <row r="491" spans="1:14" ht="30.75" customHeight="1" thickBot="1">
      <c r="A491" s="1027"/>
      <c r="B491" s="137"/>
      <c r="C491" s="50"/>
      <c r="D491" s="129" t="s">
        <v>10</v>
      </c>
      <c r="E491" s="79" t="s">
        <v>12</v>
      </c>
      <c r="F491" s="80" t="s">
        <v>11</v>
      </c>
      <c r="G491" s="212"/>
      <c r="H491" s="637" t="s">
        <v>13</v>
      </c>
      <c r="I491" s="471"/>
      <c r="J491" s="652" t="s">
        <v>14</v>
      </c>
      <c r="K491" s="368" t="s">
        <v>15</v>
      </c>
      <c r="M491" s="190"/>
      <c r="N491" s="568"/>
    </row>
    <row r="492" spans="1:14" ht="30.75" customHeight="1">
      <c r="A492" s="406"/>
      <c r="B492" s="105"/>
      <c r="C492" s="63"/>
      <c r="D492" s="133"/>
      <c r="E492" s="145"/>
      <c r="F492" s="61"/>
      <c r="G492" s="206"/>
      <c r="H492" s="150"/>
      <c r="I492" s="355"/>
      <c r="J492" s="653"/>
      <c r="K492" s="365"/>
    </row>
    <row r="493" spans="1:14" ht="30.75" customHeight="1">
      <c r="A493" s="406"/>
      <c r="B493" s="105"/>
      <c r="C493" s="63"/>
      <c r="D493" s="133"/>
      <c r="E493" s="145"/>
      <c r="F493" s="61"/>
      <c r="G493" s="206"/>
      <c r="H493" s="150"/>
      <c r="I493" s="355"/>
      <c r="J493" s="653"/>
      <c r="K493" s="365"/>
    </row>
    <row r="494" spans="1:14" ht="30.75" customHeight="1">
      <c r="A494" s="406"/>
      <c r="B494" s="105"/>
      <c r="C494" s="63"/>
      <c r="D494" s="133"/>
      <c r="E494" s="145"/>
      <c r="F494" s="61"/>
      <c r="G494" s="206"/>
      <c r="H494" s="150"/>
      <c r="I494" s="355"/>
      <c r="J494" s="653"/>
      <c r="K494" s="365"/>
    </row>
    <row r="495" spans="1:14" ht="30.75" customHeight="1">
      <c r="A495" s="406"/>
      <c r="B495" s="105"/>
      <c r="C495" s="63"/>
      <c r="D495" s="133"/>
      <c r="E495" s="90"/>
      <c r="F495" s="61"/>
      <c r="G495" s="206"/>
      <c r="H495" s="150"/>
      <c r="I495" s="355"/>
      <c r="J495" s="653"/>
      <c r="K495" s="365"/>
    </row>
    <row r="496" spans="1:14" ht="30.75" customHeight="1">
      <c r="A496" s="406"/>
      <c r="B496" s="126"/>
      <c r="C496" s="63"/>
      <c r="D496" s="133"/>
      <c r="E496" s="90"/>
      <c r="F496" s="61"/>
      <c r="G496" s="206"/>
      <c r="H496" s="150"/>
      <c r="I496" s="355"/>
      <c r="J496" s="653"/>
      <c r="K496" s="365"/>
    </row>
    <row r="497" spans="1:11" ht="30.75" customHeight="1">
      <c r="A497" s="406"/>
      <c r="B497" s="126"/>
      <c r="C497" s="63"/>
      <c r="D497" s="133"/>
      <c r="E497" s="90"/>
      <c r="F497" s="61"/>
      <c r="G497" s="206"/>
      <c r="H497" s="150"/>
      <c r="I497" s="355"/>
      <c r="J497" s="653"/>
      <c r="K497" s="365"/>
    </row>
    <row r="498" spans="1:11" ht="30.75" customHeight="1">
      <c r="A498" s="406"/>
      <c r="B498" s="105"/>
      <c r="C498" s="63"/>
      <c r="D498" s="133"/>
      <c r="E498" s="90"/>
      <c r="F498" s="61"/>
      <c r="G498" s="206"/>
      <c r="H498" s="150"/>
      <c r="I498" s="355"/>
      <c r="J498" s="653"/>
      <c r="K498" s="365"/>
    </row>
    <row r="499" spans="1:11" ht="30.75" customHeight="1">
      <c r="A499" s="406"/>
      <c r="B499" s="126"/>
      <c r="C499" s="63"/>
      <c r="D499" s="133"/>
      <c r="E499" s="91"/>
      <c r="F499" s="61"/>
      <c r="G499" s="215"/>
      <c r="H499" s="150"/>
      <c r="I499" s="359"/>
      <c r="J499" s="653"/>
      <c r="K499" s="365"/>
    </row>
    <row r="500" spans="1:11" ht="30.75" customHeight="1">
      <c r="A500" s="406"/>
      <c r="B500" s="126"/>
      <c r="C500" s="63"/>
      <c r="D500" s="133"/>
      <c r="E500" s="91"/>
      <c r="F500" s="61"/>
      <c r="G500" s="215"/>
      <c r="H500" s="150"/>
      <c r="I500" s="359"/>
      <c r="J500" s="653"/>
      <c r="K500" s="365"/>
    </row>
    <row r="501" spans="1:11" ht="30.75" customHeight="1">
      <c r="A501" s="406"/>
      <c r="B501" s="106"/>
      <c r="C501" s="57"/>
      <c r="D501" s="134"/>
      <c r="E501" s="143"/>
      <c r="F501" s="69"/>
      <c r="G501" s="216"/>
      <c r="H501" s="638"/>
      <c r="I501" s="358"/>
      <c r="J501" s="658"/>
      <c r="K501" s="369"/>
    </row>
    <row r="502" spans="1:11" ht="30.75" customHeight="1">
      <c r="A502" s="406"/>
      <c r="B502" s="105"/>
      <c r="C502" s="63"/>
      <c r="D502" s="133"/>
      <c r="E502" s="145"/>
      <c r="F502" s="61"/>
      <c r="G502" s="206"/>
      <c r="H502" s="150"/>
      <c r="I502" s="355"/>
      <c r="J502" s="653"/>
      <c r="K502" s="365"/>
    </row>
    <row r="503" spans="1:11" ht="30.75" customHeight="1">
      <c r="A503" s="406"/>
      <c r="B503" s="106"/>
      <c r="C503" s="57"/>
      <c r="D503" s="134"/>
      <c r="E503" s="143"/>
      <c r="F503" s="69"/>
      <c r="G503" s="216"/>
      <c r="H503" s="638"/>
      <c r="I503" s="358"/>
      <c r="J503" s="658"/>
      <c r="K503" s="369"/>
    </row>
    <row r="504" spans="1:11" ht="30.75" customHeight="1">
      <c r="A504" s="406"/>
      <c r="B504" s="107"/>
      <c r="C504" s="57"/>
      <c r="D504" s="134"/>
      <c r="E504" s="94"/>
      <c r="F504" s="69"/>
      <c r="G504" s="214"/>
      <c r="H504" s="638"/>
      <c r="I504" s="473"/>
      <c r="J504" s="658"/>
      <c r="K504" s="369"/>
    </row>
    <row r="505" spans="1:11" ht="30.75" customHeight="1">
      <c r="A505" s="406"/>
      <c r="B505" s="107"/>
      <c r="C505" s="57"/>
      <c r="D505" s="134"/>
      <c r="E505" s="387"/>
      <c r="F505" s="69"/>
      <c r="G505" s="214"/>
      <c r="H505" s="638"/>
      <c r="I505" s="473"/>
      <c r="J505" s="658"/>
      <c r="K505" s="369"/>
    </row>
    <row r="506" spans="1:11" ht="30.75" customHeight="1">
      <c r="A506" s="406"/>
      <c r="B506" s="107"/>
      <c r="C506" s="57"/>
      <c r="D506" s="134"/>
      <c r="E506" s="387"/>
      <c r="F506" s="69"/>
      <c r="G506" s="214"/>
      <c r="H506" s="638"/>
      <c r="I506" s="473"/>
      <c r="J506" s="658"/>
      <c r="K506" s="369"/>
    </row>
    <row r="507" spans="1:11" ht="30.75" customHeight="1">
      <c r="A507" s="406"/>
      <c r="B507" s="107"/>
      <c r="C507" s="57"/>
      <c r="D507" s="134"/>
      <c r="E507" s="387"/>
      <c r="F507" s="69"/>
      <c r="G507" s="214"/>
      <c r="H507" s="638"/>
      <c r="I507" s="473"/>
      <c r="J507" s="658"/>
      <c r="K507" s="369"/>
    </row>
    <row r="508" spans="1:11" ht="30.75" customHeight="1">
      <c r="A508" s="406"/>
      <c r="B508" s="107"/>
      <c r="C508" s="57"/>
      <c r="D508" s="134"/>
      <c r="E508" s="387"/>
      <c r="F508" s="69"/>
      <c r="G508" s="214"/>
      <c r="H508" s="638"/>
      <c r="I508" s="473"/>
      <c r="J508" s="658"/>
      <c r="K508" s="369"/>
    </row>
    <row r="509" spans="1:11" ht="30.75" customHeight="1">
      <c r="A509" s="406"/>
      <c r="B509" s="105"/>
      <c r="C509" s="63"/>
      <c r="D509" s="133"/>
      <c r="E509" s="145"/>
      <c r="F509" s="61"/>
      <c r="G509" s="206"/>
      <c r="H509" s="150"/>
      <c r="I509" s="355"/>
      <c r="J509" s="653"/>
      <c r="K509" s="365"/>
    </row>
    <row r="510" spans="1:11" ht="30.75" customHeight="1">
      <c r="A510" s="406"/>
      <c r="B510" s="105"/>
      <c r="C510" s="63"/>
      <c r="D510" s="133"/>
      <c r="E510" s="145"/>
      <c r="F510" s="61"/>
      <c r="G510" s="206"/>
      <c r="H510" s="150"/>
      <c r="I510" s="355"/>
      <c r="J510" s="653"/>
      <c r="K510" s="365"/>
    </row>
    <row r="511" spans="1:11" ht="30.75" customHeight="1">
      <c r="A511" s="406"/>
      <c r="B511" s="105"/>
      <c r="C511" s="63"/>
      <c r="D511" s="133"/>
      <c r="E511" s="145"/>
      <c r="F511" s="61"/>
      <c r="G511" s="206"/>
      <c r="H511" s="150"/>
      <c r="I511" s="355"/>
      <c r="J511" s="653"/>
      <c r="K511" s="365"/>
    </row>
    <row r="512" spans="1:11" ht="30.75" customHeight="1">
      <c r="A512" s="766"/>
      <c r="B512" s="105"/>
      <c r="C512" s="63"/>
      <c r="D512" s="133"/>
      <c r="E512" s="90"/>
      <c r="F512" s="61"/>
      <c r="G512" s="206"/>
      <c r="H512" s="150"/>
      <c r="I512" s="355"/>
      <c r="J512" s="653"/>
      <c r="K512" s="365"/>
    </row>
    <row r="513" spans="1:14" ht="30.75" customHeight="1">
      <c r="A513" s="766"/>
      <c r="B513" s="126"/>
      <c r="C513" s="63"/>
      <c r="D513" s="133"/>
      <c r="E513" s="90"/>
      <c r="F513" s="61"/>
      <c r="G513" s="206"/>
      <c r="H513" s="150"/>
      <c r="I513" s="355"/>
      <c r="J513" s="653"/>
      <c r="K513" s="365"/>
    </row>
    <row r="514" spans="1:14" ht="30.75" customHeight="1">
      <c r="A514" s="406"/>
      <c r="B514" s="126"/>
      <c r="C514" s="63"/>
      <c r="D514" s="133"/>
      <c r="E514" s="90"/>
      <c r="F514" s="61"/>
      <c r="G514" s="206"/>
      <c r="H514" s="150"/>
      <c r="I514" s="355"/>
      <c r="J514" s="653"/>
      <c r="K514" s="365"/>
    </row>
    <row r="515" spans="1:14" ht="30.75" customHeight="1">
      <c r="A515" s="999"/>
      <c r="B515" s="105"/>
      <c r="C515" s="63"/>
      <c r="D515" s="133"/>
      <c r="E515" s="90"/>
      <c r="F515" s="61"/>
      <c r="G515" s="206"/>
      <c r="H515" s="150"/>
      <c r="I515" s="355"/>
      <c r="J515" s="653"/>
      <c r="K515" s="365"/>
    </row>
    <row r="516" spans="1:14" ht="30.75" customHeight="1">
      <c r="A516" s="999"/>
      <c r="B516" s="126"/>
      <c r="C516" s="63"/>
      <c r="D516" s="133"/>
      <c r="E516" s="91"/>
      <c r="F516" s="61"/>
      <c r="G516" s="215"/>
      <c r="H516" s="150"/>
      <c r="I516" s="359"/>
      <c r="J516" s="653"/>
      <c r="K516" s="365"/>
    </row>
    <row r="517" spans="1:14" ht="30.75" customHeight="1">
      <c r="A517" s="770"/>
      <c r="B517" s="126"/>
      <c r="C517" s="63"/>
      <c r="D517" s="133"/>
      <c r="E517" s="91"/>
      <c r="F517" s="61"/>
      <c r="G517" s="215"/>
      <c r="H517" s="150"/>
      <c r="I517" s="359"/>
      <c r="J517" s="653"/>
      <c r="K517" s="365"/>
    </row>
    <row r="518" spans="1:14" ht="30.75" customHeight="1">
      <c r="A518" s="406"/>
      <c r="B518" s="106"/>
      <c r="C518" s="57"/>
      <c r="D518" s="134"/>
      <c r="E518" s="143"/>
      <c r="F518" s="69"/>
      <c r="G518" s="216"/>
      <c r="H518" s="638"/>
      <c r="I518" s="358"/>
      <c r="J518" s="658"/>
      <c r="K518" s="369"/>
    </row>
    <row r="519" spans="1:14" ht="30.75" customHeight="1">
      <c r="A519" s="773"/>
      <c r="B519" s="105"/>
      <c r="C519" s="63"/>
      <c r="D519" s="133"/>
      <c r="E519" s="145"/>
      <c r="F519" s="61"/>
      <c r="G519" s="206"/>
      <c r="H519" s="150"/>
      <c r="I519" s="355"/>
      <c r="J519" s="653"/>
      <c r="K519" s="365"/>
      <c r="M519" s="191"/>
      <c r="N519" s="570"/>
    </row>
    <row r="520" spans="1:14" ht="30.75" customHeight="1">
      <c r="A520" s="773"/>
      <c r="B520" s="106"/>
      <c r="C520" s="57"/>
      <c r="D520" s="134"/>
      <c r="E520" s="143"/>
      <c r="F520" s="69"/>
      <c r="G520" s="216"/>
      <c r="H520" s="638"/>
      <c r="I520" s="358"/>
      <c r="J520" s="658"/>
      <c r="K520" s="369"/>
      <c r="M520" s="191"/>
      <c r="N520" s="570"/>
    </row>
    <row r="521" spans="1:14" ht="30.75" customHeight="1">
      <c r="A521" s="770"/>
      <c r="B521" s="107"/>
      <c r="C521" s="57"/>
      <c r="D521" s="134"/>
      <c r="E521" s="94"/>
      <c r="F521" s="69"/>
      <c r="G521" s="214"/>
      <c r="H521" s="638"/>
      <c r="I521" s="473"/>
      <c r="J521" s="658"/>
      <c r="K521" s="369"/>
    </row>
    <row r="522" spans="1:14" ht="30.75" customHeight="1" thickBot="1">
      <c r="A522" s="1028"/>
      <c r="B522" s="1052"/>
      <c r="C522" s="350"/>
      <c r="D522" s="1504"/>
      <c r="E522" s="1010"/>
      <c r="F522" s="349"/>
      <c r="G522" s="727"/>
      <c r="H522" s="1054"/>
      <c r="I522" s="1055"/>
      <c r="J522" s="1056"/>
      <c r="K522" s="371"/>
    </row>
    <row r="523" spans="1:14" ht="30.75" customHeight="1">
      <c r="A523" s="279"/>
      <c r="B523" s="3444"/>
      <c r="C523" s="68"/>
      <c r="D523" s="3444"/>
      <c r="E523" s="266"/>
      <c r="F523" s="266"/>
      <c r="G523" s="988"/>
      <c r="H523" s="642"/>
      <c r="I523" s="354"/>
      <c r="J523" s="423"/>
    </row>
    <row r="524" spans="1:14" ht="30.75" customHeight="1">
      <c r="A524" s="279" t="s">
        <v>0</v>
      </c>
      <c r="B524" s="3444"/>
      <c r="C524" s="68"/>
      <c r="D524" s="3444"/>
      <c r="E524" s="266"/>
      <c r="F524" s="266"/>
      <c r="G524" s="988"/>
      <c r="H524" s="642"/>
      <c r="I524" s="354"/>
      <c r="J524" s="423"/>
    </row>
    <row r="525" spans="1:14" ht="30.75" customHeight="1">
      <c r="A525" s="279" t="s">
        <v>1453</v>
      </c>
      <c r="B525" s="1598"/>
      <c r="C525" s="328"/>
      <c r="D525" s="1598"/>
      <c r="E525" s="279"/>
      <c r="F525" s="266"/>
      <c r="G525" s="1599"/>
      <c r="H525" s="1600"/>
      <c r="I525" s="1601"/>
      <c r="J525" s="1602"/>
      <c r="K525" s="724"/>
    </row>
    <row r="526" spans="1:14" ht="30.75" customHeight="1" thickBot="1">
      <c r="F526" s="68"/>
    </row>
    <row r="527" spans="1:14" ht="30.75" customHeight="1">
      <c r="A527" s="1026" t="s">
        <v>1454</v>
      </c>
      <c r="B527" s="136" t="s">
        <v>2</v>
      </c>
      <c r="C527" s="48" t="s">
        <v>3</v>
      </c>
      <c r="D527" s="128" t="s">
        <v>4</v>
      </c>
      <c r="E527" s="77" t="s">
        <v>5</v>
      </c>
      <c r="F527" s="78" t="s">
        <v>5</v>
      </c>
      <c r="G527" s="211" t="s">
        <v>6</v>
      </c>
      <c r="H527" s="636" t="s">
        <v>7</v>
      </c>
      <c r="I527" s="470" t="s">
        <v>8</v>
      </c>
      <c r="J527" s="651" t="s">
        <v>9</v>
      </c>
      <c r="K527" s="367" t="s">
        <v>9</v>
      </c>
      <c r="M527" s="190"/>
      <c r="N527" s="568"/>
    </row>
    <row r="528" spans="1:14" ht="30.75" customHeight="1" thickBot="1">
      <c r="A528" s="1027"/>
      <c r="B528" s="137"/>
      <c r="C528" s="50"/>
      <c r="D528" s="129" t="s">
        <v>10</v>
      </c>
      <c r="E528" s="79" t="s">
        <v>12</v>
      </c>
      <c r="F528" s="80" t="s">
        <v>11</v>
      </c>
      <c r="G528" s="212"/>
      <c r="H528" s="637" t="s">
        <v>13</v>
      </c>
      <c r="I528" s="471"/>
      <c r="J528" s="652" t="s">
        <v>14</v>
      </c>
      <c r="K528" s="368" t="s">
        <v>15</v>
      </c>
      <c r="M528" s="190"/>
      <c r="N528" s="568"/>
    </row>
    <row r="529" spans="1:11" ht="30.75" customHeight="1">
      <c r="A529" s="406"/>
      <c r="B529" s="105"/>
      <c r="C529" s="63"/>
      <c r="D529" s="196"/>
      <c r="E529" s="142"/>
      <c r="F529" s="61"/>
      <c r="G529" s="206"/>
      <c r="H529" s="150"/>
      <c r="I529" s="355"/>
      <c r="J529" s="653"/>
      <c r="K529" s="365"/>
    </row>
    <row r="530" spans="1:11" ht="30.75" customHeight="1">
      <c r="A530" s="406"/>
      <c r="B530" s="105"/>
      <c r="C530" s="63"/>
      <c r="D530" s="133"/>
      <c r="E530" s="143"/>
      <c r="F530" s="69"/>
      <c r="G530" s="206"/>
      <c r="H530" s="150"/>
      <c r="I530" s="355"/>
      <c r="J530" s="653"/>
      <c r="K530" s="365"/>
    </row>
    <row r="531" spans="1:11" ht="30.75" customHeight="1">
      <c r="A531" s="406"/>
      <c r="B531" s="105"/>
      <c r="C531" s="63"/>
      <c r="D531" s="133"/>
      <c r="E531" s="145"/>
      <c r="F531" s="61"/>
      <c r="G531" s="206"/>
      <c r="H531" s="150"/>
      <c r="I531" s="355"/>
      <c r="J531" s="653"/>
      <c r="K531" s="365"/>
    </row>
    <row r="532" spans="1:11" ht="30.75" customHeight="1">
      <c r="A532" s="406"/>
      <c r="B532" s="105"/>
      <c r="C532" s="63"/>
      <c r="D532" s="133"/>
      <c r="E532" s="145"/>
      <c r="F532" s="61"/>
      <c r="G532" s="206"/>
      <c r="H532" s="150"/>
      <c r="I532" s="355"/>
      <c r="J532" s="653"/>
      <c r="K532" s="365"/>
    </row>
    <row r="533" spans="1:11" ht="30.75" customHeight="1">
      <c r="A533" s="406"/>
      <c r="B533" s="105"/>
      <c r="C533" s="63"/>
      <c r="D533" s="133"/>
      <c r="E533" s="145"/>
      <c r="F533" s="61"/>
      <c r="G533" s="206"/>
      <c r="H533" s="150"/>
      <c r="I533" s="355"/>
      <c r="J533" s="653"/>
      <c r="K533" s="365"/>
    </row>
    <row r="534" spans="1:11" ht="30.75" customHeight="1">
      <c r="A534" s="406"/>
      <c r="B534" s="105"/>
      <c r="C534" s="63"/>
      <c r="D534" s="133"/>
      <c r="E534" s="145"/>
      <c r="F534" s="61"/>
      <c r="G534" s="206"/>
      <c r="H534" s="150"/>
      <c r="I534" s="355"/>
      <c r="J534" s="653"/>
      <c r="K534" s="365"/>
    </row>
    <row r="535" spans="1:11" ht="30.75" customHeight="1">
      <c r="A535" s="406"/>
      <c r="B535" s="105"/>
      <c r="C535" s="63"/>
      <c r="D535" s="133"/>
      <c r="E535" s="145"/>
      <c r="F535" s="61"/>
      <c r="G535" s="206"/>
      <c r="H535" s="150"/>
      <c r="I535" s="355"/>
      <c r="J535" s="653"/>
      <c r="K535" s="365"/>
    </row>
    <row r="536" spans="1:11" ht="30.75" customHeight="1">
      <c r="A536" s="406"/>
      <c r="B536" s="105"/>
      <c r="C536" s="63"/>
      <c r="D536" s="133"/>
      <c r="E536" s="145"/>
      <c r="F536" s="61"/>
      <c r="G536" s="206"/>
      <c r="H536" s="150"/>
      <c r="I536" s="355"/>
      <c r="J536" s="653"/>
      <c r="K536" s="365"/>
    </row>
    <row r="537" spans="1:11" ht="30.75" customHeight="1">
      <c r="A537" s="406"/>
      <c r="B537" s="105"/>
      <c r="C537" s="63"/>
      <c r="D537" s="133"/>
      <c r="E537" s="145"/>
      <c r="F537" s="61"/>
      <c r="G537" s="206"/>
      <c r="H537" s="150"/>
      <c r="I537" s="355"/>
      <c r="J537" s="653"/>
      <c r="K537" s="365"/>
    </row>
    <row r="538" spans="1:11" ht="30.75" customHeight="1">
      <c r="A538" s="406"/>
      <c r="B538" s="105"/>
      <c r="C538" s="63"/>
      <c r="D538" s="133"/>
      <c r="E538" s="145"/>
      <c r="F538" s="61"/>
      <c r="G538" s="206"/>
      <c r="H538" s="150"/>
      <c r="I538" s="355"/>
      <c r="J538" s="653"/>
      <c r="K538" s="365"/>
    </row>
    <row r="539" spans="1:11" ht="30.75" customHeight="1">
      <c r="A539" s="406"/>
      <c r="B539" s="105"/>
      <c r="C539" s="63"/>
      <c r="D539" s="133"/>
      <c r="E539" s="145"/>
      <c r="F539" s="61"/>
      <c r="G539" s="206"/>
      <c r="H539" s="150"/>
      <c r="I539" s="355"/>
      <c r="J539" s="653"/>
      <c r="K539" s="365"/>
    </row>
    <row r="540" spans="1:11" ht="30.75" customHeight="1">
      <c r="A540" s="406"/>
      <c r="B540" s="105"/>
      <c r="C540" s="63"/>
      <c r="D540" s="133"/>
      <c r="E540" s="145"/>
      <c r="F540" s="61"/>
      <c r="G540" s="206"/>
      <c r="H540" s="150"/>
      <c r="I540" s="355"/>
      <c r="J540" s="653"/>
      <c r="K540" s="365"/>
    </row>
    <row r="541" spans="1:11" ht="30.75" customHeight="1">
      <c r="A541" s="406"/>
      <c r="B541" s="105"/>
      <c r="C541" s="63"/>
      <c r="D541" s="133"/>
      <c r="E541" s="145"/>
      <c r="F541" s="61"/>
      <c r="G541" s="206"/>
      <c r="H541" s="150"/>
      <c r="I541" s="355"/>
      <c r="J541" s="653"/>
      <c r="K541" s="365"/>
    </row>
    <row r="542" spans="1:11" ht="30.75" customHeight="1">
      <c r="A542" s="406"/>
      <c r="B542" s="105"/>
      <c r="C542" s="63"/>
      <c r="D542" s="133"/>
      <c r="E542" s="145"/>
      <c r="F542" s="61"/>
      <c r="G542" s="206"/>
      <c r="H542" s="150"/>
      <c r="I542" s="355"/>
      <c r="J542" s="653"/>
      <c r="K542" s="365"/>
    </row>
    <row r="543" spans="1:11" ht="30.75" customHeight="1">
      <c r="A543" s="406"/>
      <c r="B543" s="105"/>
      <c r="C543" s="63"/>
      <c r="D543" s="133"/>
      <c r="E543" s="145"/>
      <c r="F543" s="61"/>
      <c r="G543" s="206"/>
      <c r="H543" s="150"/>
      <c r="I543" s="355"/>
      <c r="J543" s="653"/>
      <c r="K543" s="365"/>
    </row>
    <row r="544" spans="1:11" ht="30.75" customHeight="1">
      <c r="A544" s="406"/>
      <c r="B544" s="105"/>
      <c r="C544" s="63"/>
      <c r="D544" s="133"/>
      <c r="E544" s="145"/>
      <c r="F544" s="61"/>
      <c r="G544" s="206"/>
      <c r="H544" s="150"/>
      <c r="I544" s="355"/>
      <c r="J544" s="653"/>
      <c r="K544" s="365"/>
    </row>
    <row r="545" spans="1:14" ht="30.75" customHeight="1">
      <c r="A545" s="406"/>
      <c r="B545" s="105"/>
      <c r="C545" s="63"/>
      <c r="D545" s="133"/>
      <c r="E545" s="145"/>
      <c r="F545" s="61"/>
      <c r="G545" s="206"/>
      <c r="H545" s="150"/>
      <c r="I545" s="355"/>
      <c r="J545" s="653"/>
      <c r="K545" s="365"/>
    </row>
    <row r="546" spans="1:14" ht="30.75" customHeight="1">
      <c r="A546" s="406"/>
      <c r="B546" s="105"/>
      <c r="C546" s="63"/>
      <c r="D546" s="133"/>
      <c r="E546" s="145"/>
      <c r="F546" s="61"/>
      <c r="G546" s="206"/>
      <c r="H546" s="150"/>
      <c r="I546" s="355"/>
      <c r="J546" s="653"/>
      <c r="K546" s="365"/>
    </row>
    <row r="547" spans="1:14" ht="30.75" customHeight="1">
      <c r="A547" s="406"/>
      <c r="B547" s="105"/>
      <c r="C547" s="63"/>
      <c r="D547" s="133"/>
      <c r="E547" s="145"/>
      <c r="F547" s="61"/>
      <c r="G547" s="206"/>
      <c r="H547" s="150"/>
      <c r="I547" s="355"/>
      <c r="J547" s="653"/>
      <c r="K547" s="365"/>
    </row>
    <row r="548" spans="1:14" ht="30.75" customHeight="1">
      <c r="A548" s="406"/>
      <c r="B548" s="105"/>
      <c r="C548" s="63"/>
      <c r="D548" s="133"/>
      <c r="E548" s="90"/>
      <c r="F548" s="61"/>
      <c r="G548" s="206"/>
      <c r="H548" s="150"/>
      <c r="I548" s="355"/>
      <c r="J548" s="653"/>
      <c r="K548" s="365"/>
    </row>
    <row r="549" spans="1:14" ht="30.75" customHeight="1">
      <c r="A549" s="766"/>
      <c r="B549" s="126"/>
      <c r="C549" s="63"/>
      <c r="D549" s="133"/>
      <c r="E549" s="90"/>
      <c r="F549" s="61"/>
      <c r="G549" s="206"/>
      <c r="H549" s="150"/>
      <c r="I549" s="355"/>
      <c r="J549" s="653"/>
      <c r="K549" s="365"/>
    </row>
    <row r="550" spans="1:14" ht="30.75" customHeight="1">
      <c r="A550" s="766"/>
      <c r="B550" s="126"/>
      <c r="C550" s="63"/>
      <c r="D550" s="133"/>
      <c r="E550" s="90"/>
      <c r="F550" s="61"/>
      <c r="G550" s="206"/>
      <c r="H550" s="150"/>
      <c r="I550" s="355"/>
      <c r="J550" s="653"/>
      <c r="K550" s="365"/>
    </row>
    <row r="551" spans="1:14" ht="30.75" customHeight="1">
      <c r="A551" s="406"/>
      <c r="B551" s="105"/>
      <c r="C551" s="63"/>
      <c r="D551" s="133"/>
      <c r="E551" s="90"/>
      <c r="F551" s="61"/>
      <c r="G551" s="206"/>
      <c r="H551" s="150"/>
      <c r="I551" s="355"/>
      <c r="J551" s="653"/>
      <c r="K551" s="365"/>
    </row>
    <row r="552" spans="1:14" ht="30.75" customHeight="1">
      <c r="A552" s="999"/>
      <c r="B552" s="126"/>
      <c r="C552" s="63"/>
      <c r="D552" s="133"/>
      <c r="E552" s="91"/>
      <c r="F552" s="61"/>
      <c r="G552" s="215"/>
      <c r="H552" s="150"/>
      <c r="I552" s="359"/>
      <c r="J552" s="653"/>
      <c r="K552" s="365"/>
    </row>
    <row r="553" spans="1:14" ht="30.75" customHeight="1">
      <c r="A553" s="999"/>
      <c r="B553" s="126"/>
      <c r="C553" s="63"/>
      <c r="D553" s="133"/>
      <c r="E553" s="91"/>
      <c r="F553" s="61"/>
      <c r="G553" s="215"/>
      <c r="H553" s="150"/>
      <c r="I553" s="359"/>
      <c r="J553" s="653"/>
      <c r="K553" s="365"/>
    </row>
    <row r="554" spans="1:14" ht="30.75" customHeight="1">
      <c r="A554" s="770"/>
      <c r="B554" s="106"/>
      <c r="C554" s="57"/>
      <c r="D554" s="134"/>
      <c r="E554" s="143"/>
      <c r="F554" s="69"/>
      <c r="G554" s="216"/>
      <c r="H554" s="638"/>
      <c r="I554" s="358"/>
      <c r="J554" s="658"/>
      <c r="K554" s="369"/>
    </row>
    <row r="555" spans="1:14" ht="30.75" customHeight="1">
      <c r="A555" s="406"/>
      <c r="B555" s="105"/>
      <c r="C555" s="63"/>
      <c r="D555" s="133"/>
      <c r="E555" s="145"/>
      <c r="F555" s="61"/>
      <c r="G555" s="206"/>
      <c r="H555" s="150"/>
      <c r="I555" s="355"/>
      <c r="J555" s="653"/>
      <c r="K555" s="365"/>
    </row>
    <row r="556" spans="1:14" ht="30.75" customHeight="1">
      <c r="A556" s="770"/>
      <c r="B556" s="106"/>
      <c r="C556" s="57"/>
      <c r="D556" s="134"/>
      <c r="E556" s="143"/>
      <c r="F556" s="69"/>
      <c r="G556" s="216"/>
      <c r="H556" s="638"/>
      <c r="I556" s="358"/>
      <c r="J556" s="658"/>
      <c r="K556" s="369"/>
    </row>
    <row r="557" spans="1:14" ht="30.75" customHeight="1">
      <c r="A557" s="773"/>
      <c r="B557" s="107"/>
      <c r="C557" s="57"/>
      <c r="D557" s="134"/>
      <c r="E557" s="94"/>
      <c r="F557" s="69"/>
      <c r="G557" s="214"/>
      <c r="H557" s="638"/>
      <c r="I557" s="473"/>
      <c r="J557" s="658"/>
      <c r="K557" s="369"/>
      <c r="M557" s="191"/>
      <c r="N557" s="570"/>
    </row>
    <row r="558" spans="1:14" ht="30.75" customHeight="1">
      <c r="A558" s="770"/>
      <c r="B558" s="106"/>
      <c r="C558" s="57"/>
      <c r="D558" s="134"/>
      <c r="E558" s="143"/>
      <c r="F558" s="69"/>
      <c r="G558" s="216"/>
      <c r="H558" s="638"/>
      <c r="I558" s="358"/>
      <c r="J558" s="658"/>
      <c r="K558" s="369"/>
    </row>
    <row r="559" spans="1:14" ht="30.75" customHeight="1" thickBot="1">
      <c r="A559" s="1028"/>
      <c r="B559" s="108"/>
      <c r="C559" s="67"/>
      <c r="D559" s="356"/>
      <c r="E559" s="147"/>
      <c r="F559" s="66"/>
      <c r="G559" s="220"/>
      <c r="H559" s="643"/>
      <c r="I559" s="357"/>
      <c r="J559" s="660"/>
      <c r="K559" s="395"/>
    </row>
    <row r="560" spans="1:14" ht="30.75" customHeight="1">
      <c r="A560" s="279"/>
      <c r="B560" s="127"/>
      <c r="C560" s="68"/>
      <c r="F560" s="68"/>
    </row>
  </sheetData>
  <mergeCells count="11">
    <mergeCell ref="A2:B2"/>
    <mergeCell ref="A44:B44"/>
    <mergeCell ref="A42:B42"/>
    <mergeCell ref="A245:B245"/>
    <mergeCell ref="A4:B4"/>
    <mergeCell ref="A362:B362"/>
    <mergeCell ref="A322:B322"/>
    <mergeCell ref="G4:G5"/>
    <mergeCell ref="A82:B82"/>
    <mergeCell ref="A282:B282"/>
    <mergeCell ref="A124:B124"/>
  </mergeCells>
  <phoneticPr fontId="6" type="noConversion"/>
  <hyperlinks>
    <hyperlink ref="I8" r:id="rId1" xr:uid="{F63B1ED7-2E82-4A61-8085-0BB5E5826BF1}"/>
  </hyperlinks>
  <pageMargins left="0.31496062992125984" right="0.15748031496062992" top="0.15748031496062992" bottom="0.11811023622047245" header="0.15748031496062992" footer="0.15748031496062992"/>
  <pageSetup paperSize="9" scale="65" orientation="portrait" r:id="rId2"/>
  <headerFooter alignWithMargins="0"/>
  <rowBreaks count="13" manualBreakCount="13">
    <brk id="40" max="16" man="1"/>
    <brk id="80" max="16" man="1"/>
    <brk id="120" max="16" man="1"/>
    <brk id="160" max="16" man="1"/>
    <brk id="201" max="16" man="1"/>
    <brk id="241" max="16" man="1"/>
    <brk id="278" max="16" man="1"/>
    <brk id="318" max="16" man="1"/>
    <brk id="358" max="16" man="1"/>
    <brk id="399" max="16" man="1"/>
    <brk id="441" max="16" man="1"/>
    <brk id="485" max="16" man="1"/>
    <brk id="522" max="16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929A-996D-432A-8C92-BAE53F097D4C}">
  <dimension ref="A1:P504"/>
  <sheetViews>
    <sheetView view="pageBreakPreview" zoomScale="75" zoomScaleNormal="100" zoomScaleSheetLayoutView="75" workbookViewId="0">
      <selection activeCell="A7" sqref="A7:B7"/>
    </sheetView>
  </sheetViews>
  <sheetFormatPr defaultRowHeight="34.5"/>
  <cols>
    <col min="1" max="1" width="7.5703125" style="75" customWidth="1"/>
    <col min="2" max="2" width="28.140625" style="76" customWidth="1"/>
    <col min="3" max="3" width="10.85546875" style="102" customWidth="1"/>
    <col min="4" max="4" width="13.140625" style="335" customWidth="1"/>
    <col min="5" max="5" width="9.28515625" style="335" customWidth="1"/>
    <col min="6" max="6" width="12" style="863" customWidth="1"/>
    <col min="7" max="7" width="13.28515625" style="210" customWidth="1"/>
    <col min="8" max="8" width="13.85546875" style="76" customWidth="1"/>
    <col min="9" max="9" width="22" style="555" customWidth="1"/>
    <col min="10" max="10" width="13.140625" style="540" customWidth="1"/>
    <col min="11" max="11" width="11.7109375" style="366" customWidth="1"/>
    <col min="12" max="12" width="24.28515625" style="76" customWidth="1"/>
    <col min="13" max="16384" width="9.140625" style="76"/>
  </cols>
  <sheetData>
    <row r="1" spans="1:11" ht="29.25" customHeight="1">
      <c r="F1" s="104"/>
      <c r="K1" s="537">
        <v>1</v>
      </c>
    </row>
    <row r="2" spans="1:11" s="45" customFormat="1">
      <c r="A2" s="45" t="s">
        <v>0</v>
      </c>
      <c r="C2" s="68"/>
      <c r="D2" s="612"/>
      <c r="E2" s="335"/>
      <c r="F2" s="104"/>
      <c r="G2" s="210"/>
      <c r="I2" s="556"/>
      <c r="J2" s="540"/>
      <c r="K2" s="366"/>
    </row>
    <row r="3" spans="1:11" s="45" customFormat="1">
      <c r="A3" s="3480" t="s">
        <v>1</v>
      </c>
      <c r="B3" s="3480"/>
      <c r="C3" s="46"/>
      <c r="D3" s="124"/>
      <c r="E3" s="335"/>
      <c r="F3" s="104"/>
      <c r="G3" s="210"/>
      <c r="I3" s="556"/>
      <c r="J3" s="540"/>
      <c r="K3" s="366"/>
    </row>
    <row r="4" spans="1:11" ht="18" customHeight="1" thickBot="1">
      <c r="F4" s="104"/>
    </row>
    <row r="5" spans="1:11" s="46" customFormat="1">
      <c r="A5" s="3445"/>
      <c r="B5" s="3446" t="s">
        <v>2</v>
      </c>
      <c r="C5" s="48" t="s">
        <v>3</v>
      </c>
      <c r="D5" s="436" t="s">
        <v>4</v>
      </c>
      <c r="E5" s="868" t="s">
        <v>5</v>
      </c>
      <c r="F5" s="849" t="s">
        <v>5</v>
      </c>
      <c r="G5" s="219" t="s">
        <v>6</v>
      </c>
      <c r="H5" s="48" t="s">
        <v>7</v>
      </c>
      <c r="I5" s="557" t="s">
        <v>8</v>
      </c>
      <c r="J5" s="541" t="s">
        <v>9</v>
      </c>
      <c r="K5" s="346" t="s">
        <v>9</v>
      </c>
    </row>
    <row r="6" spans="1:11" s="46" customFormat="1" ht="35.25" thickBot="1">
      <c r="A6" s="51"/>
      <c r="B6" s="72"/>
      <c r="C6" s="50"/>
      <c r="D6" s="437" t="s">
        <v>10</v>
      </c>
      <c r="E6" s="869" t="s">
        <v>11</v>
      </c>
      <c r="F6" s="850" t="s">
        <v>12</v>
      </c>
      <c r="G6" s="212"/>
      <c r="H6" s="50" t="s">
        <v>13</v>
      </c>
      <c r="I6" s="558"/>
      <c r="J6" s="542" t="s">
        <v>14</v>
      </c>
      <c r="K6" s="347" t="s">
        <v>15</v>
      </c>
    </row>
    <row r="7" spans="1:11" s="46" customFormat="1">
      <c r="A7" s="3449"/>
      <c r="B7" s="3450"/>
      <c r="C7" s="126"/>
      <c r="D7" s="536"/>
      <c r="E7" s="843"/>
      <c r="F7" s="767"/>
      <c r="G7" s="206"/>
      <c r="H7" s="74"/>
      <c r="I7" s="560"/>
      <c r="J7" s="544"/>
      <c r="K7" s="365"/>
    </row>
    <row r="8" spans="1:11">
      <c r="A8" s="398"/>
      <c r="B8" s="43"/>
      <c r="C8" s="101"/>
      <c r="D8" s="322"/>
      <c r="E8" s="838"/>
      <c r="F8" s="861"/>
      <c r="G8" s="248"/>
      <c r="H8" s="639"/>
      <c r="I8" s="665"/>
      <c r="J8" s="546"/>
      <c r="K8" s="365"/>
    </row>
    <row r="9" spans="1:11">
      <c r="A9" s="398"/>
      <c r="B9" s="43"/>
      <c r="C9" s="101"/>
      <c r="D9" s="322"/>
      <c r="E9" s="838"/>
      <c r="F9" s="861"/>
      <c r="G9" s="248"/>
      <c r="H9" s="639"/>
      <c r="I9" s="665"/>
      <c r="J9" s="546"/>
      <c r="K9" s="365"/>
    </row>
    <row r="10" spans="1:11">
      <c r="A10" s="83"/>
      <c r="B10" s="43"/>
      <c r="C10" s="101"/>
      <c r="D10" s="322"/>
      <c r="E10" s="838"/>
      <c r="F10" s="861"/>
      <c r="G10" s="248"/>
      <c r="H10" s="639"/>
      <c r="I10" s="665"/>
      <c r="J10" s="546"/>
      <c r="K10" s="365"/>
    </row>
    <row r="11" spans="1:11">
      <c r="A11" s="398"/>
      <c r="B11" s="43"/>
      <c r="C11" s="101"/>
      <c r="D11" s="322"/>
      <c r="E11" s="838"/>
      <c r="F11" s="861"/>
      <c r="G11" s="248"/>
      <c r="H11" s="639"/>
      <c r="I11" s="665"/>
      <c r="J11" s="546"/>
      <c r="K11" s="365"/>
    </row>
    <row r="12" spans="1:11">
      <c r="A12" s="398"/>
      <c r="B12" s="791"/>
      <c r="C12" s="101"/>
      <c r="D12" s="322"/>
      <c r="E12" s="838"/>
      <c r="F12" s="861"/>
      <c r="G12" s="483"/>
      <c r="H12" s="639"/>
      <c r="I12" s="665"/>
      <c r="J12" s="546"/>
      <c r="K12" s="365"/>
    </row>
    <row r="13" spans="1:11">
      <c r="A13" s="398"/>
      <c r="B13" s="43"/>
      <c r="C13" s="101"/>
      <c r="D13" s="322"/>
      <c r="E13" s="838"/>
      <c r="F13" s="861"/>
      <c r="G13" s="483"/>
      <c r="H13" s="639"/>
      <c r="I13" s="665"/>
      <c r="J13" s="546"/>
      <c r="K13" s="365"/>
    </row>
    <row r="14" spans="1:11">
      <c r="A14" s="398"/>
      <c r="B14" s="43"/>
      <c r="C14" s="101"/>
      <c r="D14" s="322"/>
      <c r="E14" s="767"/>
      <c r="F14" s="767"/>
      <c r="G14" s="248"/>
      <c r="H14" s="150"/>
      <c r="I14" s="560"/>
      <c r="J14" s="544"/>
      <c r="K14" s="365"/>
    </row>
    <row r="15" spans="1:11">
      <c r="A15" s="398"/>
      <c r="B15" s="383"/>
      <c r="C15" s="101"/>
      <c r="D15" s="342"/>
      <c r="E15" s="838"/>
      <c r="F15" s="767"/>
      <c r="G15" s="248"/>
      <c r="H15" s="150"/>
      <c r="I15" s="560"/>
      <c r="J15" s="544"/>
      <c r="K15" s="365"/>
    </row>
    <row r="16" spans="1:11">
      <c r="A16" s="398"/>
      <c r="B16" s="383"/>
      <c r="C16" s="101"/>
      <c r="D16" s="342"/>
      <c r="E16" s="975"/>
      <c r="F16" s="852"/>
      <c r="G16" s="223"/>
      <c r="H16" s="224"/>
      <c r="I16" s="778"/>
      <c r="J16" s="603"/>
      <c r="K16" s="378"/>
    </row>
    <row r="17" spans="1:16">
      <c r="A17" s="398"/>
      <c r="B17" s="791"/>
      <c r="C17" s="101"/>
      <c r="D17" s="342"/>
      <c r="E17" s="975"/>
      <c r="F17" s="851"/>
      <c r="G17" s="223"/>
      <c r="H17" s="224"/>
      <c r="I17" s="778"/>
      <c r="J17" s="609"/>
      <c r="K17" s="780"/>
    </row>
    <row r="18" spans="1:16">
      <c r="A18" s="83"/>
      <c r="B18" s="383"/>
      <c r="C18" s="390"/>
      <c r="D18" s="342"/>
      <c r="E18" s="2022"/>
      <c r="F18" s="852"/>
      <c r="G18" s="223"/>
      <c r="H18" s="224"/>
      <c r="I18" s="778"/>
      <c r="J18" s="603"/>
      <c r="K18" s="378"/>
    </row>
    <row r="19" spans="1:16">
      <c r="A19" s="83"/>
      <c r="B19" s="383"/>
      <c r="C19" s="390"/>
      <c r="D19" s="342"/>
      <c r="E19" s="871"/>
      <c r="F19" s="767"/>
      <c r="G19" s="206"/>
      <c r="H19" s="74"/>
      <c r="I19" s="2025"/>
      <c r="J19" s="544"/>
      <c r="K19" s="365"/>
    </row>
    <row r="20" spans="1:16">
      <c r="A20" s="83"/>
      <c r="B20" s="383"/>
      <c r="C20" s="390"/>
      <c r="D20" s="342"/>
      <c r="E20" s="871"/>
      <c r="F20" s="767"/>
      <c r="G20" s="206"/>
      <c r="H20" s="74"/>
      <c r="I20" s="730"/>
      <c r="J20" s="546"/>
      <c r="K20" s="365"/>
    </row>
    <row r="21" spans="1:16">
      <c r="A21" s="83"/>
      <c r="B21" s="43"/>
      <c r="C21" s="101"/>
      <c r="D21" s="342"/>
      <c r="E21" s="871"/>
      <c r="F21" s="767"/>
      <c r="G21" s="206"/>
      <c r="H21" s="74"/>
      <c r="I21" s="562"/>
      <c r="J21" s="546"/>
      <c r="K21" s="365"/>
    </row>
    <row r="22" spans="1:16">
      <c r="A22" s="83"/>
      <c r="B22" s="43"/>
      <c r="C22" s="101"/>
      <c r="D22" s="342"/>
      <c r="E22" s="871"/>
      <c r="F22" s="767"/>
      <c r="G22" s="206"/>
      <c r="H22" s="74"/>
      <c r="I22" s="385"/>
      <c r="J22" s="544"/>
      <c r="K22" s="365"/>
    </row>
    <row r="23" spans="1:16">
      <c r="A23" s="782"/>
      <c r="B23" s="43"/>
      <c r="C23" s="101"/>
      <c r="D23" s="342"/>
      <c r="E23" s="871"/>
      <c r="F23" s="767"/>
      <c r="G23" s="206"/>
      <c r="H23" s="74"/>
      <c r="I23" s="730"/>
      <c r="J23" s="546"/>
      <c r="K23" s="365"/>
    </row>
    <row r="24" spans="1:16">
      <c r="A24" s="398"/>
      <c r="B24" s="2459"/>
      <c r="C24" s="320"/>
      <c r="D24" s="624"/>
      <c r="E24" s="871"/>
      <c r="F24" s="767"/>
      <c r="G24" s="206"/>
      <c r="H24" s="74"/>
      <c r="I24" s="562"/>
      <c r="J24" s="546"/>
      <c r="K24" s="365"/>
    </row>
    <row r="25" spans="1:16">
      <c r="A25" s="398"/>
      <c r="B25" s="2334"/>
      <c r="C25" s="222"/>
      <c r="D25" s="624"/>
      <c r="E25" s="873"/>
      <c r="F25" s="767"/>
      <c r="G25" s="214"/>
      <c r="H25" s="103"/>
      <c r="I25" s="733"/>
      <c r="J25" s="543"/>
      <c r="K25" s="735"/>
    </row>
    <row r="26" spans="1:16">
      <c r="A26" s="398"/>
      <c r="B26" s="788"/>
      <c r="C26" s="222"/>
      <c r="D26" s="624"/>
      <c r="E26" s="871"/>
      <c r="F26" s="767"/>
      <c r="G26" s="206"/>
      <c r="H26" s="74"/>
      <c r="I26" s="562"/>
      <c r="J26" s="544"/>
      <c r="K26" s="365"/>
    </row>
    <row r="27" spans="1:16">
      <c r="A27" s="1469"/>
      <c r="B27" s="1470"/>
      <c r="C27" s="222"/>
      <c r="D27" s="342"/>
      <c r="E27" s="871"/>
      <c r="F27" s="767"/>
      <c r="G27" s="206"/>
      <c r="H27" s="74"/>
      <c r="I27" s="562"/>
      <c r="J27" s="544"/>
      <c r="K27" s="365"/>
    </row>
    <row r="28" spans="1:16">
      <c r="A28" s="2036"/>
      <c r="B28" s="43"/>
      <c r="C28" s="101"/>
      <c r="D28" s="342"/>
      <c r="E28" s="871"/>
      <c r="F28" s="767"/>
      <c r="G28" s="206"/>
      <c r="H28" s="74"/>
      <c r="I28" s="560"/>
      <c r="J28" s="547"/>
      <c r="K28" s="550"/>
      <c r="L28" s="575"/>
      <c r="M28" s="188"/>
      <c r="N28" s="188"/>
      <c r="O28" s="189"/>
      <c r="P28" s="170"/>
    </row>
    <row r="29" spans="1:16">
      <c r="A29" s="83"/>
      <c r="B29" s="43"/>
      <c r="C29" s="101"/>
      <c r="D29" s="342"/>
      <c r="E29" s="871"/>
      <c r="F29" s="767"/>
      <c r="G29" s="206"/>
      <c r="H29" s="74"/>
      <c r="I29" s="560"/>
      <c r="J29" s="547"/>
      <c r="K29" s="365"/>
      <c r="L29" s="575"/>
      <c r="M29" s="188"/>
      <c r="N29" s="188"/>
      <c r="O29" s="189"/>
      <c r="P29" s="170"/>
    </row>
    <row r="30" spans="1:16">
      <c r="A30" s="83"/>
      <c r="B30" s="43"/>
      <c r="C30" s="101"/>
      <c r="D30" s="322"/>
      <c r="E30" s="871"/>
      <c r="F30" s="767"/>
      <c r="G30" s="206"/>
      <c r="H30" s="74"/>
      <c r="I30" s="560"/>
      <c r="J30" s="547"/>
      <c r="K30" s="365"/>
      <c r="L30" s="575"/>
      <c r="M30" s="188"/>
      <c r="N30" s="188"/>
      <c r="O30" s="189"/>
      <c r="P30" s="170"/>
    </row>
    <row r="31" spans="1:16">
      <c r="A31" s="83"/>
      <c r="B31" s="43"/>
      <c r="C31" s="101"/>
      <c r="D31" s="322"/>
      <c r="E31" s="873"/>
      <c r="F31" s="767"/>
      <c r="G31" s="206"/>
      <c r="H31" s="74"/>
      <c r="I31" s="560"/>
      <c r="J31" s="544"/>
      <c r="K31" s="365"/>
      <c r="L31" s="575"/>
      <c r="M31" s="188"/>
      <c r="N31" s="188"/>
      <c r="O31" s="189"/>
      <c r="P31" s="170"/>
    </row>
    <row r="32" spans="1:16">
      <c r="A32" s="83"/>
      <c r="B32" s="43"/>
      <c r="C32" s="101"/>
      <c r="D32" s="322"/>
      <c r="E32" s="871"/>
      <c r="F32" s="767"/>
      <c r="G32" s="206"/>
      <c r="H32" s="74"/>
      <c r="I32" s="560"/>
      <c r="J32" s="547"/>
      <c r="K32" s="550"/>
    </row>
    <row r="33" spans="1:12">
      <c r="A33" s="83"/>
      <c r="B33" s="43"/>
      <c r="C33" s="101"/>
      <c r="D33" s="322"/>
      <c r="E33" s="871"/>
      <c r="F33" s="767"/>
      <c r="G33" s="223"/>
      <c r="H33" s="74"/>
      <c r="I33" s="560"/>
      <c r="J33" s="547"/>
      <c r="K33" s="365"/>
    </row>
    <row r="34" spans="1:12">
      <c r="A34" s="83"/>
      <c r="B34" s="43"/>
      <c r="C34" s="101"/>
      <c r="D34" s="322"/>
      <c r="E34" s="871"/>
      <c r="F34" s="767"/>
      <c r="G34" s="223"/>
      <c r="H34" s="74"/>
      <c r="I34" s="560"/>
      <c r="J34" s="547"/>
      <c r="K34" s="365"/>
    </row>
    <row r="35" spans="1:12">
      <c r="A35" s="995"/>
      <c r="B35" s="781"/>
      <c r="C35" s="101"/>
      <c r="D35" s="322"/>
      <c r="E35" s="767"/>
      <c r="F35" s="767"/>
      <c r="G35" s="223"/>
      <c r="H35" s="74"/>
      <c r="I35" s="560"/>
      <c r="J35" s="544"/>
      <c r="K35" s="365"/>
    </row>
    <row r="36" spans="1:12">
      <c r="A36" s="87"/>
      <c r="B36" s="43"/>
      <c r="C36" s="101"/>
      <c r="D36" s="342"/>
      <c r="E36" s="767"/>
      <c r="F36" s="767"/>
      <c r="G36" s="206"/>
      <c r="H36" s="74"/>
      <c r="I36" s="560"/>
      <c r="J36" s="544"/>
      <c r="K36" s="365"/>
    </row>
    <row r="37" spans="1:12">
      <c r="B37" s="75"/>
      <c r="C37" s="104"/>
      <c r="D37" s="167"/>
      <c r="E37" s="167"/>
      <c r="F37" s="167"/>
      <c r="G37" s="167"/>
      <c r="H37" s="75"/>
      <c r="I37" s="561"/>
      <c r="J37" s="545"/>
    </row>
    <row r="38" spans="1:12">
      <c r="A38" s="45" t="s">
        <v>0</v>
      </c>
      <c r="B38" s="45"/>
      <c r="C38" s="68"/>
      <c r="D38" s="612"/>
      <c r="F38" s="104"/>
      <c r="H38" s="45"/>
      <c r="I38" s="556"/>
      <c r="K38" s="492">
        <v>2</v>
      </c>
      <c r="L38" s="45"/>
    </row>
    <row r="39" spans="1:12" s="45" customFormat="1">
      <c r="A39" s="3480" t="s">
        <v>1</v>
      </c>
      <c r="B39" s="3480"/>
      <c r="C39" s="46"/>
      <c r="D39" s="124"/>
      <c r="E39" s="335"/>
      <c r="F39" s="104"/>
      <c r="G39" s="210"/>
      <c r="I39" s="556"/>
      <c r="J39" s="611"/>
      <c r="K39" s="366"/>
    </row>
    <row r="40" spans="1:12" ht="15.75" customHeight="1" thickBot="1">
      <c r="F40" s="2704"/>
    </row>
    <row r="41" spans="1:12">
      <c r="A41" s="3445"/>
      <c r="B41" s="3446" t="s">
        <v>2</v>
      </c>
      <c r="C41" s="48" t="s">
        <v>3</v>
      </c>
      <c r="D41" s="436" t="s">
        <v>4</v>
      </c>
      <c r="E41" s="868" t="s">
        <v>5</v>
      </c>
      <c r="F41" s="849" t="s">
        <v>5</v>
      </c>
      <c r="G41" s="219" t="s">
        <v>6</v>
      </c>
      <c r="H41" s="48" t="s">
        <v>7</v>
      </c>
      <c r="I41" s="557" t="s">
        <v>8</v>
      </c>
      <c r="J41" s="541" t="s">
        <v>9</v>
      </c>
      <c r="K41" s="346" t="s">
        <v>9</v>
      </c>
      <c r="L41" s="46"/>
    </row>
    <row r="42" spans="1:12" ht="35.25" thickBot="1">
      <c r="A42" s="51"/>
      <c r="B42" s="72"/>
      <c r="C42" s="50"/>
      <c r="D42" s="437" t="s">
        <v>10</v>
      </c>
      <c r="E42" s="869" t="s">
        <v>11</v>
      </c>
      <c r="F42" s="850" t="s">
        <v>12</v>
      </c>
      <c r="G42" s="301"/>
      <c r="H42" s="50" t="s">
        <v>13</v>
      </c>
      <c r="I42" s="558"/>
      <c r="J42" s="542" t="s">
        <v>14</v>
      </c>
      <c r="K42" s="347" t="s">
        <v>15</v>
      </c>
      <c r="L42" s="46"/>
    </row>
    <row r="43" spans="1:12">
      <c r="A43" s="2467"/>
      <c r="B43" s="2609"/>
      <c r="C43" s="46"/>
      <c r="D43" s="538"/>
      <c r="E43" s="843"/>
      <c r="F43" s="767"/>
      <c r="G43" s="206"/>
      <c r="H43" s="74"/>
      <c r="I43" s="560"/>
      <c r="J43" s="544"/>
      <c r="K43" s="365"/>
    </row>
    <row r="44" spans="1:12">
      <c r="A44" s="83"/>
      <c r="B44" s="1763"/>
      <c r="C44" s="390"/>
      <c r="D44" s="207"/>
      <c r="E44" s="838"/>
      <c r="F44" s="861"/>
      <c r="G44" s="248"/>
      <c r="H44" s="639"/>
      <c r="I44" s="665"/>
      <c r="J44" s="546"/>
      <c r="K44" s="365"/>
    </row>
    <row r="45" spans="1:12">
      <c r="A45" s="83"/>
      <c r="B45" s="1763"/>
      <c r="C45" s="390"/>
      <c r="D45" s="207"/>
      <c r="E45" s="838"/>
      <c r="F45" s="861"/>
      <c r="G45" s="248"/>
      <c r="H45" s="639"/>
      <c r="I45" s="665"/>
      <c r="J45" s="546"/>
      <c r="K45" s="365"/>
    </row>
    <row r="46" spans="1:12">
      <c r="A46" s="83"/>
      <c r="B46" s="1763"/>
      <c r="C46" s="390"/>
      <c r="D46" s="207"/>
      <c r="E46" s="838"/>
      <c r="F46" s="861"/>
      <c r="G46" s="248"/>
      <c r="H46" s="639"/>
      <c r="I46" s="665"/>
      <c r="J46" s="546"/>
      <c r="K46" s="365"/>
    </row>
    <row r="47" spans="1:12">
      <c r="A47" s="83"/>
      <c r="B47" s="1763"/>
      <c r="C47" s="390"/>
      <c r="D47" s="207"/>
      <c r="E47" s="838"/>
      <c r="F47" s="861"/>
      <c r="G47" s="248"/>
      <c r="H47" s="639"/>
      <c r="I47" s="665"/>
      <c r="J47" s="546"/>
      <c r="K47" s="365"/>
    </row>
    <row r="48" spans="1:12">
      <c r="A48" s="83"/>
      <c r="B48" s="1763"/>
      <c r="C48" s="2178"/>
      <c r="D48" s="207"/>
      <c r="E48" s="838"/>
      <c r="F48" s="861"/>
      <c r="G48" s="483"/>
      <c r="H48" s="639"/>
      <c r="I48" s="665"/>
      <c r="J48" s="546"/>
      <c r="K48" s="365"/>
    </row>
    <row r="49" spans="1:12">
      <c r="A49" s="83"/>
      <c r="B49" s="1763"/>
      <c r="C49" s="2178"/>
      <c r="D49" s="207"/>
      <c r="E49" s="838"/>
      <c r="F49" s="861"/>
      <c r="G49" s="483"/>
      <c r="H49" s="639"/>
      <c r="I49" s="665"/>
      <c r="J49" s="546"/>
      <c r="K49" s="365"/>
    </row>
    <row r="50" spans="1:12">
      <c r="A50" s="83"/>
      <c r="B50" s="1763"/>
      <c r="C50" s="390"/>
      <c r="D50" s="207"/>
      <c r="E50" s="767"/>
      <c r="F50" s="767"/>
      <c r="G50" s="248"/>
      <c r="H50" s="150"/>
      <c r="I50" s="560"/>
      <c r="J50" s="544"/>
      <c r="K50" s="365"/>
    </row>
    <row r="51" spans="1:12">
      <c r="A51" s="1416"/>
      <c r="B51" s="465"/>
      <c r="C51" s="390"/>
      <c r="D51" s="207"/>
      <c r="E51" s="838"/>
      <c r="F51" s="767"/>
      <c r="G51" s="248"/>
      <c r="H51" s="150"/>
      <c r="I51" s="560"/>
      <c r="J51" s="544"/>
      <c r="K51" s="365"/>
    </row>
    <row r="52" spans="1:12">
      <c r="A52" s="74"/>
      <c r="B52" s="1161"/>
      <c r="C52" s="222"/>
      <c r="D52" s="413"/>
      <c r="E52" s="975"/>
      <c r="F52" s="852"/>
      <c r="G52" s="223"/>
      <c r="H52" s="224"/>
      <c r="I52" s="778"/>
      <c r="J52" s="603"/>
      <c r="K52" s="378"/>
    </row>
    <row r="53" spans="1:12">
      <c r="A53" s="196"/>
      <c r="B53" s="406"/>
      <c r="C53" s="320"/>
      <c r="D53" s="413"/>
      <c r="E53" s="975"/>
      <c r="F53" s="851"/>
      <c r="G53" s="223"/>
      <c r="H53" s="224"/>
      <c r="I53" s="778"/>
      <c r="J53" s="609"/>
      <c r="K53" s="780"/>
    </row>
    <row r="54" spans="1:12">
      <c r="A54" s="782"/>
      <c r="B54" s="406"/>
      <c r="C54" s="2021"/>
      <c r="D54" s="2022"/>
      <c r="E54" s="2022"/>
      <c r="F54" s="852"/>
      <c r="G54" s="223"/>
      <c r="H54" s="224"/>
      <c r="I54" s="778"/>
      <c r="J54" s="603"/>
      <c r="K54" s="378"/>
    </row>
    <row r="55" spans="1:12">
      <c r="A55" s="254"/>
      <c r="B55" s="3468"/>
      <c r="C55" s="2023"/>
      <c r="D55" s="2024"/>
      <c r="E55" s="871"/>
      <c r="F55" s="767"/>
      <c r="G55" s="206"/>
      <c r="H55" s="74"/>
      <c r="I55" s="2025"/>
      <c r="J55" s="544"/>
      <c r="K55" s="365"/>
    </row>
    <row r="56" spans="1:12">
      <c r="A56" s="83"/>
      <c r="B56" s="43"/>
      <c r="C56" s="207"/>
      <c r="D56" s="342"/>
      <c r="E56" s="871"/>
      <c r="F56" s="767"/>
      <c r="G56" s="206"/>
      <c r="H56" s="74"/>
      <c r="I56" s="730"/>
      <c r="J56" s="546"/>
      <c r="K56" s="365"/>
    </row>
    <row r="57" spans="1:12">
      <c r="A57" s="83"/>
      <c r="B57" s="43"/>
      <c r="C57" s="101"/>
      <c r="D57" s="342"/>
      <c r="E57" s="871"/>
      <c r="F57" s="767"/>
      <c r="G57" s="206"/>
      <c r="H57" s="74"/>
      <c r="I57" s="562"/>
      <c r="J57" s="546"/>
      <c r="K57" s="365"/>
    </row>
    <row r="58" spans="1:12">
      <c r="A58" s="254"/>
      <c r="B58" s="1161"/>
      <c r="C58" s="1460"/>
      <c r="D58" s="1461"/>
      <c r="E58" s="871"/>
      <c r="F58" s="767"/>
      <c r="G58" s="206"/>
      <c r="H58" s="74"/>
      <c r="I58" s="385"/>
      <c r="J58" s="544"/>
      <c r="K58" s="365"/>
    </row>
    <row r="59" spans="1:12">
      <c r="A59" s="83"/>
      <c r="B59" s="43"/>
      <c r="C59" s="207"/>
      <c r="D59" s="342"/>
      <c r="E59" s="871"/>
      <c r="F59" s="767"/>
      <c r="G59" s="206"/>
      <c r="H59" s="74"/>
      <c r="I59" s="730"/>
      <c r="J59" s="546"/>
      <c r="K59" s="365"/>
      <c r="L59" s="75"/>
    </row>
    <row r="60" spans="1:12">
      <c r="A60" s="83"/>
      <c r="B60" s="43"/>
      <c r="C60" s="101"/>
      <c r="D60" s="342"/>
      <c r="E60" s="871"/>
      <c r="F60" s="767"/>
      <c r="G60" s="206"/>
      <c r="H60" s="74"/>
      <c r="I60" s="562"/>
      <c r="J60" s="546"/>
      <c r="K60" s="365"/>
      <c r="L60" s="366"/>
    </row>
    <row r="61" spans="1:12">
      <c r="A61" s="83"/>
      <c r="B61" s="233"/>
      <c r="C61" s="103"/>
      <c r="D61" s="613"/>
      <c r="E61" s="873"/>
      <c r="F61" s="767"/>
      <c r="G61" s="214"/>
      <c r="H61" s="103"/>
      <c r="I61" s="733"/>
      <c r="J61" s="543"/>
      <c r="K61" s="735"/>
      <c r="L61" s="771"/>
    </row>
    <row r="62" spans="1:12">
      <c r="A62" s="83"/>
      <c r="B62" s="43"/>
      <c r="C62" s="101"/>
      <c r="D62" s="342"/>
      <c r="E62" s="871"/>
      <c r="F62" s="767"/>
      <c r="G62" s="206"/>
      <c r="H62" s="74"/>
      <c r="I62" s="562"/>
      <c r="J62" s="544"/>
      <c r="K62" s="365"/>
      <c r="L62" s="75"/>
    </row>
    <row r="63" spans="1:12">
      <c r="A63" s="83"/>
      <c r="B63" s="43"/>
      <c r="C63" s="101"/>
      <c r="D63" s="342"/>
      <c r="E63" s="871"/>
      <c r="F63" s="767"/>
      <c r="G63" s="206"/>
      <c r="H63" s="74"/>
      <c r="I63" s="562"/>
      <c r="J63" s="544"/>
      <c r="K63" s="365"/>
    </row>
    <row r="64" spans="1:12" ht="38.25">
      <c r="A64" s="83"/>
      <c r="B64" s="1269"/>
      <c r="C64" s="101"/>
      <c r="D64" s="342"/>
      <c r="E64" s="871"/>
      <c r="F64" s="767"/>
      <c r="G64" s="206"/>
      <c r="H64" s="74"/>
      <c r="I64" s="560"/>
      <c r="J64" s="547"/>
      <c r="K64" s="550"/>
    </row>
    <row r="65" spans="1:12">
      <c r="A65" s="772"/>
      <c r="B65" s="43"/>
      <c r="C65" s="101"/>
      <c r="D65" s="342"/>
      <c r="E65" s="871"/>
      <c r="F65" s="767"/>
      <c r="G65" s="206"/>
      <c r="H65" s="74"/>
      <c r="I65" s="560"/>
      <c r="J65" s="547"/>
      <c r="K65" s="365"/>
    </row>
    <row r="66" spans="1:12">
      <c r="A66" s="315"/>
      <c r="B66" s="43"/>
      <c r="C66" s="101"/>
      <c r="D66" s="342"/>
      <c r="E66" s="871"/>
      <c r="F66" s="767"/>
      <c r="G66" s="206"/>
      <c r="H66" s="74"/>
      <c r="I66" s="560"/>
      <c r="J66" s="547"/>
      <c r="K66" s="365"/>
    </row>
    <row r="67" spans="1:12">
      <c r="A67" s="438"/>
      <c r="B67" s="766"/>
      <c r="C67" s="101"/>
      <c r="D67" s="342"/>
      <c r="E67" s="873"/>
      <c r="F67" s="767"/>
      <c r="G67" s="206"/>
      <c r="H67" s="74"/>
      <c r="I67" s="560"/>
      <c r="J67" s="544"/>
      <c r="K67" s="365"/>
    </row>
    <row r="68" spans="1:12" ht="38.25">
      <c r="A68" s="438"/>
      <c r="B68" s="1269"/>
      <c r="C68" s="320"/>
      <c r="D68" s="624"/>
      <c r="E68" s="871"/>
      <c r="F68" s="767"/>
      <c r="G68" s="206"/>
      <c r="H68" s="74"/>
      <c r="I68" s="560"/>
      <c r="J68" s="547"/>
      <c r="K68" s="550"/>
    </row>
    <row r="69" spans="1:12">
      <c r="A69" s="315"/>
      <c r="B69" s="43"/>
      <c r="C69" s="101"/>
      <c r="D69" s="342"/>
      <c r="E69" s="871"/>
      <c r="F69" s="767"/>
      <c r="G69" s="223"/>
      <c r="H69" s="74"/>
      <c r="I69" s="560"/>
      <c r="J69" s="547"/>
      <c r="K69" s="365"/>
    </row>
    <row r="70" spans="1:12">
      <c r="A70" s="59"/>
      <c r="B70" s="43"/>
      <c r="C70" s="101"/>
      <c r="D70" s="342"/>
      <c r="E70" s="871"/>
      <c r="F70" s="767"/>
      <c r="G70" s="223"/>
      <c r="H70" s="74"/>
      <c r="I70" s="560"/>
      <c r="J70" s="547"/>
      <c r="K70" s="365"/>
    </row>
    <row r="71" spans="1:12" s="114" customFormat="1">
      <c r="A71" s="83"/>
      <c r="B71" s="43"/>
      <c r="C71" s="101"/>
      <c r="D71" s="342"/>
      <c r="E71" s="767"/>
      <c r="F71" s="767"/>
      <c r="G71" s="223"/>
      <c r="H71" s="74"/>
      <c r="I71" s="560"/>
      <c r="J71" s="544"/>
      <c r="K71" s="365"/>
    </row>
    <row r="72" spans="1:12" ht="29.25" customHeight="1">
      <c r="A72" s="83"/>
      <c r="B72" s="43"/>
      <c r="C72" s="101"/>
      <c r="D72" s="342"/>
      <c r="E72" s="767"/>
      <c r="F72" s="767"/>
      <c r="G72" s="206"/>
      <c r="H72" s="74"/>
      <c r="I72" s="560"/>
      <c r="J72" s="544"/>
      <c r="K72" s="365"/>
    </row>
    <row r="73" spans="1:12" ht="29.25" customHeight="1">
      <c r="A73" s="44"/>
      <c r="B73" s="45"/>
      <c r="C73" s="46"/>
      <c r="D73" s="124"/>
      <c r="F73" s="104"/>
      <c r="H73" s="45"/>
      <c r="I73" s="556"/>
      <c r="K73" s="537">
        <v>3</v>
      </c>
    </row>
    <row r="74" spans="1:12">
      <c r="A74" s="45" t="s">
        <v>0</v>
      </c>
      <c r="B74" s="45"/>
      <c r="C74" s="68"/>
      <c r="D74" s="612"/>
      <c r="F74" s="104"/>
      <c r="H74" s="45"/>
      <c r="I74" s="556"/>
      <c r="L74" s="45"/>
    </row>
    <row r="75" spans="1:12" s="45" customFormat="1">
      <c r="A75" s="3480" t="s">
        <v>1</v>
      </c>
      <c r="B75" s="3480"/>
      <c r="C75" s="46"/>
      <c r="D75" s="124"/>
      <c r="E75" s="335"/>
      <c r="F75" s="104"/>
      <c r="G75" s="210"/>
      <c r="I75" s="556"/>
      <c r="J75" s="540"/>
      <c r="K75" s="366"/>
    </row>
    <row r="76" spans="1:12" ht="27" customHeight="1" thickBot="1">
      <c r="F76" s="104"/>
    </row>
    <row r="77" spans="1:12">
      <c r="A77" s="3481" t="s">
        <v>2</v>
      </c>
      <c r="B77" s="3482"/>
      <c r="C77" s="48" t="s">
        <v>3</v>
      </c>
      <c r="D77" s="436" t="s">
        <v>4</v>
      </c>
      <c r="E77" s="868" t="s">
        <v>5</v>
      </c>
      <c r="F77" s="849" t="s">
        <v>5</v>
      </c>
      <c r="G77" s="219" t="s">
        <v>6</v>
      </c>
      <c r="H77" s="48" t="s">
        <v>7</v>
      </c>
      <c r="I77" s="557" t="s">
        <v>8</v>
      </c>
      <c r="J77" s="541" t="s">
        <v>9</v>
      </c>
      <c r="K77" s="346" t="s">
        <v>9</v>
      </c>
      <c r="L77" s="46"/>
    </row>
    <row r="78" spans="1:12" ht="35.25" thickBot="1">
      <c r="A78" s="51"/>
      <c r="B78" s="72"/>
      <c r="C78" s="50"/>
      <c r="D78" s="437" t="s">
        <v>10</v>
      </c>
      <c r="E78" s="869" t="s">
        <v>12</v>
      </c>
      <c r="F78" s="850" t="s">
        <v>11</v>
      </c>
      <c r="G78" s="301"/>
      <c r="H78" s="50" t="s">
        <v>13</v>
      </c>
      <c r="I78" s="558"/>
      <c r="J78" s="542" t="s">
        <v>14</v>
      </c>
      <c r="K78" s="347" t="s">
        <v>15</v>
      </c>
      <c r="L78" s="46"/>
    </row>
    <row r="79" spans="1:12">
      <c r="A79" s="2467"/>
      <c r="B79" s="2609"/>
      <c r="C79" s="46"/>
      <c r="D79" s="538"/>
      <c r="E79" s="843"/>
      <c r="F79" s="767"/>
      <c r="G79" s="206"/>
      <c r="H79" s="74"/>
      <c r="I79" s="560"/>
      <c r="J79" s="544"/>
      <c r="K79" s="365"/>
    </row>
    <row r="80" spans="1:12">
      <c r="A80" s="83"/>
      <c r="B80" s="1763"/>
      <c r="C80" s="390"/>
      <c r="D80" s="207"/>
      <c r="E80" s="838"/>
      <c r="F80" s="861"/>
      <c r="G80" s="248"/>
      <c r="H80" s="639"/>
      <c r="I80" s="665"/>
      <c r="J80" s="546"/>
      <c r="K80" s="365"/>
    </row>
    <row r="81" spans="1:15">
      <c r="A81" s="83"/>
      <c r="B81" s="1763"/>
      <c r="C81" s="390"/>
      <c r="D81" s="207"/>
      <c r="E81" s="838"/>
      <c r="F81" s="861"/>
      <c r="G81" s="248"/>
      <c r="H81" s="639"/>
      <c r="I81" s="665"/>
      <c r="J81" s="546"/>
      <c r="K81" s="365"/>
    </row>
    <row r="82" spans="1:15">
      <c r="A82" s="83"/>
      <c r="B82" s="1763"/>
      <c r="C82" s="390"/>
      <c r="D82" s="207"/>
      <c r="E82" s="838"/>
      <c r="F82" s="861"/>
      <c r="G82" s="248"/>
      <c r="H82" s="639"/>
      <c r="I82" s="665"/>
      <c r="J82" s="546"/>
      <c r="K82" s="365"/>
    </row>
    <row r="83" spans="1:15">
      <c r="A83" s="83"/>
      <c r="B83" s="1763"/>
      <c r="C83" s="390"/>
      <c r="D83" s="207"/>
      <c r="E83" s="838"/>
      <c r="F83" s="861"/>
      <c r="G83" s="248"/>
      <c r="H83" s="639"/>
      <c r="I83" s="665"/>
      <c r="J83" s="546"/>
      <c r="K83" s="365"/>
    </row>
    <row r="84" spans="1:15">
      <c r="A84" s="83"/>
      <c r="B84" s="1763"/>
      <c r="C84" s="2178"/>
      <c r="D84" s="207"/>
      <c r="E84" s="838"/>
      <c r="F84" s="861"/>
      <c r="G84" s="483"/>
      <c r="H84" s="639"/>
      <c r="I84" s="665"/>
      <c r="J84" s="546"/>
      <c r="K84" s="365"/>
    </row>
    <row r="85" spans="1:15">
      <c r="A85" s="83"/>
      <c r="B85" s="1763"/>
      <c r="C85" s="2178"/>
      <c r="D85" s="207"/>
      <c r="E85" s="838"/>
      <c r="F85" s="861"/>
      <c r="G85" s="483"/>
      <c r="H85" s="639"/>
      <c r="I85" s="665"/>
      <c r="J85" s="546"/>
      <c r="K85" s="365"/>
      <c r="O85" s="743"/>
    </row>
    <row r="86" spans="1:15">
      <c r="A86" s="83"/>
      <c r="B86" s="1763"/>
      <c r="C86" s="390"/>
      <c r="D86" s="207"/>
      <c r="E86" s="767"/>
      <c r="F86" s="767"/>
      <c r="G86" s="248"/>
      <c r="H86" s="150"/>
      <c r="I86" s="560"/>
      <c r="J86" s="544"/>
      <c r="K86" s="365"/>
    </row>
    <row r="87" spans="1:15">
      <c r="A87" s="1416"/>
      <c r="B87" s="465"/>
      <c r="C87" s="390"/>
      <c r="D87" s="207"/>
      <c r="E87" s="838"/>
      <c r="F87" s="767"/>
      <c r="G87" s="248"/>
      <c r="H87" s="150"/>
      <c r="I87" s="560"/>
      <c r="J87" s="544"/>
      <c r="K87" s="365"/>
    </row>
    <row r="88" spans="1:15">
      <c r="A88" s="74"/>
      <c r="B88" s="1161"/>
      <c r="C88" s="222"/>
      <c r="D88" s="413"/>
      <c r="E88" s="975"/>
      <c r="F88" s="852"/>
      <c r="G88" s="223"/>
      <c r="H88" s="224"/>
      <c r="I88" s="778"/>
      <c r="J88" s="603"/>
      <c r="K88" s="378"/>
    </row>
    <row r="89" spans="1:15">
      <c r="A89" s="196"/>
      <c r="B89" s="406"/>
      <c r="C89" s="320"/>
      <c r="D89" s="413"/>
      <c r="E89" s="975"/>
      <c r="F89" s="851"/>
      <c r="G89" s="223"/>
      <c r="H89" s="224"/>
      <c r="I89" s="778"/>
      <c r="J89" s="609"/>
      <c r="K89" s="780"/>
    </row>
    <row r="90" spans="1:15">
      <c r="A90" s="782"/>
      <c r="B90" s="406"/>
      <c r="C90" s="2021"/>
      <c r="D90" s="2022"/>
      <c r="E90" s="2022"/>
      <c r="F90" s="852"/>
      <c r="G90" s="223"/>
      <c r="H90" s="224"/>
      <c r="I90" s="778"/>
      <c r="J90" s="603"/>
      <c r="K90" s="378"/>
    </row>
    <row r="91" spans="1:15">
      <c r="A91" s="254"/>
      <c r="B91" s="3468"/>
      <c r="C91" s="2023"/>
      <c r="D91" s="2024"/>
      <c r="E91" s="871"/>
      <c r="F91" s="767"/>
      <c r="G91" s="206"/>
      <c r="H91" s="74"/>
      <c r="I91" s="2025"/>
      <c r="J91" s="544"/>
      <c r="K91" s="365"/>
    </row>
    <row r="92" spans="1:15">
      <c r="A92" s="83"/>
      <c r="B92" s="43"/>
      <c r="C92" s="207"/>
      <c r="D92" s="342"/>
      <c r="E92" s="871"/>
      <c r="F92" s="767"/>
      <c r="G92" s="206"/>
      <c r="H92" s="74"/>
      <c r="I92" s="730"/>
      <c r="J92" s="546"/>
      <c r="K92" s="365"/>
    </row>
    <row r="93" spans="1:15">
      <c r="A93" s="83"/>
      <c r="B93" s="43"/>
      <c r="C93" s="101"/>
      <c r="D93" s="342"/>
      <c r="E93" s="871"/>
      <c r="F93" s="767"/>
      <c r="G93" s="206"/>
      <c r="H93" s="74"/>
      <c r="I93" s="562"/>
      <c r="J93" s="546"/>
      <c r="K93" s="365"/>
    </row>
    <row r="94" spans="1:15">
      <c r="A94" s="254"/>
      <c r="B94" s="1161"/>
      <c r="C94" s="1460"/>
      <c r="D94" s="1461"/>
      <c r="E94" s="871"/>
      <c r="F94" s="767"/>
      <c r="G94" s="206"/>
      <c r="H94" s="74"/>
      <c r="I94" s="385"/>
      <c r="J94" s="544"/>
      <c r="K94" s="365"/>
    </row>
    <row r="95" spans="1:15">
      <c r="A95" s="83"/>
      <c r="B95" s="43"/>
      <c r="C95" s="207"/>
      <c r="D95" s="342"/>
      <c r="E95" s="871"/>
      <c r="F95" s="767"/>
      <c r="G95" s="206"/>
      <c r="H95" s="74"/>
      <c r="I95" s="730"/>
      <c r="J95" s="546"/>
      <c r="K95" s="365"/>
    </row>
    <row r="96" spans="1:15">
      <c r="A96" s="83"/>
      <c r="B96" s="43"/>
      <c r="C96" s="101"/>
      <c r="D96" s="342"/>
      <c r="E96" s="871"/>
      <c r="F96" s="767"/>
      <c r="G96" s="206"/>
      <c r="H96" s="74"/>
      <c r="I96" s="562"/>
      <c r="J96" s="546"/>
      <c r="K96" s="365"/>
    </row>
    <row r="97" spans="1:12">
      <c r="A97" s="83"/>
      <c r="B97" s="233"/>
      <c r="C97" s="103"/>
      <c r="D97" s="613"/>
      <c r="E97" s="873"/>
      <c r="F97" s="767"/>
      <c r="G97" s="214"/>
      <c r="H97" s="103"/>
      <c r="I97" s="733"/>
      <c r="J97" s="543"/>
      <c r="K97" s="735"/>
    </row>
    <row r="98" spans="1:12">
      <c r="A98" s="83"/>
      <c r="B98" s="43"/>
      <c r="C98" s="101"/>
      <c r="D98" s="342"/>
      <c r="E98" s="871"/>
      <c r="F98" s="767"/>
      <c r="G98" s="206"/>
      <c r="H98" s="74"/>
      <c r="I98" s="562"/>
      <c r="J98" s="544"/>
      <c r="K98" s="365"/>
    </row>
    <row r="99" spans="1:12">
      <c r="A99" s="83"/>
      <c r="B99" s="43"/>
      <c r="C99" s="101"/>
      <c r="D99" s="342"/>
      <c r="E99" s="871"/>
      <c r="F99" s="767"/>
      <c r="G99" s="206"/>
      <c r="H99" s="74"/>
      <c r="I99" s="562"/>
      <c r="J99" s="544"/>
      <c r="K99" s="365"/>
    </row>
    <row r="100" spans="1:12" ht="38.25">
      <c r="A100" s="83"/>
      <c r="B100" s="1269"/>
      <c r="C100" s="101"/>
      <c r="D100" s="342"/>
      <c r="E100" s="871"/>
      <c r="F100" s="767"/>
      <c r="G100" s="206"/>
      <c r="H100" s="74"/>
      <c r="I100" s="560"/>
      <c r="J100" s="547"/>
      <c r="K100" s="550"/>
    </row>
    <row r="101" spans="1:12">
      <c r="A101" s="772"/>
      <c r="B101" s="43"/>
      <c r="C101" s="101"/>
      <c r="D101" s="342"/>
      <c r="E101" s="871"/>
      <c r="F101" s="767"/>
      <c r="G101" s="206"/>
      <c r="H101" s="74"/>
      <c r="I101" s="560"/>
      <c r="J101" s="547"/>
      <c r="K101" s="365"/>
    </row>
    <row r="102" spans="1:12">
      <c r="A102" s="315"/>
      <c r="B102" s="43"/>
      <c r="C102" s="101"/>
      <c r="D102" s="342"/>
      <c r="E102" s="871"/>
      <c r="F102" s="767"/>
      <c r="G102" s="206"/>
      <c r="H102" s="74"/>
      <c r="I102" s="560"/>
      <c r="J102" s="547"/>
      <c r="K102" s="365"/>
    </row>
    <row r="103" spans="1:12">
      <c r="A103" s="438"/>
      <c r="B103" s="766"/>
      <c r="C103" s="101"/>
      <c r="D103" s="342"/>
      <c r="E103" s="873"/>
      <c r="F103" s="767"/>
      <c r="G103" s="206"/>
      <c r="H103" s="74"/>
      <c r="I103" s="560"/>
      <c r="J103" s="544"/>
      <c r="K103" s="365"/>
    </row>
    <row r="104" spans="1:12" ht="38.25">
      <c r="A104" s="438"/>
      <c r="B104" s="1269"/>
      <c r="C104" s="320"/>
      <c r="D104" s="624"/>
      <c r="E104" s="871"/>
      <c r="F104" s="767"/>
      <c r="G104" s="206"/>
      <c r="H104" s="74"/>
      <c r="I104" s="560"/>
      <c r="J104" s="547"/>
      <c r="K104" s="550"/>
    </row>
    <row r="105" spans="1:12">
      <c r="A105" s="315"/>
      <c r="B105" s="43"/>
      <c r="C105" s="101"/>
      <c r="D105" s="342"/>
      <c r="E105" s="871"/>
      <c r="F105" s="767"/>
      <c r="G105" s="223"/>
      <c r="H105" s="74"/>
      <c r="I105" s="560"/>
      <c r="J105" s="547"/>
      <c r="K105" s="365"/>
    </row>
    <row r="106" spans="1:12">
      <c r="A106" s="59"/>
      <c r="B106" s="43"/>
      <c r="C106" s="101"/>
      <c r="D106" s="342"/>
      <c r="E106" s="871"/>
      <c r="F106" s="767"/>
      <c r="G106" s="223"/>
      <c r="H106" s="74"/>
      <c r="I106" s="560"/>
      <c r="J106" s="547"/>
      <c r="K106" s="365"/>
    </row>
    <row r="107" spans="1:12">
      <c r="A107" s="83"/>
      <c r="B107" s="43"/>
      <c r="C107" s="101"/>
      <c r="D107" s="342"/>
      <c r="E107" s="767"/>
      <c r="F107" s="767"/>
      <c r="G107" s="223"/>
      <c r="H107" s="74"/>
      <c r="I107" s="560"/>
      <c r="J107" s="544"/>
      <c r="K107" s="365"/>
    </row>
    <row r="108" spans="1:12">
      <c r="A108" s="83"/>
      <c r="B108" s="43"/>
      <c r="C108" s="101"/>
      <c r="D108" s="342"/>
      <c r="E108" s="767"/>
      <c r="F108" s="767"/>
      <c r="G108" s="206"/>
      <c r="H108" s="74"/>
      <c r="I108" s="560"/>
      <c r="J108" s="544"/>
      <c r="K108" s="365"/>
    </row>
    <row r="109" spans="1:12">
      <c r="A109" s="44"/>
      <c r="B109" s="45"/>
      <c r="C109" s="46"/>
      <c r="D109" s="124"/>
      <c r="F109" s="104"/>
      <c r="H109" s="45"/>
      <c r="I109" s="556"/>
      <c r="K109" s="537">
        <v>4</v>
      </c>
    </row>
    <row r="110" spans="1:12">
      <c r="A110" s="45" t="s">
        <v>0</v>
      </c>
      <c r="B110" s="45"/>
      <c r="C110" s="68"/>
      <c r="D110" s="612"/>
      <c r="F110" s="104"/>
      <c r="H110" s="45"/>
      <c r="I110" s="556"/>
      <c r="L110" s="45"/>
    </row>
    <row r="111" spans="1:12" s="45" customFormat="1">
      <c r="A111" s="3480" t="s">
        <v>1</v>
      </c>
      <c r="B111" s="3480"/>
      <c r="C111" s="46"/>
      <c r="D111" s="124"/>
      <c r="E111" s="335"/>
      <c r="F111" s="104"/>
      <c r="G111" s="210"/>
      <c r="I111" s="556"/>
      <c r="J111" s="540"/>
      <c r="K111" s="366"/>
    </row>
    <row r="112" spans="1:12" ht="24" customHeight="1" thickBot="1">
      <c r="F112" s="104"/>
    </row>
    <row r="113" spans="1:12">
      <c r="A113" s="3481" t="s">
        <v>2</v>
      </c>
      <c r="B113" s="3482"/>
      <c r="C113" s="48" t="s">
        <v>3</v>
      </c>
      <c r="D113" s="436" t="s">
        <v>4</v>
      </c>
      <c r="E113" s="868" t="s">
        <v>5</v>
      </c>
      <c r="F113" s="849" t="s">
        <v>5</v>
      </c>
      <c r="G113" s="211" t="s">
        <v>6</v>
      </c>
      <c r="H113" s="48" t="s">
        <v>7</v>
      </c>
      <c r="I113" s="557" t="s">
        <v>8</v>
      </c>
      <c r="J113" s="541" t="s">
        <v>9</v>
      </c>
      <c r="K113" s="346" t="s">
        <v>9</v>
      </c>
      <c r="L113" s="46"/>
    </row>
    <row r="114" spans="1:12" ht="35.25" thickBot="1">
      <c r="A114" s="51"/>
      <c r="B114" s="72"/>
      <c r="C114" s="50"/>
      <c r="D114" s="437" t="s">
        <v>10</v>
      </c>
      <c r="E114" s="869" t="s">
        <v>12</v>
      </c>
      <c r="F114" s="850" t="s">
        <v>11</v>
      </c>
      <c r="G114" s="212"/>
      <c r="H114" s="50" t="s">
        <v>13</v>
      </c>
      <c r="I114" s="558"/>
      <c r="J114" s="542" t="s">
        <v>14</v>
      </c>
      <c r="K114" s="347" t="s">
        <v>15</v>
      </c>
      <c r="L114" s="46"/>
    </row>
    <row r="115" spans="1:12">
      <c r="A115" s="1469"/>
      <c r="B115" s="1470"/>
      <c r="C115" s="1500"/>
      <c r="D115" s="1581"/>
      <c r="E115" s="838"/>
      <c r="F115" s="767"/>
      <c r="G115" s="206"/>
      <c r="H115" s="74"/>
      <c r="I115" s="560"/>
      <c r="J115" s="544"/>
      <c r="K115" s="365"/>
    </row>
    <row r="116" spans="1:12">
      <c r="A116" s="83"/>
      <c r="B116" s="362"/>
      <c r="C116" s="101"/>
      <c r="D116" s="342"/>
      <c r="E116" s="767"/>
      <c r="F116" s="767"/>
      <c r="G116" s="206"/>
      <c r="H116" s="74"/>
      <c r="I116" s="559"/>
      <c r="J116" s="544"/>
      <c r="K116" s="365"/>
    </row>
    <row r="117" spans="1:12">
      <c r="A117" s="406"/>
      <c r="B117" s="362"/>
      <c r="C117" s="101"/>
      <c r="D117" s="342"/>
      <c r="E117" s="767"/>
      <c r="F117" s="767"/>
      <c r="G117" s="206"/>
      <c r="H117" s="74"/>
      <c r="I117" s="559"/>
      <c r="J117" s="544"/>
      <c r="K117" s="365"/>
    </row>
    <row r="118" spans="1:12">
      <c r="A118" s="406"/>
      <c r="B118" s="43"/>
      <c r="C118" s="101"/>
      <c r="D118" s="322"/>
      <c r="E118" s="838"/>
      <c r="F118" s="767"/>
      <c r="G118" s="206"/>
      <c r="H118" s="74"/>
      <c r="I118" s="562"/>
      <c r="J118" s="544"/>
      <c r="K118" s="365"/>
    </row>
    <row r="119" spans="1:12">
      <c r="A119" s="406"/>
      <c r="B119" s="43"/>
      <c r="C119" s="101"/>
      <c r="D119" s="322"/>
      <c r="E119" s="838"/>
      <c r="F119" s="767"/>
      <c r="G119" s="206"/>
      <c r="H119" s="74"/>
      <c r="I119" s="562"/>
      <c r="J119" s="544"/>
      <c r="K119" s="365"/>
    </row>
    <row r="120" spans="1:12">
      <c r="A120" s="406"/>
      <c r="B120" s="43"/>
      <c r="C120" s="101"/>
      <c r="D120" s="322"/>
      <c r="E120" s="852"/>
      <c r="F120" s="852"/>
      <c r="G120" s="223"/>
      <c r="H120" s="253"/>
      <c r="I120" s="562"/>
      <c r="J120" s="603"/>
      <c r="K120" s="378"/>
    </row>
    <row r="121" spans="1:12">
      <c r="A121" s="406"/>
      <c r="B121" s="880"/>
      <c r="D121" s="342"/>
      <c r="E121" s="767"/>
      <c r="F121" s="767"/>
      <c r="G121" s="206"/>
      <c r="H121" s="74"/>
      <c r="I121" s="560"/>
      <c r="J121" s="544"/>
      <c r="K121" s="365"/>
    </row>
    <row r="122" spans="1:12" ht="38.25">
      <c r="A122" s="2026"/>
      <c r="B122" s="2026"/>
      <c r="C122" s="2027"/>
      <c r="D122" s="995"/>
      <c r="E122" s="2028"/>
      <c r="F122" s="960"/>
      <c r="G122" s="248"/>
      <c r="H122" s="398"/>
      <c r="I122" s="2029"/>
      <c r="J122" s="74"/>
      <c r="K122" s="526"/>
    </row>
    <row r="123" spans="1:12">
      <c r="A123" s="1918"/>
      <c r="B123" s="1918"/>
      <c r="C123" s="101"/>
      <c r="D123" s="2030"/>
      <c r="E123" s="3662"/>
      <c r="F123" s="3663"/>
      <c r="G123" s="3664"/>
      <c r="H123" s="3665"/>
      <c r="I123" s="3666"/>
      <c r="J123" s="3665"/>
      <c r="K123" s="3667"/>
    </row>
    <row r="124" spans="1:12">
      <c r="A124" s="1384"/>
      <c r="B124" s="1384"/>
      <c r="C124" s="786"/>
      <c r="D124" s="413"/>
      <c r="E124" s="875"/>
      <c r="F124" s="852"/>
      <c r="G124" s="223"/>
      <c r="H124" s="224"/>
      <c r="I124" s="784"/>
      <c r="J124" s="603"/>
      <c r="K124" s="378"/>
    </row>
    <row r="125" spans="1:12">
      <c r="A125" s="3448"/>
      <c r="B125" s="3448"/>
      <c r="C125" s="207"/>
      <c r="D125" s="3457"/>
      <c r="E125" s="142"/>
      <c r="F125" s="381"/>
      <c r="G125" s="478"/>
      <c r="H125" s="101"/>
      <c r="I125" s="339"/>
      <c r="J125" s="586"/>
      <c r="K125" s="526"/>
    </row>
    <row r="126" spans="1:12">
      <c r="A126" s="81"/>
      <c r="B126" s="81"/>
      <c r="C126" s="207"/>
      <c r="D126" s="391"/>
      <c r="E126" s="1409"/>
      <c r="F126" s="856"/>
      <c r="G126" s="887"/>
      <c r="H126" s="101"/>
      <c r="I126" s="1495"/>
      <c r="J126" s="3670"/>
      <c r="K126" s="3671"/>
    </row>
    <row r="127" spans="1:12">
      <c r="A127" s="43"/>
      <c r="B127" s="43"/>
      <c r="C127" s="101"/>
      <c r="D127" s="2030"/>
      <c r="E127" s="3662"/>
      <c r="F127" s="3663"/>
      <c r="G127" s="2407"/>
      <c r="H127" s="398"/>
      <c r="I127" s="3668"/>
      <c r="J127" s="3665"/>
      <c r="K127" s="3669"/>
    </row>
    <row r="128" spans="1:12">
      <c r="A128" s="43"/>
      <c r="B128" s="43"/>
      <c r="C128" s="101"/>
      <c r="D128" s="2030"/>
      <c r="E128" s="3662"/>
      <c r="F128" s="3663"/>
      <c r="G128" s="2407"/>
      <c r="H128" s="398"/>
      <c r="I128" s="3668"/>
      <c r="J128" s="3665"/>
      <c r="K128" s="3669"/>
    </row>
    <row r="129" spans="1:12">
      <c r="A129" s="398"/>
      <c r="B129" s="362"/>
      <c r="C129" s="101"/>
      <c r="D129" s="342"/>
      <c r="E129" s="871"/>
      <c r="F129" s="767"/>
      <c r="G129" s="206"/>
      <c r="H129" s="74"/>
      <c r="I129" s="560"/>
      <c r="J129" s="547"/>
      <c r="K129" s="550"/>
    </row>
    <row r="130" spans="1:12" ht="35.25" thickBot="1">
      <c r="A130" s="1782"/>
      <c r="B130" s="362"/>
      <c r="C130" s="101"/>
      <c r="D130" s="342"/>
      <c r="E130" s="871"/>
      <c r="F130" s="767"/>
      <c r="G130" s="206"/>
      <c r="H130" s="74"/>
      <c r="I130" s="560"/>
      <c r="J130" s="547"/>
      <c r="K130" s="550"/>
    </row>
    <row r="131" spans="1:12">
      <c r="A131" s="1019"/>
      <c r="B131" s="43"/>
      <c r="C131" s="101"/>
      <c r="D131" s="342"/>
      <c r="E131" s="871"/>
      <c r="F131" s="767"/>
      <c r="G131" s="206"/>
      <c r="H131" s="74"/>
      <c r="I131" s="560"/>
      <c r="J131" s="3676"/>
      <c r="K131" s="3046"/>
    </row>
    <row r="132" spans="1:12">
      <c r="A132" s="995"/>
      <c r="B132" s="43"/>
      <c r="C132" s="101"/>
      <c r="D132" s="342"/>
      <c r="E132" s="871"/>
      <c r="F132" s="767"/>
      <c r="G132" s="206"/>
      <c r="H132" s="74"/>
      <c r="I132" s="560"/>
      <c r="J132" s="3676"/>
      <c r="K132" s="3046"/>
    </row>
    <row r="133" spans="1:12">
      <c r="A133" s="254"/>
      <c r="B133" s="43"/>
      <c r="C133" s="101"/>
      <c r="D133" s="342"/>
      <c r="E133" s="871"/>
      <c r="F133" s="767"/>
      <c r="G133" s="206"/>
      <c r="H133" s="74"/>
      <c r="I133" s="560"/>
      <c r="J133" s="731"/>
      <c r="K133" s="365"/>
    </row>
    <row r="134" spans="1:12">
      <c r="A134" s="398"/>
      <c r="B134" s="43"/>
      <c r="C134" s="101"/>
      <c r="D134" s="342"/>
      <c r="E134" s="871"/>
      <c r="F134" s="767"/>
      <c r="G134" s="206"/>
      <c r="H134" s="74"/>
      <c r="I134" s="560"/>
      <c r="J134" s="731"/>
      <c r="K134" s="365"/>
    </row>
    <row r="135" spans="1:12">
      <c r="A135" s="782"/>
      <c r="B135" s="1814"/>
      <c r="C135" s="877"/>
      <c r="D135" s="1619"/>
      <c r="E135" s="142"/>
      <c r="F135" s="381"/>
      <c r="G135" s="1616"/>
      <c r="H135" s="971"/>
      <c r="I135" s="506"/>
      <c r="J135" s="1620"/>
      <c r="K135" s="1618"/>
    </row>
    <row r="136" spans="1:12">
      <c r="A136" s="663"/>
      <c r="B136" s="1006"/>
      <c r="C136" s="877"/>
      <c r="D136" s="1619"/>
      <c r="E136" s="84"/>
      <c r="F136" s="856"/>
      <c r="G136" s="2412"/>
      <c r="H136" s="971"/>
      <c r="I136" s="506"/>
      <c r="J136" s="1620"/>
      <c r="K136" s="3765"/>
    </row>
    <row r="137" spans="1:12">
      <c r="A137" s="766"/>
      <c r="B137" s="1006"/>
      <c r="C137" s="877"/>
      <c r="D137" s="1619"/>
      <c r="E137" s="84"/>
      <c r="F137" s="856"/>
      <c r="G137" s="2412"/>
      <c r="H137" s="971"/>
      <c r="I137" s="506"/>
      <c r="J137" s="1620"/>
      <c r="K137" s="3765"/>
    </row>
    <row r="138" spans="1:12">
      <c r="A138" s="406"/>
      <c r="B138" s="406"/>
      <c r="C138" s="320"/>
      <c r="D138" s="624"/>
      <c r="E138" s="420"/>
      <c r="F138" s="852"/>
      <c r="G138" s="979"/>
      <c r="H138" s="224"/>
      <c r="I138" s="778"/>
      <c r="J138" s="609"/>
      <c r="K138" s="3766"/>
    </row>
    <row r="139" spans="1:12">
      <c r="A139" s="406"/>
      <c r="B139" s="406"/>
      <c r="C139" s="320"/>
      <c r="D139" s="413"/>
      <c r="E139" s="875"/>
      <c r="F139" s="852"/>
      <c r="G139" s="223"/>
      <c r="H139" s="224"/>
      <c r="I139" s="1456"/>
      <c r="J139" s="603"/>
      <c r="K139" s="3674"/>
    </row>
    <row r="140" spans="1:12">
      <c r="A140" s="406"/>
      <c r="B140" s="406"/>
      <c r="C140" s="320"/>
      <c r="D140" s="413"/>
      <c r="E140" s="875"/>
      <c r="F140" s="852"/>
      <c r="G140" s="223"/>
      <c r="H140" s="224"/>
      <c r="I140" s="1456"/>
      <c r="J140" s="1457"/>
      <c r="K140" s="378"/>
    </row>
    <row r="141" spans="1:12">
      <c r="A141" s="995"/>
      <c r="B141" s="775"/>
      <c r="C141" s="101"/>
      <c r="D141" s="342"/>
      <c r="E141" s="871"/>
      <c r="F141" s="767"/>
      <c r="G141" s="206"/>
      <c r="H141" s="74"/>
      <c r="I141" s="560"/>
      <c r="J141" s="603"/>
      <c r="K141" s="378"/>
    </row>
    <row r="142" spans="1:12">
      <c r="A142" s="254"/>
      <c r="B142" s="43"/>
      <c r="C142" s="101"/>
      <c r="D142" s="342"/>
      <c r="E142" s="871"/>
      <c r="F142" s="767"/>
      <c r="G142" s="206"/>
      <c r="H142" s="74"/>
      <c r="I142" s="560"/>
      <c r="J142" s="603"/>
      <c r="K142" s="378"/>
      <c r="L142" s="75"/>
    </row>
    <row r="143" spans="1:12">
      <c r="A143" s="83"/>
      <c r="B143" s="406"/>
      <c r="C143" s="101"/>
      <c r="D143" s="342"/>
      <c r="E143" s="767"/>
      <c r="F143" s="767"/>
      <c r="G143" s="206"/>
      <c r="H143" s="74"/>
      <c r="I143" s="560"/>
      <c r="J143" s="547"/>
      <c r="K143" s="365"/>
      <c r="L143" s="75"/>
    </row>
    <row r="144" spans="1:12">
      <c r="A144" s="83"/>
      <c r="B144" s="43"/>
      <c r="C144" s="101"/>
      <c r="D144" s="322"/>
      <c r="E144" s="838"/>
      <c r="F144" s="767"/>
      <c r="G144" s="206"/>
      <c r="H144" s="74"/>
      <c r="I144" s="562"/>
      <c r="J144" s="547"/>
      <c r="K144" s="550"/>
    </row>
    <row r="145" spans="1:12" ht="32.25" customHeight="1">
      <c r="A145" s="44"/>
      <c r="B145" s="45"/>
      <c r="C145" s="46"/>
      <c r="D145" s="124"/>
      <c r="F145" s="104"/>
      <c r="H145" s="45"/>
      <c r="I145" s="556"/>
      <c r="K145" s="537">
        <v>5</v>
      </c>
    </row>
    <row r="146" spans="1:12">
      <c r="A146" s="45" t="s">
        <v>0</v>
      </c>
      <c r="B146" s="45"/>
      <c r="C146" s="68"/>
      <c r="D146" s="612"/>
      <c r="F146" s="104"/>
      <c r="H146" s="45"/>
      <c r="I146" s="556"/>
      <c r="L146" s="45"/>
    </row>
    <row r="147" spans="1:12" s="45" customFormat="1">
      <c r="A147" s="3480" t="s">
        <v>1</v>
      </c>
      <c r="B147" s="3480"/>
      <c r="C147" s="46"/>
      <c r="D147" s="124"/>
      <c r="E147" s="335"/>
      <c r="F147" s="104"/>
      <c r="G147" s="210"/>
      <c r="I147" s="556"/>
      <c r="J147" s="540"/>
      <c r="K147" s="366"/>
    </row>
    <row r="148" spans="1:12" ht="18.75" customHeight="1" thickBot="1">
      <c r="F148" s="104"/>
    </row>
    <row r="149" spans="1:12">
      <c r="A149" s="3481" t="s">
        <v>2</v>
      </c>
      <c r="B149" s="3482"/>
      <c r="C149" s="48" t="s">
        <v>3</v>
      </c>
      <c r="D149" s="436" t="s">
        <v>4</v>
      </c>
      <c r="E149" s="849" t="s">
        <v>5</v>
      </c>
      <c r="F149" s="849" t="s">
        <v>5</v>
      </c>
      <c r="G149" s="211" t="s">
        <v>6</v>
      </c>
      <c r="H149" s="48" t="s">
        <v>7</v>
      </c>
      <c r="I149" s="557" t="s">
        <v>8</v>
      </c>
      <c r="J149" s="541" t="s">
        <v>9</v>
      </c>
      <c r="K149" s="346" t="s">
        <v>9</v>
      </c>
      <c r="L149" s="46"/>
    </row>
    <row r="150" spans="1:12" ht="35.25" thickBot="1">
      <c r="A150" s="51"/>
      <c r="B150" s="72"/>
      <c r="C150" s="50"/>
      <c r="D150" s="437" t="s">
        <v>10</v>
      </c>
      <c r="E150" s="850" t="s">
        <v>11</v>
      </c>
      <c r="F150" s="850" t="s">
        <v>12</v>
      </c>
      <c r="G150" s="212"/>
      <c r="H150" s="50" t="s">
        <v>13</v>
      </c>
      <c r="I150" s="558"/>
      <c r="J150" s="542" t="s">
        <v>14</v>
      </c>
      <c r="K150" s="347" t="s">
        <v>15</v>
      </c>
      <c r="L150" s="46"/>
    </row>
    <row r="151" spans="1:12">
      <c r="A151" s="964"/>
      <c r="B151" s="965"/>
      <c r="C151" s="320"/>
      <c r="D151" s="322"/>
      <c r="E151" s="843"/>
      <c r="F151" s="767"/>
      <c r="G151" s="206"/>
      <c r="H151" s="74"/>
      <c r="I151" s="560"/>
      <c r="J151" s="544"/>
      <c r="K151" s="365"/>
    </row>
    <row r="152" spans="1:12">
      <c r="A152" s="748"/>
      <c r="B152" s="406"/>
      <c r="C152" s="786"/>
      <c r="D152" s="322"/>
      <c r="E152" s="843"/>
      <c r="F152" s="853"/>
      <c r="G152" s="206"/>
      <c r="H152" s="150"/>
      <c r="I152" s="115"/>
      <c r="J152" s="694"/>
      <c r="K152" s="365"/>
    </row>
    <row r="153" spans="1:12">
      <c r="A153" s="83"/>
      <c r="B153" s="43"/>
      <c r="C153" s="390"/>
      <c r="D153" s="342"/>
      <c r="E153" s="843"/>
      <c r="F153" s="853"/>
      <c r="G153" s="206"/>
      <c r="H153" s="74"/>
      <c r="I153" s="560"/>
      <c r="J153" s="547"/>
      <c r="K153" s="365"/>
    </row>
    <row r="154" spans="1:12">
      <c r="A154" s="83"/>
      <c r="B154" s="43"/>
      <c r="C154" s="787"/>
      <c r="D154" s="342"/>
      <c r="E154" s="872"/>
      <c r="F154" s="853"/>
      <c r="G154" s="206"/>
      <c r="H154" s="74"/>
      <c r="I154" s="560"/>
      <c r="J154" s="547"/>
      <c r="K154" s="365"/>
    </row>
    <row r="155" spans="1:12">
      <c r="A155" s="83"/>
      <c r="B155" s="43"/>
      <c r="C155" s="390"/>
      <c r="D155" s="342"/>
      <c r="E155" s="872"/>
      <c r="F155" s="853"/>
      <c r="G155" s="206"/>
      <c r="H155" s="74"/>
      <c r="I155" s="785"/>
      <c r="J155" s="547"/>
      <c r="K155" s="365"/>
    </row>
    <row r="156" spans="1:12">
      <c r="A156" s="83"/>
      <c r="B156" s="43"/>
      <c r="C156" s="390"/>
      <c r="D156" s="514"/>
      <c r="E156" s="843"/>
      <c r="F156" s="853"/>
      <c r="G156" s="206"/>
      <c r="H156" s="150"/>
      <c r="I156" s="115"/>
      <c r="J156" s="547"/>
      <c r="K156" s="365"/>
    </row>
    <row r="157" spans="1:12">
      <c r="A157" s="398"/>
      <c r="B157" s="43"/>
      <c r="C157" s="101"/>
      <c r="D157" s="342"/>
      <c r="E157" s="872"/>
      <c r="F157" s="853"/>
      <c r="G157" s="206"/>
      <c r="H157" s="224"/>
      <c r="I157" s="778"/>
      <c r="J157" s="603"/>
      <c r="K157" s="378"/>
    </row>
    <row r="158" spans="1:12">
      <c r="A158" s="83"/>
      <c r="B158" s="880"/>
      <c r="C158" s="320"/>
      <c r="D158" s="624"/>
      <c r="E158" s="420"/>
      <c r="F158" s="853"/>
      <c r="G158" s="206"/>
      <c r="H158" s="224"/>
      <c r="I158" s="778"/>
      <c r="J158" s="603"/>
      <c r="K158" s="378"/>
    </row>
    <row r="159" spans="1:12">
      <c r="A159" s="753"/>
      <c r="B159" s="406"/>
      <c r="C159" s="320"/>
      <c r="D159" s="624"/>
      <c r="E159" s="852"/>
      <c r="F159" s="852"/>
      <c r="G159" s="206"/>
      <c r="H159" s="224"/>
      <c r="I159" s="778"/>
      <c r="J159" s="603"/>
      <c r="K159" s="378"/>
    </row>
    <row r="160" spans="1:12">
      <c r="A160" s="398"/>
      <c r="B160" s="406"/>
      <c r="C160" s="320"/>
      <c r="D160" s="624"/>
      <c r="E160" s="852"/>
      <c r="F160" s="852"/>
      <c r="G160" s="206"/>
      <c r="H160" s="224"/>
      <c r="I160" s="778"/>
      <c r="J160" s="603"/>
      <c r="K160" s="378"/>
    </row>
    <row r="161" spans="1:11">
      <c r="A161" s="224"/>
      <c r="B161" s="224"/>
      <c r="C161" s="320"/>
      <c r="D161" s="624"/>
      <c r="E161" s="852"/>
      <c r="F161" s="852"/>
      <c r="G161" s="206"/>
      <c r="H161" s="224"/>
      <c r="I161" s="778"/>
      <c r="J161" s="603"/>
      <c r="K161" s="378"/>
    </row>
    <row r="162" spans="1:11">
      <c r="A162" s="753"/>
      <c r="B162" s="753"/>
      <c r="C162" s="101"/>
      <c r="D162" s="342"/>
      <c r="E162" s="839"/>
      <c r="F162" s="767"/>
      <c r="G162" s="206"/>
      <c r="H162" s="74"/>
      <c r="I162" s="560"/>
      <c r="J162" s="544"/>
      <c r="K162" s="365"/>
    </row>
    <row r="163" spans="1:11">
      <c r="A163" s="83"/>
      <c r="B163" s="362"/>
      <c r="C163" s="101"/>
      <c r="D163" s="342"/>
      <c r="E163" s="839"/>
      <c r="F163" s="767"/>
      <c r="G163" s="206"/>
      <c r="H163" s="101"/>
      <c r="I163" s="1011"/>
      <c r="J163" s="544"/>
      <c r="K163" s="365"/>
    </row>
    <row r="164" spans="1:11">
      <c r="A164" s="3496"/>
      <c r="B164" s="3497"/>
      <c r="C164" s="101"/>
      <c r="D164" s="342"/>
      <c r="E164" s="871"/>
      <c r="F164" s="767"/>
      <c r="G164" s="206"/>
      <c r="H164" s="74"/>
      <c r="I164" s="560"/>
      <c r="J164" s="544"/>
      <c r="K164" s="365"/>
    </row>
    <row r="165" spans="1:11">
      <c r="A165" s="83"/>
      <c r="B165" s="362"/>
      <c r="C165" s="101"/>
      <c r="D165" s="342"/>
      <c r="E165" s="839"/>
      <c r="F165" s="767"/>
      <c r="G165" s="206"/>
      <c r="H165" s="101"/>
      <c r="I165" s="1011"/>
      <c r="J165" s="544"/>
      <c r="K165" s="365"/>
    </row>
    <row r="166" spans="1:11">
      <c r="A166" s="83"/>
      <c r="B166" s="362"/>
      <c r="C166" s="101"/>
      <c r="D166" s="342"/>
      <c r="E166" s="767"/>
      <c r="F166" s="767"/>
      <c r="G166" s="206"/>
      <c r="H166" s="101"/>
      <c r="I166" s="1011"/>
      <c r="J166" s="544"/>
      <c r="K166" s="365"/>
    </row>
    <row r="167" spans="1:11">
      <c r="A167" s="83"/>
      <c r="B167" s="43"/>
      <c r="C167" s="101"/>
      <c r="D167" s="342"/>
      <c r="E167" s="767"/>
      <c r="F167" s="767"/>
      <c r="G167" s="206"/>
      <c r="H167" s="101"/>
      <c r="I167" s="1011"/>
      <c r="J167" s="544"/>
      <c r="K167" s="365"/>
    </row>
    <row r="168" spans="1:11">
      <c r="A168" s="83"/>
      <c r="B168" s="406"/>
      <c r="C168" s="101"/>
      <c r="D168" s="342"/>
      <c r="E168" s="837"/>
      <c r="F168" s="767"/>
      <c r="G168" s="206"/>
      <c r="H168" s="101"/>
      <c r="I168" s="1793"/>
      <c r="J168" s="544"/>
      <c r="K168" s="365"/>
    </row>
    <row r="169" spans="1:11">
      <c r="A169" s="398"/>
      <c r="B169" s="43"/>
      <c r="C169" s="101"/>
      <c r="D169" s="342"/>
      <c r="E169" s="844"/>
      <c r="F169" s="853"/>
      <c r="G169" s="206"/>
      <c r="H169" s="101"/>
      <c r="I169" s="1793"/>
      <c r="J169" s="544"/>
      <c r="K169" s="365"/>
    </row>
    <row r="170" spans="1:11" ht="37.5">
      <c r="A170" s="83"/>
      <c r="B170" s="962"/>
      <c r="C170" s="320"/>
      <c r="D170" s="624"/>
      <c r="E170" s="839"/>
      <c r="F170" s="767"/>
      <c r="G170" s="206"/>
      <c r="H170" s="101"/>
      <c r="I170" s="1793"/>
      <c r="J170" s="544"/>
      <c r="K170" s="365"/>
    </row>
    <row r="171" spans="1:11">
      <c r="A171" s="83"/>
      <c r="B171" s="406"/>
      <c r="C171" s="320"/>
      <c r="D171" s="624"/>
      <c r="E171" s="1365"/>
      <c r="F171" s="852"/>
      <c r="G171" s="206"/>
      <c r="H171" s="101"/>
      <c r="I171" s="1793"/>
      <c r="J171" s="544"/>
      <c r="K171" s="365"/>
    </row>
    <row r="172" spans="1:11" ht="35.25" thickBot="1">
      <c r="A172" s="83"/>
      <c r="B172" s="1028"/>
      <c r="C172" s="1105"/>
      <c r="D172" s="1722"/>
      <c r="E172" s="1787"/>
      <c r="F172" s="1788"/>
      <c r="G172" s="206"/>
      <c r="H172" s="1113"/>
      <c r="I172" s="1794"/>
      <c r="J172" s="1789"/>
      <c r="K172" s="395"/>
    </row>
    <row r="173" spans="1:11">
      <c r="A173" s="83"/>
      <c r="B173" s="81"/>
      <c r="C173" s="103"/>
      <c r="D173" s="613"/>
      <c r="E173" s="1376"/>
      <c r="F173" s="851"/>
      <c r="G173" s="206"/>
      <c r="H173" s="1106"/>
      <c r="I173" s="1785"/>
      <c r="J173" s="1786"/>
      <c r="K173" s="983"/>
    </row>
    <row r="174" spans="1:11">
      <c r="A174" s="83"/>
      <c r="B174" s="43"/>
      <c r="C174" s="101"/>
      <c r="D174" s="342"/>
      <c r="E174" s="1365"/>
      <c r="F174" s="767"/>
      <c r="G174" s="206"/>
      <c r="H174" s="320"/>
      <c r="I174" s="1473"/>
      <c r="J174" s="609"/>
      <c r="K174" s="378"/>
    </row>
    <row r="175" spans="1:11">
      <c r="A175" s="83"/>
      <c r="B175" s="1396"/>
      <c r="C175" s="57"/>
      <c r="D175" s="613"/>
      <c r="E175" s="332"/>
      <c r="F175" s="767"/>
      <c r="G175" s="206"/>
      <c r="H175" s="320"/>
      <c r="I175" s="1473"/>
      <c r="J175" s="609"/>
      <c r="K175" s="378"/>
    </row>
    <row r="176" spans="1:11">
      <c r="A176" s="83"/>
      <c r="B176" s="1032"/>
      <c r="C176" s="57"/>
      <c r="D176" s="613"/>
      <c r="E176" s="872"/>
      <c r="F176" s="853"/>
      <c r="G176" s="206"/>
      <c r="H176" s="320"/>
      <c r="I176" s="1473"/>
      <c r="J176" s="609"/>
      <c r="K176" s="378"/>
    </row>
    <row r="177" spans="1:12">
      <c r="A177" s="315"/>
      <c r="B177" s="233"/>
      <c r="C177" s="103"/>
      <c r="D177" s="342"/>
      <c r="E177" s="844"/>
      <c r="F177" s="853"/>
      <c r="G177" s="206"/>
      <c r="H177" s="320"/>
      <c r="I177" s="1473"/>
      <c r="J177" s="609"/>
      <c r="K177" s="378"/>
    </row>
    <row r="178" spans="1:12">
      <c r="A178" s="315"/>
      <c r="B178" s="1396"/>
      <c r="C178" s="57"/>
      <c r="D178" s="342"/>
      <c r="E178" s="872"/>
      <c r="F178" s="853"/>
      <c r="G178" s="206"/>
      <c r="H178" s="320"/>
      <c r="I178" s="1473"/>
      <c r="J178" s="609"/>
      <c r="K178" s="378"/>
    </row>
    <row r="179" spans="1:12" ht="35.25" thickBot="1">
      <c r="A179" s="70"/>
      <c r="B179" s="1399"/>
      <c r="C179" s="1386"/>
      <c r="D179" s="1783"/>
      <c r="E179" s="1790"/>
      <c r="F179" s="1388"/>
      <c r="G179" s="206"/>
      <c r="H179" s="1105"/>
      <c r="I179" s="1791"/>
      <c r="J179" s="1792"/>
      <c r="K179" s="1725"/>
    </row>
    <row r="180" spans="1:12">
      <c r="A180" s="772"/>
      <c r="B180" s="1396"/>
      <c r="C180" s="117"/>
      <c r="D180" s="613"/>
      <c r="E180" s="872"/>
      <c r="F180" s="853"/>
      <c r="G180" s="982"/>
      <c r="H180" s="1106"/>
      <c r="I180" s="1785"/>
      <c r="J180" s="1786"/>
      <c r="K180" s="983"/>
    </row>
    <row r="181" spans="1:12" ht="26.25" customHeight="1">
      <c r="A181" s="44"/>
      <c r="B181" s="45"/>
      <c r="C181" s="46"/>
      <c r="D181" s="124"/>
      <c r="F181" s="104"/>
      <c r="H181" s="45"/>
      <c r="I181" s="556"/>
      <c r="K181" s="492"/>
    </row>
    <row r="182" spans="1:12">
      <c r="A182" s="45"/>
      <c r="B182" s="45"/>
      <c r="C182" s="68"/>
      <c r="D182" s="612"/>
      <c r="F182" s="104"/>
      <c r="H182" s="45"/>
      <c r="I182" s="556"/>
      <c r="L182" s="45"/>
    </row>
    <row r="183" spans="1:12" s="45" customFormat="1">
      <c r="A183" s="3480"/>
      <c r="B183" s="3480"/>
      <c r="C183" s="46"/>
      <c r="D183" s="124"/>
      <c r="E183" s="335"/>
      <c r="F183" s="104"/>
      <c r="G183" s="210"/>
      <c r="I183" s="556"/>
      <c r="J183" s="540"/>
      <c r="K183" s="366"/>
    </row>
    <row r="184" spans="1:12" ht="12.75" customHeight="1" thickBot="1">
      <c r="F184" s="104"/>
    </row>
    <row r="185" spans="1:12">
      <c r="A185" s="3481"/>
      <c r="B185" s="3482"/>
      <c r="C185" s="48"/>
      <c r="D185" s="436"/>
      <c r="E185" s="868"/>
      <c r="F185" s="849"/>
      <c r="G185" s="211"/>
      <c r="H185" s="48"/>
      <c r="I185" s="557"/>
      <c r="J185" s="541"/>
      <c r="K185" s="346"/>
      <c r="L185" s="46"/>
    </row>
    <row r="186" spans="1:12" ht="35.25" thickBot="1">
      <c r="A186" s="51"/>
      <c r="B186" s="72"/>
      <c r="C186" s="50"/>
      <c r="D186" s="437"/>
      <c r="E186" s="869"/>
      <c r="F186" s="850"/>
      <c r="G186" s="212"/>
      <c r="H186" s="50"/>
      <c r="I186" s="558"/>
      <c r="J186" s="542"/>
      <c r="K186" s="347"/>
      <c r="L186" s="46"/>
    </row>
    <row r="187" spans="1:12">
      <c r="A187" s="774"/>
      <c r="B187" s="781"/>
      <c r="C187" s="101"/>
      <c r="D187" s="342"/>
      <c r="E187" s="767"/>
      <c r="F187" s="767"/>
      <c r="G187" s="206"/>
      <c r="H187" s="74"/>
      <c r="I187" s="560"/>
      <c r="J187" s="544"/>
      <c r="K187" s="365"/>
    </row>
    <row r="188" spans="1:12">
      <c r="A188" s="315"/>
      <c r="B188" s="43"/>
      <c r="C188" s="101"/>
      <c r="D188" s="342"/>
      <c r="E188" s="767"/>
      <c r="F188" s="767"/>
      <c r="G188" s="206"/>
      <c r="H188" s="74"/>
      <c r="I188" s="559"/>
      <c r="J188" s="544"/>
      <c r="K188" s="365"/>
    </row>
    <row r="189" spans="1:12">
      <c r="A189" s="315"/>
      <c r="B189" s="43"/>
      <c r="C189" s="101"/>
      <c r="D189" s="342"/>
      <c r="E189" s="767"/>
      <c r="F189" s="767"/>
      <c r="G189" s="206"/>
      <c r="H189" s="74"/>
      <c r="I189" s="785"/>
      <c r="J189" s="544"/>
      <c r="K189" s="365"/>
    </row>
    <row r="190" spans="1:12">
      <c r="A190" s="398"/>
      <c r="B190" s="43"/>
      <c r="C190" s="101"/>
      <c r="D190" s="342"/>
      <c r="E190" s="871"/>
      <c r="F190" s="1098"/>
      <c r="G190" s="206"/>
      <c r="H190" s="74"/>
      <c r="I190" s="560"/>
      <c r="J190" s="544"/>
      <c r="K190" s="365"/>
    </row>
    <row r="191" spans="1:12">
      <c r="A191" s="438"/>
      <c r="B191" s="406"/>
      <c r="C191" s="320"/>
      <c r="D191" s="624"/>
      <c r="E191" s="852"/>
      <c r="F191" s="852"/>
      <c r="G191" s="223"/>
      <c r="H191" s="224"/>
      <c r="I191" s="1499"/>
      <c r="J191" s="603"/>
      <c r="K191" s="378"/>
    </row>
    <row r="192" spans="1:12">
      <c r="A192" s="438"/>
      <c r="B192" s="406"/>
      <c r="C192" s="320"/>
      <c r="D192" s="624"/>
      <c r="E192" s="852"/>
      <c r="F192" s="852"/>
      <c r="G192" s="223"/>
      <c r="H192" s="224"/>
      <c r="I192" s="1499"/>
      <c r="J192" s="603"/>
      <c r="K192" s="378"/>
    </row>
    <row r="193" spans="1:11">
      <c r="A193" s="438"/>
      <c r="B193" s="775"/>
      <c r="C193" s="1500"/>
      <c r="D193" s="981"/>
      <c r="E193" s="852"/>
      <c r="F193" s="852"/>
      <c r="G193" s="223"/>
      <c r="H193" s="253"/>
      <c r="I193" s="1499"/>
      <c r="J193" s="603"/>
      <c r="K193" s="378"/>
    </row>
    <row r="194" spans="1:11">
      <c r="A194" s="83"/>
      <c r="B194" s="43"/>
      <c r="C194" s="101"/>
      <c r="D194" s="342"/>
      <c r="E194" s="767"/>
      <c r="F194" s="767"/>
      <c r="G194" s="206"/>
      <c r="H194" s="74"/>
      <c r="I194" s="560"/>
      <c r="J194" s="544"/>
      <c r="K194" s="365"/>
    </row>
    <row r="195" spans="1:11">
      <c r="A195" s="3447"/>
      <c r="B195" s="3448"/>
      <c r="C195" s="101"/>
      <c r="D195" s="342"/>
      <c r="E195" s="1770"/>
      <c r="F195" s="1771"/>
      <c r="G195" s="206"/>
      <c r="H195" s="74"/>
      <c r="I195" s="560"/>
      <c r="J195" s="544"/>
      <c r="K195" s="365"/>
    </row>
    <row r="196" spans="1:11">
      <c r="A196" s="83"/>
      <c r="B196" s="43"/>
      <c r="C196" s="101"/>
      <c r="D196" s="994"/>
      <c r="E196" s="1770"/>
      <c r="F196" s="1772"/>
      <c r="G196" s="206"/>
      <c r="H196" s="74"/>
      <c r="I196" s="560"/>
      <c r="J196" s="546"/>
      <c r="K196" s="734"/>
    </row>
    <row r="197" spans="1:11">
      <c r="A197" s="398"/>
      <c r="B197" s="406"/>
      <c r="C197" s="101"/>
      <c r="D197" s="994"/>
      <c r="E197" s="1771"/>
      <c r="F197" s="1771"/>
      <c r="G197" s="223"/>
      <c r="H197" s="224"/>
      <c r="I197" s="778"/>
      <c r="J197" s="603"/>
      <c r="K197" s="378"/>
    </row>
    <row r="198" spans="1:11">
      <c r="A198" s="1469"/>
      <c r="B198" s="1470"/>
      <c r="C198" s="1500"/>
      <c r="D198" s="624"/>
      <c r="E198" s="1770"/>
      <c r="F198" s="1771"/>
      <c r="G198" s="223"/>
      <c r="H198" s="224"/>
      <c r="I198" s="778"/>
      <c r="J198" s="603"/>
      <c r="K198" s="378"/>
    </row>
    <row r="199" spans="1:11">
      <c r="A199" s="398"/>
      <c r="B199" s="362"/>
      <c r="C199" s="207"/>
      <c r="D199" s="342"/>
      <c r="E199" s="1771"/>
      <c r="F199" s="1771"/>
      <c r="G199" s="206"/>
      <c r="H199" s="74"/>
      <c r="I199" s="560"/>
      <c r="J199" s="548"/>
      <c r="K199" s="365"/>
    </row>
    <row r="200" spans="1:11">
      <c r="A200" s="438"/>
      <c r="B200" s="362"/>
      <c r="C200" s="207"/>
      <c r="D200" s="342"/>
      <c r="E200" s="1771"/>
      <c r="F200" s="1771"/>
      <c r="G200" s="206"/>
      <c r="H200" s="74"/>
      <c r="I200" s="560"/>
      <c r="J200" s="548"/>
      <c r="K200" s="365"/>
    </row>
    <row r="201" spans="1:11">
      <c r="A201" s="398"/>
      <c r="B201" s="362"/>
      <c r="C201" s="207"/>
      <c r="D201" s="342"/>
      <c r="E201" s="1771"/>
      <c r="F201" s="1771"/>
      <c r="G201" s="206"/>
      <c r="H201" s="74"/>
      <c r="I201" s="560"/>
      <c r="J201" s="548"/>
      <c r="K201" s="365"/>
    </row>
    <row r="202" spans="1:11">
      <c r="A202" s="438"/>
      <c r="B202" s="383"/>
      <c r="C202" s="207"/>
      <c r="D202" s="342"/>
      <c r="E202" s="1771"/>
      <c r="F202" s="1771"/>
      <c r="G202" s="206"/>
      <c r="H202" s="74"/>
      <c r="I202" s="560"/>
      <c r="J202" s="548"/>
      <c r="K202" s="792"/>
    </row>
    <row r="203" spans="1:11">
      <c r="A203" s="438"/>
      <c r="B203" s="362"/>
      <c r="C203" s="207"/>
      <c r="D203" s="342"/>
      <c r="E203" s="1771"/>
      <c r="F203" s="1771"/>
      <c r="G203" s="206"/>
      <c r="H203" s="74"/>
      <c r="I203" s="560"/>
      <c r="J203" s="548"/>
      <c r="K203" s="792"/>
    </row>
    <row r="204" spans="1:11" ht="35.25" thickBot="1">
      <c r="A204" s="2042"/>
      <c r="B204" s="2043"/>
      <c r="C204" s="345"/>
      <c r="D204" s="415"/>
      <c r="E204" s="2044"/>
      <c r="F204" s="2044"/>
      <c r="G204" s="1115"/>
      <c r="H204" s="2045"/>
      <c r="I204" s="2046"/>
      <c r="J204" s="2047"/>
      <c r="K204" s="368"/>
    </row>
    <row r="205" spans="1:11">
      <c r="A205" s="1019"/>
      <c r="B205" s="1338"/>
      <c r="C205" s="523"/>
      <c r="D205" s="1510"/>
      <c r="E205" s="1781"/>
      <c r="F205" s="1781"/>
      <c r="G205" s="982"/>
      <c r="H205" s="1479"/>
      <c r="I205" s="1511"/>
      <c r="J205" s="1512"/>
      <c r="K205" s="983"/>
    </row>
    <row r="206" spans="1:11">
      <c r="A206" s="438"/>
      <c r="B206" s="969"/>
      <c r="C206" s="341"/>
      <c r="D206" s="624"/>
      <c r="E206" s="1771"/>
      <c r="F206" s="1771"/>
      <c r="G206" s="223"/>
      <c r="H206" s="224"/>
      <c r="I206" s="778"/>
      <c r="J206" s="1457"/>
      <c r="K206" s="378"/>
    </row>
    <row r="207" spans="1:11">
      <c r="A207" s="254"/>
      <c r="B207" s="969"/>
      <c r="C207" s="341"/>
      <c r="D207" s="624"/>
      <c r="E207" s="1771"/>
      <c r="F207" s="1771"/>
      <c r="G207" s="223"/>
      <c r="H207" s="224"/>
      <c r="I207" s="778"/>
      <c r="J207" s="603"/>
      <c r="K207" s="378"/>
    </row>
    <row r="208" spans="1:11">
      <c r="A208" s="398"/>
      <c r="B208" s="969"/>
      <c r="C208" s="341"/>
      <c r="D208" s="624"/>
      <c r="E208" s="1771"/>
      <c r="F208" s="1771"/>
      <c r="G208" s="223"/>
      <c r="H208" s="224"/>
      <c r="I208" s="778"/>
      <c r="J208" s="1768"/>
      <c r="K208" s="378"/>
    </row>
    <row r="209" spans="1:12">
      <c r="A209" s="265"/>
      <c r="B209" s="969"/>
      <c r="C209" s="341"/>
      <c r="D209" s="624"/>
      <c r="E209" s="1771"/>
      <c r="F209" s="1771"/>
      <c r="G209" s="223"/>
      <c r="H209" s="224"/>
      <c r="I209" s="778"/>
      <c r="J209" s="603"/>
      <c r="K209" s="378"/>
    </row>
    <row r="210" spans="1:12" ht="35.25" thickBot="1">
      <c r="A210" s="254"/>
      <c r="B210" s="1769"/>
      <c r="C210" s="1721"/>
      <c r="D210" s="1722"/>
      <c r="E210" s="1771"/>
      <c r="F210" s="1771"/>
      <c r="G210" s="223"/>
      <c r="H210" s="224"/>
      <c r="I210" s="778"/>
      <c r="J210" s="1768"/>
      <c r="K210" s="378"/>
    </row>
    <row r="211" spans="1:12">
      <c r="A211" s="398"/>
      <c r="B211" s="383"/>
      <c r="C211" s="207"/>
      <c r="D211" s="342"/>
      <c r="E211" s="1771"/>
      <c r="F211" s="1771"/>
      <c r="G211" s="206"/>
      <c r="H211" s="560"/>
      <c r="I211" s="559"/>
      <c r="J211" s="2360"/>
      <c r="K211" s="365"/>
    </row>
    <row r="212" spans="1:12">
      <c r="A212" s="782"/>
      <c r="B212" s="43"/>
      <c r="C212" s="320"/>
      <c r="D212" s="342"/>
      <c r="E212" s="843"/>
      <c r="F212" s="853"/>
      <c r="G212" s="206"/>
      <c r="H212" s="74"/>
      <c r="I212" s="560"/>
      <c r="J212" s="544"/>
      <c r="K212" s="365"/>
    </row>
    <row r="213" spans="1:12">
      <c r="A213" s="1469"/>
      <c r="B213" s="1470"/>
      <c r="C213" s="1444"/>
      <c r="D213" s="517"/>
      <c r="E213" s="843"/>
      <c r="F213" s="853"/>
      <c r="G213" s="206"/>
      <c r="H213" s="74"/>
      <c r="I213" s="560"/>
      <c r="J213" s="544"/>
      <c r="K213" s="365"/>
    </row>
    <row r="214" spans="1:12">
      <c r="A214" s="83"/>
      <c r="B214" s="362"/>
      <c r="C214" s="101"/>
      <c r="D214" s="342"/>
      <c r="E214" s="871"/>
      <c r="F214" s="767"/>
      <c r="G214" s="206"/>
      <c r="H214" s="74"/>
      <c r="I214" s="562"/>
      <c r="J214" s="547"/>
      <c r="K214" s="550"/>
    </row>
    <row r="215" spans="1:12">
      <c r="A215" s="83"/>
      <c r="B215" s="362"/>
      <c r="C215" s="101"/>
      <c r="D215" s="342"/>
      <c r="E215" s="871"/>
      <c r="F215" s="767"/>
      <c r="G215" s="206"/>
      <c r="H215" s="74"/>
      <c r="I215" s="562"/>
      <c r="J215" s="547"/>
      <c r="K215" s="550"/>
    </row>
    <row r="216" spans="1:12">
      <c r="A216" s="83"/>
      <c r="B216" s="1462"/>
      <c r="C216" s="661"/>
      <c r="D216" s="1463"/>
      <c r="E216" s="1464"/>
      <c r="F216" s="1465"/>
      <c r="G216" s="799"/>
      <c r="H216" s="1424"/>
      <c r="I216" s="1466"/>
      <c r="J216" s="1467"/>
      <c r="K216" s="1468"/>
    </row>
    <row r="217" spans="1:12" ht="33" customHeight="1">
      <c r="A217" s="44"/>
      <c r="B217" s="45"/>
      <c r="C217" s="46"/>
      <c r="D217" s="124"/>
      <c r="F217" s="104"/>
      <c r="H217" s="45"/>
      <c r="I217" s="556"/>
    </row>
    <row r="218" spans="1:12">
      <c r="A218" s="45"/>
      <c r="B218" s="45"/>
      <c r="C218" s="68"/>
      <c r="D218" s="612"/>
      <c r="F218" s="104"/>
      <c r="H218" s="45"/>
      <c r="I218" s="556"/>
      <c r="K218" s="537"/>
      <c r="L218" s="45"/>
    </row>
    <row r="219" spans="1:12" s="45" customFormat="1">
      <c r="A219" s="3480"/>
      <c r="B219" s="3480"/>
      <c r="C219" s="46"/>
      <c r="D219" s="124"/>
      <c r="E219" s="335"/>
      <c r="F219" s="104"/>
      <c r="G219" s="210"/>
      <c r="I219" s="556"/>
      <c r="J219" s="540"/>
      <c r="K219" s="366"/>
    </row>
    <row r="220" spans="1:12" ht="22.5" customHeight="1" thickBot="1">
      <c r="F220" s="104"/>
      <c r="K220" s="732"/>
    </row>
    <row r="221" spans="1:12">
      <c r="A221" s="3445"/>
      <c r="B221" s="3446"/>
      <c r="C221" s="48"/>
      <c r="D221" s="436"/>
      <c r="E221" s="868"/>
      <c r="F221" s="849"/>
      <c r="G221" s="211"/>
      <c r="H221" s="48"/>
      <c r="I221" s="557"/>
      <c r="J221" s="573"/>
      <c r="K221" s="346"/>
      <c r="L221" s="46"/>
    </row>
    <row r="222" spans="1:12" ht="35.25" thickBot="1">
      <c r="A222" s="51"/>
      <c r="B222" s="72"/>
      <c r="C222" s="50"/>
      <c r="D222" s="437"/>
      <c r="E222" s="869"/>
      <c r="F222" s="850"/>
      <c r="G222" s="212"/>
      <c r="H222" s="50"/>
      <c r="I222" s="558"/>
      <c r="J222" s="574"/>
      <c r="K222" s="347"/>
      <c r="L222" s="46"/>
    </row>
    <row r="223" spans="1:12">
      <c r="A223" s="3491"/>
      <c r="B223" s="3492"/>
      <c r="C223" s="63"/>
      <c r="D223" s="342"/>
      <c r="E223" s="838"/>
      <c r="F223" s="767"/>
      <c r="G223" s="206"/>
      <c r="H223" s="74"/>
      <c r="I223" s="560"/>
      <c r="J223" s="547"/>
      <c r="K223" s="365"/>
    </row>
    <row r="224" spans="1:12">
      <c r="A224" s="87"/>
      <c r="B224" s="43"/>
      <c r="C224" s="101"/>
      <c r="D224" s="342"/>
      <c r="E224" s="871"/>
      <c r="F224" s="1497"/>
      <c r="G224" s="206"/>
      <c r="H224" s="150"/>
      <c r="I224" s="785"/>
      <c r="J224" s="544"/>
      <c r="K224" s="2491"/>
    </row>
    <row r="225" spans="1:11">
      <c r="A225" s="3447"/>
      <c r="B225" s="3448"/>
      <c r="C225" s="126"/>
      <c r="D225" s="536"/>
      <c r="E225" s="843"/>
      <c r="F225" s="853"/>
      <c r="G225" s="130"/>
      <c r="H225" s="322"/>
      <c r="I225" s="560"/>
      <c r="J225" s="544"/>
      <c r="K225" s="2491"/>
    </row>
    <row r="226" spans="1:11">
      <c r="A226" s="398"/>
      <c r="B226" s="43"/>
      <c r="C226" s="101"/>
      <c r="D226" s="322"/>
      <c r="E226" s="843"/>
      <c r="F226" s="853"/>
      <c r="G226" s="979"/>
      <c r="H226" s="74"/>
      <c r="I226" s="1682"/>
      <c r="J226" s="544"/>
      <c r="K226" s="2491"/>
    </row>
    <row r="227" spans="1:11">
      <c r="A227" s="398"/>
      <c r="B227" s="43"/>
      <c r="C227" s="101"/>
      <c r="D227" s="322"/>
      <c r="E227" s="843"/>
      <c r="F227" s="853"/>
      <c r="G227" s="979"/>
      <c r="H227" s="74"/>
      <c r="I227" s="1682"/>
      <c r="J227" s="544"/>
      <c r="K227" s="2491"/>
    </row>
    <row r="228" spans="1:11">
      <c r="A228" s="83"/>
      <c r="B228" s="43"/>
      <c r="C228" s="101"/>
      <c r="D228" s="322"/>
      <c r="E228" s="843"/>
      <c r="F228" s="853"/>
      <c r="G228" s="979"/>
      <c r="H228" s="74"/>
      <c r="I228" s="1682"/>
      <c r="J228" s="544"/>
      <c r="K228" s="2491"/>
    </row>
    <row r="229" spans="1:11">
      <c r="A229" s="398"/>
      <c r="B229" s="43"/>
      <c r="C229" s="101"/>
      <c r="D229" s="322"/>
      <c r="E229" s="843"/>
      <c r="F229" s="853"/>
      <c r="G229" s="979"/>
      <c r="H229" s="74"/>
      <c r="I229" s="1682"/>
      <c r="J229" s="544"/>
      <c r="K229" s="2491"/>
    </row>
    <row r="230" spans="1:11">
      <c r="A230" s="398"/>
      <c r="B230" s="791"/>
      <c r="C230" s="101"/>
      <c r="D230" s="322"/>
      <c r="E230" s="843"/>
      <c r="F230" s="853"/>
      <c r="G230" s="979"/>
      <c r="H230" s="74"/>
      <c r="I230" s="1682"/>
      <c r="J230" s="544"/>
      <c r="K230" s="2491"/>
    </row>
    <row r="231" spans="1:11">
      <c r="A231" s="398"/>
      <c r="B231" s="43"/>
      <c r="C231" s="101"/>
      <c r="D231" s="322"/>
      <c r="E231" s="843"/>
      <c r="F231" s="853"/>
      <c r="G231" s="979"/>
      <c r="H231" s="74"/>
      <c r="I231" s="2489"/>
      <c r="J231" s="644"/>
      <c r="K231" s="2016"/>
    </row>
    <row r="232" spans="1:11">
      <c r="A232" s="398"/>
      <c r="B232" s="43"/>
      <c r="C232" s="101"/>
      <c r="D232" s="322"/>
      <c r="E232" s="838"/>
      <c r="F232" s="853"/>
      <c r="G232" s="206"/>
      <c r="H232" s="74"/>
      <c r="I232" s="560"/>
      <c r="J232" s="544"/>
      <c r="K232" s="365"/>
    </row>
    <row r="233" spans="1:11">
      <c r="A233" s="83"/>
      <c r="B233" s="362"/>
      <c r="C233" s="101"/>
      <c r="D233" s="342"/>
      <c r="E233" s="871"/>
      <c r="F233" s="767"/>
      <c r="G233" s="206"/>
      <c r="H233" s="74"/>
      <c r="I233" s="560"/>
      <c r="J233" s="544"/>
      <c r="K233" s="365"/>
    </row>
    <row r="234" spans="1:11">
      <c r="A234" s="83"/>
      <c r="B234" s="383"/>
      <c r="C234" s="101"/>
      <c r="D234" s="342"/>
      <c r="E234" s="871"/>
      <c r="F234" s="853"/>
      <c r="G234" s="206"/>
      <c r="H234" s="74"/>
      <c r="I234" s="560"/>
      <c r="J234" s="544"/>
      <c r="K234" s="365"/>
    </row>
    <row r="235" spans="1:11">
      <c r="A235" s="83"/>
      <c r="B235" s="43"/>
      <c r="C235" s="101"/>
      <c r="D235" s="342"/>
      <c r="E235" s="871"/>
      <c r="F235" s="853"/>
      <c r="G235" s="979"/>
      <c r="H235" s="74"/>
      <c r="I235" s="560"/>
      <c r="J235" s="544"/>
      <c r="K235" s="365"/>
    </row>
    <row r="236" spans="1:11">
      <c r="A236" s="83"/>
      <c r="B236" s="43"/>
      <c r="C236" s="101"/>
      <c r="D236" s="342"/>
      <c r="E236" s="871"/>
      <c r="F236" s="853"/>
      <c r="G236" s="206"/>
      <c r="H236" s="74"/>
      <c r="I236" s="560"/>
      <c r="J236" s="544"/>
      <c r="K236" s="365"/>
    </row>
    <row r="237" spans="1:11">
      <c r="A237" s="83"/>
      <c r="B237" s="43"/>
      <c r="C237" s="101"/>
      <c r="D237" s="342"/>
      <c r="E237" s="871"/>
      <c r="F237" s="853"/>
      <c r="G237" s="206"/>
      <c r="H237" s="74"/>
      <c r="I237" s="560"/>
      <c r="J237" s="544"/>
      <c r="K237" s="365"/>
    </row>
    <row r="238" spans="1:11">
      <c r="A238" s="782"/>
      <c r="B238" s="43"/>
      <c r="C238" s="101"/>
      <c r="D238" s="342"/>
      <c r="E238" s="871"/>
      <c r="F238" s="853"/>
      <c r="G238" s="979"/>
      <c r="H238" s="74"/>
      <c r="I238" s="560"/>
      <c r="J238" s="544"/>
      <c r="K238" s="365"/>
    </row>
    <row r="239" spans="1:11">
      <c r="A239" s="398"/>
      <c r="B239" s="2459"/>
      <c r="C239" s="320"/>
      <c r="D239" s="624"/>
      <c r="E239" s="975"/>
      <c r="F239" s="851"/>
      <c r="G239" s="979"/>
      <c r="H239" s="224"/>
      <c r="I239" s="778"/>
      <c r="J239" s="603"/>
      <c r="K239" s="378"/>
    </row>
    <row r="240" spans="1:11">
      <c r="A240" s="398"/>
      <c r="B240" s="783"/>
      <c r="C240" s="222"/>
      <c r="D240" s="624"/>
      <c r="E240" s="975"/>
      <c r="F240" s="851"/>
      <c r="G240" s="223"/>
      <c r="H240" s="224"/>
      <c r="I240" s="778"/>
      <c r="J240" s="603"/>
      <c r="K240" s="378"/>
    </row>
    <row r="241" spans="1:11">
      <c r="A241" s="398"/>
      <c r="B241" s="788"/>
      <c r="C241" s="222"/>
      <c r="D241" s="624"/>
      <c r="E241" s="975"/>
      <c r="F241" s="851"/>
      <c r="G241" s="223"/>
      <c r="H241" s="224"/>
      <c r="I241" s="778"/>
      <c r="J241" s="603"/>
      <c r="K241" s="378"/>
    </row>
    <row r="242" spans="1:11">
      <c r="A242" s="1469"/>
      <c r="B242" s="1470"/>
      <c r="C242" s="222"/>
      <c r="D242" s="342"/>
      <c r="E242" s="843"/>
      <c r="F242" s="853"/>
      <c r="G242" s="206"/>
      <c r="H242" s="74"/>
      <c r="I242" s="560"/>
      <c r="J242" s="544"/>
      <c r="K242" s="365"/>
    </row>
    <row r="243" spans="1:11">
      <c r="A243" s="2036"/>
      <c r="B243" s="43"/>
      <c r="C243" s="101"/>
      <c r="D243" s="342"/>
      <c r="E243" s="837"/>
      <c r="F243" s="2699"/>
      <c r="G243" s="887"/>
      <c r="H243" s="74"/>
      <c r="I243" s="385"/>
      <c r="J243" s="547"/>
      <c r="K243" s="365"/>
    </row>
    <row r="244" spans="1:11">
      <c r="A244" s="83"/>
      <c r="B244" s="43"/>
      <c r="C244" s="101"/>
      <c r="D244" s="342"/>
      <c r="E244" s="839"/>
      <c r="F244" s="845"/>
      <c r="G244" s="979"/>
      <c r="H244" s="74"/>
      <c r="I244" s="385"/>
      <c r="J244" s="547"/>
      <c r="K244" s="365"/>
    </row>
    <row r="245" spans="1:11">
      <c r="A245" s="83"/>
      <c r="B245" s="43"/>
      <c r="C245" s="101"/>
      <c r="D245" s="322"/>
      <c r="E245" s="728"/>
      <c r="F245" s="840"/>
      <c r="G245" s="979"/>
      <c r="H245" s="74"/>
      <c r="I245" s="385"/>
      <c r="J245" s="547"/>
      <c r="K245" s="365"/>
    </row>
    <row r="246" spans="1:11">
      <c r="A246" s="83"/>
      <c r="B246" s="43"/>
      <c r="C246" s="101"/>
      <c r="D246" s="322"/>
      <c r="E246" s="728"/>
      <c r="F246" s="840"/>
      <c r="G246" s="206"/>
      <c r="H246" s="74"/>
      <c r="I246" s="385"/>
      <c r="J246" s="547"/>
      <c r="K246" s="365"/>
    </row>
    <row r="247" spans="1:11">
      <c r="A247" s="83"/>
      <c r="B247" s="43"/>
      <c r="C247" s="101"/>
      <c r="D247" s="322"/>
      <c r="E247" s="728"/>
      <c r="F247" s="840"/>
      <c r="G247" s="979"/>
      <c r="H247" s="74"/>
      <c r="I247" s="385"/>
      <c r="J247" s="547"/>
      <c r="K247" s="365"/>
    </row>
    <row r="248" spans="1:11">
      <c r="A248" s="83"/>
      <c r="B248" s="43"/>
      <c r="C248" s="101"/>
      <c r="D248" s="322"/>
      <c r="E248" s="728"/>
      <c r="F248" s="840"/>
      <c r="G248" s="979"/>
      <c r="H248" s="74"/>
      <c r="I248" s="385"/>
      <c r="J248" s="547"/>
      <c r="K248" s="365"/>
    </row>
    <row r="249" spans="1:11">
      <c r="A249" s="83"/>
      <c r="B249" s="43"/>
      <c r="C249" s="101"/>
      <c r="D249" s="322"/>
      <c r="E249" s="728"/>
      <c r="F249" s="767"/>
      <c r="G249" s="979"/>
      <c r="H249" s="74"/>
      <c r="I249" s="385"/>
      <c r="J249" s="547"/>
      <c r="K249" s="365"/>
    </row>
    <row r="250" spans="1:11">
      <c r="A250" s="995"/>
      <c r="B250" s="781"/>
      <c r="C250" s="101"/>
      <c r="D250" s="322"/>
      <c r="E250" s="838"/>
      <c r="F250" s="767"/>
      <c r="G250" s="206"/>
      <c r="H250" s="74"/>
      <c r="I250" s="560"/>
      <c r="J250" s="547"/>
      <c r="K250" s="365"/>
    </row>
    <row r="251" spans="1:11">
      <c r="A251" s="87"/>
      <c r="B251" s="43"/>
      <c r="C251" s="101"/>
      <c r="D251" s="342"/>
      <c r="E251" s="871"/>
      <c r="F251" s="861"/>
      <c r="G251" s="206"/>
      <c r="H251" s="74"/>
      <c r="I251" s="385"/>
      <c r="J251" s="1031"/>
      <c r="K251" s="1030"/>
    </row>
    <row r="252" spans="1:11">
      <c r="A252" s="254"/>
      <c r="B252" s="1161"/>
      <c r="C252" s="63"/>
      <c r="D252" s="342"/>
      <c r="E252" s="838"/>
      <c r="F252" s="767"/>
      <c r="G252" s="206"/>
      <c r="H252" s="74"/>
      <c r="I252" s="1011"/>
      <c r="J252" s="1031"/>
      <c r="K252" s="1029"/>
    </row>
    <row r="253" spans="1:11">
      <c r="F253" s="104"/>
      <c r="K253" s="537">
        <v>8</v>
      </c>
    </row>
    <row r="254" spans="1:11">
      <c r="A254" s="45" t="s">
        <v>0</v>
      </c>
      <c r="B254" s="45"/>
      <c r="C254" s="68"/>
      <c r="D254" s="612"/>
      <c r="F254" s="104"/>
      <c r="H254" s="45"/>
      <c r="I254" s="556"/>
    </row>
    <row r="255" spans="1:11">
      <c r="A255" s="3480" t="s">
        <v>1</v>
      </c>
      <c r="B255" s="3480"/>
      <c r="C255" s="46"/>
      <c r="D255" s="124"/>
      <c r="F255" s="104"/>
      <c r="H255" s="45"/>
      <c r="I255" s="556"/>
    </row>
    <row r="256" spans="1:11" ht="35.25" thickBot="1">
      <c r="F256" s="104"/>
    </row>
    <row r="257" spans="1:11">
      <c r="A257" s="3445"/>
      <c r="B257" s="3446" t="s">
        <v>2</v>
      </c>
      <c r="C257" s="48" t="s">
        <v>3</v>
      </c>
      <c r="D257" s="436" t="s">
        <v>4</v>
      </c>
      <c r="E257" s="849" t="s">
        <v>5</v>
      </c>
      <c r="F257" s="849" t="s">
        <v>5</v>
      </c>
      <c r="G257" s="219" t="s">
        <v>6</v>
      </c>
      <c r="H257" s="48" t="s">
        <v>7</v>
      </c>
      <c r="I257" s="557" t="s">
        <v>8</v>
      </c>
      <c r="J257" s="541" t="s">
        <v>9</v>
      </c>
      <c r="K257" s="346" t="s">
        <v>9</v>
      </c>
    </row>
    <row r="258" spans="1:11" ht="35.25" thickBot="1">
      <c r="A258" s="51"/>
      <c r="B258" s="72"/>
      <c r="C258" s="50"/>
      <c r="D258" s="437" t="s">
        <v>10</v>
      </c>
      <c r="E258" s="850" t="s">
        <v>11</v>
      </c>
      <c r="F258" s="850" t="s">
        <v>12</v>
      </c>
      <c r="G258" s="212"/>
      <c r="H258" s="50" t="s">
        <v>13</v>
      </c>
      <c r="I258" s="558"/>
      <c r="J258" s="542" t="s">
        <v>14</v>
      </c>
      <c r="K258" s="347" t="s">
        <v>15</v>
      </c>
    </row>
    <row r="259" spans="1:11">
      <c r="A259" s="3491"/>
      <c r="B259" s="3492"/>
      <c r="C259" s="101"/>
      <c r="D259" s="322"/>
      <c r="E259" s="838"/>
      <c r="F259" s="767"/>
      <c r="G259" s="206"/>
      <c r="H259" s="74"/>
      <c r="I259" s="560"/>
      <c r="J259" s="544"/>
      <c r="K259" s="365"/>
    </row>
    <row r="260" spans="1:11">
      <c r="A260" s="83"/>
      <c r="B260" s="362"/>
      <c r="C260" s="101"/>
      <c r="D260" s="322"/>
      <c r="E260" s="838"/>
      <c r="F260" s="767"/>
      <c r="G260" s="979"/>
      <c r="H260" s="74"/>
      <c r="I260" s="562"/>
      <c r="J260" s="644"/>
      <c r="K260" s="365"/>
    </row>
    <row r="261" spans="1:11" ht="37.5">
      <c r="A261" s="766"/>
      <c r="B261" s="2022"/>
      <c r="C261" s="1765"/>
      <c r="D261" s="831"/>
      <c r="E261" s="838"/>
      <c r="F261" s="767"/>
      <c r="G261" s="2460"/>
      <c r="H261" s="778"/>
      <c r="I261" s="562"/>
      <c r="J261" s="2252"/>
      <c r="K261" s="780"/>
    </row>
    <row r="262" spans="1:11">
      <c r="A262" s="782"/>
      <c r="B262" s="788"/>
      <c r="C262" s="101"/>
      <c r="D262" s="831"/>
      <c r="E262" s="838"/>
      <c r="F262" s="767"/>
      <c r="G262" s="979"/>
      <c r="H262" s="74"/>
      <c r="I262" s="562"/>
      <c r="J262" s="644"/>
      <c r="K262" s="365"/>
    </row>
    <row r="263" spans="1:11">
      <c r="A263" s="83"/>
      <c r="B263" s="43"/>
      <c r="C263" s="101"/>
      <c r="D263" s="322"/>
      <c r="E263" s="838"/>
      <c r="F263" s="767"/>
      <c r="G263" s="206"/>
      <c r="H263" s="74"/>
      <c r="I263" s="562"/>
      <c r="J263" s="546"/>
      <c r="K263" s="365"/>
    </row>
    <row r="264" spans="1:11">
      <c r="A264" s="766"/>
      <c r="B264" s="320"/>
      <c r="C264" s="413"/>
      <c r="D264" s="776"/>
      <c r="E264" s="624"/>
      <c r="F264" s="223"/>
      <c r="G264" s="224"/>
      <c r="H264" s="778"/>
      <c r="I264" s="609"/>
      <c r="J264" s="779"/>
      <c r="K264" s="780"/>
    </row>
    <row r="265" spans="1:11">
      <c r="A265" s="775"/>
      <c r="B265" s="781"/>
      <c r="C265" s="101"/>
      <c r="D265" s="322"/>
      <c r="E265" s="838"/>
      <c r="F265" s="767"/>
      <c r="G265" s="206"/>
      <c r="H265" s="74"/>
      <c r="I265" s="560"/>
      <c r="J265" s="547"/>
      <c r="K265" s="394"/>
    </row>
    <row r="266" spans="1:11">
      <c r="A266" s="43"/>
      <c r="B266" s="43"/>
      <c r="C266" s="320"/>
      <c r="D266" s="322"/>
      <c r="E266" s="838"/>
      <c r="F266" s="767"/>
      <c r="G266" s="206"/>
      <c r="H266" s="74"/>
      <c r="I266" s="563"/>
      <c r="J266" s="544"/>
      <c r="K266" s="394"/>
    </row>
    <row r="267" spans="1:11">
      <c r="A267" s="43"/>
      <c r="B267" s="43"/>
      <c r="C267" s="101"/>
      <c r="D267" s="322"/>
      <c r="E267" s="838"/>
      <c r="F267" s="767"/>
      <c r="G267" s="206"/>
      <c r="H267" s="74"/>
      <c r="I267" s="563"/>
      <c r="J267" s="548"/>
      <c r="K267" s="365"/>
    </row>
    <row r="268" spans="1:11">
      <c r="A268" s="43"/>
      <c r="B268" s="43"/>
      <c r="C268" s="101"/>
      <c r="D268" s="342"/>
      <c r="E268" s="871"/>
      <c r="F268" s="767"/>
      <c r="G268" s="206"/>
      <c r="H268" s="74"/>
      <c r="I268" s="563"/>
      <c r="J268" s="544"/>
      <c r="K268" s="365"/>
    </row>
    <row r="269" spans="1:11">
      <c r="A269" s="362"/>
      <c r="B269" s="43"/>
      <c r="C269" s="101"/>
      <c r="D269" s="342"/>
      <c r="E269" s="871"/>
      <c r="F269" s="767"/>
      <c r="G269" s="206"/>
      <c r="H269" s="74"/>
      <c r="I269" s="563"/>
      <c r="J269" s="544"/>
      <c r="K269" s="365"/>
    </row>
    <row r="270" spans="1:11">
      <c r="A270" s="362"/>
      <c r="B270" s="362"/>
      <c r="C270" s="101"/>
      <c r="D270" s="342"/>
      <c r="E270" s="871"/>
      <c r="F270" s="767"/>
      <c r="G270" s="206"/>
      <c r="H270" s="74"/>
      <c r="I270" s="563"/>
      <c r="J270" s="544"/>
      <c r="K270" s="365"/>
    </row>
    <row r="271" spans="1:11">
      <c r="A271" s="362"/>
      <c r="B271" s="362"/>
      <c r="C271" s="101"/>
      <c r="D271" s="342"/>
      <c r="E271" s="871"/>
      <c r="F271" s="767"/>
      <c r="G271" s="206"/>
      <c r="H271" s="74"/>
      <c r="I271" s="563"/>
      <c r="J271" s="544"/>
      <c r="K271" s="365"/>
    </row>
    <row r="272" spans="1:11">
      <c r="A272" s="83"/>
      <c r="B272" s="362"/>
      <c r="C272" s="101"/>
      <c r="D272" s="342"/>
      <c r="E272" s="871"/>
      <c r="F272" s="767"/>
      <c r="G272" s="206"/>
      <c r="H272" s="74"/>
      <c r="I272" s="563"/>
      <c r="J272" s="544"/>
      <c r="K272" s="365"/>
    </row>
    <row r="273" spans="1:11">
      <c r="A273" s="3483"/>
      <c r="B273" s="3484"/>
      <c r="C273" s="101"/>
      <c r="D273" s="322"/>
      <c r="E273" s="838"/>
      <c r="F273" s="767"/>
      <c r="G273" s="206"/>
      <c r="H273" s="74"/>
      <c r="I273" s="560"/>
      <c r="J273" s="544"/>
      <c r="K273" s="365"/>
    </row>
    <row r="274" spans="1:11">
      <c r="A274" s="389"/>
      <c r="B274" s="382"/>
      <c r="C274" s="101"/>
      <c r="D274" s="342"/>
      <c r="E274" s="871"/>
      <c r="F274" s="767"/>
      <c r="G274" s="206"/>
      <c r="H274" s="74"/>
      <c r="I274" s="560"/>
      <c r="J274" s="547"/>
      <c r="K274" s="616"/>
    </row>
    <row r="275" spans="1:11">
      <c r="A275" s="87"/>
      <c r="B275" s="43"/>
      <c r="C275" s="101"/>
      <c r="D275" s="342"/>
      <c r="E275" s="871"/>
      <c r="F275" s="767"/>
      <c r="G275" s="206"/>
      <c r="H275" s="74"/>
      <c r="I275" s="560"/>
      <c r="J275" s="547"/>
      <c r="K275" s="550"/>
    </row>
    <row r="276" spans="1:11">
      <c r="A276" s="438"/>
      <c r="B276" s="766"/>
      <c r="C276" s="101"/>
      <c r="D276" s="342"/>
      <c r="E276" s="871"/>
      <c r="F276" s="767"/>
      <c r="G276" s="206"/>
      <c r="H276" s="74"/>
      <c r="I276" s="560"/>
      <c r="J276" s="547"/>
      <c r="K276" s="616"/>
    </row>
    <row r="277" spans="1:11">
      <c r="A277" s="3451"/>
      <c r="B277" s="3452"/>
      <c r="C277" s="101"/>
      <c r="D277" s="322"/>
      <c r="E277" s="838"/>
      <c r="F277" s="767"/>
      <c r="G277" s="206"/>
      <c r="H277" s="74"/>
      <c r="I277" s="560"/>
      <c r="J277" s="544"/>
      <c r="K277" s="365"/>
    </row>
    <row r="278" spans="1:11">
      <c r="A278" s="83"/>
      <c r="B278" s="383"/>
      <c r="C278" s="390"/>
      <c r="D278" s="322"/>
      <c r="E278" s="838"/>
      <c r="F278" s="767"/>
      <c r="G278" s="206"/>
      <c r="H278" s="74"/>
      <c r="I278" s="562"/>
      <c r="J278" s="544"/>
      <c r="K278" s="365"/>
    </row>
    <row r="279" spans="1:11">
      <c r="A279" s="766"/>
      <c r="B279" s="1384"/>
      <c r="C279" s="390"/>
      <c r="D279" s="322"/>
      <c r="E279" s="838"/>
      <c r="F279" s="767"/>
      <c r="G279" s="206"/>
      <c r="H279" s="74"/>
      <c r="I279" s="562"/>
      <c r="J279" s="544"/>
      <c r="K279" s="365"/>
    </row>
    <row r="280" spans="1:11">
      <c r="A280" s="265"/>
      <c r="B280" s="43"/>
      <c r="C280" s="101"/>
      <c r="D280" s="322"/>
      <c r="E280" s="838"/>
      <c r="F280" s="767"/>
      <c r="G280" s="206"/>
      <c r="H280" s="74"/>
      <c r="I280" s="562"/>
      <c r="J280" s="546"/>
      <c r="K280" s="365"/>
    </row>
    <row r="281" spans="1:11">
      <c r="A281" s="254"/>
      <c r="B281" s="43"/>
      <c r="C281" s="320"/>
      <c r="D281" s="342"/>
      <c r="E281" s="871"/>
      <c r="F281" s="767"/>
      <c r="G281" s="206"/>
      <c r="H281" s="74"/>
      <c r="I281" s="560"/>
      <c r="J281" s="548"/>
      <c r="K281" s="365"/>
    </row>
    <row r="282" spans="1:11">
      <c r="A282" s="265"/>
      <c r="B282" s="43"/>
      <c r="C282" s="101"/>
      <c r="D282" s="322"/>
      <c r="E282" s="838"/>
      <c r="F282" s="767"/>
      <c r="G282" s="206"/>
      <c r="H282" s="74"/>
      <c r="I282" s="562"/>
      <c r="J282" s="546"/>
      <c r="K282" s="365"/>
    </row>
    <row r="283" spans="1:11">
      <c r="A283" s="254"/>
      <c r="B283" s="43"/>
      <c r="C283" s="320"/>
      <c r="D283" s="342"/>
      <c r="E283" s="871"/>
      <c r="F283" s="767"/>
      <c r="G283" s="206"/>
      <c r="H283" s="74"/>
      <c r="I283" s="560"/>
      <c r="J283" s="548"/>
      <c r="K283" s="365"/>
    </row>
    <row r="284" spans="1:11">
      <c r="A284" s="3491"/>
      <c r="B284" s="3492"/>
      <c r="C284" s="101"/>
      <c r="D284" s="322"/>
      <c r="E284" s="838"/>
      <c r="F284" s="767"/>
      <c r="G284" s="206"/>
      <c r="H284" s="74"/>
      <c r="I284" s="560"/>
      <c r="J284" s="544"/>
      <c r="K284" s="365"/>
    </row>
    <row r="285" spans="1:11">
      <c r="A285" s="83"/>
      <c r="B285" s="43"/>
      <c r="C285" s="101"/>
      <c r="D285" s="322"/>
      <c r="E285" s="838"/>
      <c r="F285" s="767"/>
      <c r="G285" s="206"/>
      <c r="H285" s="74"/>
      <c r="I285" s="562"/>
      <c r="J285" s="544"/>
      <c r="K285" s="365"/>
    </row>
    <row r="286" spans="1:11" ht="37.5">
      <c r="A286" s="766"/>
      <c r="B286" s="880"/>
      <c r="C286" s="1765"/>
      <c r="D286" s="831"/>
      <c r="E286" s="624"/>
      <c r="F286" s="223"/>
      <c r="G286" s="1767"/>
      <c r="H286" s="778"/>
      <c r="I286" s="609"/>
      <c r="J286" s="1766"/>
      <c r="K286" s="780"/>
    </row>
    <row r="287" spans="1:11">
      <c r="A287" s="775"/>
      <c r="B287" s="406"/>
      <c r="C287" s="101"/>
      <c r="D287" s="322"/>
      <c r="E287" s="838"/>
      <c r="F287" s="767"/>
      <c r="G287" s="206"/>
      <c r="H287" s="74"/>
      <c r="I287" s="560"/>
      <c r="J287" s="547"/>
      <c r="K287" s="363"/>
    </row>
    <row r="288" spans="1:11">
      <c r="A288" s="83"/>
      <c r="B288" s="362"/>
      <c r="C288" s="101"/>
      <c r="D288" s="342"/>
      <c r="E288" s="838"/>
      <c r="F288" s="876"/>
      <c r="G288" s="206"/>
      <c r="H288" s="74"/>
      <c r="I288" s="562"/>
      <c r="J288" s="547"/>
      <c r="K288" s="550"/>
    </row>
    <row r="289" spans="1:11">
      <c r="B289" s="75"/>
      <c r="C289" s="104"/>
      <c r="D289" s="167"/>
      <c r="E289" s="167"/>
      <c r="F289" s="167"/>
      <c r="G289" s="167"/>
      <c r="H289" s="75"/>
      <c r="I289" s="561"/>
      <c r="J289" s="545"/>
    </row>
    <row r="290" spans="1:11">
      <c r="A290" s="45" t="s">
        <v>0</v>
      </c>
      <c r="B290" s="45"/>
      <c r="C290" s="68"/>
      <c r="D290" s="612"/>
      <c r="F290" s="104"/>
      <c r="H290" s="45"/>
      <c r="I290" s="556"/>
      <c r="K290" s="492">
        <v>9</v>
      </c>
    </row>
    <row r="291" spans="1:11">
      <c r="A291" s="3480" t="s">
        <v>1</v>
      </c>
      <c r="B291" s="3480"/>
      <c r="C291" s="46"/>
      <c r="D291" s="124"/>
      <c r="F291" s="104"/>
      <c r="H291" s="45"/>
      <c r="I291" s="556"/>
      <c r="J291" s="611"/>
    </row>
    <row r="292" spans="1:11" ht="35.25" thickBot="1">
      <c r="F292" s="104"/>
    </row>
    <row r="293" spans="1:11">
      <c r="A293" s="3445"/>
      <c r="B293" s="3446" t="s">
        <v>2</v>
      </c>
      <c r="C293" s="48" t="s">
        <v>3</v>
      </c>
      <c r="D293" s="436" t="s">
        <v>4</v>
      </c>
      <c r="E293" s="868" t="s">
        <v>5</v>
      </c>
      <c r="F293" s="849" t="s">
        <v>5</v>
      </c>
      <c r="G293" s="219" t="s">
        <v>6</v>
      </c>
      <c r="H293" s="48" t="s">
        <v>7</v>
      </c>
      <c r="I293" s="557" t="s">
        <v>8</v>
      </c>
      <c r="J293" s="541" t="s">
        <v>9</v>
      </c>
      <c r="K293" s="346" t="s">
        <v>9</v>
      </c>
    </row>
    <row r="294" spans="1:11" ht="35.25" thickBot="1">
      <c r="A294" s="51"/>
      <c r="B294" s="72"/>
      <c r="C294" s="50"/>
      <c r="D294" s="437" t="s">
        <v>10</v>
      </c>
      <c r="E294" s="869" t="s">
        <v>11</v>
      </c>
      <c r="F294" s="850" t="s">
        <v>12</v>
      </c>
      <c r="G294" s="301"/>
      <c r="H294" s="50" t="s">
        <v>13</v>
      </c>
      <c r="I294" s="558"/>
      <c r="J294" s="542" t="s">
        <v>14</v>
      </c>
      <c r="K294" s="347" t="s">
        <v>15</v>
      </c>
    </row>
    <row r="295" spans="1:11">
      <c r="A295" s="3491"/>
      <c r="B295" s="3492"/>
      <c r="C295" s="101"/>
      <c r="D295" s="322"/>
      <c r="E295" s="838"/>
      <c r="F295" s="767"/>
      <c r="G295" s="206"/>
      <c r="H295" s="74"/>
      <c r="I295" s="560"/>
      <c r="J295" s="544"/>
      <c r="K295" s="365"/>
    </row>
    <row r="296" spans="1:11">
      <c r="A296" s="83"/>
      <c r="B296" s="43"/>
      <c r="C296" s="101"/>
      <c r="D296" s="322"/>
      <c r="E296" s="838"/>
      <c r="F296" s="767"/>
      <c r="G296" s="206"/>
      <c r="H296" s="74"/>
      <c r="I296" s="562"/>
      <c r="J296" s="544"/>
      <c r="K296" s="365"/>
    </row>
    <row r="297" spans="1:11">
      <c r="A297" s="766"/>
      <c r="B297" s="1384"/>
      <c r="C297" s="390"/>
      <c r="D297" s="322"/>
      <c r="E297" s="838"/>
      <c r="F297" s="767"/>
      <c r="G297" s="206"/>
      <c r="H297" s="74"/>
      <c r="I297" s="562"/>
      <c r="J297" s="544"/>
      <c r="K297" s="365"/>
    </row>
    <row r="298" spans="1:11">
      <c r="A298" s="265"/>
      <c r="B298" s="43"/>
      <c r="C298" s="207"/>
      <c r="D298" s="322"/>
      <c r="E298" s="838"/>
      <c r="F298" s="1497"/>
      <c r="G298" s="206"/>
      <c r="H298" s="74"/>
      <c r="I298" s="560"/>
      <c r="J298" s="546"/>
      <c r="K298" s="365"/>
    </row>
    <row r="299" spans="1:11" ht="38.25">
      <c r="A299" s="2026"/>
      <c r="B299" s="2026"/>
      <c r="C299" s="2027"/>
      <c r="D299" s="995"/>
      <c r="E299" s="2028"/>
      <c r="F299" s="960"/>
      <c r="G299" s="248"/>
      <c r="H299" s="398"/>
      <c r="I299" s="2029"/>
      <c r="J299" s="74"/>
      <c r="K299" s="526"/>
    </row>
    <row r="300" spans="1:11">
      <c r="A300" s="1918"/>
      <c r="B300" s="1918"/>
      <c r="C300" s="101"/>
      <c r="D300" s="2030"/>
      <c r="E300" s="3662"/>
      <c r="F300" s="3663"/>
      <c r="G300" s="3664"/>
      <c r="H300" s="3665"/>
      <c r="I300" s="3666"/>
      <c r="J300" s="3665"/>
      <c r="K300" s="3667"/>
    </row>
    <row r="301" spans="1:11">
      <c r="A301" s="83"/>
      <c r="B301" s="43"/>
      <c r="C301" s="101"/>
      <c r="D301" s="322"/>
      <c r="E301" s="838"/>
      <c r="F301" s="767"/>
      <c r="G301" s="206"/>
      <c r="H301" s="74"/>
      <c r="I301" s="562"/>
      <c r="J301" s="544"/>
      <c r="K301" s="365"/>
    </row>
    <row r="302" spans="1:11" ht="37.5">
      <c r="A302" s="766"/>
      <c r="B302" s="880"/>
      <c r="C302" s="1765"/>
      <c r="D302" s="831"/>
      <c r="E302" s="624"/>
      <c r="F302" s="223"/>
      <c r="G302" s="1767"/>
      <c r="H302" s="778"/>
      <c r="I302" s="609"/>
      <c r="J302" s="1766"/>
      <c r="K302" s="780"/>
    </row>
    <row r="303" spans="1:11">
      <c r="A303" s="775"/>
      <c r="B303" s="406"/>
      <c r="C303" s="101"/>
      <c r="D303" s="322"/>
      <c r="E303" s="838"/>
      <c r="F303" s="767"/>
      <c r="G303" s="206"/>
      <c r="H303" s="74"/>
      <c r="I303" s="560"/>
      <c r="J303" s="547"/>
      <c r="K303" s="363"/>
    </row>
    <row r="304" spans="1:11">
      <c r="A304" s="1336"/>
      <c r="B304" s="1336"/>
      <c r="C304" s="320"/>
      <c r="D304" s="624"/>
      <c r="E304" s="420"/>
      <c r="F304" s="852"/>
      <c r="G304" s="223"/>
      <c r="H304" s="224"/>
      <c r="I304" s="1456"/>
      <c r="J304" s="603"/>
      <c r="K304" s="378"/>
    </row>
    <row r="305" spans="1:12" ht="38.25">
      <c r="A305" s="3448"/>
      <c r="B305" s="2026"/>
      <c r="C305" s="2027"/>
      <c r="D305" s="995"/>
      <c r="E305" s="2028"/>
      <c r="F305" s="960"/>
      <c r="G305" s="248"/>
      <c r="H305" s="398"/>
      <c r="I305" s="2029"/>
      <c r="J305" s="74"/>
      <c r="K305" s="526"/>
    </row>
    <row r="306" spans="1:12">
      <c r="A306" s="81"/>
      <c r="B306" s="1918"/>
      <c r="C306" s="101"/>
      <c r="D306" s="2030"/>
      <c r="E306" s="3662"/>
      <c r="F306" s="3663"/>
      <c r="G306" s="3664"/>
      <c r="H306" s="3665"/>
      <c r="I306" s="3666"/>
      <c r="J306" s="3665"/>
      <c r="K306" s="3667"/>
      <c r="L306" s="365"/>
    </row>
    <row r="307" spans="1:12">
      <c r="A307" s="43"/>
      <c r="B307" s="43"/>
      <c r="C307" s="101"/>
      <c r="D307" s="2030"/>
      <c r="E307" s="3662"/>
      <c r="F307" s="3663"/>
      <c r="G307" s="2407"/>
      <c r="H307" s="398"/>
      <c r="I307" s="3668"/>
      <c r="J307" s="3665"/>
      <c r="K307" s="3669"/>
      <c r="L307" s="365">
        <v>111.78</v>
      </c>
    </row>
    <row r="308" spans="1:12">
      <c r="A308" s="43"/>
      <c r="B308" s="43"/>
      <c r="C308" s="101"/>
      <c r="D308" s="2030"/>
      <c r="E308" s="3662"/>
      <c r="F308" s="3663"/>
      <c r="G308" s="2407"/>
      <c r="H308" s="398"/>
      <c r="I308" s="3668"/>
      <c r="J308" s="3665"/>
      <c r="K308" s="3669"/>
    </row>
    <row r="309" spans="1:12">
      <c r="A309" s="1022"/>
      <c r="B309" s="406"/>
      <c r="C309" s="320"/>
      <c r="D309" s="624"/>
      <c r="E309" s="420"/>
      <c r="F309" s="852"/>
      <c r="G309" s="979"/>
      <c r="H309" s="224"/>
      <c r="I309" s="778"/>
      <c r="J309" s="609"/>
      <c r="K309" s="780"/>
    </row>
    <row r="310" spans="1:12">
      <c r="A310" s="1814"/>
      <c r="B310" s="1814"/>
      <c r="C310" s="877"/>
      <c r="D310" s="1619"/>
      <c r="E310" s="142"/>
      <c r="F310" s="381"/>
      <c r="G310" s="1616"/>
      <c r="H310" s="971"/>
      <c r="I310" s="506"/>
      <c r="J310" s="1620"/>
      <c r="K310" s="1618"/>
    </row>
    <row r="311" spans="1:12">
      <c r="A311" s="1006"/>
      <c r="B311" s="1006"/>
      <c r="C311" s="877"/>
      <c r="D311" s="1619"/>
      <c r="E311" s="142"/>
      <c r="F311" s="381"/>
      <c r="G311" s="2412"/>
      <c r="H311" s="971"/>
      <c r="I311" s="506"/>
      <c r="J311" s="1620"/>
      <c r="K311" s="2384"/>
    </row>
    <row r="312" spans="1:12" ht="38.25">
      <c r="A312" s="1006"/>
      <c r="B312" s="2026"/>
      <c r="C312" s="2027"/>
      <c r="D312" s="995"/>
      <c r="E312" s="2028"/>
      <c r="F312" s="960"/>
      <c r="G312" s="248"/>
      <c r="H312" s="398"/>
      <c r="I312" s="2029"/>
      <c r="J312" s="74"/>
      <c r="K312" s="526"/>
    </row>
    <row r="313" spans="1:12">
      <c r="A313" s="89"/>
      <c r="B313" s="1918"/>
      <c r="C313" s="101"/>
      <c r="D313" s="2030"/>
      <c r="E313" s="3662"/>
      <c r="F313" s="3663"/>
      <c r="G313" s="3664"/>
      <c r="H313" s="3665"/>
      <c r="I313" s="3666"/>
      <c r="J313" s="3665"/>
      <c r="K313" s="3667"/>
    </row>
    <row r="314" spans="1:12">
      <c r="A314" s="766"/>
      <c r="B314" s="1384"/>
      <c r="C314" s="786"/>
      <c r="D314" s="413"/>
      <c r="E314" s="875"/>
      <c r="F314" s="852"/>
      <c r="G314" s="223"/>
      <c r="H314" s="224"/>
      <c r="I314" s="784"/>
      <c r="J314" s="603"/>
      <c r="K314" s="378"/>
    </row>
    <row r="315" spans="1:12">
      <c r="A315" s="3448"/>
      <c r="B315" s="3448"/>
      <c r="C315" s="207"/>
      <c r="D315" s="3457"/>
      <c r="E315" s="142"/>
      <c r="F315" s="381"/>
      <c r="G315" s="478"/>
      <c r="H315" s="101"/>
      <c r="I315" s="339"/>
      <c r="J315" s="586"/>
      <c r="K315" s="526"/>
    </row>
    <row r="316" spans="1:12">
      <c r="A316" s="81"/>
      <c r="B316" s="81"/>
      <c r="C316" s="207"/>
      <c r="D316" s="391"/>
      <c r="E316" s="1409"/>
      <c r="F316" s="856"/>
      <c r="G316" s="887"/>
      <c r="H316" s="101"/>
      <c r="I316" s="1495"/>
      <c r="J316" s="3670"/>
      <c r="K316" s="3671"/>
    </row>
    <row r="317" spans="1:12">
      <c r="A317" s="43"/>
      <c r="B317" s="43"/>
      <c r="C317" s="101"/>
      <c r="D317" s="2030"/>
      <c r="E317" s="3662"/>
      <c r="F317" s="3663"/>
      <c r="G317" s="2407"/>
      <c r="H317" s="398"/>
      <c r="I317" s="3668"/>
      <c r="J317" s="3665"/>
      <c r="K317" s="3669"/>
    </row>
    <row r="318" spans="1:12">
      <c r="A318" s="43"/>
      <c r="B318" s="43"/>
      <c r="C318" s="101"/>
      <c r="D318" s="2030"/>
      <c r="E318" s="3662"/>
      <c r="F318" s="3663"/>
      <c r="G318" s="2407"/>
      <c r="H318" s="398"/>
      <c r="I318" s="3668"/>
      <c r="J318" s="3665"/>
      <c r="K318" s="3669"/>
    </row>
    <row r="319" spans="1:12" ht="38.25">
      <c r="A319" s="2462"/>
      <c r="B319" s="2462"/>
      <c r="C319" s="1200"/>
      <c r="D319" s="438"/>
      <c r="E319" s="2028"/>
      <c r="F319" s="960"/>
      <c r="G319" s="248"/>
      <c r="H319" s="398"/>
      <c r="I319" s="2029"/>
      <c r="J319" s="74"/>
      <c r="K319" s="526"/>
    </row>
    <row r="320" spans="1:12" ht="38.25">
      <c r="A320" s="2026"/>
      <c r="B320" s="2026"/>
      <c r="C320" s="2027"/>
      <c r="D320" s="995"/>
      <c r="E320" s="2028"/>
      <c r="F320" s="960"/>
      <c r="G320" s="248"/>
      <c r="H320" s="398"/>
      <c r="I320" s="2029"/>
      <c r="J320" s="74"/>
      <c r="K320" s="526"/>
    </row>
    <row r="321" spans="1:11">
      <c r="A321" s="1918"/>
      <c r="B321" s="1918"/>
      <c r="C321" s="101"/>
      <c r="D321" s="2030"/>
      <c r="E321" s="3662"/>
      <c r="F321" s="3663"/>
      <c r="G321" s="3664"/>
      <c r="H321" s="3665"/>
      <c r="I321" s="3666"/>
      <c r="J321" s="3665"/>
      <c r="K321" s="3667"/>
    </row>
    <row r="322" spans="1:11">
      <c r="A322" s="83"/>
      <c r="B322" s="43"/>
      <c r="C322" s="101"/>
      <c r="D322" s="342"/>
      <c r="E322" s="871"/>
      <c r="F322" s="767"/>
      <c r="G322" s="206"/>
      <c r="H322" s="74"/>
      <c r="I322" s="560"/>
      <c r="J322" s="544"/>
      <c r="K322" s="365"/>
    </row>
    <row r="323" spans="1:11">
      <c r="A323" s="83"/>
      <c r="B323" s="43"/>
      <c r="C323" s="101"/>
      <c r="D323" s="342"/>
      <c r="E323" s="871"/>
      <c r="F323" s="767"/>
      <c r="G323" s="206"/>
      <c r="H323" s="74"/>
      <c r="I323" s="560"/>
      <c r="J323" s="547"/>
      <c r="K323" s="550"/>
    </row>
    <row r="324" spans="1:11">
      <c r="A324" s="70"/>
      <c r="B324" s="56"/>
      <c r="C324" s="57"/>
      <c r="D324" s="613"/>
      <c r="E324" s="872"/>
      <c r="F324" s="853"/>
      <c r="G324" s="214"/>
      <c r="H324" s="103"/>
      <c r="I324" s="733"/>
      <c r="J324" s="543"/>
      <c r="K324" s="734"/>
    </row>
    <row r="325" spans="1:11">
      <c r="A325" s="44"/>
      <c r="B325" s="45"/>
      <c r="C325" s="46"/>
      <c r="D325" s="124"/>
      <c r="F325" s="104"/>
      <c r="H325" s="45"/>
      <c r="I325" s="556"/>
      <c r="K325" s="537">
        <v>10</v>
      </c>
    </row>
    <row r="326" spans="1:11">
      <c r="A326" s="45" t="s">
        <v>0</v>
      </c>
      <c r="B326" s="45"/>
      <c r="C326" s="68"/>
      <c r="D326" s="612"/>
      <c r="F326" s="104"/>
      <c r="H326" s="45"/>
      <c r="I326" s="556"/>
    </row>
    <row r="327" spans="1:11">
      <c r="A327" s="3480" t="s">
        <v>1</v>
      </c>
      <c r="B327" s="3480"/>
      <c r="C327" s="46"/>
      <c r="D327" s="124"/>
      <c r="F327" s="104"/>
      <c r="H327" s="45"/>
      <c r="I327" s="556"/>
    </row>
    <row r="328" spans="1:11" ht="35.25" thickBot="1">
      <c r="F328" s="104"/>
    </row>
    <row r="329" spans="1:11">
      <c r="A329" s="3481" t="s">
        <v>2</v>
      </c>
      <c r="B329" s="3482"/>
      <c r="C329" s="48" t="s">
        <v>3</v>
      </c>
      <c r="D329" s="436" t="s">
        <v>4</v>
      </c>
      <c r="E329" s="868" t="s">
        <v>5</v>
      </c>
      <c r="F329" s="849" t="s">
        <v>5</v>
      </c>
      <c r="G329" s="219" t="s">
        <v>6</v>
      </c>
      <c r="H329" s="48" t="s">
        <v>7</v>
      </c>
      <c r="I329" s="557" t="s">
        <v>8</v>
      </c>
      <c r="J329" s="541" t="s">
        <v>9</v>
      </c>
      <c r="K329" s="346" t="s">
        <v>9</v>
      </c>
    </row>
    <row r="330" spans="1:11" ht="35.25" thickBot="1">
      <c r="A330" s="51"/>
      <c r="B330" s="72"/>
      <c r="C330" s="50"/>
      <c r="D330" s="437" t="s">
        <v>10</v>
      </c>
      <c r="E330" s="869" t="s">
        <v>12</v>
      </c>
      <c r="F330" s="850" t="s">
        <v>11</v>
      </c>
      <c r="G330" s="301"/>
      <c r="H330" s="50" t="s">
        <v>13</v>
      </c>
      <c r="I330" s="558"/>
      <c r="J330" s="542" t="s">
        <v>14</v>
      </c>
      <c r="K330" s="347" t="s">
        <v>15</v>
      </c>
    </row>
    <row r="331" spans="1:11">
      <c r="A331" s="782"/>
      <c r="B331" s="1814"/>
      <c r="C331" s="877"/>
      <c r="D331" s="1619"/>
      <c r="E331" s="142"/>
      <c r="F331" s="381"/>
      <c r="G331" s="1616"/>
      <c r="H331" s="971"/>
      <c r="I331" s="506"/>
      <c r="J331" s="1620"/>
      <c r="K331" s="1618"/>
    </row>
    <row r="332" spans="1:11">
      <c r="A332" s="663"/>
      <c r="B332" s="1006"/>
      <c r="C332" s="877"/>
      <c r="D332" s="1619"/>
      <c r="E332" s="142"/>
      <c r="F332" s="381"/>
      <c r="G332" s="2412"/>
      <c r="H332" s="971"/>
      <c r="I332" s="506"/>
      <c r="J332" s="1620"/>
      <c r="K332" s="2384"/>
    </row>
    <row r="333" spans="1:11">
      <c r="A333" s="766"/>
      <c r="B333" s="1006"/>
      <c r="C333" s="877"/>
      <c r="D333" s="1619"/>
      <c r="E333" s="142"/>
      <c r="F333" s="381"/>
      <c r="G333" s="2412"/>
      <c r="H333" s="971"/>
      <c r="I333" s="506"/>
      <c r="J333" s="1620"/>
      <c r="K333" s="2384"/>
    </row>
    <row r="334" spans="1:11">
      <c r="A334" s="406"/>
      <c r="B334" s="406"/>
      <c r="C334" s="320"/>
      <c r="D334" s="624"/>
      <c r="E334" s="420"/>
      <c r="F334" s="852"/>
      <c r="G334" s="979"/>
      <c r="H334" s="224"/>
      <c r="I334" s="778"/>
      <c r="J334" s="609"/>
      <c r="K334" s="780"/>
    </row>
    <row r="335" spans="1:11">
      <c r="A335" s="406"/>
      <c r="B335" s="406"/>
      <c r="C335" s="320"/>
      <c r="D335" s="413"/>
      <c r="E335" s="875"/>
      <c r="F335" s="852"/>
      <c r="G335" s="223"/>
      <c r="H335" s="224"/>
      <c r="I335" s="1456"/>
      <c r="J335" s="603"/>
      <c r="K335" s="779"/>
    </row>
    <row r="336" spans="1:11">
      <c r="A336" s="406"/>
      <c r="B336" s="406"/>
      <c r="C336" s="320"/>
      <c r="D336" s="413"/>
      <c r="E336" s="875"/>
      <c r="F336" s="852"/>
      <c r="G336" s="223"/>
      <c r="H336" s="224"/>
      <c r="I336" s="1456"/>
      <c r="J336" s="1457"/>
      <c r="K336" s="378"/>
    </row>
    <row r="337" spans="1:11">
      <c r="A337" s="995"/>
      <c r="B337" s="775"/>
      <c r="C337" s="101"/>
      <c r="D337" s="342"/>
      <c r="E337" s="871"/>
      <c r="F337" s="767"/>
      <c r="G337" s="206"/>
      <c r="H337" s="74"/>
      <c r="I337" s="560"/>
      <c r="J337" s="603"/>
      <c r="K337" s="378"/>
    </row>
    <row r="338" spans="1:11">
      <c r="A338" s="254"/>
      <c r="B338" s="43"/>
      <c r="C338" s="101"/>
      <c r="D338" s="342"/>
      <c r="E338" s="871"/>
      <c r="F338" s="767"/>
      <c r="G338" s="206"/>
      <c r="H338" s="74"/>
      <c r="I338" s="560"/>
      <c r="J338" s="603"/>
      <c r="K338" s="378"/>
    </row>
    <row r="339" spans="1:11">
      <c r="A339" s="1336"/>
      <c r="B339" s="1336"/>
      <c r="C339" s="320"/>
      <c r="D339" s="624"/>
      <c r="E339" s="420"/>
      <c r="F339" s="852"/>
      <c r="G339" s="223"/>
      <c r="H339" s="224"/>
      <c r="I339" s="1456"/>
      <c r="J339" s="603"/>
      <c r="K339" s="378"/>
    </row>
    <row r="340" spans="1:11">
      <c r="A340" s="1336"/>
      <c r="B340" s="1336"/>
      <c r="C340" s="320"/>
      <c r="D340" s="624"/>
      <c r="E340" s="420"/>
      <c r="F340" s="852"/>
      <c r="G340" s="223"/>
      <c r="H340" s="224"/>
      <c r="I340" s="1456"/>
      <c r="J340" s="603"/>
      <c r="K340" s="378"/>
    </row>
    <row r="341" spans="1:11">
      <c r="A341" s="398"/>
      <c r="B341" s="1336"/>
      <c r="C341" s="320"/>
      <c r="D341" s="624"/>
      <c r="E341" s="420"/>
      <c r="F341" s="852"/>
      <c r="G341" s="223"/>
      <c r="H341" s="224"/>
      <c r="I341" s="1456"/>
      <c r="J341" s="603"/>
      <c r="K341" s="378"/>
    </row>
    <row r="342" spans="1:11">
      <c r="A342" s="782"/>
      <c r="B342" s="783"/>
      <c r="C342" s="320"/>
      <c r="D342" s="624"/>
      <c r="E342" s="420"/>
      <c r="F342" s="852"/>
      <c r="G342" s="223"/>
      <c r="H342" s="224"/>
      <c r="I342" s="778"/>
      <c r="J342" s="603"/>
      <c r="K342" s="378"/>
    </row>
    <row r="343" spans="1:11">
      <c r="A343" s="398"/>
      <c r="B343" s="406"/>
      <c r="C343" s="320"/>
      <c r="D343" s="624"/>
      <c r="E343" s="420"/>
      <c r="F343" s="852"/>
      <c r="G343" s="223"/>
      <c r="H343" s="224"/>
      <c r="I343" s="778"/>
      <c r="J343" s="603"/>
      <c r="K343" s="378"/>
    </row>
    <row r="344" spans="1:11">
      <c r="A344" s="438"/>
      <c r="B344" s="766"/>
      <c r="C344" s="320"/>
      <c r="D344" s="624"/>
      <c r="E344" s="420"/>
      <c r="F344" s="852"/>
      <c r="G344" s="223"/>
      <c r="H344" s="224"/>
      <c r="I344" s="778"/>
      <c r="J344" s="609"/>
      <c r="K344" s="1458"/>
    </row>
    <row r="345" spans="1:11">
      <c r="A345" s="1022"/>
      <c r="B345" s="406"/>
      <c r="C345" s="320"/>
      <c r="D345" s="624"/>
      <c r="E345" s="420"/>
      <c r="F345" s="852"/>
      <c r="G345" s="223"/>
      <c r="H345" s="224"/>
      <c r="I345" s="778"/>
      <c r="J345" s="609"/>
      <c r="K345" s="780"/>
    </row>
    <row r="346" spans="1:11">
      <c r="A346" s="398"/>
      <c r="B346" s="406"/>
      <c r="C346" s="320"/>
      <c r="D346" s="624"/>
      <c r="E346" s="420"/>
      <c r="F346" s="852"/>
      <c r="G346" s="223"/>
      <c r="H346" s="224"/>
      <c r="I346" s="778"/>
      <c r="J346" s="603"/>
      <c r="K346" s="378"/>
    </row>
    <row r="347" spans="1:11">
      <c r="A347" s="398"/>
      <c r="B347" s="1336"/>
      <c r="C347" s="320"/>
      <c r="D347" s="624"/>
      <c r="E347" s="1459"/>
      <c r="F347" s="852"/>
      <c r="G347" s="223"/>
      <c r="H347" s="224"/>
      <c r="I347" s="778"/>
      <c r="J347" s="603"/>
      <c r="K347" s="378"/>
    </row>
    <row r="348" spans="1:11">
      <c r="A348" s="3483"/>
      <c r="B348" s="3484"/>
      <c r="C348" s="320"/>
      <c r="D348" s="413"/>
      <c r="E348" s="875"/>
      <c r="F348" s="852"/>
      <c r="G348" s="223"/>
      <c r="H348" s="224"/>
      <c r="I348" s="778"/>
      <c r="J348" s="603"/>
      <c r="K348" s="378"/>
    </row>
    <row r="349" spans="1:11">
      <c r="A349" s="398"/>
      <c r="B349" s="969"/>
      <c r="C349" s="786"/>
      <c r="D349" s="413"/>
      <c r="E349" s="875"/>
      <c r="F349" s="852"/>
      <c r="G349" s="223"/>
      <c r="H349" s="224"/>
      <c r="I349" s="784"/>
      <c r="J349" s="603"/>
      <c r="K349" s="378"/>
    </row>
    <row r="350" spans="1:11">
      <c r="A350" s="766"/>
      <c r="B350" s="1384"/>
      <c r="C350" s="786"/>
      <c r="D350" s="413"/>
      <c r="E350" s="875"/>
      <c r="F350" s="852"/>
      <c r="G350" s="223"/>
      <c r="H350" s="224"/>
      <c r="I350" s="784"/>
      <c r="J350" s="603"/>
      <c r="K350" s="378"/>
    </row>
    <row r="351" spans="1:11">
      <c r="A351" s="398"/>
      <c r="B351" s="1336"/>
      <c r="C351" s="320"/>
      <c r="D351" s="413"/>
      <c r="E351" s="875"/>
      <c r="F351" s="852"/>
      <c r="G351" s="223"/>
      <c r="H351" s="224"/>
      <c r="I351" s="784"/>
      <c r="J351" s="609"/>
      <c r="K351" s="780"/>
    </row>
    <row r="352" spans="1:11">
      <c r="A352" s="83"/>
      <c r="B352" s="43"/>
      <c r="C352" s="101"/>
      <c r="D352" s="322"/>
      <c r="E352" s="838"/>
      <c r="F352" s="767"/>
      <c r="G352" s="206"/>
      <c r="H352" s="74"/>
      <c r="I352" s="562"/>
      <c r="J352" s="547"/>
      <c r="K352" s="550"/>
    </row>
    <row r="353" spans="1:11">
      <c r="A353" s="83"/>
      <c r="B353" s="43"/>
      <c r="C353" s="101"/>
      <c r="D353" s="322"/>
      <c r="E353" s="838"/>
      <c r="F353" s="767"/>
      <c r="G353" s="206"/>
      <c r="H353" s="74"/>
      <c r="I353" s="562"/>
      <c r="J353" s="547"/>
      <c r="K353" s="550"/>
    </row>
    <row r="354" spans="1:11">
      <c r="A354" s="3483"/>
      <c r="B354" s="3484"/>
      <c r="C354" s="101"/>
      <c r="D354" s="342"/>
      <c r="E354" s="871"/>
      <c r="F354" s="767"/>
      <c r="G354" s="206"/>
      <c r="H354" s="74"/>
      <c r="I354" s="560"/>
      <c r="J354" s="544"/>
      <c r="K354" s="365"/>
    </row>
    <row r="355" spans="1:11">
      <c r="A355" s="83"/>
      <c r="B355" s="43"/>
      <c r="C355" s="101"/>
      <c r="D355" s="342"/>
      <c r="E355" s="871"/>
      <c r="F355" s="767"/>
      <c r="G355" s="206"/>
      <c r="H355" s="74"/>
      <c r="I355" s="560"/>
      <c r="J355" s="544"/>
      <c r="K355" s="365"/>
    </row>
    <row r="356" spans="1:11">
      <c r="A356" s="83"/>
      <c r="B356" s="43"/>
      <c r="C356" s="101"/>
      <c r="D356" s="342"/>
      <c r="E356" s="871"/>
      <c r="F356" s="767"/>
      <c r="G356" s="206"/>
      <c r="H356" s="74"/>
      <c r="I356" s="560"/>
      <c r="J356" s="544"/>
      <c r="K356" s="365"/>
    </row>
    <row r="357" spans="1:11">
      <c r="A357" s="3483"/>
      <c r="B357" s="3484"/>
      <c r="C357" s="101"/>
      <c r="D357" s="342"/>
      <c r="E357" s="871"/>
      <c r="F357" s="767"/>
      <c r="G357" s="206"/>
      <c r="H357" s="74"/>
      <c r="I357" s="560"/>
      <c r="J357" s="544"/>
      <c r="K357" s="365"/>
    </row>
    <row r="358" spans="1:11">
      <c r="A358" s="83"/>
      <c r="B358" s="43"/>
      <c r="C358" s="101"/>
      <c r="D358" s="342"/>
      <c r="E358" s="871"/>
      <c r="F358" s="767"/>
      <c r="G358" s="206"/>
      <c r="H358" s="74"/>
      <c r="I358" s="560"/>
      <c r="J358" s="544"/>
      <c r="K358" s="365"/>
    </row>
    <row r="359" spans="1:11">
      <c r="A359" s="83"/>
      <c r="B359" s="43"/>
      <c r="C359" s="101"/>
      <c r="D359" s="342"/>
      <c r="E359" s="871"/>
      <c r="F359" s="767"/>
      <c r="G359" s="206"/>
      <c r="H359" s="74"/>
      <c r="I359" s="560"/>
      <c r="J359" s="547"/>
      <c r="K359" s="550"/>
    </row>
    <row r="360" spans="1:11">
      <c r="A360" s="70"/>
      <c r="B360" s="56"/>
      <c r="C360" s="57"/>
      <c r="D360" s="613"/>
      <c r="E360" s="872"/>
      <c r="F360" s="853"/>
      <c r="G360" s="214"/>
      <c r="H360" s="103"/>
      <c r="I360" s="733"/>
      <c r="J360" s="543"/>
      <c r="K360" s="734"/>
    </row>
    <row r="361" spans="1:11">
      <c r="A361" s="44"/>
      <c r="B361" s="45"/>
      <c r="C361" s="46"/>
      <c r="D361" s="124"/>
      <c r="F361" s="104"/>
      <c r="H361" s="45"/>
      <c r="I361" s="556"/>
      <c r="K361" s="537">
        <v>11</v>
      </c>
    </row>
    <row r="362" spans="1:11">
      <c r="A362" s="45" t="s">
        <v>0</v>
      </c>
      <c r="B362" s="45"/>
      <c r="C362" s="68"/>
      <c r="D362" s="612"/>
      <c r="F362" s="104"/>
      <c r="H362" s="45"/>
      <c r="I362" s="556"/>
    </row>
    <row r="363" spans="1:11">
      <c r="A363" s="3480" t="s">
        <v>1</v>
      </c>
      <c r="B363" s="3480"/>
      <c r="C363" s="46"/>
      <c r="D363" s="124"/>
      <c r="F363" s="104"/>
      <c r="H363" s="45"/>
      <c r="I363" s="556"/>
    </row>
    <row r="364" spans="1:11" ht="35.25" thickBot="1">
      <c r="F364" s="104"/>
    </row>
    <row r="365" spans="1:11">
      <c r="A365" s="3481" t="s">
        <v>2</v>
      </c>
      <c r="B365" s="3482"/>
      <c r="C365" s="48" t="s">
        <v>3</v>
      </c>
      <c r="D365" s="436" t="s">
        <v>4</v>
      </c>
      <c r="E365" s="868" t="s">
        <v>5</v>
      </c>
      <c r="F365" s="849" t="s">
        <v>5</v>
      </c>
      <c r="G365" s="211" t="s">
        <v>6</v>
      </c>
      <c r="H365" s="48" t="s">
        <v>7</v>
      </c>
      <c r="I365" s="557" t="s">
        <v>8</v>
      </c>
      <c r="J365" s="541" t="s">
        <v>9</v>
      </c>
      <c r="K365" s="346" t="s">
        <v>9</v>
      </c>
    </row>
    <row r="366" spans="1:11" ht="35.25" thickBot="1">
      <c r="A366" s="51"/>
      <c r="B366" s="72"/>
      <c r="C366" s="50"/>
      <c r="D366" s="437" t="s">
        <v>10</v>
      </c>
      <c r="E366" s="869" t="s">
        <v>12</v>
      </c>
      <c r="F366" s="850" t="s">
        <v>11</v>
      </c>
      <c r="G366" s="212"/>
      <c r="H366" s="50" t="s">
        <v>13</v>
      </c>
      <c r="I366" s="558"/>
      <c r="J366" s="542" t="s">
        <v>14</v>
      </c>
      <c r="K366" s="347" t="s">
        <v>15</v>
      </c>
    </row>
    <row r="367" spans="1:11">
      <c r="A367" s="3489"/>
      <c r="B367" s="3490"/>
      <c r="C367" s="126"/>
      <c r="D367" s="536"/>
      <c r="E367" s="843"/>
      <c r="F367" s="853"/>
      <c r="G367" s="206"/>
      <c r="H367" s="74"/>
      <c r="I367" s="560"/>
      <c r="J367" s="544"/>
      <c r="K367" s="365"/>
    </row>
    <row r="368" spans="1:11">
      <c r="A368" s="398"/>
      <c r="B368" s="43"/>
      <c r="C368" s="101"/>
      <c r="D368" s="322"/>
      <c r="E368" s="843"/>
      <c r="F368" s="853"/>
      <c r="G368" s="206"/>
      <c r="H368" s="74"/>
      <c r="I368" s="355"/>
      <c r="J368" s="544"/>
      <c r="K368" s="365"/>
    </row>
    <row r="369" spans="1:11">
      <c r="A369" s="398"/>
      <c r="B369" s="43"/>
      <c r="C369" s="101"/>
      <c r="D369" s="322"/>
      <c r="E369" s="843"/>
      <c r="F369" s="853"/>
      <c r="G369" s="206"/>
      <c r="H369" s="74"/>
      <c r="I369" s="355"/>
      <c r="J369" s="544"/>
      <c r="K369" s="365"/>
    </row>
    <row r="370" spans="1:11">
      <c r="A370" s="83"/>
      <c r="B370" s="43"/>
      <c r="C370" s="101"/>
      <c r="D370" s="322"/>
      <c r="E370" s="843"/>
      <c r="F370" s="767"/>
      <c r="G370" s="206"/>
      <c r="H370" s="74"/>
      <c r="I370" s="355"/>
      <c r="J370" s="544"/>
      <c r="K370" s="365"/>
    </row>
    <row r="371" spans="1:11">
      <c r="A371" s="398"/>
      <c r="B371" s="43"/>
      <c r="C371" s="101"/>
      <c r="D371" s="322"/>
      <c r="E371" s="843"/>
      <c r="F371" s="853"/>
      <c r="G371" s="206"/>
      <c r="H371" s="74"/>
      <c r="I371" s="355"/>
      <c r="J371" s="544"/>
      <c r="K371" s="365"/>
    </row>
    <row r="372" spans="1:11">
      <c r="A372" s="398"/>
      <c r="B372" s="43"/>
      <c r="C372" s="101"/>
      <c r="D372" s="322"/>
      <c r="E372" s="843"/>
      <c r="F372" s="853"/>
      <c r="G372" s="206"/>
      <c r="H372" s="74"/>
      <c r="I372" s="560"/>
      <c r="J372" s="544"/>
      <c r="K372" s="365"/>
    </row>
    <row r="373" spans="1:11">
      <c r="A373" s="398"/>
      <c r="B373" s="43"/>
      <c r="C373" s="101"/>
      <c r="D373" s="322"/>
      <c r="E373" s="838"/>
      <c r="F373" s="853"/>
      <c r="G373" s="206"/>
      <c r="H373" s="74"/>
      <c r="I373" s="560"/>
      <c r="J373" s="544"/>
      <c r="K373" s="365"/>
    </row>
    <row r="374" spans="1:11">
      <c r="A374" s="83"/>
      <c r="B374" s="43"/>
      <c r="C374" s="101"/>
      <c r="D374" s="342"/>
      <c r="E374" s="871"/>
      <c r="F374" s="767"/>
      <c r="G374" s="206"/>
      <c r="H374" s="74"/>
      <c r="I374" s="560"/>
      <c r="J374" s="544"/>
      <c r="K374" s="365"/>
    </row>
    <row r="375" spans="1:11">
      <c r="A375" s="83"/>
      <c r="B375" s="43"/>
      <c r="C375" s="101"/>
      <c r="D375" s="342"/>
      <c r="E375" s="871"/>
      <c r="F375" s="853"/>
      <c r="G375" s="206"/>
      <c r="H375" s="74"/>
      <c r="I375" s="560"/>
      <c r="J375" s="544"/>
      <c r="K375" s="365"/>
    </row>
    <row r="376" spans="1:11">
      <c r="A376" s="83"/>
      <c r="B376" s="43"/>
      <c r="C376" s="101"/>
      <c r="D376" s="342"/>
      <c r="E376" s="871"/>
      <c r="F376" s="853"/>
      <c r="G376" s="206"/>
      <c r="H376" s="74"/>
      <c r="I376" s="560"/>
      <c r="J376" s="544"/>
      <c r="K376" s="365"/>
    </row>
    <row r="377" spans="1:11">
      <c r="A377" s="398"/>
      <c r="B377" s="43"/>
      <c r="C377" s="101"/>
      <c r="D377" s="322"/>
      <c r="E377" s="843"/>
      <c r="F377" s="853"/>
      <c r="G377" s="206"/>
      <c r="H377" s="74"/>
      <c r="I377" s="560"/>
      <c r="J377" s="547"/>
      <c r="K377" s="365"/>
    </row>
    <row r="378" spans="1:11">
      <c r="A378" s="398"/>
      <c r="B378" s="43"/>
      <c r="C378" s="101"/>
      <c r="D378" s="322"/>
      <c r="E378" s="843"/>
      <c r="F378" s="853"/>
      <c r="G378" s="206"/>
      <c r="H378" s="74"/>
      <c r="I378" s="560"/>
      <c r="J378" s="547"/>
      <c r="K378" s="365"/>
    </row>
    <row r="379" spans="1:11">
      <c r="A379" s="83"/>
      <c r="B379" s="43"/>
      <c r="C379" s="101"/>
      <c r="D379" s="342"/>
      <c r="E379" s="871"/>
      <c r="F379" s="853"/>
      <c r="G379" s="206"/>
      <c r="H379" s="74"/>
      <c r="I379" s="560"/>
      <c r="J379" s="544"/>
      <c r="K379" s="394"/>
    </row>
    <row r="380" spans="1:11">
      <c r="A380" s="83"/>
      <c r="B380" s="43"/>
      <c r="C380" s="101"/>
      <c r="D380" s="342"/>
      <c r="E380" s="843"/>
      <c r="F380" s="853"/>
      <c r="G380" s="206"/>
      <c r="H380" s="74"/>
      <c r="I380" s="560"/>
      <c r="J380" s="544"/>
      <c r="K380" s="365"/>
    </row>
    <row r="381" spans="1:11">
      <c r="A381" s="493"/>
      <c r="B381" s="448"/>
      <c r="C381" s="222"/>
      <c r="D381" s="342"/>
      <c r="E381" s="843"/>
      <c r="F381" s="853"/>
      <c r="G381" s="206"/>
      <c r="H381" s="74"/>
      <c r="I381" s="560"/>
      <c r="J381" s="544"/>
      <c r="K381" s="365"/>
    </row>
    <row r="382" spans="1:11">
      <c r="A382" s="83"/>
      <c r="B382" s="43"/>
      <c r="C382" s="101"/>
      <c r="D382" s="342"/>
      <c r="E382" s="843"/>
      <c r="F382" s="853"/>
      <c r="G382" s="206"/>
      <c r="H382" s="74"/>
      <c r="I382" s="385"/>
      <c r="J382" s="547"/>
      <c r="K382" s="365"/>
    </row>
    <row r="383" spans="1:11">
      <c r="A383" s="83"/>
      <c r="B383" s="43"/>
      <c r="C383" s="101"/>
      <c r="D383" s="342"/>
      <c r="E383" s="871"/>
      <c r="F383" s="767"/>
      <c r="G383" s="206"/>
      <c r="H383" s="74"/>
      <c r="I383" s="385"/>
      <c r="J383" s="547"/>
      <c r="K383" s="365"/>
    </row>
    <row r="384" spans="1:11">
      <c r="A384" s="83"/>
      <c r="B384" s="43"/>
      <c r="C384" s="101"/>
      <c r="D384" s="322"/>
      <c r="E384" s="838"/>
      <c r="F384" s="767"/>
      <c r="G384" s="206"/>
      <c r="H384" s="74"/>
      <c r="I384" s="560"/>
      <c r="J384" s="547"/>
      <c r="K384" s="365"/>
    </row>
    <row r="385" spans="1:11">
      <c r="A385" s="83"/>
      <c r="B385" s="43"/>
      <c r="C385" s="101"/>
      <c r="D385" s="322"/>
      <c r="E385" s="838"/>
      <c r="F385" s="767"/>
      <c r="G385" s="206"/>
      <c r="H385" s="74"/>
      <c r="I385" s="560"/>
      <c r="J385" s="547"/>
      <c r="K385" s="365"/>
    </row>
    <row r="386" spans="1:11">
      <c r="A386" s="83"/>
      <c r="B386" s="43"/>
      <c r="C386" s="101"/>
      <c r="D386" s="322"/>
      <c r="E386" s="838"/>
      <c r="F386" s="767"/>
      <c r="G386" s="206"/>
      <c r="H386" s="74"/>
      <c r="I386" s="560"/>
      <c r="J386" s="547"/>
      <c r="K386" s="365"/>
    </row>
    <row r="387" spans="1:11">
      <c r="A387" s="83"/>
      <c r="B387" s="43"/>
      <c r="C387" s="101"/>
      <c r="D387" s="322"/>
      <c r="E387" s="838"/>
      <c r="F387" s="767"/>
      <c r="G387" s="206"/>
      <c r="H387" s="74"/>
      <c r="I387" s="560"/>
      <c r="J387" s="547"/>
      <c r="K387" s="365"/>
    </row>
    <row r="388" spans="1:11">
      <c r="A388" s="83"/>
      <c r="B388" s="43"/>
      <c r="C388" s="101"/>
      <c r="D388" s="322"/>
      <c r="E388" s="838"/>
      <c r="F388" s="767"/>
      <c r="G388" s="206"/>
      <c r="H388" s="74"/>
      <c r="I388" s="560"/>
      <c r="J388" s="547"/>
      <c r="K388" s="365"/>
    </row>
    <row r="389" spans="1:11">
      <c r="A389" s="83"/>
      <c r="B389" s="43"/>
      <c r="C389" s="101"/>
      <c r="D389" s="322"/>
      <c r="E389" s="838"/>
      <c r="F389" s="767"/>
      <c r="G389" s="206"/>
      <c r="H389" s="74"/>
      <c r="I389" s="560"/>
      <c r="J389" s="547"/>
      <c r="K389" s="365"/>
    </row>
    <row r="390" spans="1:11">
      <c r="A390" s="83"/>
      <c r="B390" s="43"/>
      <c r="C390" s="101"/>
      <c r="D390" s="322"/>
      <c r="E390" s="838"/>
      <c r="F390" s="767"/>
      <c r="G390" s="206"/>
      <c r="H390" s="74"/>
      <c r="I390" s="560"/>
      <c r="J390" s="547"/>
      <c r="K390" s="365"/>
    </row>
    <row r="391" spans="1:11">
      <c r="A391" s="83"/>
      <c r="B391" s="43"/>
      <c r="C391" s="101"/>
      <c r="D391" s="322"/>
      <c r="E391" s="838"/>
      <c r="F391" s="767"/>
      <c r="G391" s="206"/>
      <c r="H391" s="74"/>
      <c r="I391" s="560"/>
      <c r="J391" s="547"/>
      <c r="K391" s="365"/>
    </row>
    <row r="392" spans="1:11">
      <c r="A392" s="3489"/>
      <c r="B392" s="3490"/>
      <c r="C392" s="63"/>
      <c r="D392" s="342"/>
      <c r="E392" s="838"/>
      <c r="F392" s="767"/>
      <c r="G392" s="206"/>
      <c r="H392" s="74"/>
      <c r="I392" s="560"/>
      <c r="J392" s="547"/>
      <c r="K392" s="365"/>
    </row>
    <row r="393" spans="1:11">
      <c r="A393" s="87"/>
      <c r="B393" s="43"/>
      <c r="C393" s="101"/>
      <c r="D393" s="342"/>
      <c r="E393" s="871"/>
      <c r="F393" s="767"/>
      <c r="G393" s="206"/>
      <c r="H393" s="150"/>
      <c r="I393" s="560"/>
      <c r="J393" s="544"/>
      <c r="K393" s="365"/>
    </row>
    <row r="394" spans="1:11">
      <c r="A394" s="83"/>
      <c r="B394" s="43"/>
      <c r="C394" s="101"/>
      <c r="D394" s="342"/>
      <c r="E394" s="871"/>
      <c r="F394" s="767"/>
      <c r="G394" s="206"/>
      <c r="H394" s="74"/>
      <c r="I394" s="560"/>
      <c r="J394" s="544"/>
      <c r="K394" s="365"/>
    </row>
    <row r="395" spans="1:11">
      <c r="A395" s="83"/>
      <c r="B395" s="43"/>
      <c r="C395" s="101"/>
      <c r="D395" s="342"/>
      <c r="E395" s="871"/>
      <c r="F395" s="767"/>
      <c r="G395" s="206"/>
      <c r="H395" s="74"/>
      <c r="I395" s="560"/>
      <c r="J395" s="544"/>
      <c r="K395" s="365"/>
    </row>
    <row r="396" spans="1:11">
      <c r="A396" s="44"/>
      <c r="B396" s="45"/>
      <c r="C396" s="46"/>
      <c r="D396" s="124"/>
      <c r="F396" s="104"/>
      <c r="H396" s="45"/>
      <c r="I396" s="556"/>
    </row>
    <row r="397" spans="1:11">
      <c r="A397" s="44"/>
      <c r="B397" s="45"/>
      <c r="C397" s="46"/>
      <c r="D397" s="124"/>
      <c r="F397" s="104"/>
      <c r="H397" s="45"/>
      <c r="I397" s="556"/>
      <c r="K397" s="537">
        <v>12</v>
      </c>
    </row>
    <row r="398" spans="1:11">
      <c r="A398" s="45" t="s">
        <v>0</v>
      </c>
      <c r="B398" s="45"/>
      <c r="C398" s="68"/>
      <c r="D398" s="612"/>
      <c r="F398" s="104"/>
      <c r="H398" s="45"/>
      <c r="I398" s="556"/>
    </row>
    <row r="399" spans="1:11">
      <c r="A399" s="3480" t="s">
        <v>1</v>
      </c>
      <c r="B399" s="3480"/>
      <c r="C399" s="46"/>
      <c r="D399" s="124"/>
      <c r="F399" s="104"/>
      <c r="H399" s="45"/>
      <c r="I399" s="556"/>
    </row>
    <row r="400" spans="1:11" ht="35.25" thickBot="1">
      <c r="F400" s="104"/>
    </row>
    <row r="401" spans="1:11">
      <c r="A401" s="3481" t="s">
        <v>2</v>
      </c>
      <c r="B401" s="3482"/>
      <c r="C401" s="48" t="s">
        <v>3</v>
      </c>
      <c r="D401" s="436" t="s">
        <v>4</v>
      </c>
      <c r="E401" s="868" t="s">
        <v>5</v>
      </c>
      <c r="F401" s="849" t="s">
        <v>5</v>
      </c>
      <c r="G401" s="211" t="s">
        <v>6</v>
      </c>
      <c r="H401" s="48" t="s">
        <v>7</v>
      </c>
      <c r="I401" s="557" t="s">
        <v>8</v>
      </c>
      <c r="J401" s="541" t="s">
        <v>9</v>
      </c>
      <c r="K401" s="346" t="s">
        <v>9</v>
      </c>
    </row>
    <row r="402" spans="1:11" ht="35.25" thickBot="1">
      <c r="A402" s="51"/>
      <c r="B402" s="72"/>
      <c r="C402" s="50"/>
      <c r="D402" s="437" t="s">
        <v>10</v>
      </c>
      <c r="E402" s="869" t="s">
        <v>12</v>
      </c>
      <c r="F402" s="850" t="s">
        <v>11</v>
      </c>
      <c r="G402" s="212"/>
      <c r="H402" s="50" t="s">
        <v>13</v>
      </c>
      <c r="I402" s="558"/>
      <c r="J402" s="542" t="s">
        <v>14</v>
      </c>
      <c r="K402" s="347" t="s">
        <v>15</v>
      </c>
    </row>
    <row r="403" spans="1:11">
      <c r="A403" s="3483"/>
      <c r="B403" s="3484"/>
      <c r="C403" s="320"/>
      <c r="D403" s="413"/>
      <c r="E403" s="875"/>
      <c r="F403" s="852"/>
      <c r="G403" s="223"/>
      <c r="H403" s="224"/>
      <c r="I403" s="778"/>
      <c r="J403" s="603"/>
      <c r="K403" s="378"/>
    </row>
    <row r="404" spans="1:11">
      <c r="A404" s="398"/>
      <c r="B404" s="406"/>
      <c r="C404" s="320"/>
      <c r="D404" s="413"/>
      <c r="E404" s="875"/>
      <c r="F404" s="852"/>
      <c r="G404" s="223"/>
      <c r="H404" s="224"/>
      <c r="I404" s="784"/>
      <c r="J404" s="603"/>
      <c r="K404" s="378"/>
    </row>
    <row r="405" spans="1:11">
      <c r="A405" s="83"/>
      <c r="B405" s="43"/>
      <c r="C405" s="101"/>
      <c r="D405" s="322"/>
      <c r="E405" s="843"/>
      <c r="F405" s="853"/>
      <c r="G405" s="206"/>
      <c r="H405" s="74"/>
      <c r="I405" s="562"/>
      <c r="J405" s="544"/>
      <c r="K405" s="365"/>
    </row>
    <row r="406" spans="1:11">
      <c r="A406" s="83"/>
      <c r="B406" s="43"/>
      <c r="C406" s="101"/>
      <c r="D406" s="322"/>
      <c r="E406" s="843"/>
      <c r="F406" s="853"/>
      <c r="G406" s="206"/>
      <c r="H406" s="74"/>
      <c r="I406" s="562"/>
      <c r="J406" s="544"/>
      <c r="K406" s="365"/>
    </row>
    <row r="407" spans="1:11">
      <c r="A407" s="398"/>
      <c r="B407" s="43"/>
      <c r="C407" s="101"/>
      <c r="D407" s="322"/>
      <c r="E407" s="843"/>
      <c r="F407" s="853"/>
      <c r="G407" s="206"/>
      <c r="H407" s="74"/>
      <c r="I407" s="560"/>
      <c r="J407" s="544"/>
      <c r="K407" s="394"/>
    </row>
    <row r="408" spans="1:11">
      <c r="A408" s="3483"/>
      <c r="B408" s="3484"/>
      <c r="C408" s="126"/>
      <c r="D408" s="536"/>
      <c r="E408" s="843"/>
      <c r="F408" s="853"/>
      <c r="G408" s="206"/>
      <c r="H408" s="74"/>
      <c r="I408" s="560"/>
      <c r="J408" s="544"/>
      <c r="K408" s="365"/>
    </row>
    <row r="409" spans="1:11">
      <c r="A409" s="398"/>
      <c r="B409" s="43"/>
      <c r="C409" s="101"/>
      <c r="D409" s="322"/>
      <c r="E409" s="843"/>
      <c r="F409" s="853"/>
      <c r="G409" s="206"/>
      <c r="H409" s="74"/>
      <c r="I409" s="355"/>
      <c r="J409" s="544"/>
      <c r="K409" s="365"/>
    </row>
    <row r="410" spans="1:11">
      <c r="A410" s="398"/>
      <c r="B410" s="43"/>
      <c r="C410" s="101"/>
      <c r="D410" s="322"/>
      <c r="E410" s="843"/>
      <c r="F410" s="853"/>
      <c r="G410" s="206"/>
      <c r="H410" s="74"/>
      <c r="I410" s="355"/>
      <c r="J410" s="544"/>
      <c r="K410" s="365"/>
    </row>
    <row r="411" spans="1:11">
      <c r="A411" s="83"/>
      <c r="B411" s="43"/>
      <c r="C411" s="101"/>
      <c r="D411" s="322"/>
      <c r="E411" s="843"/>
      <c r="F411" s="767"/>
      <c r="G411" s="206"/>
      <c r="H411" s="74"/>
      <c r="I411" s="355"/>
      <c r="J411" s="544"/>
      <c r="K411" s="365"/>
    </row>
    <row r="412" spans="1:11">
      <c r="A412" s="398"/>
      <c r="B412" s="43"/>
      <c r="C412" s="101"/>
      <c r="D412" s="322"/>
      <c r="E412" s="843"/>
      <c r="F412" s="853"/>
      <c r="G412" s="206"/>
      <c r="H412" s="74"/>
      <c r="I412" s="355"/>
      <c r="J412" s="544"/>
      <c r="K412" s="365"/>
    </row>
    <row r="413" spans="1:11">
      <c r="A413" s="398"/>
      <c r="B413" s="43"/>
      <c r="C413" s="101"/>
      <c r="D413" s="322"/>
      <c r="E413" s="843"/>
      <c r="F413" s="853"/>
      <c r="G413" s="206"/>
      <c r="H413" s="74"/>
      <c r="I413" s="560"/>
      <c r="J413" s="544"/>
      <c r="K413" s="365"/>
    </row>
    <row r="414" spans="1:11">
      <c r="A414" s="398"/>
      <c r="B414" s="43"/>
      <c r="C414" s="101"/>
      <c r="D414" s="322"/>
      <c r="E414" s="838"/>
      <c r="F414" s="853"/>
      <c r="G414" s="206"/>
      <c r="H414" s="74"/>
      <c r="I414" s="560"/>
      <c r="J414" s="544"/>
      <c r="K414" s="365"/>
    </row>
    <row r="415" spans="1:11">
      <c r="A415" s="83"/>
      <c r="B415" s="43"/>
      <c r="C415" s="101"/>
      <c r="D415" s="342"/>
      <c r="E415" s="871"/>
      <c r="F415" s="767"/>
      <c r="G415" s="206"/>
      <c r="H415" s="74"/>
      <c r="I415" s="560"/>
      <c r="J415" s="544"/>
      <c r="K415" s="365"/>
    </row>
    <row r="416" spans="1:11">
      <c r="A416" s="83"/>
      <c r="B416" s="43"/>
      <c r="C416" s="101"/>
      <c r="D416" s="342"/>
      <c r="E416" s="871"/>
      <c r="F416" s="853"/>
      <c r="G416" s="206"/>
      <c r="H416" s="74"/>
      <c r="I416" s="560"/>
      <c r="J416" s="544"/>
      <c r="K416" s="365"/>
    </row>
    <row r="417" spans="1:11">
      <c r="A417" s="83"/>
      <c r="B417" s="43"/>
      <c r="C417" s="101"/>
      <c r="D417" s="342"/>
      <c r="E417" s="871"/>
      <c r="F417" s="853"/>
      <c r="G417" s="206"/>
      <c r="H417" s="74"/>
      <c r="I417" s="560"/>
      <c r="J417" s="544"/>
      <c r="K417" s="365"/>
    </row>
    <row r="418" spans="1:11">
      <c r="A418" s="83"/>
      <c r="B418" s="43"/>
      <c r="C418" s="101"/>
      <c r="D418" s="342"/>
      <c r="E418" s="843"/>
      <c r="F418" s="853"/>
      <c r="G418" s="206"/>
      <c r="H418" s="74"/>
      <c r="I418" s="560"/>
      <c r="J418" s="544"/>
      <c r="K418" s="365"/>
    </row>
    <row r="419" spans="1:11">
      <c r="A419" s="782"/>
      <c r="B419" s="783"/>
      <c r="C419" s="222"/>
      <c r="D419" s="517"/>
      <c r="E419" s="843"/>
      <c r="F419" s="853"/>
      <c r="G419" s="206"/>
      <c r="H419" s="74"/>
      <c r="I419" s="560"/>
      <c r="J419" s="544"/>
      <c r="K419" s="365"/>
    </row>
    <row r="420" spans="1:11">
      <c r="A420" s="83"/>
      <c r="B420" s="362"/>
      <c r="C420" s="101"/>
      <c r="D420" s="342"/>
      <c r="E420" s="843"/>
      <c r="F420" s="853"/>
      <c r="G420" s="206"/>
      <c r="H420" s="74"/>
      <c r="I420" s="562"/>
      <c r="J420" s="547"/>
      <c r="K420" s="550"/>
    </row>
    <row r="421" spans="1:11">
      <c r="A421" s="83"/>
      <c r="B421" s="362"/>
      <c r="C421" s="101"/>
      <c r="D421" s="342"/>
      <c r="E421" s="871"/>
      <c r="F421" s="767"/>
      <c r="G421" s="206"/>
      <c r="H421" s="74"/>
      <c r="I421" s="562"/>
      <c r="J421" s="547"/>
      <c r="K421" s="550"/>
    </row>
    <row r="422" spans="1:11">
      <c r="A422" s="83"/>
      <c r="B422" s="362"/>
      <c r="C422" s="101"/>
      <c r="D422" s="322"/>
      <c r="E422" s="838"/>
      <c r="F422" s="767"/>
      <c r="G422" s="206"/>
      <c r="H422" s="74"/>
      <c r="I422" s="562"/>
      <c r="J422" s="547"/>
      <c r="K422" s="550"/>
    </row>
    <row r="423" spans="1:11">
      <c r="A423" s="83"/>
      <c r="B423" s="43"/>
      <c r="C423" s="101"/>
      <c r="D423" s="322"/>
      <c r="E423" s="838"/>
      <c r="F423" s="767"/>
      <c r="G423" s="206"/>
      <c r="H423" s="74"/>
      <c r="I423" s="562"/>
      <c r="J423" s="547"/>
      <c r="K423" s="550"/>
    </row>
    <row r="424" spans="1:11">
      <c r="A424" s="83"/>
      <c r="B424" s="43"/>
      <c r="C424" s="101"/>
      <c r="D424" s="322"/>
      <c r="E424" s="838"/>
      <c r="F424" s="767"/>
      <c r="G424" s="206"/>
      <c r="H424" s="74"/>
      <c r="I424" s="562"/>
      <c r="J424" s="547"/>
      <c r="K424" s="550"/>
    </row>
    <row r="425" spans="1:11">
      <c r="A425" s="83"/>
      <c r="B425" s="43"/>
      <c r="C425" s="101"/>
      <c r="D425" s="322"/>
      <c r="E425" s="871"/>
      <c r="F425" s="767"/>
      <c r="G425" s="206"/>
      <c r="H425" s="74"/>
      <c r="I425" s="562"/>
      <c r="J425" s="547"/>
      <c r="K425" s="550"/>
    </row>
    <row r="426" spans="1:11">
      <c r="A426" s="83"/>
      <c r="B426" s="43"/>
      <c r="C426" s="101"/>
      <c r="D426" s="322"/>
      <c r="E426" s="871"/>
      <c r="F426" s="767"/>
      <c r="G426" s="206"/>
      <c r="H426" s="74"/>
      <c r="I426" s="562"/>
      <c r="J426" s="547"/>
      <c r="K426" s="550"/>
    </row>
    <row r="427" spans="1:11">
      <c r="A427" s="83"/>
      <c r="B427" s="43"/>
      <c r="C427" s="101"/>
      <c r="D427" s="342"/>
      <c r="E427" s="871"/>
      <c r="F427" s="767"/>
      <c r="G427" s="206"/>
      <c r="H427" s="74"/>
      <c r="I427" s="560"/>
      <c r="J427" s="547"/>
      <c r="K427" s="616"/>
    </row>
    <row r="428" spans="1:11">
      <c r="A428" s="389"/>
      <c r="B428" s="382"/>
      <c r="C428" s="101"/>
      <c r="D428" s="342"/>
      <c r="E428" s="871"/>
      <c r="F428" s="767"/>
      <c r="G428" s="206"/>
      <c r="H428" s="74"/>
      <c r="I428" s="560"/>
      <c r="J428" s="547"/>
      <c r="K428" s="616"/>
    </row>
    <row r="429" spans="1:11">
      <c r="A429" s="87"/>
      <c r="B429" s="43"/>
      <c r="C429" s="101"/>
      <c r="D429" s="342"/>
      <c r="E429" s="871"/>
      <c r="F429" s="767"/>
      <c r="G429" s="206"/>
      <c r="H429" s="74"/>
      <c r="I429" s="560"/>
      <c r="J429" s="547"/>
      <c r="K429" s="616"/>
    </row>
    <row r="430" spans="1:11">
      <c r="A430" s="87"/>
      <c r="B430" s="43"/>
      <c r="C430" s="101"/>
      <c r="D430" s="342"/>
      <c r="E430" s="871"/>
      <c r="F430" s="767"/>
      <c r="G430" s="206"/>
      <c r="H430" s="74"/>
      <c r="I430" s="560"/>
      <c r="J430" s="547"/>
      <c r="K430" s="616"/>
    </row>
    <row r="431" spans="1:11">
      <c r="A431" s="87"/>
      <c r="B431" s="43"/>
      <c r="C431" s="101"/>
      <c r="D431" s="342"/>
      <c r="E431" s="871"/>
      <c r="F431" s="767"/>
      <c r="G431" s="206"/>
      <c r="H431" s="74"/>
      <c r="I431" s="560"/>
      <c r="J431" s="547"/>
      <c r="K431" s="616"/>
    </row>
    <row r="432" spans="1:11">
      <c r="A432" s="87"/>
      <c r="B432" s="43"/>
      <c r="C432" s="101"/>
      <c r="D432" s="342"/>
      <c r="E432" s="871"/>
      <c r="F432" s="767"/>
      <c r="G432" s="206"/>
      <c r="H432" s="74"/>
      <c r="I432" s="560"/>
      <c r="J432" s="547"/>
      <c r="K432" s="616"/>
    </row>
    <row r="433" spans="1:11">
      <c r="A433" s="44"/>
      <c r="B433" s="45"/>
      <c r="C433" s="46"/>
      <c r="D433" s="124"/>
      <c r="F433" s="104"/>
      <c r="H433" s="45"/>
      <c r="I433" s="556"/>
      <c r="K433" s="492">
        <v>13</v>
      </c>
    </row>
    <row r="434" spans="1:11">
      <c r="A434" s="45" t="s">
        <v>0</v>
      </c>
      <c r="B434" s="45"/>
      <c r="C434" s="68"/>
      <c r="D434" s="612"/>
      <c r="F434" s="104"/>
      <c r="H434" s="45"/>
      <c r="I434" s="556"/>
    </row>
    <row r="435" spans="1:11">
      <c r="A435" s="3480" t="s">
        <v>1</v>
      </c>
      <c r="B435" s="3480"/>
      <c r="C435" s="46"/>
      <c r="D435" s="124"/>
      <c r="F435" s="104"/>
      <c r="H435" s="45"/>
      <c r="I435" s="556"/>
    </row>
    <row r="436" spans="1:11" ht="35.25" thickBot="1">
      <c r="F436" s="104"/>
    </row>
    <row r="437" spans="1:11">
      <c r="A437" s="3481" t="s">
        <v>2</v>
      </c>
      <c r="B437" s="3482"/>
      <c r="C437" s="48" t="s">
        <v>3</v>
      </c>
      <c r="D437" s="436" t="s">
        <v>4</v>
      </c>
      <c r="E437" s="868" t="s">
        <v>5</v>
      </c>
      <c r="F437" s="849" t="s">
        <v>5</v>
      </c>
      <c r="G437" s="211" t="s">
        <v>6</v>
      </c>
      <c r="H437" s="48" t="s">
        <v>7</v>
      </c>
      <c r="I437" s="557" t="s">
        <v>8</v>
      </c>
      <c r="J437" s="541" t="s">
        <v>9</v>
      </c>
      <c r="K437" s="346" t="s">
        <v>9</v>
      </c>
    </row>
    <row r="438" spans="1:11" ht="35.25" thickBot="1">
      <c r="A438" s="51"/>
      <c r="B438" s="72"/>
      <c r="C438" s="50"/>
      <c r="D438" s="437" t="s">
        <v>10</v>
      </c>
      <c r="E438" s="869" t="s">
        <v>12</v>
      </c>
      <c r="F438" s="850" t="s">
        <v>11</v>
      </c>
      <c r="G438" s="212"/>
      <c r="H438" s="50" t="s">
        <v>13</v>
      </c>
      <c r="I438" s="558"/>
      <c r="J438" s="542" t="s">
        <v>14</v>
      </c>
      <c r="K438" s="347" t="s">
        <v>15</v>
      </c>
    </row>
    <row r="439" spans="1:11">
      <c r="A439" s="3485"/>
      <c r="B439" s="3486"/>
      <c r="C439" s="63"/>
      <c r="D439" s="322"/>
      <c r="E439" s="843"/>
      <c r="F439" s="767"/>
      <c r="G439" s="206"/>
      <c r="H439" s="74"/>
      <c r="I439" s="560"/>
      <c r="J439" s="544"/>
      <c r="K439" s="365"/>
    </row>
    <row r="440" spans="1:11">
      <c r="A440" s="398"/>
      <c r="B440" s="43"/>
      <c r="C440" s="101"/>
      <c r="D440" s="322"/>
      <c r="E440" s="843"/>
      <c r="F440" s="853"/>
      <c r="G440" s="206"/>
      <c r="H440" s="74"/>
      <c r="I440" s="560"/>
      <c r="J440" s="547"/>
      <c r="K440" s="550"/>
    </row>
    <row r="441" spans="1:11">
      <c r="A441" s="398"/>
      <c r="B441" s="43"/>
      <c r="C441" s="101"/>
      <c r="D441" s="322"/>
      <c r="E441" s="843"/>
      <c r="F441" s="853"/>
      <c r="G441" s="206"/>
      <c r="H441" s="74"/>
      <c r="I441" s="560"/>
      <c r="J441" s="547"/>
      <c r="K441" s="550"/>
    </row>
    <row r="442" spans="1:11">
      <c r="A442" s="398"/>
      <c r="B442" s="43"/>
      <c r="C442" s="101"/>
      <c r="D442" s="322"/>
      <c r="E442" s="843"/>
      <c r="F442" s="853"/>
      <c r="G442" s="206"/>
      <c r="H442" s="74"/>
      <c r="I442" s="560"/>
      <c r="J442" s="547"/>
      <c r="K442" s="550"/>
    </row>
    <row r="443" spans="1:11">
      <c r="A443" s="398"/>
      <c r="B443" s="43"/>
      <c r="C443" s="101"/>
      <c r="D443" s="322"/>
      <c r="E443" s="843"/>
      <c r="F443" s="853"/>
      <c r="G443" s="206"/>
      <c r="H443" s="74"/>
      <c r="I443" s="560"/>
      <c r="J443" s="547"/>
      <c r="K443" s="550"/>
    </row>
    <row r="444" spans="1:11">
      <c r="A444" s="398"/>
      <c r="B444" s="43"/>
      <c r="C444" s="101"/>
      <c r="D444" s="322"/>
      <c r="E444" s="843"/>
      <c r="F444" s="853"/>
      <c r="G444" s="206"/>
      <c r="H444" s="74"/>
      <c r="I444" s="560"/>
      <c r="J444" s="547"/>
      <c r="K444" s="550"/>
    </row>
    <row r="445" spans="1:11">
      <c r="A445" s="3487"/>
      <c r="B445" s="3488"/>
      <c r="C445" s="101"/>
      <c r="D445" s="322"/>
      <c r="E445" s="843"/>
      <c r="F445" s="853"/>
      <c r="G445" s="206"/>
      <c r="H445" s="74"/>
      <c r="I445" s="560"/>
      <c r="J445" s="544"/>
      <c r="K445" s="550"/>
    </row>
    <row r="446" spans="1:11">
      <c r="A446" s="663"/>
      <c r="B446" s="43"/>
      <c r="C446" s="101"/>
      <c r="D446" s="322"/>
      <c r="E446" s="843"/>
      <c r="F446" s="853"/>
      <c r="G446" s="206"/>
      <c r="H446" s="74"/>
      <c r="I446" s="560"/>
      <c r="J446" s="547"/>
      <c r="K446" s="550"/>
    </row>
    <row r="447" spans="1:11">
      <c r="A447" s="398"/>
      <c r="B447" s="43"/>
      <c r="C447" s="101"/>
      <c r="D447" s="322"/>
      <c r="E447" s="843"/>
      <c r="F447" s="853"/>
      <c r="G447" s="206"/>
      <c r="H447" s="74"/>
      <c r="I447" s="560"/>
      <c r="J447" s="547"/>
      <c r="K447" s="550"/>
    </row>
    <row r="448" spans="1:11">
      <c r="A448" s="398"/>
      <c r="B448" s="43"/>
      <c r="C448" s="101"/>
      <c r="D448" s="322"/>
      <c r="E448" s="843"/>
      <c r="F448" s="853"/>
      <c r="G448" s="206"/>
      <c r="H448" s="74"/>
      <c r="I448" s="560"/>
      <c r="J448" s="547"/>
      <c r="K448" s="550"/>
    </row>
    <row r="449" spans="1:11">
      <c r="A449" s="398"/>
      <c r="B449" s="43"/>
      <c r="C449" s="101"/>
      <c r="D449" s="322"/>
      <c r="E449" s="843"/>
      <c r="F449" s="853"/>
      <c r="G449" s="206"/>
      <c r="H449" s="74"/>
      <c r="I449" s="560"/>
      <c r="J449" s="547"/>
      <c r="K449" s="550"/>
    </row>
    <row r="450" spans="1:11">
      <c r="A450" s="83"/>
      <c r="B450" s="43"/>
      <c r="C450" s="101"/>
      <c r="D450" s="322"/>
      <c r="E450" s="843"/>
      <c r="F450" s="767"/>
      <c r="G450" s="206"/>
      <c r="H450" s="74"/>
      <c r="I450" s="560"/>
      <c r="J450" s="547"/>
      <c r="K450" s="550"/>
    </row>
    <row r="451" spans="1:11">
      <c r="A451" s="83"/>
      <c r="B451" s="43"/>
      <c r="C451" s="101"/>
      <c r="D451" s="322"/>
      <c r="E451" s="843"/>
      <c r="F451" s="853"/>
      <c r="G451" s="206"/>
      <c r="H451" s="74"/>
      <c r="I451" s="560"/>
      <c r="J451" s="547"/>
      <c r="K451" s="550"/>
    </row>
    <row r="452" spans="1:11">
      <c r="A452" s="83"/>
      <c r="B452" s="43"/>
      <c r="C452" s="101"/>
      <c r="D452" s="322"/>
      <c r="E452" s="843"/>
      <c r="F452" s="853"/>
      <c r="G452" s="206"/>
      <c r="H452" s="74"/>
      <c r="I452" s="560"/>
      <c r="J452" s="547"/>
      <c r="K452" s="550"/>
    </row>
    <row r="453" spans="1:11">
      <c r="A453" s="83"/>
      <c r="B453" s="43"/>
      <c r="C453" s="101"/>
      <c r="D453" s="322"/>
      <c r="E453" s="843"/>
      <c r="F453" s="853"/>
      <c r="G453" s="206"/>
      <c r="H453" s="74"/>
      <c r="I453" s="560"/>
      <c r="J453" s="547"/>
      <c r="K453" s="550"/>
    </row>
    <row r="454" spans="1:11">
      <c r="A454" s="83"/>
      <c r="B454" s="43"/>
      <c r="C454" s="101"/>
      <c r="D454" s="342"/>
      <c r="E454" s="843"/>
      <c r="F454" s="853"/>
      <c r="G454" s="206"/>
      <c r="H454" s="74"/>
      <c r="I454" s="560"/>
      <c r="J454" s="547"/>
      <c r="K454" s="550"/>
    </row>
    <row r="455" spans="1:11">
      <c r="A455" s="83"/>
      <c r="B455" s="43"/>
      <c r="C455" s="101"/>
      <c r="D455" s="322"/>
      <c r="E455" s="843"/>
      <c r="F455" s="853"/>
      <c r="G455" s="206"/>
      <c r="H455" s="74"/>
      <c r="I455" s="560"/>
      <c r="J455" s="547"/>
      <c r="K455" s="550"/>
    </row>
    <row r="456" spans="1:11">
      <c r="A456" s="83"/>
      <c r="B456" s="43"/>
      <c r="C456" s="101"/>
      <c r="D456" s="322"/>
      <c r="E456" s="843"/>
      <c r="F456" s="853"/>
      <c r="G456" s="206"/>
      <c r="H456" s="74"/>
      <c r="I456" s="560"/>
      <c r="J456" s="547"/>
      <c r="K456" s="550"/>
    </row>
    <row r="457" spans="1:11">
      <c r="A457" s="83"/>
      <c r="B457" s="43"/>
      <c r="C457" s="101"/>
      <c r="D457" s="342"/>
      <c r="E457" s="843"/>
      <c r="F457" s="853"/>
      <c r="G457" s="206"/>
      <c r="H457" s="74"/>
      <c r="I457" s="385"/>
      <c r="J457" s="547"/>
      <c r="K457" s="550"/>
    </row>
    <row r="458" spans="1:11">
      <c r="A458" s="83"/>
      <c r="B458" s="43"/>
      <c r="C458" s="101"/>
      <c r="D458" s="342"/>
      <c r="E458" s="843"/>
      <c r="F458" s="767"/>
      <c r="G458" s="206"/>
      <c r="H458" s="74"/>
      <c r="I458" s="560"/>
      <c r="J458" s="547"/>
      <c r="K458" s="550"/>
    </row>
    <row r="459" spans="1:11">
      <c r="A459" s="83"/>
      <c r="B459" s="43"/>
      <c r="C459" s="101"/>
      <c r="D459" s="322"/>
      <c r="E459" s="843"/>
      <c r="F459" s="767"/>
      <c r="G459" s="206"/>
      <c r="H459" s="74"/>
      <c r="I459" s="560"/>
      <c r="J459" s="547"/>
      <c r="K459" s="550"/>
    </row>
    <row r="460" spans="1:11">
      <c r="A460" s="83"/>
      <c r="B460" s="43"/>
      <c r="C460" s="101"/>
      <c r="D460" s="342"/>
      <c r="E460" s="843"/>
      <c r="F460" s="767"/>
      <c r="G460" s="206"/>
      <c r="H460" s="74"/>
      <c r="I460" s="560"/>
      <c r="J460" s="547"/>
      <c r="K460" s="550"/>
    </row>
    <row r="461" spans="1:11">
      <c r="A461" s="83"/>
      <c r="B461" s="382"/>
      <c r="C461" s="101"/>
      <c r="D461" s="322"/>
      <c r="E461" s="838"/>
      <c r="F461" s="767"/>
      <c r="G461" s="206"/>
      <c r="H461" s="74"/>
      <c r="I461" s="560"/>
      <c r="J461" s="547"/>
      <c r="K461" s="394"/>
    </row>
    <row r="462" spans="1:11">
      <c r="A462" s="83"/>
      <c r="B462" s="43"/>
      <c r="C462" s="320"/>
      <c r="D462" s="322"/>
      <c r="E462" s="838"/>
      <c r="F462" s="767"/>
      <c r="G462" s="206"/>
      <c r="H462" s="74"/>
      <c r="I462" s="563"/>
      <c r="J462" s="544"/>
      <c r="K462" s="394"/>
    </row>
    <row r="463" spans="1:11">
      <c r="A463" s="83"/>
      <c r="B463" s="43"/>
      <c r="C463" s="101"/>
      <c r="D463" s="322"/>
      <c r="E463" s="838"/>
      <c r="F463" s="767"/>
      <c r="G463" s="206"/>
      <c r="H463" s="74"/>
      <c r="I463" s="563"/>
      <c r="J463" s="548"/>
      <c r="K463" s="365"/>
    </row>
    <row r="464" spans="1:11">
      <c r="A464" s="83"/>
      <c r="B464" s="43"/>
      <c r="C464" s="101"/>
      <c r="D464" s="342"/>
      <c r="E464" s="871"/>
      <c r="F464" s="767"/>
      <c r="G464" s="206"/>
      <c r="H464" s="74"/>
      <c r="I464" s="563"/>
      <c r="J464" s="544"/>
      <c r="K464" s="365"/>
    </row>
    <row r="465" spans="1:11">
      <c r="A465" s="83"/>
      <c r="B465" s="43"/>
      <c r="C465" s="101"/>
      <c r="D465" s="342"/>
      <c r="E465" s="871"/>
      <c r="F465" s="767"/>
      <c r="G465" s="206"/>
      <c r="H465" s="74"/>
      <c r="I465" s="563"/>
      <c r="J465" s="544"/>
      <c r="K465" s="365"/>
    </row>
    <row r="466" spans="1:11">
      <c r="A466" s="83"/>
      <c r="B466" s="362"/>
      <c r="C466" s="101"/>
      <c r="D466" s="342"/>
      <c r="E466" s="871"/>
      <c r="F466" s="767"/>
      <c r="G466" s="206"/>
      <c r="H466" s="74"/>
      <c r="I466" s="563"/>
      <c r="J466" s="544"/>
      <c r="K466" s="365"/>
    </row>
    <row r="467" spans="1:11">
      <c r="A467" s="87"/>
      <c r="B467" s="362"/>
      <c r="C467" s="101"/>
      <c r="D467" s="342"/>
      <c r="E467" s="871"/>
      <c r="F467" s="767"/>
      <c r="G467" s="206"/>
      <c r="H467" s="74"/>
      <c r="I467" s="563"/>
      <c r="J467" s="544"/>
      <c r="K467" s="365"/>
    </row>
    <row r="468" spans="1:11">
      <c r="A468" s="87"/>
      <c r="B468" s="362"/>
      <c r="C468" s="101"/>
      <c r="D468" s="342"/>
      <c r="E468" s="871"/>
      <c r="F468" s="767"/>
      <c r="G468" s="206"/>
      <c r="H468" s="74"/>
      <c r="I468" s="563"/>
      <c r="J468" s="544"/>
      <c r="K468" s="365"/>
    </row>
    <row r="469" spans="1:11">
      <c r="A469" s="44"/>
      <c r="B469" s="45"/>
      <c r="C469" s="46"/>
      <c r="D469" s="124"/>
      <c r="F469" s="104"/>
      <c r="H469" s="45"/>
      <c r="I469" s="556"/>
      <c r="K469" s="537">
        <v>14</v>
      </c>
    </row>
    <row r="470" spans="1:11">
      <c r="A470" s="45" t="s">
        <v>0</v>
      </c>
      <c r="B470" s="45"/>
      <c r="C470" s="68"/>
      <c r="D470" s="612"/>
      <c r="F470" s="104"/>
      <c r="H470" s="45"/>
      <c r="I470" s="556"/>
    </row>
    <row r="471" spans="1:11">
      <c r="A471" s="3480" t="s">
        <v>1</v>
      </c>
      <c r="B471" s="3480"/>
      <c r="C471" s="46"/>
      <c r="D471" s="124"/>
      <c r="F471" s="104"/>
      <c r="H471" s="45"/>
      <c r="I471" s="556"/>
    </row>
    <row r="472" spans="1:11" ht="35.25" thickBot="1">
      <c r="F472" s="104"/>
      <c r="K472" s="732"/>
    </row>
    <row r="473" spans="1:11">
      <c r="A473" s="3445"/>
      <c r="B473" s="3446" t="s">
        <v>2</v>
      </c>
      <c r="C473" s="48" t="s">
        <v>3</v>
      </c>
      <c r="D473" s="436" t="s">
        <v>4</v>
      </c>
      <c r="E473" s="868" t="s">
        <v>5</v>
      </c>
      <c r="F473" s="849" t="s">
        <v>5</v>
      </c>
      <c r="G473" s="211" t="s">
        <v>6</v>
      </c>
      <c r="H473" s="48" t="s">
        <v>7</v>
      </c>
      <c r="I473" s="557" t="s">
        <v>8</v>
      </c>
      <c r="J473" s="573" t="s">
        <v>9</v>
      </c>
      <c r="K473" s="346" t="s">
        <v>9</v>
      </c>
    </row>
    <row r="474" spans="1:11" ht="35.25" thickBot="1">
      <c r="A474" s="51"/>
      <c r="B474" s="72"/>
      <c r="C474" s="50"/>
      <c r="D474" s="437" t="s">
        <v>10</v>
      </c>
      <c r="E474" s="869" t="s">
        <v>12</v>
      </c>
      <c r="F474" s="850" t="s">
        <v>11</v>
      </c>
      <c r="G474" s="212"/>
      <c r="H474" s="50" t="s">
        <v>13</v>
      </c>
      <c r="I474" s="558"/>
      <c r="J474" s="574" t="s">
        <v>14</v>
      </c>
      <c r="K474" s="347" t="s">
        <v>15</v>
      </c>
    </row>
    <row r="475" spans="1:11">
      <c r="A475" s="388"/>
      <c r="B475" s="382"/>
      <c r="C475" s="101"/>
      <c r="D475" s="322"/>
      <c r="E475" s="843"/>
      <c r="F475" s="767"/>
      <c r="G475" s="206"/>
      <c r="H475" s="74"/>
      <c r="I475" s="560"/>
      <c r="J475" s="544"/>
      <c r="K475" s="365"/>
    </row>
    <row r="476" spans="1:11">
      <c r="A476" s="83"/>
      <c r="B476" s="362"/>
      <c r="C476" s="101"/>
      <c r="D476" s="342"/>
      <c r="E476" s="872"/>
      <c r="F476" s="853"/>
      <c r="G476" s="206"/>
      <c r="H476" s="74"/>
      <c r="I476" s="560"/>
      <c r="J476" s="547"/>
      <c r="K476" s="550"/>
    </row>
    <row r="477" spans="1:11">
      <c r="A477" s="83"/>
      <c r="B477" s="362"/>
      <c r="C477" s="101"/>
      <c r="D477" s="342"/>
      <c r="E477" s="871"/>
      <c r="F477" s="767"/>
      <c r="G477" s="206"/>
      <c r="H477" s="74"/>
      <c r="I477" s="560"/>
      <c r="J477" s="547"/>
      <c r="K477" s="550"/>
    </row>
    <row r="478" spans="1:11">
      <c r="A478" s="83"/>
      <c r="B478" s="362"/>
      <c r="C478" s="101"/>
      <c r="D478" s="342"/>
      <c r="E478" s="871"/>
      <c r="F478" s="767"/>
      <c r="G478" s="206"/>
      <c r="H478" s="74"/>
      <c r="I478" s="560"/>
      <c r="J478" s="547"/>
      <c r="K478" s="550"/>
    </row>
    <row r="479" spans="1:11">
      <c r="A479" s="83"/>
      <c r="B479" s="43"/>
      <c r="C479" s="101"/>
      <c r="D479" s="342"/>
      <c r="E479" s="871"/>
      <c r="F479" s="767"/>
      <c r="G479" s="206"/>
      <c r="H479" s="74"/>
      <c r="I479" s="560"/>
      <c r="J479" s="547"/>
      <c r="K479" s="365"/>
    </row>
    <row r="480" spans="1:11">
      <c r="A480" s="83"/>
      <c r="B480" s="43"/>
      <c r="C480" s="101"/>
      <c r="D480" s="342"/>
      <c r="E480" s="871"/>
      <c r="F480" s="767"/>
      <c r="G480" s="206"/>
      <c r="H480" s="74"/>
      <c r="I480" s="560"/>
      <c r="J480" s="547"/>
      <c r="K480" s="365"/>
    </row>
    <row r="481" spans="1:11">
      <c r="A481" s="83"/>
      <c r="B481" s="43"/>
      <c r="C481" s="101"/>
      <c r="D481" s="342"/>
      <c r="E481" s="871"/>
      <c r="F481" s="767"/>
      <c r="G481" s="206"/>
      <c r="H481" s="74"/>
      <c r="I481" s="560"/>
      <c r="J481" s="731"/>
      <c r="K481" s="365"/>
    </row>
    <row r="482" spans="1:11">
      <c r="A482" s="83"/>
      <c r="B482" s="43"/>
      <c r="C482" s="101"/>
      <c r="D482" s="342"/>
      <c r="E482" s="871"/>
      <c r="F482" s="767"/>
      <c r="G482" s="206"/>
      <c r="H482" s="74"/>
      <c r="I482" s="560"/>
      <c r="J482" s="731"/>
      <c r="K482" s="365"/>
    </row>
    <row r="483" spans="1:11">
      <c r="A483" s="83"/>
      <c r="B483" s="43"/>
      <c r="C483" s="101"/>
      <c r="D483" s="342"/>
      <c r="E483" s="871"/>
      <c r="F483" s="767"/>
      <c r="G483" s="206"/>
      <c r="H483" s="74"/>
      <c r="I483" s="560"/>
      <c r="J483" s="731"/>
      <c r="K483" s="365"/>
    </row>
    <row r="484" spans="1:11">
      <c r="A484" s="83"/>
      <c r="B484" s="43"/>
      <c r="C484" s="101"/>
      <c r="D484" s="342"/>
      <c r="E484" s="871"/>
      <c r="F484" s="767"/>
      <c r="G484" s="206"/>
      <c r="H484" s="74"/>
      <c r="I484" s="560"/>
      <c r="J484" s="731"/>
      <c r="K484" s="365"/>
    </row>
    <row r="485" spans="1:11">
      <c r="A485" s="83"/>
      <c r="B485" s="43"/>
      <c r="C485" s="101"/>
      <c r="D485" s="342"/>
      <c r="E485" s="871"/>
      <c r="F485" s="767"/>
      <c r="G485" s="206"/>
      <c r="H485" s="74"/>
      <c r="I485" s="560"/>
      <c r="J485" s="731"/>
      <c r="K485" s="365"/>
    </row>
    <row r="486" spans="1:11">
      <c r="A486" s="389"/>
      <c r="B486" s="382"/>
      <c r="C486" s="105"/>
      <c r="D486" s="342"/>
      <c r="E486" s="871"/>
      <c r="F486" s="767"/>
      <c r="G486" s="206"/>
      <c r="H486" s="74"/>
      <c r="I486" s="560"/>
      <c r="J486" s="544"/>
      <c r="K486" s="365"/>
    </row>
    <row r="487" spans="1:11">
      <c r="A487" s="83"/>
      <c r="B487" s="43"/>
      <c r="C487" s="101"/>
      <c r="D487" s="342"/>
      <c r="E487" s="871"/>
      <c r="F487" s="767"/>
      <c r="G487" s="206"/>
      <c r="H487" s="74"/>
      <c r="I487" s="560"/>
      <c r="J487" s="544"/>
      <c r="K487" s="550"/>
    </row>
    <row r="488" spans="1:11">
      <c r="A488" s="83"/>
      <c r="B488" s="43"/>
      <c r="C488" s="101"/>
      <c r="D488" s="342"/>
      <c r="E488" s="871"/>
      <c r="F488" s="767"/>
      <c r="G488" s="206"/>
      <c r="H488" s="74"/>
      <c r="I488" s="560"/>
      <c r="J488" s="547"/>
      <c r="K488" s="550"/>
    </row>
    <row r="489" spans="1:11">
      <c r="A489" s="83"/>
      <c r="B489" s="43"/>
      <c r="C489" s="101"/>
      <c r="D489" s="342"/>
      <c r="E489" s="871"/>
      <c r="F489" s="767"/>
      <c r="G489" s="206"/>
      <c r="H489" s="74"/>
      <c r="I489" s="560"/>
      <c r="J489" s="544"/>
      <c r="K489" s="365"/>
    </row>
    <row r="490" spans="1:11">
      <c r="A490" s="83"/>
      <c r="B490" s="43"/>
      <c r="C490" s="101"/>
      <c r="D490" s="342"/>
      <c r="E490" s="871"/>
      <c r="F490" s="767"/>
      <c r="G490" s="206"/>
      <c r="H490" s="74"/>
      <c r="I490" s="560"/>
      <c r="J490" s="544"/>
      <c r="K490" s="365"/>
    </row>
    <row r="491" spans="1:11">
      <c r="A491" s="315"/>
      <c r="B491" s="43"/>
      <c r="C491" s="101"/>
      <c r="D491" s="517"/>
      <c r="E491" s="873"/>
      <c r="F491" s="767"/>
      <c r="G491" s="206"/>
      <c r="H491" s="58"/>
      <c r="I491" s="559"/>
      <c r="J491" s="544"/>
      <c r="K491" s="365"/>
    </row>
    <row r="492" spans="1:11">
      <c r="A492" s="83"/>
      <c r="B492" s="43"/>
      <c r="C492" s="101"/>
      <c r="D492" s="342"/>
      <c r="E492" s="871"/>
      <c r="F492" s="767"/>
      <c r="G492" s="206"/>
      <c r="H492" s="74"/>
      <c r="I492" s="560"/>
      <c r="J492" s="544"/>
      <c r="K492" s="365"/>
    </row>
    <row r="493" spans="1:11">
      <c r="A493" s="83"/>
      <c r="B493" s="43"/>
      <c r="C493" s="101"/>
      <c r="D493" s="342"/>
      <c r="E493" s="871"/>
      <c r="F493" s="767"/>
      <c r="G493" s="206"/>
      <c r="H493" s="74"/>
      <c r="I493" s="560"/>
      <c r="J493" s="544"/>
      <c r="K493" s="365"/>
    </row>
    <row r="494" spans="1:11">
      <c r="A494" s="493"/>
      <c r="B494" s="448"/>
      <c r="C494" s="661"/>
      <c r="D494" s="342"/>
      <c r="E494" s="871"/>
      <c r="F494" s="767"/>
      <c r="G494" s="206"/>
      <c r="H494" s="74"/>
      <c r="I494" s="560"/>
      <c r="J494" s="544"/>
      <c r="K494" s="365"/>
    </row>
    <row r="495" spans="1:11">
      <c r="A495" s="83"/>
      <c r="B495" s="43"/>
      <c r="C495" s="101"/>
      <c r="D495" s="342"/>
      <c r="E495" s="871"/>
      <c r="F495" s="767"/>
      <c r="G495" s="206"/>
      <c r="H495" s="74"/>
      <c r="I495" s="560"/>
      <c r="J495" s="544"/>
      <c r="K495" s="365"/>
    </row>
    <row r="496" spans="1:11">
      <c r="A496" s="83"/>
      <c r="B496" s="43"/>
      <c r="C496" s="101"/>
      <c r="D496" s="342"/>
      <c r="E496" s="871"/>
      <c r="F496" s="767"/>
      <c r="G496" s="206"/>
      <c r="H496" s="74"/>
      <c r="I496" s="560"/>
      <c r="J496" s="544"/>
      <c r="K496" s="365"/>
    </row>
    <row r="497" spans="1:11">
      <c r="A497" s="83"/>
      <c r="B497" s="43"/>
      <c r="C497" s="101"/>
      <c r="D497" s="342"/>
      <c r="E497" s="871"/>
      <c r="F497" s="767"/>
      <c r="G497" s="206"/>
      <c r="H497" s="74"/>
      <c r="I497" s="560"/>
      <c r="J497" s="544"/>
      <c r="K497" s="365"/>
    </row>
    <row r="498" spans="1:11">
      <c r="A498" s="83"/>
      <c r="B498" s="43"/>
      <c r="C498" s="101"/>
      <c r="D498" s="342"/>
      <c r="E498" s="871"/>
      <c r="F498" s="767"/>
      <c r="G498" s="206"/>
      <c r="H498" s="74"/>
      <c r="I498" s="560"/>
      <c r="J498" s="544"/>
      <c r="K498" s="365"/>
    </row>
    <row r="499" spans="1:11">
      <c r="A499" s="83"/>
      <c r="B499" s="362"/>
      <c r="C499" s="101"/>
      <c r="D499" s="342"/>
      <c r="E499" s="873"/>
      <c r="F499" s="767"/>
      <c r="G499" s="206"/>
      <c r="H499" s="74"/>
      <c r="I499" s="560"/>
      <c r="J499" s="544"/>
      <c r="K499" s="365"/>
    </row>
    <row r="500" spans="1:11">
      <c r="A500" s="83"/>
      <c r="B500" s="362"/>
      <c r="C500" s="101"/>
      <c r="D500" s="342"/>
      <c r="E500" s="873"/>
      <c r="F500" s="767"/>
      <c r="G500" s="206"/>
      <c r="H500" s="74"/>
      <c r="I500" s="560"/>
      <c r="J500" s="544"/>
      <c r="K500" s="365"/>
    </row>
    <row r="501" spans="1:11">
      <c r="A501" s="315"/>
      <c r="B501" s="43"/>
      <c r="C501" s="101"/>
      <c r="D501" s="342"/>
      <c r="E501" s="873"/>
      <c r="F501" s="767"/>
      <c r="G501" s="206"/>
      <c r="H501" s="58"/>
      <c r="I501" s="560"/>
      <c r="J501" s="544"/>
      <c r="K501" s="365"/>
    </row>
    <row r="502" spans="1:11">
      <c r="A502" s="315"/>
      <c r="B502" s="43"/>
      <c r="C502" s="101"/>
      <c r="D502" s="342"/>
      <c r="E502" s="873"/>
      <c r="F502" s="767"/>
      <c r="G502" s="206"/>
      <c r="H502" s="58"/>
      <c r="I502" s="559"/>
      <c r="J502" s="544"/>
      <c r="K502" s="365"/>
    </row>
    <row r="503" spans="1:11">
      <c r="A503" s="315"/>
      <c r="B503" s="43"/>
      <c r="C503" s="101"/>
      <c r="D503" s="342"/>
      <c r="E503" s="873"/>
      <c r="F503" s="767"/>
      <c r="G503" s="206"/>
      <c r="H503" s="58"/>
      <c r="I503" s="560"/>
      <c r="J503" s="544"/>
      <c r="K503" s="365"/>
    </row>
    <row r="504" spans="1:11">
      <c r="A504" s="315"/>
      <c r="B504" s="43"/>
      <c r="C504" s="101"/>
      <c r="D504" s="342"/>
      <c r="E504" s="873"/>
      <c r="F504" s="767"/>
      <c r="G504" s="206"/>
      <c r="H504" s="58"/>
      <c r="I504" s="559"/>
      <c r="J504" s="544"/>
      <c r="K504" s="365"/>
    </row>
  </sheetData>
  <mergeCells count="37">
    <mergeCell ref="A471:B471"/>
    <mergeCell ref="A401:B401"/>
    <mergeCell ref="A403:B403"/>
    <mergeCell ref="A408:B408"/>
    <mergeCell ref="A435:B435"/>
    <mergeCell ref="A437:B437"/>
    <mergeCell ref="A439:B439"/>
    <mergeCell ref="A365:B365"/>
    <mergeCell ref="A367:B367"/>
    <mergeCell ref="A392:B392"/>
    <mergeCell ref="A399:B399"/>
    <mergeCell ref="A445:B445"/>
    <mergeCell ref="A329:B329"/>
    <mergeCell ref="A348:B348"/>
    <mergeCell ref="A354:B354"/>
    <mergeCell ref="A357:B357"/>
    <mergeCell ref="A363:B363"/>
    <mergeCell ref="A273:B273"/>
    <mergeCell ref="A284:B284"/>
    <mergeCell ref="A291:B291"/>
    <mergeCell ref="A295:B295"/>
    <mergeCell ref="A327:B327"/>
    <mergeCell ref="A185:B185"/>
    <mergeCell ref="A219:B219"/>
    <mergeCell ref="A223:B223"/>
    <mergeCell ref="A255:B255"/>
    <mergeCell ref="A259:B259"/>
    <mergeCell ref="A113:B113"/>
    <mergeCell ref="A147:B147"/>
    <mergeCell ref="A149:B149"/>
    <mergeCell ref="A164:B164"/>
    <mergeCell ref="A183:B183"/>
    <mergeCell ref="A3:B3"/>
    <mergeCell ref="A39:B39"/>
    <mergeCell ref="A75:B75"/>
    <mergeCell ref="A77:B77"/>
    <mergeCell ref="A111:B111"/>
  </mergeCells>
  <pageMargins left="0.7" right="0.7" top="0.75" bottom="0.75" header="0.3" footer="0.3"/>
  <pageSetup paperSize="9" scale="50" orientation="portrait" horizontalDpi="0" verticalDpi="0" r:id="rId1"/>
  <rowBreaks count="5" manualBreakCount="5">
    <brk id="36" max="16383" man="1"/>
    <brk id="72" max="16383" man="1"/>
    <brk id="108" max="16383" man="1"/>
    <brk id="144" max="16383" man="1"/>
    <brk id="180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938F-CAC0-4167-9709-408581FA8F17}">
  <sheetPr>
    <pageSetUpPr fitToPage="1"/>
  </sheetPr>
  <dimension ref="A1:G24"/>
  <sheetViews>
    <sheetView view="pageBreakPreview" zoomScale="60" zoomScaleNormal="75" workbookViewId="0">
      <selection activeCell="G4" sqref="G4"/>
    </sheetView>
  </sheetViews>
  <sheetFormatPr defaultColWidth="12.140625" defaultRowHeight="34.5"/>
  <cols>
    <col min="1" max="1" width="2.7109375" style="75" customWidth="1"/>
    <col min="2" max="2" width="31.28515625" style="125" customWidth="1"/>
    <col min="3" max="3" width="10.42578125" style="102" customWidth="1"/>
    <col min="4" max="4" width="15.7109375" style="125" customWidth="1"/>
    <col min="5" max="5" width="10.28515625" style="45" customWidth="1"/>
    <col min="6" max="6" width="9.85546875" style="152" customWidth="1"/>
    <col min="7" max="7" width="11.42578125" style="210" customWidth="1"/>
    <col min="8" max="16384" width="12.140625" style="76"/>
  </cols>
  <sheetData>
    <row r="1" spans="1:7">
      <c r="A1" s="156"/>
      <c r="B1" s="95" t="s">
        <v>4977</v>
      </c>
      <c r="C1" s="3307">
        <v>32</v>
      </c>
      <c r="D1" s="3308" t="s">
        <v>4978</v>
      </c>
      <c r="E1" s="3296" t="s">
        <v>4979</v>
      </c>
      <c r="F1" s="3296"/>
      <c r="G1" s="3297" t="s">
        <v>4980</v>
      </c>
    </row>
    <row r="2" spans="1:7">
      <c r="A2" s="157"/>
      <c r="B2" s="95" t="s">
        <v>4981</v>
      </c>
      <c r="C2" s="3307">
        <v>32</v>
      </c>
      <c r="D2" s="3308" t="s">
        <v>4978</v>
      </c>
      <c r="E2" s="3296" t="s">
        <v>4982</v>
      </c>
      <c r="F2" s="3296"/>
      <c r="G2" s="3297" t="s">
        <v>4980</v>
      </c>
    </row>
    <row r="3" spans="1:7">
      <c r="A3" s="157"/>
      <c r="B3" s="3309" t="s">
        <v>4983</v>
      </c>
      <c r="C3" s="3084">
        <v>35</v>
      </c>
      <c r="D3" s="3310" t="s">
        <v>4984</v>
      </c>
      <c r="E3" s="3296" t="s">
        <v>4985</v>
      </c>
      <c r="F3" s="3296"/>
      <c r="G3" s="3297" t="s">
        <v>4986</v>
      </c>
    </row>
    <row r="4" spans="1:7">
      <c r="A4" s="157"/>
      <c r="B4" s="3309" t="s">
        <v>4987</v>
      </c>
      <c r="C4" s="3084">
        <v>40</v>
      </c>
      <c r="D4" s="3310" t="s">
        <v>4988</v>
      </c>
      <c r="E4" s="3296" t="s">
        <v>4989</v>
      </c>
      <c r="F4" s="3296"/>
      <c r="G4" s="3298" t="s">
        <v>4990</v>
      </c>
    </row>
    <row r="5" spans="1:7" ht="37.5">
      <c r="A5" s="157"/>
      <c r="B5" s="3309" t="s">
        <v>4991</v>
      </c>
      <c r="C5" s="3311">
        <v>40</v>
      </c>
      <c r="D5" s="3310" t="s">
        <v>4988</v>
      </c>
      <c r="E5" s="3296" t="s">
        <v>4992</v>
      </c>
      <c r="F5" s="3296"/>
      <c r="G5" s="3298" t="s">
        <v>4993</v>
      </c>
    </row>
    <row r="6" spans="1:7" ht="38.25" thickBot="1">
      <c r="A6" s="1952"/>
      <c r="B6" s="3309" t="s">
        <v>4994</v>
      </c>
      <c r="C6" s="3311">
        <v>50</v>
      </c>
      <c r="D6" s="3310" t="s">
        <v>4995</v>
      </c>
      <c r="E6" s="3296" t="s">
        <v>4996</v>
      </c>
      <c r="F6" s="3296"/>
      <c r="G6" s="3298" t="s">
        <v>4997</v>
      </c>
    </row>
    <row r="7" spans="1:7" ht="35.25" thickTop="1">
      <c r="A7" s="1945"/>
      <c r="B7" s="95" t="s">
        <v>4998</v>
      </c>
      <c r="C7" s="3312">
        <v>45</v>
      </c>
      <c r="D7" s="3313" t="s">
        <v>4999</v>
      </c>
      <c r="E7" s="3296" t="s">
        <v>5000</v>
      </c>
      <c r="F7" s="3296"/>
      <c r="G7" s="3299">
        <v>60</v>
      </c>
    </row>
    <row r="8" spans="1:7">
      <c r="A8" s="157"/>
      <c r="B8" s="95" t="s">
        <v>5001</v>
      </c>
      <c r="C8" s="3312">
        <v>40</v>
      </c>
      <c r="D8" s="3314" t="s">
        <v>5002</v>
      </c>
      <c r="E8" s="3296" t="s">
        <v>5003</v>
      </c>
      <c r="F8" s="3296"/>
      <c r="G8" s="3299">
        <v>70</v>
      </c>
    </row>
    <row r="9" spans="1:7">
      <c r="A9" s="157"/>
      <c r="B9" s="95" t="s">
        <v>5004</v>
      </c>
      <c r="C9" s="3312">
        <v>40</v>
      </c>
      <c r="D9" s="3314" t="s">
        <v>5002</v>
      </c>
      <c r="E9" s="3296" t="s">
        <v>5005</v>
      </c>
      <c r="F9" s="3296"/>
      <c r="G9" s="3299">
        <v>80</v>
      </c>
    </row>
    <row r="10" spans="1:7">
      <c r="A10" s="157"/>
      <c r="B10" s="95" t="s">
        <v>5006</v>
      </c>
      <c r="C10" s="3312">
        <v>90</v>
      </c>
      <c r="D10" s="3314" t="s">
        <v>5007</v>
      </c>
      <c r="E10" s="3296" t="s">
        <v>5008</v>
      </c>
      <c r="F10" s="3296"/>
      <c r="G10" s="3299">
        <v>85</v>
      </c>
    </row>
    <row r="11" spans="1:7">
      <c r="A11" s="157"/>
      <c r="B11" s="95" t="s">
        <v>5009</v>
      </c>
      <c r="C11" s="3312">
        <v>115</v>
      </c>
      <c r="D11" s="3315" t="s">
        <v>5010</v>
      </c>
      <c r="E11" s="3296" t="s">
        <v>5011</v>
      </c>
      <c r="F11" s="3296"/>
      <c r="G11" s="3299">
        <v>20</v>
      </c>
    </row>
    <row r="12" spans="1:7" ht="35.25" thickBot="1">
      <c r="A12" s="1952"/>
      <c r="B12" s="95" t="s">
        <v>5012</v>
      </c>
      <c r="C12" s="3312">
        <v>120</v>
      </c>
      <c r="D12" s="3314" t="s">
        <v>5013</v>
      </c>
      <c r="E12" s="3296" t="s">
        <v>5014</v>
      </c>
      <c r="F12" s="3296"/>
      <c r="G12" s="3299">
        <v>25</v>
      </c>
    </row>
    <row r="13" spans="1:7">
      <c r="A13" s="1945"/>
      <c r="B13" s="95" t="s">
        <v>5015</v>
      </c>
      <c r="C13" s="3312">
        <v>45</v>
      </c>
      <c r="D13" s="3313" t="s">
        <v>4999</v>
      </c>
      <c r="E13" s="3296" t="s">
        <v>5016</v>
      </c>
      <c r="F13" s="3296"/>
      <c r="G13" s="3299">
        <v>45</v>
      </c>
    </row>
    <row r="14" spans="1:7" ht="35.25" thickBot="1">
      <c r="A14" s="157"/>
      <c r="B14" s="95" t="s">
        <v>5017</v>
      </c>
      <c r="C14" s="3312">
        <v>40</v>
      </c>
      <c r="D14" s="3315" t="s">
        <v>5018</v>
      </c>
      <c r="E14" s="3300" t="s">
        <v>5019</v>
      </c>
      <c r="F14" s="3300"/>
      <c r="G14" s="3301">
        <v>40</v>
      </c>
    </row>
    <row r="15" spans="1:7" ht="35.25" thickTop="1">
      <c r="A15" s="221"/>
      <c r="B15" s="95" t="s">
        <v>5020</v>
      </c>
      <c r="C15" s="3316"/>
      <c r="D15" s="3317"/>
      <c r="E15" s="3302"/>
      <c r="F15" s="3302"/>
      <c r="G15" s="3303"/>
    </row>
    <row r="16" spans="1:7" ht="37.5">
      <c r="A16" s="157"/>
      <c r="B16" s="95" t="s">
        <v>5021</v>
      </c>
      <c r="C16" s="3318">
        <v>35</v>
      </c>
      <c r="D16" s="3315" t="s">
        <v>5022</v>
      </c>
      <c r="E16" s="3294"/>
      <c r="F16" s="3294"/>
      <c r="G16" s="2796"/>
    </row>
    <row r="17" spans="1:7" ht="37.5">
      <c r="A17" s="157"/>
      <c r="B17" s="95" t="s">
        <v>5023</v>
      </c>
      <c r="C17" s="3318">
        <v>80</v>
      </c>
      <c r="D17" s="3314" t="s">
        <v>5018</v>
      </c>
      <c r="E17" s="3294"/>
      <c r="F17" s="3294"/>
      <c r="G17" s="2796"/>
    </row>
    <row r="18" spans="1:7" ht="38.25" thickBot="1">
      <c r="A18" s="1952"/>
      <c r="B18" s="95" t="s">
        <v>5024</v>
      </c>
      <c r="C18" s="3318">
        <v>60</v>
      </c>
      <c r="D18" s="3314" t="s">
        <v>5025</v>
      </c>
      <c r="E18" s="3295"/>
      <c r="F18" s="3295"/>
      <c r="G18" s="3304"/>
    </row>
    <row r="19" spans="1:7" ht="38.25" thickTop="1">
      <c r="A19" s="1945"/>
      <c r="B19" s="95" t="s">
        <v>5026</v>
      </c>
      <c r="C19" s="3318">
        <v>65</v>
      </c>
      <c r="D19" s="3315" t="s">
        <v>5027</v>
      </c>
      <c r="E19" s="3305"/>
      <c r="F19" s="3306"/>
      <c r="G19" s="3303"/>
    </row>
    <row r="20" spans="1:7" ht="37.5">
      <c r="A20" s="157"/>
      <c r="B20" s="3309" t="s">
        <v>5028</v>
      </c>
      <c r="C20" s="3311">
        <v>60</v>
      </c>
      <c r="D20" s="3319" t="s">
        <v>5029</v>
      </c>
      <c r="E20" s="3305"/>
      <c r="F20" s="3306"/>
      <c r="G20" s="2796"/>
    </row>
    <row r="21" spans="1:7" ht="37.5">
      <c r="A21" s="157"/>
      <c r="B21" s="3309" t="s">
        <v>5030</v>
      </c>
      <c r="C21" s="3311">
        <v>60</v>
      </c>
      <c r="D21" s="3319" t="s">
        <v>5029</v>
      </c>
      <c r="E21" s="3305"/>
      <c r="F21" s="3306"/>
      <c r="G21" s="2796"/>
    </row>
    <row r="22" spans="1:7" ht="38.25" thickBot="1">
      <c r="A22" s="158"/>
      <c r="B22" s="3309" t="s">
        <v>5031</v>
      </c>
      <c r="C22" s="3311">
        <v>40</v>
      </c>
      <c r="D22" s="3319" t="s">
        <v>5032</v>
      </c>
      <c r="E22" s="3305"/>
      <c r="F22" s="3306"/>
      <c r="G22" s="3304"/>
    </row>
    <row r="23" spans="1:7" ht="38.25" thickTop="1">
      <c r="A23" s="200"/>
      <c r="B23" s="95" t="s">
        <v>5033</v>
      </c>
      <c r="C23" s="3318">
        <v>50</v>
      </c>
      <c r="D23" s="3314" t="s">
        <v>5034</v>
      </c>
      <c r="E23" s="3305"/>
      <c r="F23" s="3306"/>
      <c r="G23" s="3303"/>
    </row>
    <row r="24" spans="1:7" ht="37.5">
      <c r="A24" s="157"/>
      <c r="B24" s="95" t="s">
        <v>5035</v>
      </c>
      <c r="C24" s="3318">
        <v>30</v>
      </c>
      <c r="D24" s="3320" t="s">
        <v>5036</v>
      </c>
      <c r="E24" s="3305"/>
      <c r="F24" s="3306"/>
      <c r="G24" s="2796"/>
    </row>
  </sheetData>
  <phoneticPr fontId="6" type="noConversion"/>
  <pageMargins left="0" right="0" top="0" bottom="0" header="0.31496062992125984" footer="0.31496062992125984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68CD-C19D-4F44-938B-940CB9E1C84C}">
  <dimension ref="A1:Q626"/>
  <sheetViews>
    <sheetView topLeftCell="A81" zoomScale="75" zoomScaleNormal="75" workbookViewId="0">
      <selection activeCell="Q87" sqref="Q87"/>
    </sheetView>
  </sheetViews>
  <sheetFormatPr defaultColWidth="12.140625" defaultRowHeight="34.5"/>
  <cols>
    <col min="1" max="1" width="2.7109375" style="75" customWidth="1"/>
    <col min="2" max="2" width="31.28515625" style="125" customWidth="1"/>
    <col min="3" max="3" width="10.42578125" style="102" customWidth="1"/>
    <col min="4" max="4" width="15.7109375" style="125" customWidth="1"/>
    <col min="5" max="5" width="10.28515625" style="45" customWidth="1"/>
    <col min="6" max="6" width="9.85546875" style="152" customWidth="1"/>
    <col min="7" max="7" width="11.42578125" style="210" customWidth="1"/>
    <col min="8" max="8" width="11.5703125" style="76" customWidth="1"/>
    <col min="9" max="9" width="10.28515625" style="178" customWidth="1"/>
    <col min="10" max="10" width="12.42578125" style="170" customWidth="1"/>
    <col min="11" max="11" width="11.5703125" style="164" customWidth="1"/>
    <col min="12" max="12" width="16.140625" style="169" customWidth="1"/>
    <col min="13" max="13" width="14.85546875" style="188" customWidth="1"/>
    <col min="14" max="14" width="13.85546875" style="188" customWidth="1"/>
    <col min="15" max="15" width="8.85546875" style="189" customWidth="1"/>
    <col min="16" max="16" width="18.140625" style="170" customWidth="1"/>
    <col min="17" max="16384" width="12.140625" style="76"/>
  </cols>
  <sheetData>
    <row r="1" spans="1:16" ht="34.5" customHeight="1">
      <c r="F1" s="68"/>
    </row>
    <row r="2" spans="1:16">
      <c r="A2" s="44" t="s">
        <v>0</v>
      </c>
      <c r="B2" s="127"/>
      <c r="C2" s="104"/>
      <c r="F2" s="68"/>
      <c r="I2" s="179"/>
      <c r="K2" s="163"/>
      <c r="L2" s="168"/>
    </row>
    <row r="3" spans="1:16">
      <c r="A3" s="3480" t="s">
        <v>2494</v>
      </c>
      <c r="B3" s="3480"/>
      <c r="C3" s="44"/>
      <c r="D3" s="109"/>
      <c r="F3" s="68"/>
      <c r="I3" s="179"/>
      <c r="K3" s="163"/>
      <c r="L3" s="168"/>
    </row>
    <row r="4" spans="1:16" ht="34.5" customHeight="1" thickBot="1">
      <c r="F4" s="68"/>
    </row>
    <row r="5" spans="1:16">
      <c r="A5" s="3493" t="s">
        <v>2</v>
      </c>
      <c r="B5" s="3482"/>
      <c r="C5" s="48" t="s">
        <v>3</v>
      </c>
      <c r="D5" s="128" t="s">
        <v>4</v>
      </c>
      <c r="E5" s="77" t="s">
        <v>5</v>
      </c>
      <c r="F5" s="78" t="s">
        <v>5</v>
      </c>
      <c r="G5" s="211" t="s">
        <v>6</v>
      </c>
      <c r="H5" s="140" t="s">
        <v>7</v>
      </c>
      <c r="I5" s="180" t="s">
        <v>1511</v>
      </c>
      <c r="J5" s="172" t="s">
        <v>9</v>
      </c>
      <c r="K5" s="186" t="s">
        <v>9</v>
      </c>
      <c r="L5" s="246" t="s">
        <v>2495</v>
      </c>
      <c r="M5" s="190"/>
    </row>
    <row r="6" spans="1:16" ht="35.25" thickBot="1">
      <c r="A6" s="155"/>
      <c r="B6" s="138"/>
      <c r="C6" s="50"/>
      <c r="D6" s="129" t="s">
        <v>10</v>
      </c>
      <c r="E6" s="79" t="s">
        <v>11</v>
      </c>
      <c r="F6" s="80" t="s">
        <v>12</v>
      </c>
      <c r="G6" s="212"/>
      <c r="H6" s="141" t="s">
        <v>13</v>
      </c>
      <c r="I6" s="181" t="s">
        <v>1512</v>
      </c>
      <c r="J6" s="173" t="s">
        <v>15</v>
      </c>
      <c r="K6" s="187" t="s">
        <v>14</v>
      </c>
      <c r="L6" s="247" t="s">
        <v>2496</v>
      </c>
      <c r="M6" s="190"/>
    </row>
    <row r="7" spans="1:16" ht="37.5">
      <c r="A7" s="156"/>
      <c r="B7" s="962" t="s">
        <v>5037</v>
      </c>
      <c r="C7" s="1220" t="s">
        <v>284</v>
      </c>
      <c r="D7" s="83" t="s">
        <v>248</v>
      </c>
      <c r="E7" s="99"/>
      <c r="F7" s="69"/>
      <c r="G7" s="206"/>
      <c r="H7" s="74"/>
      <c r="I7" s="183"/>
      <c r="J7" s="175"/>
      <c r="K7" s="172"/>
      <c r="L7" s="281"/>
      <c r="M7" s="188">
        <v>3552</v>
      </c>
      <c r="N7" s="188">
        <f t="shared" ref="N7:N23" si="0">M7-(M7*0.03)</f>
        <v>3445.44</v>
      </c>
      <c r="O7" s="189">
        <v>7.0000000000000007E-2</v>
      </c>
      <c r="P7" s="170">
        <f t="shared" ref="P7:P23" si="1">(N7*O7)+N7</f>
        <v>3686.6208000000001</v>
      </c>
    </row>
    <row r="8" spans="1:16" ht="37.5">
      <c r="A8" s="157"/>
      <c r="B8" s="406" t="s">
        <v>5038</v>
      </c>
      <c r="C8" s="1220" t="s">
        <v>284</v>
      </c>
      <c r="D8" s="83" t="s">
        <v>248</v>
      </c>
      <c r="E8" s="99"/>
      <c r="F8" s="61"/>
      <c r="G8" s="206"/>
      <c r="H8" s="74"/>
      <c r="I8" s="183"/>
      <c r="J8" s="175"/>
      <c r="K8" s="176"/>
      <c r="L8" s="281"/>
      <c r="N8" s="188">
        <f t="shared" si="0"/>
        <v>0</v>
      </c>
      <c r="O8" s="189">
        <v>7.0000000000000007E-2</v>
      </c>
      <c r="P8" s="170">
        <f t="shared" si="1"/>
        <v>0</v>
      </c>
    </row>
    <row r="9" spans="1:16" ht="37.5">
      <c r="A9" s="157"/>
      <c r="B9" s="1336" t="s">
        <v>5039</v>
      </c>
      <c r="C9" s="1220" t="s">
        <v>284</v>
      </c>
      <c r="D9" s="83" t="s">
        <v>248</v>
      </c>
      <c r="E9" s="99"/>
      <c r="F9" s="61"/>
      <c r="G9" s="206"/>
      <c r="H9" s="74"/>
      <c r="I9" s="183"/>
      <c r="J9" s="175"/>
      <c r="K9" s="245"/>
      <c r="L9" s="281"/>
      <c r="M9" s="188">
        <v>9498.06</v>
      </c>
      <c r="N9" s="188">
        <f t="shared" si="0"/>
        <v>9213.118199999999</v>
      </c>
      <c r="O9" s="189">
        <v>7.0000000000000007E-2</v>
      </c>
      <c r="P9" s="170">
        <f t="shared" si="1"/>
        <v>9858.0364739999986</v>
      </c>
    </row>
    <row r="10" spans="1:16" ht="37.5">
      <c r="A10" s="157"/>
      <c r="B10" s="1336" t="s">
        <v>5040</v>
      </c>
      <c r="C10" s="1220" t="s">
        <v>284</v>
      </c>
      <c r="D10" s="83" t="s">
        <v>248</v>
      </c>
      <c r="E10" s="99"/>
      <c r="F10" s="61"/>
      <c r="G10" s="206"/>
      <c r="H10" s="74"/>
      <c r="I10" s="183"/>
      <c r="J10" s="175"/>
      <c r="K10" s="197"/>
      <c r="L10" s="281"/>
      <c r="M10" s="188">
        <v>15305.4</v>
      </c>
      <c r="N10" s="188">
        <f t="shared" si="0"/>
        <v>14846.237999999999</v>
      </c>
      <c r="O10" s="189">
        <v>7.0000000000000007E-2</v>
      </c>
      <c r="P10" s="170">
        <f t="shared" si="1"/>
        <v>15885.47466</v>
      </c>
    </row>
    <row r="11" spans="1:16" ht="37.5">
      <c r="A11" s="157"/>
      <c r="B11" s="962" t="s">
        <v>5041</v>
      </c>
      <c r="C11" s="1220" t="s">
        <v>284</v>
      </c>
      <c r="D11" s="83" t="s">
        <v>248</v>
      </c>
      <c r="E11" s="99"/>
      <c r="F11" s="61"/>
      <c r="G11" s="206"/>
      <c r="H11" s="74"/>
      <c r="I11" s="183"/>
      <c r="J11" s="175"/>
      <c r="K11" s="197"/>
      <c r="L11" s="281"/>
      <c r="N11" s="188">
        <f t="shared" si="0"/>
        <v>0</v>
      </c>
      <c r="O11" s="189">
        <v>7.0000000000000007E-2</v>
      </c>
      <c r="P11" s="170">
        <f t="shared" si="1"/>
        <v>0</v>
      </c>
    </row>
    <row r="12" spans="1:16" ht="37.5">
      <c r="A12" s="157"/>
      <c r="B12" s="962" t="s">
        <v>5042</v>
      </c>
      <c r="C12" s="1220" t="s">
        <v>284</v>
      </c>
      <c r="D12" s="83" t="s">
        <v>248</v>
      </c>
      <c r="E12" s="99"/>
      <c r="F12" s="61"/>
      <c r="G12" s="206"/>
      <c r="H12" s="74"/>
      <c r="I12" s="183"/>
      <c r="J12" s="175"/>
      <c r="K12" s="197"/>
      <c r="L12" s="281"/>
      <c r="N12" s="188">
        <f t="shared" si="0"/>
        <v>0</v>
      </c>
      <c r="O12" s="189">
        <v>7.0000000000000007E-2</v>
      </c>
      <c r="P12" s="170">
        <f t="shared" si="1"/>
        <v>0</v>
      </c>
    </row>
    <row r="13" spans="1:16" ht="37.5">
      <c r="A13" s="157"/>
      <c r="B13" s="962" t="s">
        <v>5043</v>
      </c>
      <c r="C13" s="1220" t="s">
        <v>284</v>
      </c>
      <c r="D13" s="83" t="s">
        <v>248</v>
      </c>
      <c r="E13" s="99"/>
      <c r="F13" s="61"/>
      <c r="G13" s="206"/>
      <c r="H13" s="74"/>
      <c r="I13" s="183"/>
      <c r="J13" s="175"/>
      <c r="K13" s="197"/>
      <c r="L13" s="281"/>
      <c r="N13" s="188">
        <f t="shared" si="0"/>
        <v>0</v>
      </c>
      <c r="O13" s="189">
        <v>7.0000000000000007E-2</v>
      </c>
      <c r="P13" s="170">
        <f t="shared" si="1"/>
        <v>0</v>
      </c>
    </row>
    <row r="14" spans="1:16" ht="37.5">
      <c r="A14" s="157"/>
      <c r="B14" s="962" t="s">
        <v>5044</v>
      </c>
      <c r="C14" s="1220" t="s">
        <v>284</v>
      </c>
      <c r="D14" s="83" t="s">
        <v>248</v>
      </c>
      <c r="E14" s="99"/>
      <c r="F14" s="61"/>
      <c r="G14" s="223"/>
      <c r="H14" s="224"/>
      <c r="I14" s="225"/>
      <c r="J14" s="209"/>
      <c r="K14" s="244"/>
      <c r="L14" s="282"/>
      <c r="M14" s="188">
        <v>14244.12</v>
      </c>
      <c r="N14" s="188">
        <f t="shared" si="0"/>
        <v>13816.796400000001</v>
      </c>
      <c r="O14" s="189">
        <v>7.0000000000000007E-2</v>
      </c>
      <c r="P14" s="170">
        <f t="shared" si="1"/>
        <v>14783.972148000001</v>
      </c>
    </row>
    <row r="15" spans="1:16" ht="37.5">
      <c r="A15" s="157"/>
      <c r="B15" s="962" t="s">
        <v>5045</v>
      </c>
      <c r="C15" s="1220" t="s">
        <v>284</v>
      </c>
      <c r="D15" s="83" t="s">
        <v>248</v>
      </c>
      <c r="E15" s="99"/>
      <c r="F15" s="61"/>
      <c r="G15" s="206"/>
      <c r="H15" s="74"/>
      <c r="I15" s="183"/>
      <c r="J15" s="175"/>
      <c r="K15" s="197"/>
      <c r="L15" s="281"/>
      <c r="M15" s="188">
        <v>3240</v>
      </c>
      <c r="N15" s="188">
        <f t="shared" si="0"/>
        <v>3142.8</v>
      </c>
      <c r="O15" s="189">
        <v>7.0000000000000007E-2</v>
      </c>
      <c r="P15" s="170">
        <f t="shared" si="1"/>
        <v>3362.7960000000003</v>
      </c>
    </row>
    <row r="16" spans="1:16" ht="37.5">
      <c r="A16" s="157"/>
      <c r="B16" s="962" t="s">
        <v>1863</v>
      </c>
      <c r="C16" s="1220" t="s">
        <v>284</v>
      </c>
      <c r="D16" s="83"/>
      <c r="E16" s="99"/>
      <c r="F16" s="61"/>
      <c r="G16" s="206"/>
      <c r="H16" s="74"/>
      <c r="I16" s="183"/>
      <c r="J16" s="175"/>
      <c r="K16" s="197"/>
      <c r="L16" s="281"/>
      <c r="M16" s="188">
        <v>14700</v>
      </c>
      <c r="N16" s="188">
        <f t="shared" si="0"/>
        <v>14259</v>
      </c>
      <c r="O16" s="189">
        <v>7.0000000000000007E-2</v>
      </c>
      <c r="P16" s="170">
        <f t="shared" si="1"/>
        <v>15257.130000000001</v>
      </c>
    </row>
    <row r="17" spans="1:16">
      <c r="A17" s="157"/>
      <c r="B17" s="74" t="s">
        <v>5046</v>
      </c>
      <c r="C17" s="101"/>
      <c r="D17" s="83"/>
      <c r="E17" s="99"/>
      <c r="F17" s="238"/>
      <c r="G17" s="223"/>
      <c r="H17" s="224"/>
      <c r="I17" s="225"/>
      <c r="J17" s="209"/>
      <c r="K17" s="226"/>
      <c r="L17" s="283"/>
      <c r="M17" s="188">
        <v>14582.7</v>
      </c>
      <c r="N17" s="188">
        <f t="shared" si="0"/>
        <v>14145.219000000001</v>
      </c>
      <c r="O17" s="189">
        <v>7.0000000000000007E-2</v>
      </c>
      <c r="P17" s="170">
        <f t="shared" si="1"/>
        <v>15135.384330000001</v>
      </c>
    </row>
    <row r="18" spans="1:16">
      <c r="A18" s="157"/>
      <c r="B18" s="74" t="s">
        <v>5047</v>
      </c>
      <c r="C18" s="101"/>
      <c r="D18" s="83"/>
      <c r="E18" s="99"/>
      <c r="F18" s="61"/>
      <c r="G18" s="206"/>
      <c r="H18" s="74"/>
      <c r="I18" s="183"/>
      <c r="J18" s="175"/>
      <c r="K18" s="197"/>
      <c r="L18" s="283"/>
      <c r="M18" s="188">
        <v>13483.8</v>
      </c>
      <c r="N18" s="188">
        <f t="shared" si="0"/>
        <v>13079.286</v>
      </c>
      <c r="O18" s="189">
        <v>7.0000000000000007E-2</v>
      </c>
      <c r="P18" s="170">
        <f t="shared" si="1"/>
        <v>13994.836020000001</v>
      </c>
    </row>
    <row r="19" spans="1:16">
      <c r="A19" s="157"/>
      <c r="B19" s="268"/>
      <c r="C19" s="101"/>
      <c r="D19" s="3463"/>
      <c r="E19" s="142"/>
      <c r="F19" s="61"/>
      <c r="G19" s="223"/>
      <c r="H19" s="224"/>
      <c r="I19" s="225"/>
      <c r="J19" s="209"/>
      <c r="K19" s="226"/>
      <c r="L19" s="283"/>
      <c r="M19" s="188">
        <v>2669.52</v>
      </c>
      <c r="N19" s="188">
        <f t="shared" si="0"/>
        <v>2589.4344000000001</v>
      </c>
      <c r="O19" s="189">
        <v>7.0000000000000007E-2</v>
      </c>
      <c r="P19" s="170">
        <f t="shared" si="1"/>
        <v>2770.6948080000002</v>
      </c>
    </row>
    <row r="20" spans="1:16">
      <c r="A20" s="157"/>
      <c r="B20" s="95"/>
      <c r="C20" s="101"/>
      <c r="D20" s="3463"/>
      <c r="E20" s="142"/>
      <c r="F20" s="61"/>
      <c r="G20" s="223"/>
      <c r="H20" s="224"/>
      <c r="I20" s="225"/>
      <c r="J20" s="209"/>
      <c r="K20" s="226"/>
      <c r="L20" s="283"/>
      <c r="N20" s="188">
        <f t="shared" si="0"/>
        <v>0</v>
      </c>
      <c r="O20" s="189">
        <v>7.0000000000000007E-2</v>
      </c>
      <c r="P20" s="170">
        <f t="shared" si="1"/>
        <v>0</v>
      </c>
    </row>
    <row r="21" spans="1:16" ht="37.5">
      <c r="A21" s="221"/>
      <c r="B21" s="962" t="s">
        <v>5048</v>
      </c>
      <c r="C21" s="1220" t="s">
        <v>284</v>
      </c>
      <c r="D21" s="83" t="s">
        <v>248</v>
      </c>
      <c r="E21" s="142"/>
      <c r="F21" s="61"/>
      <c r="G21" s="223"/>
      <c r="H21" s="224"/>
      <c r="I21" s="225"/>
      <c r="J21" s="209"/>
      <c r="K21" s="226"/>
      <c r="L21" s="283"/>
      <c r="M21" s="188">
        <v>12972.96</v>
      </c>
      <c r="N21" s="188">
        <f t="shared" si="0"/>
        <v>12583.771199999999</v>
      </c>
      <c r="O21" s="189">
        <v>7.0000000000000007E-2</v>
      </c>
      <c r="P21" s="170">
        <f t="shared" si="1"/>
        <v>13464.635183999999</v>
      </c>
    </row>
    <row r="22" spans="1:16" ht="37.5">
      <c r="A22" s="157"/>
      <c r="B22" s="406" t="s">
        <v>5049</v>
      </c>
      <c r="C22" s="1220" t="s">
        <v>284</v>
      </c>
      <c r="D22" s="83" t="s">
        <v>248</v>
      </c>
      <c r="E22" s="142"/>
      <c r="F22" s="61"/>
      <c r="G22" s="206"/>
      <c r="H22" s="74"/>
      <c r="I22" s="183"/>
      <c r="J22" s="209"/>
      <c r="K22" s="197"/>
      <c r="L22" s="283"/>
      <c r="M22" s="188">
        <v>12687.84</v>
      </c>
      <c r="N22" s="188">
        <f t="shared" si="0"/>
        <v>12307.2048</v>
      </c>
      <c r="O22" s="189">
        <v>7.0000000000000007E-2</v>
      </c>
      <c r="P22" s="170">
        <f t="shared" si="1"/>
        <v>13168.709135999999</v>
      </c>
    </row>
    <row r="23" spans="1:16" ht="37.5">
      <c r="A23" s="157"/>
      <c r="B23" s="1336" t="s">
        <v>5050</v>
      </c>
      <c r="C23" s="1220" t="s">
        <v>284</v>
      </c>
      <c r="D23" s="83" t="s">
        <v>248</v>
      </c>
      <c r="E23" s="142"/>
      <c r="F23" s="61"/>
      <c r="G23" s="206"/>
      <c r="H23" s="74"/>
      <c r="I23" s="183"/>
      <c r="J23" s="175"/>
      <c r="K23" s="197"/>
      <c r="L23" s="281"/>
      <c r="M23" s="188">
        <v>16572.599999999999</v>
      </c>
      <c r="N23" s="188">
        <f t="shared" si="0"/>
        <v>16075.421999999999</v>
      </c>
      <c r="O23" s="189">
        <v>7.0000000000000007E-2</v>
      </c>
      <c r="P23" s="170">
        <f t="shared" si="1"/>
        <v>17200.701539999998</v>
      </c>
    </row>
    <row r="24" spans="1:16" ht="37.5">
      <c r="A24" s="157"/>
      <c r="B24" s="1336" t="s">
        <v>5051</v>
      </c>
      <c r="C24" s="1220" t="s">
        <v>284</v>
      </c>
      <c r="D24" s="83" t="s">
        <v>248</v>
      </c>
      <c r="E24" s="100"/>
      <c r="F24" s="61"/>
      <c r="G24" s="206"/>
      <c r="H24" s="74"/>
      <c r="I24" s="203"/>
      <c r="J24" s="175"/>
      <c r="K24" s="197"/>
      <c r="L24" s="281"/>
      <c r="M24" s="188">
        <v>6021.12</v>
      </c>
      <c r="N24" s="188">
        <f>M24-(M24*0.03)</f>
        <v>5840.4863999999998</v>
      </c>
      <c r="O24" s="189">
        <v>7.0000000000000007E-2</v>
      </c>
      <c r="P24" s="170">
        <f>(N24*O24)+N24</f>
        <v>6249.3204479999995</v>
      </c>
    </row>
    <row r="25" spans="1:16">
      <c r="A25" s="157"/>
      <c r="B25" s="95"/>
      <c r="C25" s="101"/>
      <c r="D25" s="227"/>
      <c r="E25" s="100"/>
      <c r="F25" s="61"/>
      <c r="G25" s="206"/>
      <c r="H25" s="74"/>
      <c r="I25" s="183"/>
      <c r="J25" s="175"/>
      <c r="K25" s="197"/>
      <c r="L25" s="281"/>
      <c r="M25" s="188">
        <v>8714.16</v>
      </c>
      <c r="N25" s="188">
        <f>M25-(M25*0.03)</f>
        <v>8452.7351999999992</v>
      </c>
      <c r="O25" s="189">
        <v>7.0000000000000007E-2</v>
      </c>
      <c r="P25" s="170">
        <f>(N25*O25)+N25</f>
        <v>9044.4266639999987</v>
      </c>
    </row>
    <row r="26" spans="1:16">
      <c r="A26" s="157"/>
      <c r="B26" s="95"/>
      <c r="C26" s="63"/>
      <c r="D26" s="227"/>
      <c r="E26" s="100"/>
      <c r="F26" s="61"/>
      <c r="G26" s="206"/>
      <c r="H26" s="74"/>
      <c r="I26" s="183"/>
      <c r="J26" s="175"/>
      <c r="K26" s="197"/>
      <c r="L26" s="281"/>
      <c r="M26" s="188">
        <v>0</v>
      </c>
      <c r="N26" s="188">
        <f>M26-(M26*0.03)</f>
        <v>0</v>
      </c>
      <c r="O26" s="189">
        <v>7.0000000000000007E-2</v>
      </c>
      <c r="P26" s="170">
        <f t="shared" ref="P26:P32" si="2">(N26*O26)+N26</f>
        <v>0</v>
      </c>
    </row>
    <row r="27" spans="1:16">
      <c r="A27" s="157"/>
      <c r="B27" s="95"/>
      <c r="C27" s="63"/>
      <c r="D27" s="227"/>
      <c r="E27" s="100"/>
      <c r="F27" s="61"/>
      <c r="G27" s="206"/>
      <c r="H27" s="74"/>
      <c r="I27" s="183"/>
      <c r="J27" s="175"/>
      <c r="K27" s="197"/>
      <c r="L27" s="281"/>
      <c r="M27" s="188">
        <v>18537.7</v>
      </c>
      <c r="N27" s="188">
        <f>M27-(M27*0.03)</f>
        <v>17981.569</v>
      </c>
      <c r="O27" s="189">
        <v>7.0000000000000007E-2</v>
      </c>
      <c r="P27" s="170">
        <f t="shared" si="2"/>
        <v>19240.278829999999</v>
      </c>
    </row>
    <row r="28" spans="1:16">
      <c r="A28" s="158"/>
      <c r="B28" s="95"/>
      <c r="C28" s="63"/>
      <c r="D28" s="227"/>
      <c r="E28" s="60"/>
      <c r="F28" s="61"/>
      <c r="G28" s="206"/>
      <c r="H28" s="74"/>
      <c r="I28" s="183"/>
      <c r="J28" s="175"/>
      <c r="K28" s="197"/>
      <c r="L28" s="281"/>
      <c r="M28" s="188">
        <v>9031.68</v>
      </c>
      <c r="N28" s="188">
        <f t="shared" ref="N28:N38" si="3">M28-(M28*0.03)</f>
        <v>8760.7296000000006</v>
      </c>
      <c r="O28" s="189">
        <v>7.0000000000000007E-2</v>
      </c>
      <c r="P28" s="170">
        <f t="shared" si="2"/>
        <v>9373.9806720000015</v>
      </c>
    </row>
    <row r="29" spans="1:16">
      <c r="A29" s="200"/>
      <c r="B29" s="95"/>
      <c r="C29" s="63"/>
      <c r="D29" s="227"/>
      <c r="E29" s="198"/>
      <c r="F29" s="61"/>
      <c r="G29" s="206"/>
      <c r="H29" s="88"/>
      <c r="I29" s="184"/>
      <c r="J29" s="201"/>
      <c r="K29" s="202"/>
      <c r="L29" s="281"/>
      <c r="N29" s="188">
        <f t="shared" si="3"/>
        <v>0</v>
      </c>
      <c r="O29" s="189">
        <v>7.0000000000000007E-2</v>
      </c>
      <c r="P29" s="170">
        <f t="shared" si="2"/>
        <v>0</v>
      </c>
    </row>
    <row r="30" spans="1:16">
      <c r="A30" s="157"/>
      <c r="B30" s="96"/>
      <c r="C30" s="63"/>
      <c r="D30" s="227"/>
      <c r="E30" s="198"/>
      <c r="F30" s="61"/>
      <c r="G30" s="206"/>
      <c r="H30" s="74"/>
      <c r="I30" s="183"/>
      <c r="J30" s="175"/>
      <c r="K30" s="197"/>
      <c r="L30" s="281"/>
      <c r="M30" s="188">
        <v>8478.9599999999991</v>
      </c>
      <c r="N30" s="188">
        <f t="shared" si="3"/>
        <v>8224.5911999999989</v>
      </c>
      <c r="O30" s="189">
        <v>7.0000000000000007E-2</v>
      </c>
      <c r="P30" s="170">
        <f t="shared" si="2"/>
        <v>8800.3125839999993</v>
      </c>
    </row>
    <row r="31" spans="1:16">
      <c r="A31" s="157"/>
      <c r="B31" s="95"/>
      <c r="C31" s="63"/>
      <c r="D31" s="227"/>
      <c r="E31" s="142"/>
      <c r="F31" s="61"/>
      <c r="G31" s="206"/>
      <c r="H31" s="74"/>
      <c r="I31" s="183"/>
      <c r="J31" s="175"/>
      <c r="K31" s="197"/>
      <c r="L31" s="281"/>
      <c r="M31" s="188">
        <v>11122.62</v>
      </c>
      <c r="N31" s="188">
        <f t="shared" si="3"/>
        <v>10788.941400000002</v>
      </c>
      <c r="O31" s="189">
        <v>7.0000000000000007E-2</v>
      </c>
      <c r="P31" s="170">
        <f t="shared" si="2"/>
        <v>11544.167298000002</v>
      </c>
    </row>
    <row r="32" spans="1:16">
      <c r="A32" s="157"/>
      <c r="B32" s="95"/>
      <c r="C32" s="63"/>
      <c r="D32" s="196"/>
      <c r="E32" s="120"/>
      <c r="F32" s="121"/>
      <c r="G32" s="206"/>
      <c r="H32" s="115"/>
      <c r="I32" s="185"/>
      <c r="J32" s="175"/>
      <c r="K32" s="197"/>
      <c r="L32" s="281"/>
      <c r="M32" s="188">
        <v>3813.12</v>
      </c>
      <c r="N32" s="188">
        <f t="shared" si="3"/>
        <v>3698.7264</v>
      </c>
      <c r="O32" s="189">
        <v>7.0000000000000007E-2</v>
      </c>
      <c r="P32" s="170">
        <f t="shared" si="2"/>
        <v>3957.637248</v>
      </c>
    </row>
    <row r="33" spans="1:16">
      <c r="A33" s="157"/>
      <c r="B33" s="95"/>
      <c r="C33" s="63"/>
      <c r="D33" s="196"/>
      <c r="E33" s="249"/>
      <c r="F33" s="121"/>
      <c r="G33" s="206"/>
      <c r="H33" s="115"/>
      <c r="I33" s="185"/>
      <c r="J33" s="175"/>
      <c r="K33" s="197"/>
      <c r="L33" s="281"/>
    </row>
    <row r="34" spans="1:16">
      <c r="A34" s="157"/>
      <c r="B34" s="268"/>
      <c r="C34" s="63"/>
      <c r="D34" s="196"/>
      <c r="E34" s="249"/>
      <c r="F34" s="121"/>
      <c r="G34" s="206"/>
      <c r="H34" s="115"/>
      <c r="I34" s="185"/>
      <c r="J34" s="175"/>
      <c r="K34" s="197"/>
      <c r="L34" s="281"/>
    </row>
    <row r="35" spans="1:16">
      <c r="A35" s="157"/>
      <c r="B35" s="268"/>
      <c r="C35" s="63"/>
      <c r="D35" s="196"/>
      <c r="E35" s="249"/>
      <c r="F35" s="121"/>
      <c r="G35" s="206"/>
      <c r="H35" s="115"/>
      <c r="I35" s="185"/>
      <c r="J35" s="175"/>
      <c r="K35" s="197"/>
      <c r="L35" s="281"/>
    </row>
    <row r="36" spans="1:16">
      <c r="A36" s="157"/>
      <c r="B36" s="268"/>
      <c r="C36" s="63"/>
      <c r="D36" s="196"/>
      <c r="E36" s="249"/>
      <c r="F36" s="121"/>
      <c r="G36" s="206"/>
      <c r="H36" s="115"/>
      <c r="I36" s="185"/>
      <c r="J36" s="175"/>
      <c r="K36" s="197"/>
      <c r="L36" s="281"/>
    </row>
    <row r="37" spans="1:16">
      <c r="A37" s="157"/>
      <c r="B37" s="268"/>
      <c r="C37" s="63"/>
      <c r="D37" s="196"/>
      <c r="E37" s="142"/>
      <c r="F37" s="61"/>
      <c r="G37" s="206"/>
      <c r="H37" s="74"/>
      <c r="I37" s="183"/>
      <c r="J37" s="175"/>
      <c r="K37" s="197"/>
      <c r="L37" s="281"/>
    </row>
    <row r="38" spans="1:16">
      <c r="A38" s="157"/>
      <c r="B38" s="268"/>
      <c r="C38" s="63"/>
      <c r="D38" s="196"/>
      <c r="E38" s="142"/>
      <c r="F38" s="61"/>
      <c r="G38" s="206"/>
      <c r="H38" s="74"/>
      <c r="I38" s="183"/>
      <c r="J38" s="175"/>
      <c r="K38" s="197"/>
      <c r="L38" s="281"/>
      <c r="M38" s="188">
        <v>8640</v>
      </c>
      <c r="N38" s="188">
        <f t="shared" si="3"/>
        <v>8380.7999999999993</v>
      </c>
      <c r="O38" s="189">
        <v>7.0000000000000007E-2</v>
      </c>
      <c r="P38" s="170">
        <f>(N38*O38)+N38</f>
        <v>8967.4559999999983</v>
      </c>
    </row>
    <row r="39" spans="1:16">
      <c r="A39" s="160"/>
      <c r="B39" s="268"/>
      <c r="C39" s="63"/>
      <c r="D39" s="196"/>
      <c r="E39" s="120"/>
      <c r="F39" s="121"/>
      <c r="G39" s="206"/>
      <c r="H39" s="115"/>
      <c r="I39" s="185"/>
      <c r="J39" s="174"/>
      <c r="K39" s="195"/>
      <c r="L39" s="281"/>
    </row>
    <row r="40" spans="1:16">
      <c r="A40" s="284"/>
      <c r="B40" s="268"/>
      <c r="C40" s="63"/>
      <c r="D40" s="196"/>
      <c r="E40" s="249"/>
      <c r="F40" s="121"/>
      <c r="G40" s="206"/>
      <c r="H40" s="115"/>
      <c r="I40" s="185"/>
      <c r="J40" s="174"/>
      <c r="K40" s="195"/>
      <c r="L40" s="281"/>
    </row>
    <row r="41" spans="1:16">
      <c r="A41" s="284"/>
      <c r="B41" s="268"/>
      <c r="C41" s="63"/>
      <c r="D41" s="196"/>
      <c r="E41" s="142"/>
      <c r="F41" s="61"/>
      <c r="G41" s="206"/>
      <c r="H41" s="74"/>
      <c r="I41" s="183"/>
      <c r="J41" s="175"/>
      <c r="K41" s="197"/>
      <c r="L41" s="281"/>
      <c r="M41" s="3444"/>
    </row>
    <row r="42" spans="1:16" ht="35.25" thickBot="1">
      <c r="A42" s="285"/>
      <c r="B42" s="286"/>
      <c r="C42" s="67"/>
      <c r="D42" s="287"/>
      <c r="E42" s="257"/>
      <c r="F42" s="258"/>
      <c r="G42" s="220"/>
      <c r="H42" s="288"/>
      <c r="I42" s="289"/>
      <c r="J42" s="290"/>
      <c r="K42" s="291"/>
      <c r="L42" s="292"/>
    </row>
    <row r="43" spans="1:16" ht="35.25" customHeight="1">
      <c r="B43" s="93"/>
      <c r="C43" s="68"/>
      <c r="D43" s="3444"/>
      <c r="E43" s="273"/>
      <c r="F43" s="274"/>
      <c r="G43" s="269"/>
      <c r="H43" s="270"/>
      <c r="I43" s="271"/>
      <c r="J43" s="272"/>
      <c r="K43" s="165"/>
      <c r="L43" s="168"/>
    </row>
    <row r="44" spans="1:16">
      <c r="A44" s="44" t="s">
        <v>0</v>
      </c>
      <c r="B44" s="127"/>
      <c r="C44" s="104"/>
      <c r="F44" s="68"/>
      <c r="I44" s="179"/>
      <c r="K44" s="163"/>
      <c r="L44" s="168"/>
    </row>
    <row r="45" spans="1:16" ht="35.25" customHeight="1">
      <c r="A45" s="3480" t="s">
        <v>2512</v>
      </c>
      <c r="B45" s="3480"/>
      <c r="C45" s="44"/>
      <c r="D45" s="109"/>
      <c r="F45" s="68"/>
      <c r="I45" s="179"/>
      <c r="K45" s="163"/>
      <c r="L45" s="168"/>
    </row>
    <row r="46" spans="1:16" ht="35.25" customHeight="1" thickBot="1">
      <c r="F46" s="68"/>
    </row>
    <row r="47" spans="1:16">
      <c r="A47" s="3493" t="s">
        <v>2</v>
      </c>
      <c r="B47" s="3482"/>
      <c r="C47" s="48" t="s">
        <v>3</v>
      </c>
      <c r="D47" s="128" t="s">
        <v>4</v>
      </c>
      <c r="E47" s="77" t="s">
        <v>5</v>
      </c>
      <c r="F47" s="78" t="s">
        <v>5</v>
      </c>
      <c r="G47" s="211" t="s">
        <v>6</v>
      </c>
      <c r="H47" s="140" t="s">
        <v>7</v>
      </c>
      <c r="I47" s="180" t="s">
        <v>1511</v>
      </c>
      <c r="J47" s="172" t="s">
        <v>9</v>
      </c>
      <c r="K47" s="186" t="s">
        <v>9</v>
      </c>
      <c r="L47" s="192" t="s">
        <v>2495</v>
      </c>
      <c r="M47" s="190"/>
    </row>
    <row r="48" spans="1:16" ht="35.25" thickBot="1">
      <c r="A48" s="155"/>
      <c r="B48" s="138"/>
      <c r="C48" s="50"/>
      <c r="D48" s="129" t="s">
        <v>10</v>
      </c>
      <c r="E48" s="79" t="s">
        <v>11</v>
      </c>
      <c r="F48" s="80" t="s">
        <v>12</v>
      </c>
      <c r="G48" s="212"/>
      <c r="H48" s="141" t="s">
        <v>13</v>
      </c>
      <c r="I48" s="181" t="s">
        <v>1512</v>
      </c>
      <c r="J48" s="173" t="s">
        <v>15</v>
      </c>
      <c r="K48" s="187" t="s">
        <v>14</v>
      </c>
      <c r="L48" s="193" t="s">
        <v>2496</v>
      </c>
      <c r="M48" s="190"/>
    </row>
    <row r="49" spans="1:16" ht="37.5">
      <c r="A49" s="156"/>
      <c r="B49" s="406" t="s">
        <v>5052</v>
      </c>
      <c r="C49" s="1220" t="s">
        <v>284</v>
      </c>
      <c r="D49" s="384" t="s">
        <v>957</v>
      </c>
      <c r="E49" s="255"/>
      <c r="F49" s="54"/>
      <c r="G49" s="206"/>
      <c r="H49" s="74"/>
      <c r="I49" s="183"/>
      <c r="J49" s="175"/>
      <c r="K49" s="172"/>
      <c r="L49" s="194"/>
      <c r="M49" s="188">
        <v>3552</v>
      </c>
      <c r="N49" s="188">
        <f t="shared" ref="N49:N74" si="4">M49-(M49*0.03)</f>
        <v>3445.44</v>
      </c>
      <c r="O49" s="189">
        <v>7.0000000000000007E-2</v>
      </c>
      <c r="P49" s="170">
        <f t="shared" ref="P49:P65" si="5">(N49*O49)+N49</f>
        <v>3686.6208000000001</v>
      </c>
    </row>
    <row r="50" spans="1:16" ht="37.5">
      <c r="A50" s="157"/>
      <c r="B50" s="406" t="s">
        <v>5053</v>
      </c>
      <c r="C50" s="1220" t="s">
        <v>284</v>
      </c>
      <c r="D50" s="384" t="s">
        <v>957</v>
      </c>
      <c r="E50" s="142"/>
      <c r="F50" s="61"/>
      <c r="G50" s="206"/>
      <c r="H50" s="74"/>
      <c r="I50" s="183"/>
      <c r="J50" s="175"/>
      <c r="K50" s="176"/>
      <c r="L50" s="194"/>
      <c r="N50" s="188">
        <f t="shared" si="4"/>
        <v>0</v>
      </c>
      <c r="O50" s="189">
        <v>7.0000000000000007E-2</v>
      </c>
      <c r="P50" s="170">
        <f t="shared" si="5"/>
        <v>0</v>
      </c>
    </row>
    <row r="51" spans="1:16" ht="37.5">
      <c r="A51" s="58"/>
      <c r="B51" s="1336" t="s">
        <v>5054</v>
      </c>
      <c r="C51" s="1220" t="s">
        <v>284</v>
      </c>
      <c r="D51" s="384" t="s">
        <v>957</v>
      </c>
      <c r="E51" s="142"/>
      <c r="F51" s="61"/>
      <c r="G51" s="206"/>
      <c r="H51" s="74"/>
      <c r="I51" s="183"/>
      <c r="J51" s="175"/>
      <c r="K51" s="245"/>
      <c r="L51" s="194"/>
      <c r="M51" s="188">
        <v>9498.06</v>
      </c>
      <c r="N51" s="188">
        <f t="shared" si="4"/>
        <v>9213.118199999999</v>
      </c>
      <c r="O51" s="189">
        <v>7.0000000000000007E-2</v>
      </c>
      <c r="P51" s="170">
        <f t="shared" si="5"/>
        <v>9858.0364739999986</v>
      </c>
    </row>
    <row r="52" spans="1:16" ht="37.5">
      <c r="A52" s="58"/>
      <c r="B52" s="969" t="s">
        <v>5055</v>
      </c>
      <c r="C52" s="1220" t="s">
        <v>284</v>
      </c>
      <c r="D52" s="384" t="s">
        <v>957</v>
      </c>
      <c r="E52" s="142"/>
      <c r="F52" s="61"/>
      <c r="G52" s="206"/>
      <c r="H52" s="74"/>
      <c r="I52" s="183"/>
      <c r="J52" s="175"/>
      <c r="K52" s="197"/>
      <c r="L52" s="194"/>
      <c r="M52" s="188">
        <v>15305.4</v>
      </c>
      <c r="N52" s="188">
        <f t="shared" si="4"/>
        <v>14846.237999999999</v>
      </c>
      <c r="O52" s="189">
        <v>7.0000000000000007E-2</v>
      </c>
      <c r="P52" s="170">
        <f t="shared" si="5"/>
        <v>15885.47466</v>
      </c>
    </row>
    <row r="53" spans="1:16" ht="37.5">
      <c r="A53" s="58"/>
      <c r="B53" s="962" t="s">
        <v>5056</v>
      </c>
      <c r="C53" s="1220" t="s">
        <v>284</v>
      </c>
      <c r="D53" s="384" t="s">
        <v>957</v>
      </c>
      <c r="E53" s="142"/>
      <c r="F53" s="61"/>
      <c r="G53" s="206"/>
      <c r="H53" s="74"/>
      <c r="I53" s="183"/>
      <c r="J53" s="175"/>
      <c r="K53" s="197"/>
      <c r="L53" s="194"/>
      <c r="N53" s="188">
        <f t="shared" si="4"/>
        <v>0</v>
      </c>
      <c r="O53" s="189">
        <v>7.0000000000000007E-2</v>
      </c>
      <c r="P53" s="170">
        <f t="shared" si="5"/>
        <v>0</v>
      </c>
    </row>
    <row r="54" spans="1:16" ht="37.5">
      <c r="A54" s="58"/>
      <c r="B54" s="406" t="s">
        <v>5057</v>
      </c>
      <c r="C54" s="1220" t="s">
        <v>284</v>
      </c>
      <c r="D54" s="384" t="s">
        <v>957</v>
      </c>
      <c r="E54" s="142"/>
      <c r="F54" s="61"/>
      <c r="G54" s="206"/>
      <c r="H54" s="74"/>
      <c r="I54" s="183"/>
      <c r="J54" s="175"/>
      <c r="K54" s="197"/>
      <c r="L54" s="194"/>
      <c r="N54" s="188">
        <f t="shared" si="4"/>
        <v>0</v>
      </c>
      <c r="O54" s="189">
        <v>7.0000000000000007E-2</v>
      </c>
      <c r="P54" s="170">
        <f t="shared" si="5"/>
        <v>0</v>
      </c>
    </row>
    <row r="55" spans="1:16" ht="37.5">
      <c r="A55" s="58"/>
      <c r="B55" s="962" t="s">
        <v>5058</v>
      </c>
      <c r="C55" s="1220" t="s">
        <v>284</v>
      </c>
      <c r="D55" s="384" t="s">
        <v>957</v>
      </c>
      <c r="E55" s="142"/>
      <c r="F55" s="61"/>
      <c r="G55" s="206"/>
      <c r="H55" s="74"/>
      <c r="I55" s="183"/>
      <c r="J55" s="175"/>
      <c r="K55" s="197"/>
      <c r="L55" s="194"/>
      <c r="N55" s="188">
        <f t="shared" si="4"/>
        <v>0</v>
      </c>
      <c r="O55" s="189">
        <v>7.0000000000000007E-2</v>
      </c>
      <c r="P55" s="170">
        <f t="shared" si="5"/>
        <v>0</v>
      </c>
    </row>
    <row r="56" spans="1:16" ht="37.5">
      <c r="A56" s="58"/>
      <c r="B56" s="962" t="s">
        <v>5059</v>
      </c>
      <c r="C56" s="1220" t="s">
        <v>284</v>
      </c>
      <c r="D56" s="384" t="s">
        <v>957</v>
      </c>
      <c r="E56" s="142"/>
      <c r="F56" s="61"/>
      <c r="G56" s="223"/>
      <c r="H56" s="224"/>
      <c r="I56" s="225"/>
      <c r="J56" s="209"/>
      <c r="K56" s="244"/>
      <c r="M56" s="188">
        <v>14244.12</v>
      </c>
      <c r="N56" s="188">
        <f t="shared" si="4"/>
        <v>13816.796400000001</v>
      </c>
      <c r="O56" s="189">
        <v>7.0000000000000007E-2</v>
      </c>
      <c r="P56" s="170">
        <f t="shared" si="5"/>
        <v>14783.972148000001</v>
      </c>
    </row>
    <row r="57" spans="1:16" ht="37.5">
      <c r="A57" s="58"/>
      <c r="B57" s="962" t="s">
        <v>5060</v>
      </c>
      <c r="C57" s="1220" t="s">
        <v>284</v>
      </c>
      <c r="D57" s="384" t="s">
        <v>957</v>
      </c>
      <c r="E57" s="142"/>
      <c r="F57" s="61"/>
      <c r="G57" s="206"/>
      <c r="H57" s="74"/>
      <c r="I57" s="183"/>
      <c r="J57" s="175"/>
      <c r="K57" s="197"/>
      <c r="L57" s="194"/>
      <c r="M57" s="188">
        <v>3240</v>
      </c>
      <c r="N57" s="188">
        <f t="shared" si="4"/>
        <v>3142.8</v>
      </c>
      <c r="O57" s="189">
        <v>7.0000000000000007E-2</v>
      </c>
      <c r="P57" s="170">
        <f t="shared" si="5"/>
        <v>3362.7960000000003</v>
      </c>
    </row>
    <row r="58" spans="1:16" ht="37.5">
      <c r="A58" s="58"/>
      <c r="B58" s="406" t="s">
        <v>5061</v>
      </c>
      <c r="C58" s="1220" t="s">
        <v>284</v>
      </c>
      <c r="D58" s="384" t="s">
        <v>957</v>
      </c>
      <c r="E58" s="142"/>
      <c r="F58" s="61"/>
      <c r="G58" s="206"/>
      <c r="H58" s="74"/>
      <c r="I58" s="183"/>
      <c r="J58" s="175"/>
      <c r="K58" s="197"/>
      <c r="L58" s="194"/>
      <c r="M58" s="188">
        <v>14700</v>
      </c>
      <c r="N58" s="188">
        <f t="shared" si="4"/>
        <v>14259</v>
      </c>
      <c r="O58" s="189">
        <v>7.0000000000000007E-2</v>
      </c>
      <c r="P58" s="170">
        <f t="shared" si="5"/>
        <v>15257.130000000001</v>
      </c>
    </row>
    <row r="59" spans="1:16" ht="37.5">
      <c r="A59" s="58"/>
      <c r="B59" s="406" t="s">
        <v>5062</v>
      </c>
      <c r="C59" s="1220" t="s">
        <v>284</v>
      </c>
      <c r="D59" s="384" t="s">
        <v>957</v>
      </c>
      <c r="E59" s="256"/>
      <c r="F59" s="238"/>
      <c r="G59" s="223"/>
      <c r="H59" s="224"/>
      <c r="I59" s="225"/>
      <c r="J59" s="209"/>
      <c r="K59" s="226"/>
      <c r="L59" s="229"/>
      <c r="M59" s="188">
        <v>14582.7</v>
      </c>
      <c r="N59" s="188">
        <f t="shared" si="4"/>
        <v>14145.219000000001</v>
      </c>
      <c r="O59" s="189">
        <v>7.0000000000000007E-2</v>
      </c>
      <c r="P59" s="170">
        <f t="shared" si="5"/>
        <v>15135.384330000001</v>
      </c>
    </row>
    <row r="60" spans="1:16">
      <c r="A60" s="58"/>
      <c r="B60" s="74"/>
      <c r="C60" s="63"/>
      <c r="D60" s="196"/>
      <c r="E60" s="142"/>
      <c r="F60" s="61"/>
      <c r="G60" s="206"/>
      <c r="H60" s="74"/>
      <c r="I60" s="183"/>
      <c r="J60" s="175"/>
      <c r="K60" s="197"/>
      <c r="L60" s="229"/>
      <c r="M60" s="188">
        <v>13483.8</v>
      </c>
      <c r="N60" s="188">
        <f t="shared" si="4"/>
        <v>13079.286</v>
      </c>
      <c r="O60" s="189">
        <v>7.0000000000000007E-2</v>
      </c>
      <c r="P60" s="170">
        <f t="shared" si="5"/>
        <v>13994.836020000001</v>
      </c>
    </row>
    <row r="61" spans="1:16" ht="37.5">
      <c r="A61" s="58"/>
      <c r="B61" s="406" t="s">
        <v>5052</v>
      </c>
      <c r="C61" s="1220" t="s">
        <v>256</v>
      </c>
      <c r="D61" s="384" t="s">
        <v>775</v>
      </c>
      <c r="E61" s="142"/>
      <c r="F61" s="61"/>
      <c r="G61" s="223"/>
      <c r="H61" s="224"/>
      <c r="I61" s="225"/>
      <c r="J61" s="209"/>
      <c r="K61" s="226"/>
      <c r="L61" s="229"/>
      <c r="M61" s="188">
        <v>2669.52</v>
      </c>
      <c r="N61" s="188">
        <f t="shared" si="4"/>
        <v>2589.4344000000001</v>
      </c>
      <c r="O61" s="189">
        <v>7.0000000000000007E-2</v>
      </c>
      <c r="P61" s="170">
        <f t="shared" si="5"/>
        <v>2770.6948080000002</v>
      </c>
    </row>
    <row r="62" spans="1:16" ht="37.5">
      <c r="A62" s="58"/>
      <c r="B62" s="406" t="s">
        <v>5053</v>
      </c>
      <c r="C62" s="1220" t="s">
        <v>256</v>
      </c>
      <c r="D62" s="384" t="s">
        <v>775</v>
      </c>
      <c r="E62" s="142"/>
      <c r="F62" s="61"/>
      <c r="G62" s="223"/>
      <c r="H62" s="224"/>
      <c r="I62" s="225"/>
      <c r="J62" s="209"/>
      <c r="K62" s="226"/>
      <c r="L62" s="229"/>
      <c r="N62" s="188">
        <f t="shared" si="4"/>
        <v>0</v>
      </c>
      <c r="O62" s="189">
        <v>7.0000000000000007E-2</v>
      </c>
      <c r="P62" s="170">
        <f t="shared" si="5"/>
        <v>0</v>
      </c>
    </row>
    <row r="63" spans="1:16" ht="37.5">
      <c r="A63" s="253"/>
      <c r="B63" s="1336" t="s">
        <v>5054</v>
      </c>
      <c r="C63" s="1220" t="s">
        <v>256</v>
      </c>
      <c r="D63" s="384" t="s">
        <v>775</v>
      </c>
      <c r="E63" s="142"/>
      <c r="F63" s="61"/>
      <c r="G63" s="223"/>
      <c r="H63" s="224"/>
      <c r="I63" s="225"/>
      <c r="J63" s="209"/>
      <c r="K63" s="226"/>
      <c r="L63" s="229"/>
      <c r="M63" s="188">
        <v>12972.96</v>
      </c>
      <c r="N63" s="188">
        <f t="shared" si="4"/>
        <v>12583.771199999999</v>
      </c>
      <c r="O63" s="189">
        <v>7.0000000000000007E-2</v>
      </c>
      <c r="P63" s="170">
        <f t="shared" si="5"/>
        <v>13464.635183999999</v>
      </c>
    </row>
    <row r="64" spans="1:16" ht="37.5">
      <c r="A64" s="58"/>
      <c r="B64" s="969" t="s">
        <v>5055</v>
      </c>
      <c r="C64" s="1220" t="s">
        <v>256</v>
      </c>
      <c r="D64" s="384" t="s">
        <v>775</v>
      </c>
      <c r="E64" s="142"/>
      <c r="F64" s="61"/>
      <c r="G64" s="206"/>
      <c r="H64" s="74"/>
      <c r="I64" s="183"/>
      <c r="J64" s="209"/>
      <c r="K64" s="197"/>
      <c r="L64" s="229"/>
      <c r="M64" s="188">
        <v>12687.84</v>
      </c>
      <c r="N64" s="188">
        <f t="shared" si="4"/>
        <v>12307.2048</v>
      </c>
      <c r="O64" s="189">
        <v>7.0000000000000007E-2</v>
      </c>
      <c r="P64" s="170">
        <f t="shared" si="5"/>
        <v>13168.709135999999</v>
      </c>
    </row>
    <row r="65" spans="1:16" ht="37.5">
      <c r="A65" s="58"/>
      <c r="B65" s="962" t="s">
        <v>5056</v>
      </c>
      <c r="C65" s="1220" t="s">
        <v>256</v>
      </c>
      <c r="D65" s="384" t="s">
        <v>775</v>
      </c>
      <c r="E65" s="142"/>
      <c r="F65" s="61"/>
      <c r="G65" s="206"/>
      <c r="H65" s="74"/>
      <c r="I65" s="183"/>
      <c r="J65" s="175"/>
      <c r="K65" s="197"/>
      <c r="L65" s="194"/>
      <c r="M65" s="188">
        <v>16572.599999999999</v>
      </c>
      <c r="N65" s="188">
        <f t="shared" si="4"/>
        <v>16075.421999999999</v>
      </c>
      <c r="O65" s="189">
        <v>7.0000000000000007E-2</v>
      </c>
      <c r="P65" s="170">
        <f t="shared" si="5"/>
        <v>17200.701539999998</v>
      </c>
    </row>
    <row r="66" spans="1:16" ht="37.5">
      <c r="A66" s="58"/>
      <c r="B66" s="406" t="s">
        <v>5057</v>
      </c>
      <c r="C66" s="1220" t="s">
        <v>256</v>
      </c>
      <c r="D66" s="384" t="s">
        <v>775</v>
      </c>
      <c r="E66" s="100"/>
      <c r="F66" s="61"/>
      <c r="G66" s="206"/>
      <c r="H66" s="74"/>
      <c r="I66" s="203"/>
      <c r="J66" s="175"/>
      <c r="K66" s="197"/>
      <c r="L66" s="194"/>
      <c r="M66" s="188">
        <v>6021.12</v>
      </c>
      <c r="N66" s="188">
        <f t="shared" si="4"/>
        <v>5840.4863999999998</v>
      </c>
      <c r="O66" s="189">
        <v>7.0000000000000007E-2</v>
      </c>
      <c r="P66" s="170">
        <f>(N66*O66)+N66</f>
        <v>6249.3204479999995</v>
      </c>
    </row>
    <row r="67" spans="1:16" ht="37.5">
      <c r="A67" s="58"/>
      <c r="B67" s="962" t="s">
        <v>5058</v>
      </c>
      <c r="C67" s="1220" t="s">
        <v>256</v>
      </c>
      <c r="D67" s="384" t="s">
        <v>775</v>
      </c>
      <c r="E67" s="100"/>
      <c r="F67" s="61"/>
      <c r="G67" s="206"/>
      <c r="H67" s="74"/>
      <c r="I67" s="183"/>
      <c r="J67" s="175"/>
      <c r="K67" s="197"/>
      <c r="L67" s="194"/>
      <c r="M67" s="188">
        <v>8714.16</v>
      </c>
      <c r="N67" s="188">
        <f t="shared" si="4"/>
        <v>8452.7351999999992</v>
      </c>
      <c r="O67" s="189">
        <v>7.0000000000000007E-2</v>
      </c>
      <c r="P67" s="170">
        <f>(N67*O67)+N67</f>
        <v>9044.4266639999987</v>
      </c>
    </row>
    <row r="68" spans="1:16" ht="37.5">
      <c r="A68" s="58"/>
      <c r="B68" s="962" t="s">
        <v>5059</v>
      </c>
      <c r="C68" s="1220" t="s">
        <v>256</v>
      </c>
      <c r="D68" s="384" t="s">
        <v>775</v>
      </c>
      <c r="E68" s="100"/>
      <c r="F68" s="61"/>
      <c r="G68" s="206"/>
      <c r="H68" s="74"/>
      <c r="I68" s="183"/>
      <c r="J68" s="175"/>
      <c r="K68" s="197"/>
      <c r="L68" s="194"/>
      <c r="M68" s="188">
        <v>0</v>
      </c>
      <c r="N68" s="188">
        <f t="shared" si="4"/>
        <v>0</v>
      </c>
      <c r="O68" s="189">
        <v>7.0000000000000007E-2</v>
      </c>
      <c r="P68" s="170">
        <f t="shared" ref="P68:P74" si="6">(N68*O68)+N68</f>
        <v>0</v>
      </c>
    </row>
    <row r="69" spans="1:16" ht="37.5">
      <c r="A69" s="58"/>
      <c r="B69" s="962" t="s">
        <v>5060</v>
      </c>
      <c r="C69" s="1220" t="s">
        <v>256</v>
      </c>
      <c r="D69" s="384" t="s">
        <v>775</v>
      </c>
      <c r="E69" s="100"/>
      <c r="F69" s="61"/>
      <c r="G69" s="206"/>
      <c r="H69" s="74"/>
      <c r="I69" s="183"/>
      <c r="J69" s="175"/>
      <c r="K69" s="197"/>
      <c r="L69" s="194"/>
      <c r="M69" s="188">
        <v>18537.7</v>
      </c>
      <c r="N69" s="188">
        <f t="shared" si="4"/>
        <v>17981.569</v>
      </c>
      <c r="O69" s="189">
        <v>7.0000000000000007E-2</v>
      </c>
      <c r="P69" s="170">
        <f t="shared" si="6"/>
        <v>19240.278829999999</v>
      </c>
    </row>
    <row r="70" spans="1:16">
      <c r="A70" s="63"/>
      <c r="B70" s="74"/>
      <c r="C70" s="63"/>
      <c r="D70" s="196"/>
      <c r="E70" s="60"/>
      <c r="F70" s="61"/>
      <c r="G70" s="206"/>
      <c r="H70" s="74"/>
      <c r="I70" s="183"/>
      <c r="J70" s="175"/>
      <c r="K70" s="197"/>
      <c r="L70" s="194"/>
      <c r="M70" s="188">
        <v>9031.68</v>
      </c>
      <c r="N70" s="188">
        <f t="shared" si="4"/>
        <v>8760.7296000000006</v>
      </c>
      <c r="O70" s="189">
        <v>7.0000000000000007E-2</v>
      </c>
      <c r="P70" s="170">
        <f t="shared" si="6"/>
        <v>9373.9806720000015</v>
      </c>
    </row>
    <row r="71" spans="1:16">
      <c r="A71" s="58"/>
      <c r="B71" s="82"/>
      <c r="C71" s="63"/>
      <c r="D71" s="196"/>
      <c r="E71" s="198"/>
      <c r="F71" s="61"/>
      <c r="G71" s="206"/>
      <c r="H71" s="88"/>
      <c r="I71" s="184"/>
      <c r="J71" s="201"/>
      <c r="K71" s="202"/>
      <c r="L71" s="194"/>
      <c r="N71" s="188">
        <f t="shared" si="4"/>
        <v>0</v>
      </c>
      <c r="O71" s="189">
        <v>7.0000000000000007E-2</v>
      </c>
      <c r="P71" s="170">
        <f t="shared" si="6"/>
        <v>0</v>
      </c>
    </row>
    <row r="72" spans="1:16">
      <c r="A72" s="58"/>
      <c r="B72" s="275"/>
      <c r="C72" s="63"/>
      <c r="D72" s="196"/>
      <c r="E72" s="198"/>
      <c r="F72" s="61"/>
      <c r="G72" s="206"/>
      <c r="H72" s="74"/>
      <c r="I72" s="183"/>
      <c r="J72" s="175"/>
      <c r="K72" s="197"/>
      <c r="L72" s="194"/>
      <c r="M72" s="188">
        <v>8478.9599999999991</v>
      </c>
      <c r="N72" s="188">
        <f t="shared" si="4"/>
        <v>8224.5911999999989</v>
      </c>
      <c r="O72" s="189">
        <v>7.0000000000000007E-2</v>
      </c>
      <c r="P72" s="170">
        <f t="shared" si="6"/>
        <v>8800.3125839999993</v>
      </c>
    </row>
    <row r="73" spans="1:16">
      <c r="A73" s="58"/>
      <c r="B73" s="95"/>
      <c r="C73" s="63"/>
      <c r="D73" s="196"/>
      <c r="E73" s="142"/>
      <c r="F73" s="61"/>
      <c r="G73" s="206"/>
      <c r="H73" s="74"/>
      <c r="I73" s="183"/>
      <c r="J73" s="175"/>
      <c r="K73" s="197"/>
      <c r="L73" s="194"/>
      <c r="M73" s="188">
        <v>11122.62</v>
      </c>
      <c r="N73" s="188">
        <f t="shared" si="4"/>
        <v>10788.941400000002</v>
      </c>
      <c r="O73" s="189">
        <v>7.0000000000000007E-2</v>
      </c>
      <c r="P73" s="170">
        <f t="shared" si="6"/>
        <v>11544.167298000002</v>
      </c>
    </row>
    <row r="74" spans="1:16">
      <c r="A74" s="58"/>
      <c r="B74" s="95"/>
      <c r="C74" s="63"/>
      <c r="D74" s="196"/>
      <c r="E74" s="120"/>
      <c r="F74" s="121"/>
      <c r="G74" s="206"/>
      <c r="H74" s="115"/>
      <c r="I74" s="185"/>
      <c r="J74" s="175"/>
      <c r="K74" s="197"/>
      <c r="L74" s="194"/>
      <c r="M74" s="188">
        <v>3813.12</v>
      </c>
      <c r="N74" s="188">
        <f t="shared" si="4"/>
        <v>3698.7264</v>
      </c>
      <c r="O74" s="189">
        <v>7.0000000000000007E-2</v>
      </c>
      <c r="P74" s="170">
        <f t="shared" si="6"/>
        <v>3957.637248</v>
      </c>
    </row>
    <row r="75" spans="1:16">
      <c r="A75" s="58"/>
      <c r="B75" s="95"/>
      <c r="C75" s="63"/>
      <c r="D75" s="196"/>
      <c r="E75" s="249"/>
      <c r="F75" s="121"/>
      <c r="G75" s="206"/>
      <c r="H75" s="115"/>
      <c r="I75" s="185"/>
      <c r="J75" s="175"/>
      <c r="K75" s="197"/>
      <c r="L75" s="194"/>
    </row>
    <row r="76" spans="1:16">
      <c r="A76" s="58"/>
      <c r="B76" s="95"/>
      <c r="C76" s="63"/>
      <c r="D76" s="196"/>
      <c r="E76" s="249"/>
      <c r="F76" s="121"/>
      <c r="G76" s="206"/>
      <c r="H76" s="115"/>
      <c r="I76" s="185"/>
      <c r="J76" s="175"/>
      <c r="K76" s="197"/>
      <c r="L76" s="194"/>
    </row>
    <row r="77" spans="1:16">
      <c r="A77" s="58"/>
      <c r="B77" s="95"/>
      <c r="C77" s="63"/>
      <c r="D77" s="196"/>
      <c r="E77" s="249"/>
      <c r="F77" s="121"/>
      <c r="G77" s="206"/>
      <c r="H77" s="115"/>
      <c r="I77" s="185"/>
      <c r="J77" s="175"/>
      <c r="K77" s="197"/>
      <c r="L77" s="194"/>
    </row>
    <row r="78" spans="1:16">
      <c r="A78" s="58"/>
      <c r="B78" s="95"/>
      <c r="C78" s="63"/>
      <c r="D78" s="196"/>
      <c r="E78" s="249"/>
      <c r="F78" s="121"/>
      <c r="G78" s="206"/>
      <c r="H78" s="115"/>
      <c r="I78" s="185"/>
      <c r="J78" s="175"/>
      <c r="K78" s="197"/>
      <c r="L78" s="194"/>
    </row>
    <row r="79" spans="1:16">
      <c r="A79" s="58"/>
      <c r="B79" s="95"/>
      <c r="C79" s="63"/>
      <c r="D79" s="196"/>
      <c r="E79" s="249"/>
      <c r="F79" s="121"/>
      <c r="G79" s="206"/>
      <c r="H79" s="115"/>
      <c r="I79" s="185"/>
      <c r="J79" s="175"/>
      <c r="K79" s="197"/>
      <c r="L79" s="194"/>
    </row>
    <row r="80" spans="1:16" s="75" customFormat="1" ht="27.75" customHeight="1">
      <c r="A80" s="58"/>
      <c r="B80" s="95"/>
      <c r="C80" s="63"/>
      <c r="D80" s="196"/>
      <c r="E80" s="249"/>
      <c r="F80" s="121"/>
      <c r="G80" s="206"/>
      <c r="H80" s="115"/>
      <c r="I80" s="185"/>
      <c r="J80" s="175"/>
      <c r="K80" s="197"/>
      <c r="L80" s="194"/>
      <c r="M80" s="3444"/>
      <c r="N80" s="188"/>
      <c r="O80" s="189"/>
      <c r="P80" s="170"/>
    </row>
    <row r="81" spans="1:16">
      <c r="A81" s="58"/>
      <c r="B81" s="95"/>
      <c r="C81" s="63"/>
      <c r="D81" s="196"/>
      <c r="E81" s="249"/>
      <c r="F81" s="121"/>
      <c r="G81" s="206"/>
      <c r="H81" s="115"/>
      <c r="I81" s="185"/>
      <c r="J81" s="175"/>
      <c r="K81" s="197"/>
      <c r="L81" s="194"/>
    </row>
    <row r="82" spans="1:16">
      <c r="A82" s="58"/>
      <c r="B82" s="95"/>
      <c r="C82" s="63"/>
      <c r="D82" s="196"/>
      <c r="E82" s="249"/>
      <c r="F82" s="121"/>
      <c r="G82" s="206"/>
      <c r="H82" s="115"/>
      <c r="I82" s="185"/>
      <c r="J82" s="175"/>
      <c r="K82" s="197"/>
      <c r="L82" s="194"/>
    </row>
    <row r="83" spans="1:16">
      <c r="A83" s="58"/>
      <c r="B83" s="95"/>
      <c r="C83" s="63"/>
      <c r="D83" s="196"/>
      <c r="E83" s="249"/>
      <c r="F83" s="121"/>
      <c r="G83" s="206"/>
      <c r="H83" s="115"/>
      <c r="I83" s="185"/>
      <c r="J83" s="175"/>
      <c r="K83" s="197"/>
      <c r="L83" s="194"/>
    </row>
    <row r="84" spans="1:16">
      <c r="A84" s="58"/>
      <c r="B84" s="95"/>
      <c r="C84" s="63"/>
      <c r="D84" s="196"/>
      <c r="E84" s="249"/>
      <c r="F84" s="121"/>
      <c r="G84" s="206"/>
      <c r="H84" s="115"/>
      <c r="I84" s="185"/>
      <c r="J84" s="175"/>
      <c r="K84" s="197"/>
      <c r="L84" s="194"/>
    </row>
    <row r="85" spans="1:16">
      <c r="A85" s="44"/>
      <c r="B85" s="75"/>
      <c r="C85" s="68"/>
      <c r="D85" s="3444"/>
      <c r="E85" s="273"/>
      <c r="F85" s="274"/>
      <c r="G85" s="269"/>
      <c r="H85" s="270"/>
      <c r="I85" s="271"/>
      <c r="J85" s="171"/>
      <c r="K85" s="166"/>
      <c r="L85" s="168"/>
    </row>
    <row r="86" spans="1:16">
      <c r="A86" s="44" t="s">
        <v>0</v>
      </c>
      <c r="B86" s="127"/>
      <c r="C86" s="104"/>
      <c r="F86" s="68"/>
      <c r="I86" s="179"/>
      <c r="K86" s="163"/>
      <c r="L86" s="168"/>
    </row>
    <row r="87" spans="1:16" ht="35.25" customHeight="1">
      <c r="A87" s="3480" t="s">
        <v>2494</v>
      </c>
      <c r="B87" s="3480"/>
      <c r="C87" s="44"/>
      <c r="D87" s="109"/>
      <c r="F87" s="68"/>
      <c r="I87" s="179"/>
      <c r="K87" s="163"/>
      <c r="L87" s="168"/>
    </row>
    <row r="88" spans="1:16" ht="35.25" thickBot="1">
      <c r="F88" s="68"/>
    </row>
    <row r="89" spans="1:16">
      <c r="A89" s="3511" t="s">
        <v>2</v>
      </c>
      <c r="B89" s="3512"/>
      <c r="C89" s="65" t="s">
        <v>3</v>
      </c>
      <c r="D89" s="261" t="s">
        <v>4</v>
      </c>
      <c r="E89" s="77" t="s">
        <v>5</v>
      </c>
      <c r="F89" s="78" t="s">
        <v>5</v>
      </c>
      <c r="G89" s="211" t="s">
        <v>6</v>
      </c>
      <c r="H89" s="140" t="s">
        <v>7</v>
      </c>
      <c r="I89" s="180" t="s">
        <v>1511</v>
      </c>
      <c r="J89" s="172" t="s">
        <v>9</v>
      </c>
      <c r="K89" s="186" t="s">
        <v>9</v>
      </c>
      <c r="L89" s="192" t="s">
        <v>2495</v>
      </c>
      <c r="M89" s="190"/>
    </row>
    <row r="90" spans="1:16" ht="35.25" thickBot="1">
      <c r="A90" s="155"/>
      <c r="B90" s="138"/>
      <c r="C90" s="50"/>
      <c r="D90" s="262" t="s">
        <v>10</v>
      </c>
      <c r="E90" s="79" t="s">
        <v>11</v>
      </c>
      <c r="F90" s="80" t="s">
        <v>12</v>
      </c>
      <c r="G90" s="212"/>
      <c r="H90" s="141" t="s">
        <v>13</v>
      </c>
      <c r="I90" s="181" t="s">
        <v>1512</v>
      </c>
      <c r="J90" s="173" t="s">
        <v>15</v>
      </c>
      <c r="K90" s="187" t="s">
        <v>14</v>
      </c>
      <c r="L90" s="193" t="s">
        <v>2496</v>
      </c>
      <c r="M90" s="190"/>
    </row>
    <row r="91" spans="1:16" ht="39.75">
      <c r="A91" s="259"/>
      <c r="B91" s="276"/>
      <c r="C91" s="260"/>
      <c r="D91" s="263"/>
      <c r="E91" s="255"/>
      <c r="F91" s="54"/>
      <c r="G91" s="206"/>
      <c r="H91" s="74"/>
      <c r="I91" s="183"/>
      <c r="J91" s="175"/>
      <c r="K91" s="172"/>
      <c r="L91" s="194"/>
      <c r="M91" s="188">
        <v>3552</v>
      </c>
      <c r="N91" s="188">
        <f t="shared" ref="N91:N107" si="7">M91-(M91*0.03)</f>
        <v>3445.44</v>
      </c>
      <c r="O91" s="189">
        <v>7.0000000000000007E-2</v>
      </c>
      <c r="P91" s="170">
        <f t="shared" ref="P91:P107" si="8">(N91*O91)+N91</f>
        <v>3686.6208000000001</v>
      </c>
    </row>
    <row r="92" spans="1:16" ht="39.75">
      <c r="A92" s="157"/>
      <c r="B92" s="95"/>
      <c r="C92" s="228"/>
      <c r="D92" s="196"/>
      <c r="E92" s="142"/>
      <c r="F92" s="61"/>
      <c r="G92" s="206"/>
      <c r="H92" s="74"/>
      <c r="I92" s="183"/>
      <c r="J92" s="175"/>
      <c r="K92" s="176"/>
      <c r="L92" s="194"/>
      <c r="N92" s="188">
        <f t="shared" si="7"/>
        <v>0</v>
      </c>
      <c r="O92" s="189">
        <v>7.0000000000000007E-2</v>
      </c>
      <c r="P92" s="170">
        <f t="shared" si="8"/>
        <v>0</v>
      </c>
    </row>
    <row r="93" spans="1:16" ht="39.75">
      <c r="A93" s="157"/>
      <c r="B93" s="95"/>
      <c r="C93" s="228"/>
      <c r="D93" s="196"/>
      <c r="E93" s="142"/>
      <c r="F93" s="61"/>
      <c r="G93" s="206"/>
      <c r="H93" s="74"/>
      <c r="I93" s="183"/>
      <c r="J93" s="175"/>
      <c r="K93" s="245"/>
      <c r="L93" s="194"/>
      <c r="M93" s="188">
        <v>9498.06</v>
      </c>
      <c r="N93" s="188">
        <f t="shared" si="7"/>
        <v>9213.118199999999</v>
      </c>
      <c r="O93" s="189">
        <v>7.0000000000000007E-2</v>
      </c>
      <c r="P93" s="170">
        <f t="shared" si="8"/>
        <v>9858.0364739999986</v>
      </c>
    </row>
    <row r="94" spans="1:16" ht="39.75">
      <c r="A94" s="157"/>
      <c r="B94" s="95"/>
      <c r="C94" s="228"/>
      <c r="D94" s="196"/>
      <c r="E94" s="142"/>
      <c r="F94" s="61"/>
      <c r="G94" s="206"/>
      <c r="H94" s="74"/>
      <c r="I94" s="183"/>
      <c r="J94" s="175"/>
      <c r="K94" s="197"/>
      <c r="L94" s="194"/>
      <c r="M94" s="188">
        <v>15305.4</v>
      </c>
      <c r="N94" s="188">
        <f t="shared" si="7"/>
        <v>14846.237999999999</v>
      </c>
      <c r="O94" s="189">
        <v>7.0000000000000007E-2</v>
      </c>
      <c r="P94" s="170">
        <f t="shared" si="8"/>
        <v>15885.47466</v>
      </c>
    </row>
    <row r="95" spans="1:16" ht="39.75">
      <c r="A95" s="157"/>
      <c r="B95" s="95"/>
      <c r="C95" s="228"/>
      <c r="D95" s="196"/>
      <c r="E95" s="142"/>
      <c r="F95" s="61"/>
      <c r="G95" s="206"/>
      <c r="H95" s="74"/>
      <c r="I95" s="183"/>
      <c r="J95" s="175"/>
      <c r="K95" s="197"/>
      <c r="L95" s="194"/>
      <c r="N95" s="188">
        <f t="shared" si="7"/>
        <v>0</v>
      </c>
      <c r="O95" s="189">
        <v>7.0000000000000007E-2</v>
      </c>
      <c r="P95" s="170">
        <f t="shared" si="8"/>
        <v>0</v>
      </c>
    </row>
    <row r="96" spans="1:16" ht="39.75">
      <c r="A96" s="157"/>
      <c r="B96" s="95"/>
      <c r="C96" s="228"/>
      <c r="D96" s="196"/>
      <c r="E96" s="142"/>
      <c r="F96" s="61"/>
      <c r="G96" s="206"/>
      <c r="H96" s="74"/>
      <c r="I96" s="183"/>
      <c r="J96" s="175"/>
      <c r="K96" s="197"/>
      <c r="L96" s="194"/>
      <c r="N96" s="188">
        <f t="shared" si="7"/>
        <v>0</v>
      </c>
      <c r="O96" s="189">
        <v>7.0000000000000007E-2</v>
      </c>
      <c r="P96" s="170">
        <f t="shared" si="8"/>
        <v>0</v>
      </c>
    </row>
    <row r="97" spans="1:16">
      <c r="A97" s="157"/>
      <c r="B97" s="95"/>
      <c r="C97" s="63"/>
      <c r="D97" s="196"/>
      <c r="E97" s="142"/>
      <c r="F97" s="61"/>
      <c r="G97" s="206"/>
      <c r="H97" s="74"/>
      <c r="I97" s="183"/>
      <c r="J97" s="175"/>
      <c r="K97" s="197"/>
      <c r="L97" s="194"/>
      <c r="N97" s="188">
        <f t="shared" si="7"/>
        <v>0</v>
      </c>
      <c r="O97" s="189">
        <v>7.0000000000000007E-2</v>
      </c>
      <c r="P97" s="170">
        <f t="shared" si="8"/>
        <v>0</v>
      </c>
    </row>
    <row r="98" spans="1:16" ht="35.25" thickBot="1">
      <c r="A98" s="157"/>
      <c r="B98" s="95"/>
      <c r="C98" s="222"/>
      <c r="D98" s="254"/>
      <c r="E98" s="142"/>
      <c r="F98" s="61"/>
      <c r="G98" s="223"/>
      <c r="H98" s="224"/>
      <c r="I98" s="225"/>
      <c r="J98" s="209"/>
      <c r="K98" s="244"/>
      <c r="M98" s="188">
        <v>14244.12</v>
      </c>
      <c r="N98" s="188">
        <f t="shared" si="7"/>
        <v>13816.796400000001</v>
      </c>
      <c r="O98" s="189">
        <v>7.0000000000000007E-2</v>
      </c>
      <c r="P98" s="170">
        <f t="shared" si="8"/>
        <v>14783.972148000001</v>
      </c>
    </row>
    <row r="99" spans="1:16">
      <c r="A99" s="157"/>
      <c r="B99" s="95"/>
      <c r="C99" s="63"/>
      <c r="D99" s="252"/>
      <c r="E99" s="142"/>
      <c r="F99" s="61"/>
      <c r="G99" s="52"/>
      <c r="H99" s="57"/>
      <c r="I99" s="53"/>
      <c r="J99" s="175"/>
      <c r="K99" s="197"/>
      <c r="L99" s="194"/>
      <c r="M99" s="188">
        <v>3240</v>
      </c>
      <c r="N99" s="188">
        <f t="shared" si="7"/>
        <v>3142.8</v>
      </c>
      <c r="O99" s="189">
        <v>7.0000000000000007E-2</v>
      </c>
      <c r="P99" s="170">
        <f t="shared" si="8"/>
        <v>3362.7960000000003</v>
      </c>
    </row>
    <row r="100" spans="1:16">
      <c r="A100" s="157"/>
      <c r="B100" s="95"/>
      <c r="C100" s="63"/>
      <c r="D100" s="252"/>
      <c r="E100" s="142"/>
      <c r="F100" s="61"/>
      <c r="G100" s="52"/>
      <c r="H100" s="63"/>
      <c r="I100" s="59"/>
      <c r="J100" s="175"/>
      <c r="K100" s="197"/>
      <c r="L100" s="194"/>
      <c r="M100" s="188">
        <v>14700</v>
      </c>
      <c r="N100" s="188">
        <f t="shared" si="7"/>
        <v>14259</v>
      </c>
      <c r="O100" s="189">
        <v>7.0000000000000007E-2</v>
      </c>
      <c r="P100" s="170">
        <f t="shared" si="8"/>
        <v>15257.130000000001</v>
      </c>
    </row>
    <row r="101" spans="1:16">
      <c r="A101" s="157"/>
      <c r="B101" s="277"/>
      <c r="C101" s="63"/>
      <c r="D101" s="252"/>
      <c r="E101" s="256"/>
      <c r="F101" s="238"/>
      <c r="G101" s="52"/>
      <c r="H101" s="63"/>
      <c r="I101" s="59"/>
      <c r="J101" s="209"/>
      <c r="K101" s="226"/>
      <c r="L101" s="229"/>
      <c r="M101" s="188">
        <v>14582.7</v>
      </c>
      <c r="N101" s="188">
        <f t="shared" si="7"/>
        <v>14145.219000000001</v>
      </c>
      <c r="O101" s="189">
        <v>7.0000000000000007E-2</v>
      </c>
      <c r="P101" s="170">
        <f t="shared" si="8"/>
        <v>15135.384330000001</v>
      </c>
    </row>
    <row r="102" spans="1:16">
      <c r="A102" s="157"/>
      <c r="B102" s="74"/>
      <c r="C102" s="63"/>
      <c r="D102" s="252"/>
      <c r="E102" s="142"/>
      <c r="F102" s="61"/>
      <c r="G102" s="52"/>
      <c r="H102" s="63"/>
      <c r="I102" s="59"/>
      <c r="J102" s="175"/>
      <c r="K102" s="197"/>
      <c r="L102" s="229"/>
      <c r="M102" s="188">
        <v>13483.8</v>
      </c>
      <c r="N102" s="188">
        <f t="shared" si="7"/>
        <v>13079.286</v>
      </c>
      <c r="O102" s="189">
        <v>7.0000000000000007E-2</v>
      </c>
      <c r="P102" s="170">
        <f t="shared" si="8"/>
        <v>13994.836020000001</v>
      </c>
    </row>
    <row r="103" spans="1:16">
      <c r="A103" s="157"/>
      <c r="B103" s="82"/>
      <c r="C103" s="63"/>
      <c r="D103" s="252"/>
      <c r="E103" s="142"/>
      <c r="F103" s="61"/>
      <c r="G103" s="52"/>
      <c r="H103" s="63"/>
      <c r="I103" s="59"/>
      <c r="J103" s="209"/>
      <c r="K103" s="226"/>
      <c r="L103" s="229"/>
      <c r="M103" s="188">
        <v>2669.52</v>
      </c>
      <c r="N103" s="188">
        <f t="shared" si="7"/>
        <v>2589.4344000000001</v>
      </c>
      <c r="O103" s="189">
        <v>7.0000000000000007E-2</v>
      </c>
      <c r="P103" s="170">
        <f t="shared" si="8"/>
        <v>2770.6948080000002</v>
      </c>
    </row>
    <row r="104" spans="1:16">
      <c r="A104" s="157"/>
      <c r="B104" s="74"/>
      <c r="C104" s="63"/>
      <c r="D104" s="264"/>
      <c r="E104" s="142"/>
      <c r="F104" s="61"/>
      <c r="G104" s="64"/>
      <c r="H104" s="63"/>
      <c r="I104" s="59"/>
      <c r="J104" s="209"/>
      <c r="K104" s="226"/>
      <c r="L104" s="229"/>
      <c r="N104" s="188">
        <f t="shared" si="7"/>
        <v>0</v>
      </c>
      <c r="O104" s="189">
        <v>7.0000000000000007E-2</v>
      </c>
      <c r="P104" s="170">
        <f t="shared" si="8"/>
        <v>0</v>
      </c>
    </row>
    <row r="105" spans="1:16">
      <c r="A105" s="221"/>
      <c r="B105" s="82"/>
      <c r="C105" s="63"/>
      <c r="D105" s="252"/>
      <c r="E105" s="142"/>
      <c r="F105" s="61"/>
      <c r="G105" s="64"/>
      <c r="H105" s="63"/>
      <c r="I105" s="59"/>
      <c r="J105" s="209"/>
      <c r="K105" s="226"/>
      <c r="L105" s="229"/>
      <c r="M105" s="188">
        <v>12972.96</v>
      </c>
      <c r="N105" s="188">
        <f t="shared" si="7"/>
        <v>12583.771199999999</v>
      </c>
      <c r="O105" s="189">
        <v>7.0000000000000007E-2</v>
      </c>
      <c r="P105" s="170">
        <f t="shared" si="8"/>
        <v>13464.635183999999</v>
      </c>
    </row>
    <row r="106" spans="1:16">
      <c r="A106" s="157"/>
      <c r="B106" s="82"/>
      <c r="C106" s="63"/>
      <c r="D106" s="252"/>
      <c r="E106" s="142"/>
      <c r="F106" s="61"/>
      <c r="G106" s="64"/>
      <c r="H106" s="63"/>
      <c r="I106" s="59"/>
      <c r="J106" s="209"/>
      <c r="K106" s="197"/>
      <c r="L106" s="229"/>
      <c r="M106" s="188">
        <v>12687.84</v>
      </c>
      <c r="N106" s="188">
        <f t="shared" si="7"/>
        <v>12307.2048</v>
      </c>
      <c r="O106" s="189">
        <v>7.0000000000000007E-2</v>
      </c>
      <c r="P106" s="170">
        <f t="shared" si="8"/>
        <v>13168.709135999999</v>
      </c>
    </row>
    <row r="107" spans="1:16">
      <c r="A107" s="157"/>
      <c r="B107" s="82"/>
      <c r="C107" s="63"/>
      <c r="D107" s="252"/>
      <c r="E107" s="142"/>
      <c r="F107" s="61"/>
      <c r="G107" s="64"/>
      <c r="H107" s="63"/>
      <c r="I107" s="59"/>
      <c r="J107" s="175"/>
      <c r="K107" s="197"/>
      <c r="L107" s="194"/>
      <c r="M107" s="188">
        <v>16572.599999999999</v>
      </c>
      <c r="N107" s="188">
        <f t="shared" si="7"/>
        <v>16075.421999999999</v>
      </c>
      <c r="O107" s="189">
        <v>7.0000000000000007E-2</v>
      </c>
      <c r="P107" s="170">
        <f t="shared" si="8"/>
        <v>17200.701539999998</v>
      </c>
    </row>
    <row r="108" spans="1:16">
      <c r="A108" s="157"/>
      <c r="B108" s="97"/>
      <c r="C108" s="63"/>
      <c r="D108" s="252"/>
      <c r="E108" s="100"/>
      <c r="F108" s="61"/>
      <c r="G108" s="64"/>
      <c r="H108" s="63"/>
      <c r="I108" s="59"/>
      <c r="J108" s="175"/>
      <c r="K108" s="197"/>
      <c r="L108" s="194"/>
      <c r="M108" s="188">
        <v>6021.12</v>
      </c>
      <c r="N108" s="188">
        <f>M108-(M108*0.03)</f>
        <v>5840.4863999999998</v>
      </c>
      <c r="O108" s="189">
        <v>7.0000000000000007E-2</v>
      </c>
      <c r="P108" s="170">
        <f>(N108*O108)+N108</f>
        <v>6249.3204479999995</v>
      </c>
    </row>
    <row r="109" spans="1:16">
      <c r="A109" s="157"/>
      <c r="B109" s="95"/>
      <c r="C109" s="63"/>
      <c r="D109" s="252"/>
      <c r="E109" s="100"/>
      <c r="F109" s="61"/>
      <c r="G109" s="64"/>
      <c r="H109" s="63"/>
      <c r="I109" s="59"/>
      <c r="J109" s="175"/>
      <c r="K109" s="197"/>
      <c r="L109" s="194"/>
      <c r="M109" s="188">
        <v>8714.16</v>
      </c>
      <c r="N109" s="188">
        <f>M109-(M109*0.03)</f>
        <v>8452.7351999999992</v>
      </c>
      <c r="O109" s="189">
        <v>7.0000000000000007E-2</v>
      </c>
      <c r="P109" s="170">
        <f>(N109*O109)+N109</f>
        <v>9044.4266639999987</v>
      </c>
    </row>
    <row r="110" spans="1:16">
      <c r="A110" s="157"/>
      <c r="B110" s="95"/>
      <c r="C110" s="63"/>
      <c r="D110" s="196"/>
      <c r="E110" s="100"/>
      <c r="F110" s="61"/>
      <c r="G110" s="64"/>
      <c r="H110" s="63"/>
      <c r="I110" s="59"/>
      <c r="J110" s="175"/>
      <c r="K110" s="197"/>
      <c r="L110" s="194"/>
      <c r="M110" s="188">
        <v>0</v>
      </c>
      <c r="N110" s="188">
        <f>M110-(M110*0.03)</f>
        <v>0</v>
      </c>
      <c r="O110" s="189">
        <v>7.0000000000000007E-2</v>
      </c>
      <c r="P110" s="170">
        <f t="shared" ref="P110:P116" si="9">(N110*O110)+N110</f>
        <v>0</v>
      </c>
    </row>
    <row r="111" spans="1:16">
      <c r="A111" s="157"/>
      <c r="B111" s="95"/>
      <c r="C111" s="63"/>
      <c r="D111" s="196"/>
      <c r="E111" s="100"/>
      <c r="F111" s="61"/>
      <c r="G111" s="206"/>
      <c r="H111" s="74"/>
      <c r="I111" s="183"/>
      <c r="J111" s="175"/>
      <c r="K111" s="197"/>
      <c r="L111" s="194"/>
      <c r="M111" s="188">
        <v>18537.7</v>
      </c>
      <c r="N111" s="188">
        <f>M111-(M111*0.03)</f>
        <v>17981.569</v>
      </c>
      <c r="O111" s="189">
        <v>7.0000000000000007E-2</v>
      </c>
      <c r="P111" s="170">
        <f t="shared" si="9"/>
        <v>19240.278829999999</v>
      </c>
    </row>
    <row r="112" spans="1:16">
      <c r="A112" s="158"/>
      <c r="B112" s="95"/>
      <c r="C112" s="63"/>
      <c r="D112" s="196"/>
      <c r="E112" s="60"/>
      <c r="F112" s="61"/>
      <c r="G112" s="206"/>
      <c r="H112" s="74"/>
      <c r="I112" s="183"/>
      <c r="J112" s="175"/>
      <c r="K112" s="197"/>
      <c r="L112" s="194"/>
      <c r="M112" s="188">
        <v>9031.68</v>
      </c>
      <c r="N112" s="188">
        <f t="shared" ref="N112:N120" si="10">M112-(M112*0.03)</f>
        <v>8760.7296000000006</v>
      </c>
      <c r="O112" s="189">
        <v>7.0000000000000007E-2</v>
      </c>
      <c r="P112" s="170">
        <f t="shared" si="9"/>
        <v>9373.9806720000015</v>
      </c>
    </row>
    <row r="113" spans="1:16">
      <c r="A113" s="200"/>
      <c r="B113" s="95"/>
      <c r="C113" s="63"/>
      <c r="D113" s="196"/>
      <c r="E113" s="198"/>
      <c r="F113" s="61"/>
      <c r="G113" s="206"/>
      <c r="H113" s="88"/>
      <c r="I113" s="184"/>
      <c r="J113" s="201"/>
      <c r="K113" s="202"/>
      <c r="L113" s="194"/>
      <c r="N113" s="188">
        <f t="shared" si="10"/>
        <v>0</v>
      </c>
      <c r="O113" s="189">
        <v>7.0000000000000007E-2</v>
      </c>
      <c r="P113" s="170">
        <f t="shared" si="9"/>
        <v>0</v>
      </c>
    </row>
    <row r="114" spans="1:16">
      <c r="A114" s="157"/>
      <c r="B114" s="267"/>
      <c r="C114" s="63"/>
      <c r="D114" s="196"/>
      <c r="E114" s="198"/>
      <c r="F114" s="61"/>
      <c r="G114" s="206"/>
      <c r="H114" s="74"/>
      <c r="I114" s="183"/>
      <c r="J114" s="175"/>
      <c r="K114" s="197"/>
      <c r="L114" s="194"/>
      <c r="M114" s="188">
        <v>8478.9599999999991</v>
      </c>
      <c r="N114" s="188">
        <f t="shared" si="10"/>
        <v>8224.5911999999989</v>
      </c>
      <c r="O114" s="189">
        <v>7.0000000000000007E-2</v>
      </c>
      <c r="P114" s="170">
        <f t="shared" si="9"/>
        <v>8800.3125839999993</v>
      </c>
    </row>
    <row r="115" spans="1:16">
      <c r="A115" s="157"/>
      <c r="B115" s="267"/>
      <c r="C115" s="63"/>
      <c r="D115" s="196"/>
      <c r="E115" s="142"/>
      <c r="F115" s="61"/>
      <c r="G115" s="206"/>
      <c r="H115" s="74"/>
      <c r="I115" s="183"/>
      <c r="J115" s="175"/>
      <c r="K115" s="197"/>
      <c r="L115" s="194"/>
      <c r="M115" s="188">
        <v>11122.62</v>
      </c>
      <c r="N115" s="188">
        <f t="shared" si="10"/>
        <v>10788.941400000002</v>
      </c>
      <c r="O115" s="189">
        <v>7.0000000000000007E-2</v>
      </c>
      <c r="P115" s="170">
        <f t="shared" si="9"/>
        <v>11544.167298000002</v>
      </c>
    </row>
    <row r="116" spans="1:16">
      <c r="A116" s="157"/>
      <c r="B116" s="96"/>
      <c r="C116" s="63"/>
      <c r="D116" s="196"/>
      <c r="E116" s="120"/>
      <c r="F116" s="121"/>
      <c r="G116" s="206"/>
      <c r="H116" s="115"/>
      <c r="I116" s="185"/>
      <c r="J116" s="175"/>
      <c r="K116" s="197"/>
      <c r="L116" s="194"/>
      <c r="M116" s="188">
        <v>3813.12</v>
      </c>
      <c r="N116" s="188">
        <f t="shared" si="10"/>
        <v>3698.7264</v>
      </c>
      <c r="O116" s="189">
        <v>7.0000000000000007E-2</v>
      </c>
      <c r="P116" s="170">
        <f t="shared" si="9"/>
        <v>3957.637248</v>
      </c>
    </row>
    <row r="117" spans="1:16">
      <c r="A117" s="157"/>
      <c r="B117" s="95"/>
      <c r="C117" s="63"/>
      <c r="D117" s="196"/>
      <c r="E117" s="249"/>
      <c r="F117" s="121"/>
      <c r="G117" s="206"/>
      <c r="H117" s="115"/>
      <c r="I117" s="185"/>
      <c r="J117" s="175"/>
      <c r="K117" s="197"/>
      <c r="L117" s="194"/>
    </row>
    <row r="118" spans="1:16">
      <c r="A118" s="157"/>
      <c r="B118" s="96"/>
      <c r="C118" s="63"/>
      <c r="D118" s="196"/>
      <c r="E118" s="249"/>
      <c r="F118" s="121"/>
      <c r="G118" s="206"/>
      <c r="H118" s="115"/>
      <c r="I118" s="185"/>
      <c r="J118" s="175"/>
      <c r="K118" s="197"/>
      <c r="L118" s="194"/>
    </row>
    <row r="119" spans="1:16">
      <c r="A119" s="157"/>
      <c r="B119" s="126"/>
      <c r="C119" s="63"/>
      <c r="D119" s="196"/>
      <c r="E119" s="249"/>
      <c r="F119" s="121"/>
      <c r="G119" s="206"/>
      <c r="H119" s="115"/>
      <c r="I119" s="185"/>
      <c r="J119" s="175"/>
      <c r="K119" s="197"/>
      <c r="L119" s="194"/>
    </row>
    <row r="120" spans="1:16">
      <c r="A120" s="157"/>
      <c r="B120" s="131"/>
      <c r="C120" s="63"/>
      <c r="D120" s="196"/>
      <c r="E120" s="142"/>
      <c r="F120" s="61"/>
      <c r="G120" s="206"/>
      <c r="H120" s="74"/>
      <c r="I120" s="183"/>
      <c r="J120" s="175"/>
      <c r="K120" s="197"/>
      <c r="L120" s="194"/>
      <c r="M120" s="188">
        <v>8640</v>
      </c>
      <c r="N120" s="188">
        <f t="shared" si="10"/>
        <v>8380.7999999999993</v>
      </c>
      <c r="O120" s="189">
        <v>7.0000000000000007E-2</v>
      </c>
      <c r="P120" s="170">
        <f>(N120*O120)+N120</f>
        <v>8967.4559999999983</v>
      </c>
    </row>
    <row r="121" spans="1:16" ht="35.25" thickBot="1">
      <c r="A121" s="160"/>
      <c r="B121" s="126"/>
      <c r="C121" s="63"/>
      <c r="D121" s="196"/>
      <c r="E121" s="257"/>
      <c r="F121" s="258"/>
      <c r="G121" s="206"/>
      <c r="H121" s="115"/>
      <c r="I121" s="185"/>
      <c r="J121" s="174"/>
      <c r="K121" s="195"/>
      <c r="L121" s="194"/>
    </row>
    <row r="122" spans="1:16" ht="35.25" customHeight="1">
      <c r="A122" s="157"/>
      <c r="B122" s="131"/>
      <c r="C122" s="63"/>
      <c r="D122" s="196"/>
      <c r="E122" s="142"/>
      <c r="F122" s="61"/>
      <c r="G122" s="206"/>
      <c r="H122" s="74"/>
      <c r="I122" s="183"/>
      <c r="J122" s="175"/>
      <c r="K122" s="197"/>
      <c r="L122" s="194"/>
      <c r="M122" s="3444"/>
    </row>
    <row r="123" spans="1:16" ht="35.25" customHeight="1">
      <c r="A123" s="157"/>
      <c r="B123" s="131"/>
      <c r="C123" s="63"/>
      <c r="D123" s="196"/>
      <c r="E123" s="198"/>
      <c r="F123" s="280"/>
      <c r="G123" s="206"/>
      <c r="H123" s="74"/>
      <c r="I123" s="183"/>
      <c r="J123" s="175"/>
      <c r="K123" s="197"/>
      <c r="L123" s="194"/>
      <c r="M123" s="3444"/>
    </row>
    <row r="124" spans="1:16" ht="35.25" customHeight="1">
      <c r="A124" s="157"/>
      <c r="B124" s="131"/>
      <c r="C124" s="63"/>
      <c r="D124" s="196"/>
      <c r="E124" s="198"/>
      <c r="F124" s="280"/>
      <c r="G124" s="206"/>
      <c r="H124" s="74"/>
      <c r="I124" s="183"/>
      <c r="J124" s="175"/>
      <c r="K124" s="197"/>
      <c r="L124" s="194"/>
      <c r="M124" s="3444"/>
    </row>
    <row r="125" spans="1:16" ht="35.25" thickBot="1">
      <c r="A125" s="160"/>
      <c r="B125" s="126"/>
      <c r="C125" s="63"/>
      <c r="D125" s="196"/>
      <c r="E125" s="257"/>
      <c r="F125" s="258"/>
      <c r="G125" s="206"/>
      <c r="H125" s="115"/>
      <c r="I125" s="185"/>
      <c r="J125" s="174"/>
      <c r="K125" s="195"/>
      <c r="L125" s="194"/>
    </row>
    <row r="126" spans="1:16">
      <c r="A126" s="44"/>
      <c r="B126" s="127"/>
      <c r="C126" s="104"/>
      <c r="F126" s="68"/>
      <c r="I126" s="179"/>
      <c r="K126" s="163"/>
      <c r="L126" s="168"/>
    </row>
    <row r="127" spans="1:16">
      <c r="A127" s="44" t="s">
        <v>0</v>
      </c>
      <c r="B127" s="127"/>
      <c r="C127" s="104"/>
      <c r="F127" s="68"/>
      <c r="I127" s="179"/>
      <c r="K127" s="163"/>
      <c r="L127" s="168"/>
    </row>
    <row r="128" spans="1:16" ht="35.25" customHeight="1">
      <c r="A128" s="3480" t="s">
        <v>2494</v>
      </c>
      <c r="B128" s="3480"/>
      <c r="C128" s="44"/>
      <c r="D128" s="109"/>
      <c r="F128" s="68"/>
      <c r="I128" s="179"/>
      <c r="K128" s="163"/>
      <c r="L128" s="168"/>
    </row>
    <row r="129" spans="1:16" ht="35.25" thickBot="1">
      <c r="F129" s="68"/>
    </row>
    <row r="130" spans="1:16">
      <c r="A130" s="3493" t="s">
        <v>2</v>
      </c>
      <c r="B130" s="3482"/>
      <c r="C130" s="48" t="s">
        <v>3</v>
      </c>
      <c r="D130" s="128" t="s">
        <v>4</v>
      </c>
      <c r="E130" s="77" t="s">
        <v>5</v>
      </c>
      <c r="F130" s="78" t="s">
        <v>5</v>
      </c>
      <c r="G130" s="211" t="s">
        <v>6</v>
      </c>
      <c r="H130" s="140" t="s">
        <v>7</v>
      </c>
      <c r="I130" s="180" t="s">
        <v>1511</v>
      </c>
      <c r="J130" s="172" t="s">
        <v>9</v>
      </c>
      <c r="K130" s="186" t="s">
        <v>9</v>
      </c>
      <c r="L130" s="192" t="s">
        <v>2495</v>
      </c>
      <c r="M130" s="190"/>
    </row>
    <row r="131" spans="1:16" ht="35.25" thickBot="1">
      <c r="A131" s="155"/>
      <c r="B131" s="138"/>
      <c r="C131" s="50"/>
      <c r="D131" s="129" t="s">
        <v>10</v>
      </c>
      <c r="E131" s="79" t="s">
        <v>11</v>
      </c>
      <c r="F131" s="80" t="s">
        <v>12</v>
      </c>
      <c r="G131" s="212"/>
      <c r="H131" s="141" t="s">
        <v>13</v>
      </c>
      <c r="I131" s="181" t="s">
        <v>1512</v>
      </c>
      <c r="J131" s="173" t="s">
        <v>15</v>
      </c>
      <c r="K131" s="187" t="s">
        <v>14</v>
      </c>
      <c r="L131" s="193" t="s">
        <v>2496</v>
      </c>
      <c r="M131" s="190"/>
    </row>
    <row r="132" spans="1:16">
      <c r="A132" s="156"/>
      <c r="B132" s="268"/>
      <c r="C132" s="63"/>
      <c r="D132" s="199"/>
      <c r="E132" s="143"/>
      <c r="F132" s="69"/>
      <c r="G132" s="206"/>
      <c r="H132" s="74"/>
      <c r="I132" s="183"/>
      <c r="J132" s="175"/>
      <c r="K132" s="172"/>
      <c r="L132" s="194"/>
      <c r="M132" s="188">
        <v>3552</v>
      </c>
      <c r="N132" s="188">
        <f t="shared" ref="N132:N148" si="11">M132-(M132*0.03)</f>
        <v>3445.44</v>
      </c>
      <c r="O132" s="189">
        <v>7.0000000000000007E-2</v>
      </c>
      <c r="P132" s="170">
        <f t="shared" ref="P132:P148" si="12">(N132*O132)+N132</f>
        <v>3686.6208000000001</v>
      </c>
    </row>
    <row r="133" spans="1:16">
      <c r="A133" s="157"/>
      <c r="B133" s="96"/>
      <c r="C133" s="63"/>
      <c r="D133" s="199"/>
      <c r="E133" s="145"/>
      <c r="F133" s="61"/>
      <c r="G133" s="206"/>
      <c r="H133" s="74"/>
      <c r="I133" s="183"/>
      <c r="J133" s="175"/>
      <c r="K133" s="176"/>
      <c r="L133" s="194"/>
      <c r="N133" s="188">
        <f t="shared" si="11"/>
        <v>0</v>
      </c>
      <c r="O133" s="189">
        <v>7.0000000000000007E-2</v>
      </c>
      <c r="P133" s="170">
        <f t="shared" si="12"/>
        <v>0</v>
      </c>
    </row>
    <row r="134" spans="1:16">
      <c r="A134" s="157"/>
      <c r="B134" s="96"/>
      <c r="C134" s="63"/>
      <c r="D134" s="199"/>
      <c r="E134" s="145"/>
      <c r="F134" s="61"/>
      <c r="G134" s="206"/>
      <c r="H134" s="74"/>
      <c r="I134" s="183"/>
      <c r="J134" s="175"/>
      <c r="K134" s="245"/>
      <c r="L134" s="194"/>
      <c r="M134" s="188">
        <v>9498.06</v>
      </c>
      <c r="N134" s="188">
        <f t="shared" si="11"/>
        <v>9213.118199999999</v>
      </c>
      <c r="O134" s="189">
        <v>7.0000000000000007E-2</v>
      </c>
      <c r="P134" s="170">
        <f t="shared" si="12"/>
        <v>9858.0364739999986</v>
      </c>
    </row>
    <row r="135" spans="1:16">
      <c r="A135" s="157"/>
      <c r="B135" s="95"/>
      <c r="C135" s="63"/>
      <c r="D135" s="199"/>
      <c r="E135" s="145"/>
      <c r="F135" s="61"/>
      <c r="G135" s="206"/>
      <c r="H135" s="74"/>
      <c r="I135" s="183"/>
      <c r="J135" s="175"/>
      <c r="K135" s="197"/>
      <c r="L135" s="194"/>
      <c r="M135" s="188">
        <v>15305.4</v>
      </c>
      <c r="N135" s="188">
        <f t="shared" si="11"/>
        <v>14846.237999999999</v>
      </c>
      <c r="O135" s="189">
        <v>7.0000000000000007E-2</v>
      </c>
      <c r="P135" s="170">
        <f t="shared" si="12"/>
        <v>15885.47466</v>
      </c>
    </row>
    <row r="136" spans="1:16">
      <c r="A136" s="157"/>
      <c r="B136" s="74"/>
      <c r="C136" s="63"/>
      <c r="D136" s="199"/>
      <c r="E136" s="145"/>
      <c r="F136" s="61"/>
      <c r="G136" s="206"/>
      <c r="H136" s="74"/>
      <c r="I136" s="183"/>
      <c r="J136" s="175"/>
      <c r="K136" s="197"/>
      <c r="L136" s="194"/>
      <c r="N136" s="188">
        <f t="shared" si="11"/>
        <v>0</v>
      </c>
      <c r="O136" s="189">
        <v>7.0000000000000007E-2</v>
      </c>
      <c r="P136" s="170">
        <f t="shared" si="12"/>
        <v>0</v>
      </c>
    </row>
    <row r="137" spans="1:16">
      <c r="A137" s="157"/>
      <c r="B137" s="74"/>
      <c r="C137" s="63"/>
      <c r="D137" s="199"/>
      <c r="E137" s="145"/>
      <c r="F137" s="61"/>
      <c r="G137" s="206"/>
      <c r="H137" s="74"/>
      <c r="I137" s="183"/>
      <c r="J137" s="175"/>
      <c r="K137" s="197"/>
      <c r="L137" s="194"/>
      <c r="N137" s="188">
        <f t="shared" si="11"/>
        <v>0</v>
      </c>
      <c r="O137" s="189">
        <v>7.0000000000000007E-2</v>
      </c>
      <c r="P137" s="170">
        <f t="shared" si="12"/>
        <v>0</v>
      </c>
    </row>
    <row r="138" spans="1:16">
      <c r="A138" s="157"/>
      <c r="B138" s="96"/>
      <c r="C138" s="63"/>
      <c r="D138" s="199"/>
      <c r="E138" s="145"/>
      <c r="F138" s="61"/>
      <c r="G138" s="206"/>
      <c r="H138" s="74"/>
      <c r="I138" s="183"/>
      <c r="J138" s="175"/>
      <c r="K138" s="197"/>
      <c r="L138" s="194"/>
      <c r="N138" s="188">
        <f t="shared" si="11"/>
        <v>0</v>
      </c>
      <c r="O138" s="189">
        <v>7.0000000000000007E-2</v>
      </c>
      <c r="P138" s="170">
        <f t="shared" si="12"/>
        <v>0</v>
      </c>
    </row>
    <row r="139" spans="1:16">
      <c r="A139" s="157"/>
      <c r="B139" s="95"/>
      <c r="C139" s="222"/>
      <c r="D139" s="3464"/>
      <c r="E139" s="145"/>
      <c r="F139" s="61"/>
      <c r="G139" s="223"/>
      <c r="H139" s="224"/>
      <c r="I139" s="225"/>
      <c r="J139" s="209"/>
      <c r="K139" s="244"/>
      <c r="M139" s="188">
        <v>14244.12</v>
      </c>
      <c r="N139" s="188">
        <f t="shared" si="11"/>
        <v>13816.796400000001</v>
      </c>
      <c r="O139" s="189">
        <v>7.0000000000000007E-2</v>
      </c>
      <c r="P139" s="170">
        <f t="shared" si="12"/>
        <v>14783.972148000001</v>
      </c>
    </row>
    <row r="140" spans="1:16">
      <c r="A140" s="157"/>
      <c r="B140" s="95"/>
      <c r="C140" s="63"/>
      <c r="D140" s="199"/>
      <c r="E140" s="145"/>
      <c r="F140" s="61"/>
      <c r="G140" s="206"/>
      <c r="H140" s="74"/>
      <c r="I140" s="183"/>
      <c r="J140" s="175"/>
      <c r="K140" s="197"/>
      <c r="L140" s="194"/>
      <c r="M140" s="188">
        <v>3240</v>
      </c>
      <c r="N140" s="188">
        <f t="shared" si="11"/>
        <v>3142.8</v>
      </c>
      <c r="O140" s="189">
        <v>7.0000000000000007E-2</v>
      </c>
      <c r="P140" s="170">
        <f t="shared" si="12"/>
        <v>3362.7960000000003</v>
      </c>
    </row>
    <row r="141" spans="1:16">
      <c r="A141" s="157"/>
      <c r="B141" s="268"/>
      <c r="C141" s="63"/>
      <c r="D141" s="199"/>
      <c r="E141" s="145"/>
      <c r="F141" s="61"/>
      <c r="G141" s="206"/>
      <c r="H141" s="74"/>
      <c r="I141" s="183"/>
      <c r="J141" s="175"/>
      <c r="K141" s="197"/>
      <c r="L141" s="194"/>
      <c r="M141" s="188">
        <v>14700</v>
      </c>
      <c r="N141" s="188">
        <f t="shared" si="11"/>
        <v>14259</v>
      </c>
      <c r="O141" s="189">
        <v>7.0000000000000007E-2</v>
      </c>
      <c r="P141" s="170">
        <f t="shared" si="12"/>
        <v>15257.130000000001</v>
      </c>
    </row>
    <row r="142" spans="1:16">
      <c r="A142" s="157"/>
      <c r="B142" s="95"/>
      <c r="C142" s="222"/>
      <c r="D142" s="3464"/>
      <c r="E142" s="237"/>
      <c r="F142" s="238"/>
      <c r="G142" s="223"/>
      <c r="H142" s="224"/>
      <c r="I142" s="225"/>
      <c r="J142" s="209"/>
      <c r="K142" s="226"/>
      <c r="L142" s="229"/>
      <c r="M142" s="188">
        <v>14582.7</v>
      </c>
      <c r="N142" s="188">
        <f t="shared" si="11"/>
        <v>14145.219000000001</v>
      </c>
      <c r="O142" s="189">
        <v>7.0000000000000007E-2</v>
      </c>
      <c r="P142" s="170">
        <f t="shared" si="12"/>
        <v>15135.384330000001</v>
      </c>
    </row>
    <row r="143" spans="1:16">
      <c r="A143" s="157"/>
      <c r="B143" s="95"/>
      <c r="C143" s="63"/>
      <c r="D143" s="199"/>
      <c r="E143" s="145"/>
      <c r="F143" s="61"/>
      <c r="G143" s="206"/>
      <c r="H143" s="74"/>
      <c r="I143" s="183"/>
      <c r="J143" s="175"/>
      <c r="K143" s="197"/>
      <c r="L143" s="229"/>
      <c r="M143" s="188">
        <v>13483.8</v>
      </c>
      <c r="N143" s="188">
        <f t="shared" si="11"/>
        <v>13079.286</v>
      </c>
      <c r="O143" s="189">
        <v>7.0000000000000007E-2</v>
      </c>
      <c r="P143" s="170">
        <f t="shared" si="12"/>
        <v>13994.836020000001</v>
      </c>
    </row>
    <row r="144" spans="1:16">
      <c r="A144" s="157"/>
      <c r="B144" s="95"/>
      <c r="C144" s="222"/>
      <c r="D144" s="3464"/>
      <c r="E144" s="145"/>
      <c r="F144" s="61"/>
      <c r="G144" s="223"/>
      <c r="H144" s="224"/>
      <c r="I144" s="225"/>
      <c r="J144" s="209"/>
      <c r="K144" s="226"/>
      <c r="L144" s="229"/>
      <c r="M144" s="188">
        <v>2669.52</v>
      </c>
      <c r="N144" s="188">
        <f t="shared" si="11"/>
        <v>2589.4344000000001</v>
      </c>
      <c r="O144" s="189">
        <v>7.0000000000000007E-2</v>
      </c>
      <c r="P144" s="170">
        <f t="shared" si="12"/>
        <v>2770.6948080000002</v>
      </c>
    </row>
    <row r="145" spans="1:16">
      <c r="A145" s="157"/>
      <c r="B145" s="95"/>
      <c r="C145" s="222"/>
      <c r="D145" s="3464"/>
      <c r="E145" s="145"/>
      <c r="F145" s="61"/>
      <c r="G145" s="223"/>
      <c r="H145" s="224"/>
      <c r="I145" s="225"/>
      <c r="J145" s="209"/>
      <c r="K145" s="226"/>
      <c r="L145" s="229"/>
      <c r="N145" s="188">
        <f t="shared" si="11"/>
        <v>0</v>
      </c>
      <c r="O145" s="189">
        <v>7.0000000000000007E-2</v>
      </c>
      <c r="P145" s="170">
        <f t="shared" si="12"/>
        <v>0</v>
      </c>
    </row>
    <row r="146" spans="1:16">
      <c r="A146" s="221"/>
      <c r="B146" s="268"/>
      <c r="C146" s="222"/>
      <c r="D146" s="3464"/>
      <c r="E146" s="145"/>
      <c r="F146" s="61"/>
      <c r="G146" s="223"/>
      <c r="H146" s="224"/>
      <c r="I146" s="225"/>
      <c r="J146" s="209"/>
      <c r="K146" s="226"/>
      <c r="L146" s="229"/>
      <c r="M146" s="188">
        <v>12972.96</v>
      </c>
      <c r="N146" s="188">
        <f t="shared" si="11"/>
        <v>12583.771199999999</v>
      </c>
      <c r="O146" s="189">
        <v>7.0000000000000007E-2</v>
      </c>
      <c r="P146" s="170">
        <f t="shared" si="12"/>
        <v>13464.635183999999</v>
      </c>
    </row>
    <row r="147" spans="1:16">
      <c r="A147" s="157"/>
      <c r="B147" s="95"/>
      <c r="C147" s="63"/>
      <c r="D147" s="199"/>
      <c r="E147" s="145"/>
      <c r="F147" s="61"/>
      <c r="G147" s="206"/>
      <c r="H147" s="74"/>
      <c r="I147" s="183"/>
      <c r="J147" s="209"/>
      <c r="K147" s="197"/>
      <c r="L147" s="229"/>
      <c r="M147" s="188">
        <v>12687.84</v>
      </c>
      <c r="N147" s="188">
        <f t="shared" si="11"/>
        <v>12307.2048</v>
      </c>
      <c r="O147" s="189">
        <v>7.0000000000000007E-2</v>
      </c>
      <c r="P147" s="170">
        <f t="shared" si="12"/>
        <v>13168.709135999999</v>
      </c>
    </row>
    <row r="148" spans="1:16">
      <c r="A148" s="157"/>
      <c r="B148" s="95"/>
      <c r="C148" s="63"/>
      <c r="D148" s="199"/>
      <c r="E148" s="145"/>
      <c r="F148" s="61"/>
      <c r="G148" s="206"/>
      <c r="H148" s="74"/>
      <c r="I148" s="183"/>
      <c r="J148" s="175"/>
      <c r="K148" s="197"/>
      <c r="L148" s="194"/>
      <c r="M148" s="188">
        <v>16572.599999999999</v>
      </c>
      <c r="N148" s="188">
        <f t="shared" si="11"/>
        <v>16075.421999999999</v>
      </c>
      <c r="O148" s="189">
        <v>7.0000000000000007E-2</v>
      </c>
      <c r="P148" s="170">
        <f t="shared" si="12"/>
        <v>17200.701539999998</v>
      </c>
    </row>
    <row r="149" spans="1:16">
      <c r="A149" s="157"/>
      <c r="B149" s="95"/>
      <c r="C149" s="63"/>
      <c r="D149" s="199"/>
      <c r="E149" s="90"/>
      <c r="F149" s="61"/>
      <c r="G149" s="206"/>
      <c r="H149" s="74"/>
      <c r="I149" s="203"/>
      <c r="J149" s="175"/>
      <c r="K149" s="197"/>
      <c r="L149" s="194"/>
      <c r="M149" s="188">
        <v>6021.12</v>
      </c>
      <c r="N149" s="188">
        <f>M149-(M149*0.03)</f>
        <v>5840.4863999999998</v>
      </c>
      <c r="O149" s="189">
        <v>7.0000000000000007E-2</v>
      </c>
      <c r="P149" s="170">
        <f>(N149*O149)+N149</f>
        <v>6249.3204479999995</v>
      </c>
    </row>
    <row r="150" spans="1:16">
      <c r="A150" s="157"/>
      <c r="B150" s="95"/>
      <c r="C150" s="63"/>
      <c r="D150" s="199"/>
      <c r="E150" s="90"/>
      <c r="F150" s="61"/>
      <c r="G150" s="206"/>
      <c r="H150" s="74"/>
      <c r="I150" s="183"/>
      <c r="J150" s="175"/>
      <c r="K150" s="197"/>
      <c r="L150" s="194"/>
      <c r="M150" s="188">
        <v>8714.16</v>
      </c>
      <c r="N150" s="188">
        <f>M150-(M150*0.03)</f>
        <v>8452.7351999999992</v>
      </c>
      <c r="O150" s="189">
        <v>7.0000000000000007E-2</v>
      </c>
      <c r="P150" s="170">
        <f>(N150*O150)+N150</f>
        <v>9044.4266639999987</v>
      </c>
    </row>
    <row r="151" spans="1:16">
      <c r="A151" s="157"/>
      <c r="B151" s="95"/>
      <c r="C151" s="63"/>
      <c r="D151" s="199"/>
      <c r="E151" s="90"/>
      <c r="F151" s="61"/>
      <c r="G151" s="206"/>
      <c r="H151" s="74"/>
      <c r="I151" s="183"/>
      <c r="J151" s="175"/>
      <c r="K151" s="197"/>
      <c r="L151" s="194"/>
      <c r="M151" s="188">
        <v>0</v>
      </c>
      <c r="N151" s="188">
        <f>M151-(M151*0.03)</f>
        <v>0</v>
      </c>
      <c r="O151" s="189">
        <v>7.0000000000000007E-2</v>
      </c>
      <c r="P151" s="170">
        <f t="shared" ref="P151:P157" si="13">(N151*O151)+N151</f>
        <v>0</v>
      </c>
    </row>
    <row r="152" spans="1:16">
      <c r="A152" s="157"/>
      <c r="B152" s="268"/>
      <c r="C152" s="63"/>
      <c r="D152" s="199"/>
      <c r="E152" s="90"/>
      <c r="F152" s="61"/>
      <c r="G152" s="206"/>
      <c r="H152" s="74"/>
      <c r="I152" s="183"/>
      <c r="J152" s="175"/>
      <c r="K152" s="197"/>
      <c r="L152" s="194"/>
      <c r="M152" s="188">
        <v>18537.7</v>
      </c>
      <c r="N152" s="188">
        <f>M152-(M152*0.03)</f>
        <v>17981.569</v>
      </c>
      <c r="O152" s="189">
        <v>7.0000000000000007E-2</v>
      </c>
      <c r="P152" s="170">
        <f t="shared" si="13"/>
        <v>19240.278829999999</v>
      </c>
    </row>
    <row r="153" spans="1:16">
      <c r="A153" s="158"/>
      <c r="B153" s="95"/>
      <c r="C153" s="63"/>
      <c r="D153" s="199"/>
      <c r="E153" s="91"/>
      <c r="F153" s="61"/>
      <c r="G153" s="206"/>
      <c r="H153" s="74"/>
      <c r="I153" s="183"/>
      <c r="J153" s="175"/>
      <c r="K153" s="197"/>
      <c r="L153" s="194"/>
      <c r="M153" s="188">
        <v>9031.68</v>
      </c>
      <c r="N153" s="188">
        <f t="shared" ref="N153:N162" si="14">M153-(M153*0.03)</f>
        <v>8760.7296000000006</v>
      </c>
      <c r="O153" s="189">
        <v>7.0000000000000007E-2</v>
      </c>
      <c r="P153" s="170">
        <f t="shared" si="13"/>
        <v>9373.9806720000015</v>
      </c>
    </row>
    <row r="154" spans="1:16">
      <c r="A154" s="200"/>
      <c r="B154" s="95"/>
      <c r="C154" s="63"/>
      <c r="D154" s="199"/>
      <c r="E154" s="153"/>
      <c r="F154" s="61"/>
      <c r="G154" s="206"/>
      <c r="H154" s="88"/>
      <c r="I154" s="184"/>
      <c r="J154" s="201"/>
      <c r="K154" s="202"/>
      <c r="L154" s="194"/>
      <c r="N154" s="188">
        <f t="shared" si="14"/>
        <v>0</v>
      </c>
      <c r="O154" s="189">
        <v>7.0000000000000007E-2</v>
      </c>
      <c r="P154" s="170">
        <f t="shared" si="13"/>
        <v>0</v>
      </c>
    </row>
    <row r="155" spans="1:16">
      <c r="A155" s="157"/>
      <c r="B155" s="95"/>
      <c r="C155" s="63"/>
      <c r="D155" s="199"/>
      <c r="E155" s="198"/>
      <c r="F155" s="61"/>
      <c r="G155" s="206"/>
      <c r="H155" s="74"/>
      <c r="I155" s="183"/>
      <c r="J155" s="175"/>
      <c r="K155" s="197"/>
      <c r="L155" s="194"/>
      <c r="M155" s="188">
        <v>8478.9599999999991</v>
      </c>
      <c r="N155" s="188">
        <f t="shared" si="14"/>
        <v>8224.5911999999989</v>
      </c>
      <c r="O155" s="189">
        <v>7.0000000000000007E-2</v>
      </c>
      <c r="P155" s="170">
        <f t="shared" si="13"/>
        <v>8800.3125839999993</v>
      </c>
    </row>
    <row r="156" spans="1:16">
      <c r="A156" s="157"/>
      <c r="B156" s="95"/>
      <c r="C156" s="63"/>
      <c r="D156" s="199"/>
      <c r="E156" s="142"/>
      <c r="F156" s="61"/>
      <c r="G156" s="206"/>
      <c r="H156" s="74"/>
      <c r="I156" s="183"/>
      <c r="J156" s="175"/>
      <c r="K156" s="197"/>
      <c r="L156" s="194"/>
      <c r="M156" s="188">
        <v>11122.62</v>
      </c>
      <c r="N156" s="188">
        <f t="shared" si="14"/>
        <v>10788.941400000002</v>
      </c>
      <c r="O156" s="189">
        <v>7.0000000000000007E-2</v>
      </c>
      <c r="P156" s="170">
        <f t="shared" si="13"/>
        <v>11544.167298000002</v>
      </c>
    </row>
    <row r="157" spans="1:16">
      <c r="A157" s="157"/>
      <c r="B157" s="126"/>
      <c r="C157" s="63"/>
      <c r="D157" s="196"/>
      <c r="E157" s="120"/>
      <c r="F157" s="121"/>
      <c r="G157" s="206"/>
      <c r="H157" s="115"/>
      <c r="I157" s="185"/>
      <c r="J157" s="175"/>
      <c r="K157" s="197"/>
      <c r="L157" s="194"/>
      <c r="M157" s="188">
        <v>3813.12</v>
      </c>
      <c r="N157" s="188">
        <f t="shared" si="14"/>
        <v>3698.7264</v>
      </c>
      <c r="O157" s="189">
        <v>7.0000000000000007E-2</v>
      </c>
      <c r="P157" s="170">
        <f t="shared" si="13"/>
        <v>3957.637248</v>
      </c>
    </row>
    <row r="158" spans="1:16">
      <c r="A158" s="157"/>
      <c r="B158" s="126"/>
      <c r="C158" s="63"/>
      <c r="D158" s="196"/>
      <c r="E158" s="249"/>
      <c r="F158" s="121"/>
      <c r="G158" s="206"/>
      <c r="H158" s="115"/>
      <c r="I158" s="185"/>
      <c r="J158" s="175"/>
      <c r="K158" s="197"/>
      <c r="L158" s="194"/>
    </row>
    <row r="159" spans="1:16">
      <c r="A159" s="157"/>
      <c r="B159" s="126"/>
      <c r="C159" s="63"/>
      <c r="D159" s="196"/>
      <c r="E159" s="249"/>
      <c r="F159" s="121"/>
      <c r="G159" s="206"/>
      <c r="H159" s="115"/>
      <c r="I159" s="185"/>
      <c r="J159" s="175"/>
      <c r="K159" s="197"/>
      <c r="L159" s="194"/>
    </row>
    <row r="160" spans="1:16">
      <c r="A160" s="157"/>
      <c r="B160" s="126"/>
      <c r="C160" s="63"/>
      <c r="D160" s="196"/>
      <c r="E160" s="249"/>
      <c r="F160" s="121"/>
      <c r="G160" s="206"/>
      <c r="H160" s="115"/>
      <c r="I160" s="185"/>
      <c r="J160" s="175"/>
      <c r="K160" s="197"/>
      <c r="L160" s="194"/>
    </row>
    <row r="161" spans="1:16">
      <c r="A161" s="157"/>
      <c r="B161" s="126"/>
      <c r="C161" s="63"/>
      <c r="D161" s="196"/>
      <c r="E161" s="142"/>
      <c r="F161" s="61"/>
      <c r="G161" s="206"/>
      <c r="H161" s="74"/>
      <c r="I161" s="183"/>
      <c r="J161" s="175"/>
      <c r="K161" s="197"/>
      <c r="L161" s="194"/>
    </row>
    <row r="162" spans="1:16">
      <c r="A162" s="157"/>
      <c r="B162" s="131"/>
      <c r="C162" s="63"/>
      <c r="D162" s="196"/>
      <c r="E162" s="142"/>
      <c r="F162" s="61"/>
      <c r="G162" s="206"/>
      <c r="H162" s="74"/>
      <c r="I162" s="183"/>
      <c r="J162" s="175"/>
      <c r="K162" s="197"/>
      <c r="L162" s="194"/>
      <c r="M162" s="188">
        <v>8640</v>
      </c>
      <c r="N162" s="188">
        <f t="shared" si="14"/>
        <v>8380.7999999999993</v>
      </c>
      <c r="O162" s="189">
        <v>7.0000000000000007E-2</v>
      </c>
      <c r="P162" s="170">
        <f>(N162*O162)+N162</f>
        <v>8967.4559999999983</v>
      </c>
    </row>
    <row r="163" spans="1:16" ht="33.75" customHeight="1">
      <c r="A163" s="160"/>
      <c r="B163" s="126"/>
      <c r="C163" s="63"/>
      <c r="D163" s="196"/>
      <c r="E163" s="120"/>
      <c r="F163" s="121"/>
      <c r="G163" s="206"/>
      <c r="H163" s="115"/>
      <c r="I163" s="185"/>
      <c r="J163" s="174"/>
      <c r="K163" s="195"/>
      <c r="L163" s="194"/>
    </row>
    <row r="164" spans="1:16" ht="33.75" customHeight="1">
      <c r="A164" s="204"/>
      <c r="B164" s="126"/>
      <c r="C164" s="63"/>
      <c r="D164" s="196"/>
      <c r="E164" s="249"/>
      <c r="F164" s="121"/>
      <c r="G164" s="206"/>
      <c r="H164" s="115"/>
      <c r="I164" s="185"/>
      <c r="J164" s="174"/>
      <c r="K164" s="195"/>
      <c r="L164" s="194"/>
    </row>
    <row r="165" spans="1:16" ht="33.75" customHeight="1">
      <c r="A165" s="204"/>
      <c r="B165" s="126"/>
      <c r="C165" s="63"/>
      <c r="D165" s="196"/>
      <c r="E165" s="249"/>
      <c r="F165" s="121"/>
      <c r="G165" s="206"/>
      <c r="H165" s="115"/>
      <c r="I165" s="185"/>
      <c r="J165" s="174"/>
      <c r="K165" s="195"/>
      <c r="L165" s="194"/>
    </row>
    <row r="166" spans="1:16">
      <c r="A166" s="204"/>
      <c r="B166" s="126"/>
      <c r="C166" s="63"/>
      <c r="D166" s="196"/>
      <c r="E166" s="142"/>
      <c r="F166" s="61"/>
      <c r="G166" s="206"/>
      <c r="H166" s="74"/>
      <c r="I166" s="183"/>
      <c r="J166" s="175"/>
      <c r="K166" s="197"/>
      <c r="L166" s="194"/>
      <c r="M166" s="3444"/>
    </row>
    <row r="167" spans="1:16">
      <c r="B167" s="131"/>
      <c r="C167" s="63"/>
      <c r="D167" s="196"/>
      <c r="E167" s="142"/>
      <c r="F167" s="61"/>
      <c r="G167" s="206"/>
      <c r="H167" s="74"/>
      <c r="I167" s="183"/>
      <c r="J167" s="175"/>
      <c r="K167" s="197"/>
      <c r="L167" s="194"/>
    </row>
    <row r="168" spans="1:16">
      <c r="B168" s="135"/>
      <c r="C168" s="68"/>
      <c r="D168" s="3444"/>
      <c r="E168" s="279"/>
      <c r="F168" s="266"/>
      <c r="G168" s="269"/>
      <c r="H168" s="75"/>
      <c r="I168" s="278"/>
      <c r="J168" s="171"/>
      <c r="K168" s="166"/>
      <c r="L168" s="168"/>
    </row>
    <row r="169" spans="1:16">
      <c r="A169" s="44" t="s">
        <v>0</v>
      </c>
      <c r="B169" s="127"/>
      <c r="C169" s="104"/>
      <c r="F169" s="68"/>
      <c r="I169" s="179"/>
      <c r="K169" s="163"/>
      <c r="L169" s="168"/>
    </row>
    <row r="170" spans="1:16">
      <c r="A170" s="3480" t="s">
        <v>2494</v>
      </c>
      <c r="B170" s="3480"/>
      <c r="C170" s="44"/>
      <c r="D170" s="109"/>
      <c r="F170" s="68"/>
      <c r="I170" s="179"/>
      <c r="K170" s="163"/>
      <c r="L170" s="168"/>
    </row>
    <row r="171" spans="1:16" ht="35.25" thickBot="1">
      <c r="F171" s="68"/>
    </row>
    <row r="172" spans="1:16">
      <c r="A172" s="3493" t="s">
        <v>2</v>
      </c>
      <c r="B172" s="3482"/>
      <c r="C172" s="48" t="s">
        <v>3</v>
      </c>
      <c r="D172" s="128" t="s">
        <v>4</v>
      </c>
      <c r="E172" s="77" t="s">
        <v>5</v>
      </c>
      <c r="F172" s="78" t="s">
        <v>5</v>
      </c>
      <c r="G172" s="211" t="s">
        <v>6</v>
      </c>
      <c r="H172" s="140" t="s">
        <v>7</v>
      </c>
      <c r="I172" s="180" t="s">
        <v>1511</v>
      </c>
      <c r="J172" s="172" t="s">
        <v>9</v>
      </c>
      <c r="K172" s="186" t="s">
        <v>9</v>
      </c>
      <c r="L172" s="192" t="s">
        <v>2495</v>
      </c>
      <c r="M172" s="190"/>
    </row>
    <row r="173" spans="1:16" ht="35.25" thickBot="1">
      <c r="A173" s="155"/>
      <c r="B173" s="138"/>
      <c r="C173" s="50"/>
      <c r="D173" s="129" t="s">
        <v>10</v>
      </c>
      <c r="E173" s="79" t="s">
        <v>11</v>
      </c>
      <c r="F173" s="80" t="s">
        <v>12</v>
      </c>
      <c r="G173" s="212"/>
      <c r="H173" s="141" t="s">
        <v>13</v>
      </c>
      <c r="I173" s="181" t="s">
        <v>1512</v>
      </c>
      <c r="J173" s="173" t="s">
        <v>15</v>
      </c>
      <c r="K173" s="187" t="s">
        <v>14</v>
      </c>
      <c r="L173" s="193" t="s">
        <v>2496</v>
      </c>
      <c r="M173" s="190"/>
    </row>
    <row r="174" spans="1:16">
      <c r="A174" s="156"/>
      <c r="B174" s="276"/>
      <c r="C174" s="63"/>
      <c r="D174" s="199"/>
      <c r="E174" s="143"/>
      <c r="F174" s="69"/>
      <c r="G174" s="206"/>
      <c r="H174" s="74"/>
      <c r="I174" s="183"/>
      <c r="J174" s="175"/>
      <c r="K174" s="172"/>
      <c r="L174" s="194"/>
      <c r="M174" s="188">
        <v>3552</v>
      </c>
      <c r="N174" s="188">
        <f t="shared" ref="N174:N190" si="15">M174-(M174*0.03)</f>
        <v>3445.44</v>
      </c>
      <c r="O174" s="189">
        <v>7.0000000000000007E-2</v>
      </c>
      <c r="P174" s="170">
        <f t="shared" ref="P174:P190" si="16">(N174*O174)+N174</f>
        <v>3686.6208000000001</v>
      </c>
    </row>
    <row r="175" spans="1:16">
      <c r="A175" s="157"/>
      <c r="B175" s="95"/>
      <c r="C175" s="63"/>
      <c r="D175" s="199"/>
      <c r="E175" s="145"/>
      <c r="F175" s="61"/>
      <c r="G175" s="206"/>
      <c r="H175" s="74"/>
      <c r="I175" s="183"/>
      <c r="J175" s="175"/>
      <c r="K175" s="176"/>
      <c r="L175" s="194"/>
      <c r="N175" s="188">
        <f t="shared" si="15"/>
        <v>0</v>
      </c>
      <c r="O175" s="189">
        <v>7.0000000000000007E-2</v>
      </c>
      <c r="P175" s="170">
        <f t="shared" si="16"/>
        <v>0</v>
      </c>
    </row>
    <row r="176" spans="1:16">
      <c r="A176" s="157"/>
      <c r="B176" s="95"/>
      <c r="C176" s="63"/>
      <c r="D176" s="199"/>
      <c r="E176" s="145"/>
      <c r="F176" s="61"/>
      <c r="G176" s="206"/>
      <c r="H176" s="74"/>
      <c r="I176" s="183"/>
      <c r="J176" s="175"/>
      <c r="K176" s="245"/>
      <c r="L176" s="194"/>
      <c r="M176" s="188">
        <v>9498.06</v>
      </c>
      <c r="N176" s="188">
        <f t="shared" si="15"/>
        <v>9213.118199999999</v>
      </c>
      <c r="O176" s="189">
        <v>7.0000000000000007E-2</v>
      </c>
      <c r="P176" s="170">
        <f t="shared" si="16"/>
        <v>9858.0364739999986</v>
      </c>
    </row>
    <row r="177" spans="1:17">
      <c r="A177" s="157"/>
      <c r="B177" s="95"/>
      <c r="C177" s="63"/>
      <c r="D177" s="199"/>
      <c r="E177" s="145"/>
      <c r="F177" s="61"/>
      <c r="G177" s="206"/>
      <c r="H177" s="74"/>
      <c r="I177" s="183"/>
      <c r="J177" s="175"/>
      <c r="K177" s="197"/>
      <c r="L177" s="194"/>
      <c r="M177" s="188">
        <v>15305.4</v>
      </c>
      <c r="N177" s="188">
        <f t="shared" si="15"/>
        <v>14846.237999999999</v>
      </c>
      <c r="O177" s="189">
        <v>7.0000000000000007E-2</v>
      </c>
      <c r="P177" s="170">
        <f t="shared" si="16"/>
        <v>15885.47466</v>
      </c>
    </row>
    <row r="178" spans="1:17">
      <c r="A178" s="157"/>
      <c r="B178" s="95"/>
      <c r="C178" s="63"/>
      <c r="D178" s="199"/>
      <c r="E178" s="145"/>
      <c r="F178" s="61"/>
      <c r="G178" s="206"/>
      <c r="H178" s="74"/>
      <c r="I178" s="183"/>
      <c r="J178" s="175"/>
      <c r="K178" s="197"/>
      <c r="L178" s="194"/>
      <c r="N178" s="188">
        <f t="shared" si="15"/>
        <v>0</v>
      </c>
      <c r="O178" s="189">
        <v>7.0000000000000007E-2</v>
      </c>
      <c r="P178" s="170">
        <f t="shared" si="16"/>
        <v>0</v>
      </c>
    </row>
    <row r="179" spans="1:17">
      <c r="A179" s="157"/>
      <c r="B179" s="95"/>
      <c r="C179" s="63"/>
      <c r="D179" s="199"/>
      <c r="E179" s="145"/>
      <c r="F179" s="61"/>
      <c r="G179" s="206"/>
      <c r="H179" s="74"/>
      <c r="I179" s="183"/>
      <c r="J179" s="175"/>
      <c r="K179" s="197"/>
      <c r="L179" s="194"/>
      <c r="N179" s="188">
        <f t="shared" si="15"/>
        <v>0</v>
      </c>
      <c r="O179" s="189">
        <v>7.0000000000000007E-2</v>
      </c>
      <c r="P179" s="170">
        <f t="shared" si="16"/>
        <v>0</v>
      </c>
    </row>
    <row r="180" spans="1:17">
      <c r="A180" s="157"/>
      <c r="B180" s="95"/>
      <c r="C180" s="63"/>
      <c r="D180" s="199"/>
      <c r="E180" s="145"/>
      <c r="F180" s="61"/>
      <c r="G180" s="206"/>
      <c r="H180" s="74"/>
      <c r="I180" s="183"/>
      <c r="J180" s="175"/>
      <c r="K180" s="197"/>
      <c r="L180" s="194"/>
      <c r="N180" s="188">
        <f t="shared" si="15"/>
        <v>0</v>
      </c>
      <c r="O180" s="189">
        <v>7.0000000000000007E-2</v>
      </c>
      <c r="P180" s="170">
        <f t="shared" si="16"/>
        <v>0</v>
      </c>
    </row>
    <row r="181" spans="1:17">
      <c r="A181" s="157"/>
      <c r="B181" s="95"/>
      <c r="C181" s="222"/>
      <c r="D181" s="3464"/>
      <c r="E181" s="145"/>
      <c r="F181" s="61"/>
      <c r="G181" s="223"/>
      <c r="H181" s="224"/>
      <c r="I181" s="225"/>
      <c r="J181" s="209"/>
      <c r="K181" s="244"/>
      <c r="M181" s="188">
        <v>14244.12</v>
      </c>
      <c r="N181" s="188">
        <f t="shared" si="15"/>
        <v>13816.796400000001</v>
      </c>
      <c r="O181" s="189">
        <v>7.0000000000000007E-2</v>
      </c>
      <c r="P181" s="170">
        <f t="shared" si="16"/>
        <v>14783.972148000001</v>
      </c>
    </row>
    <row r="182" spans="1:17">
      <c r="A182" s="157"/>
      <c r="B182" s="95"/>
      <c r="C182" s="63"/>
      <c r="D182" s="199"/>
      <c r="E182" s="145"/>
      <c r="F182" s="61"/>
      <c r="G182" s="206"/>
      <c r="H182" s="74"/>
      <c r="I182" s="183"/>
      <c r="J182" s="175"/>
      <c r="K182" s="197"/>
      <c r="L182" s="194"/>
      <c r="M182" s="188">
        <v>3240</v>
      </c>
      <c r="N182" s="188">
        <f t="shared" si="15"/>
        <v>3142.8</v>
      </c>
      <c r="O182" s="189">
        <v>7.0000000000000007E-2</v>
      </c>
      <c r="P182" s="170">
        <f t="shared" si="16"/>
        <v>3362.7960000000003</v>
      </c>
    </row>
    <row r="183" spans="1:17">
      <c r="A183" s="157"/>
      <c r="B183" s="95"/>
      <c r="C183" s="63"/>
      <c r="D183" s="199"/>
      <c r="E183" s="145"/>
      <c r="F183" s="61"/>
      <c r="G183" s="206"/>
      <c r="H183" s="74"/>
      <c r="I183" s="183"/>
      <c r="J183" s="175"/>
      <c r="K183" s="197"/>
      <c r="L183" s="194"/>
      <c r="M183" s="188">
        <v>14700</v>
      </c>
      <c r="N183" s="188">
        <f t="shared" si="15"/>
        <v>14259</v>
      </c>
      <c r="O183" s="189">
        <v>7.0000000000000007E-2</v>
      </c>
      <c r="P183" s="170">
        <f t="shared" si="16"/>
        <v>15257.130000000001</v>
      </c>
    </row>
    <row r="184" spans="1:17">
      <c r="A184" s="157"/>
      <c r="B184" s="268"/>
      <c r="C184" s="222"/>
      <c r="D184" s="3464"/>
      <c r="E184" s="237"/>
      <c r="F184" s="238"/>
      <c r="G184" s="223"/>
      <c r="H184" s="224"/>
      <c r="I184" s="225"/>
      <c r="J184" s="209"/>
      <c r="K184" s="226"/>
      <c r="L184" s="229"/>
      <c r="M184" s="188">
        <v>14582.7</v>
      </c>
      <c r="N184" s="188">
        <f t="shared" si="15"/>
        <v>14145.219000000001</v>
      </c>
      <c r="O184" s="189">
        <v>7.0000000000000007E-2</v>
      </c>
      <c r="P184" s="170">
        <f t="shared" si="16"/>
        <v>15135.384330000001</v>
      </c>
    </row>
    <row r="185" spans="1:17">
      <c r="A185" s="157"/>
      <c r="B185" s="95"/>
      <c r="C185" s="63"/>
      <c r="D185" s="199"/>
      <c r="E185" s="145"/>
      <c r="F185" s="61"/>
      <c r="G185" s="206"/>
      <c r="H185" s="74"/>
      <c r="I185" s="183"/>
      <c r="J185" s="175"/>
      <c r="K185" s="197"/>
      <c r="L185" s="229"/>
      <c r="M185" s="188">
        <v>13483.8</v>
      </c>
      <c r="N185" s="188">
        <f t="shared" si="15"/>
        <v>13079.286</v>
      </c>
      <c r="O185" s="189">
        <v>7.0000000000000007E-2</v>
      </c>
      <c r="P185" s="170">
        <f t="shared" si="16"/>
        <v>13994.836020000001</v>
      </c>
    </row>
    <row r="186" spans="1:17">
      <c r="A186" s="157"/>
      <c r="B186" s="95"/>
      <c r="C186" s="222"/>
      <c r="D186" s="3464"/>
      <c r="E186" s="145"/>
      <c r="F186" s="61"/>
      <c r="G186" s="223"/>
      <c r="H186" s="224"/>
      <c r="I186" s="225"/>
      <c r="J186" s="209"/>
      <c r="K186" s="226"/>
      <c r="L186" s="229"/>
      <c r="M186" s="188">
        <v>2669.52</v>
      </c>
      <c r="N186" s="188">
        <f t="shared" si="15"/>
        <v>2589.4344000000001</v>
      </c>
      <c r="O186" s="189">
        <v>7.0000000000000007E-2</v>
      </c>
      <c r="P186" s="170">
        <f t="shared" si="16"/>
        <v>2770.6948080000002</v>
      </c>
    </row>
    <row r="187" spans="1:17">
      <c r="A187" s="157"/>
      <c r="B187" s="95"/>
      <c r="C187" s="222"/>
      <c r="D187" s="3464"/>
      <c r="E187" s="145"/>
      <c r="F187" s="61"/>
      <c r="G187" s="223"/>
      <c r="H187" s="224"/>
      <c r="I187" s="225"/>
      <c r="J187" s="209"/>
      <c r="K187" s="226"/>
      <c r="L187" s="229"/>
      <c r="N187" s="188">
        <f t="shared" si="15"/>
        <v>0</v>
      </c>
      <c r="O187" s="189">
        <v>7.0000000000000007E-2</v>
      </c>
      <c r="P187" s="170">
        <f t="shared" si="16"/>
        <v>0</v>
      </c>
    </row>
    <row r="188" spans="1:17">
      <c r="A188" s="221"/>
      <c r="B188" s="95"/>
      <c r="C188" s="222"/>
      <c r="D188" s="3464"/>
      <c r="E188" s="145"/>
      <c r="F188" s="61"/>
      <c r="G188" s="223"/>
      <c r="H188" s="224"/>
      <c r="I188" s="225"/>
      <c r="J188" s="209"/>
      <c r="K188" s="226"/>
      <c r="L188" s="229"/>
      <c r="M188" s="188">
        <v>12972.96</v>
      </c>
      <c r="N188" s="188">
        <f t="shared" si="15"/>
        <v>12583.771199999999</v>
      </c>
      <c r="O188" s="189">
        <v>7.0000000000000007E-2</v>
      </c>
      <c r="P188" s="170">
        <f t="shared" si="16"/>
        <v>13464.635183999999</v>
      </c>
      <c r="Q188" s="76">
        <f>598.5/12</f>
        <v>49.875</v>
      </c>
    </row>
    <row r="189" spans="1:17">
      <c r="A189" s="157"/>
      <c r="B189" s="95"/>
      <c r="C189" s="63"/>
      <c r="D189" s="199"/>
      <c r="E189" s="145"/>
      <c r="F189" s="61"/>
      <c r="G189" s="206"/>
      <c r="H189" s="74"/>
      <c r="I189" s="183"/>
      <c r="J189" s="209"/>
      <c r="K189" s="197"/>
      <c r="L189" s="229"/>
      <c r="M189" s="188">
        <v>12687.84</v>
      </c>
      <c r="N189" s="188">
        <f t="shared" si="15"/>
        <v>12307.2048</v>
      </c>
      <c r="O189" s="189">
        <v>7.0000000000000007E-2</v>
      </c>
      <c r="P189" s="170">
        <f t="shared" si="16"/>
        <v>13168.709135999999</v>
      </c>
      <c r="Q189" s="76">
        <f>450/12</f>
        <v>37.5</v>
      </c>
    </row>
    <row r="190" spans="1:17">
      <c r="A190" s="157"/>
      <c r="B190" s="95"/>
      <c r="C190" s="63"/>
      <c r="D190" s="199"/>
      <c r="E190" s="145"/>
      <c r="F190" s="61"/>
      <c r="G190" s="206"/>
      <c r="H190" s="74"/>
      <c r="I190" s="183"/>
      <c r="J190" s="175"/>
      <c r="K190" s="197"/>
      <c r="L190" s="194"/>
      <c r="M190" s="188">
        <v>16572.599999999999</v>
      </c>
      <c r="N190" s="188">
        <f t="shared" si="15"/>
        <v>16075.421999999999</v>
      </c>
      <c r="O190" s="189">
        <v>7.0000000000000007E-2</v>
      </c>
      <c r="P190" s="170">
        <f t="shared" si="16"/>
        <v>17200.701539999998</v>
      </c>
    </row>
    <row r="191" spans="1:17">
      <c r="A191" s="157"/>
      <c r="B191" s="95"/>
      <c r="C191" s="63"/>
      <c r="D191" s="199"/>
      <c r="E191" s="90"/>
      <c r="F191" s="61"/>
      <c r="G191" s="206"/>
      <c r="H191" s="74"/>
      <c r="I191" s="203"/>
      <c r="J191" s="175"/>
      <c r="K191" s="197"/>
      <c r="L191" s="194"/>
      <c r="M191" s="188">
        <v>6021.12</v>
      </c>
      <c r="N191" s="188">
        <f>M191-(M191*0.03)</f>
        <v>5840.4863999999998</v>
      </c>
      <c r="O191" s="189">
        <v>7.0000000000000007E-2</v>
      </c>
      <c r="P191" s="170">
        <f>(N191*O191)+N191</f>
        <v>6249.3204479999995</v>
      </c>
    </row>
    <row r="192" spans="1:17">
      <c r="A192" s="157"/>
      <c r="B192" s="95"/>
      <c r="C192" s="63"/>
      <c r="D192" s="199"/>
      <c r="E192" s="90"/>
      <c r="F192" s="61"/>
      <c r="G192" s="206"/>
      <c r="H192" s="74"/>
      <c r="I192" s="183"/>
      <c r="J192" s="175"/>
      <c r="K192" s="197"/>
      <c r="L192" s="194"/>
      <c r="M192" s="188">
        <v>8714.16</v>
      </c>
      <c r="N192" s="188">
        <f>M192-(M192*0.03)</f>
        <v>8452.7351999999992</v>
      </c>
      <c r="O192" s="189">
        <v>7.0000000000000007E-2</v>
      </c>
      <c r="P192" s="170">
        <f>(N192*O192)+N192</f>
        <v>9044.4266639999987</v>
      </c>
    </row>
    <row r="193" spans="1:16">
      <c r="A193" s="157"/>
      <c r="B193" s="95"/>
      <c r="C193" s="63"/>
      <c r="D193" s="199"/>
      <c r="E193" s="90"/>
      <c r="F193" s="61"/>
      <c r="G193" s="206"/>
      <c r="H193" s="74"/>
      <c r="I193" s="183"/>
      <c r="J193" s="175"/>
      <c r="K193" s="197"/>
      <c r="L193" s="194"/>
      <c r="M193" s="188">
        <v>0</v>
      </c>
      <c r="N193" s="188">
        <f>M193-(M193*0.03)</f>
        <v>0</v>
      </c>
      <c r="O193" s="189">
        <v>7.0000000000000007E-2</v>
      </c>
      <c r="P193" s="170">
        <f t="shared" ref="P193:P199" si="17">(N193*O193)+N193</f>
        <v>0</v>
      </c>
    </row>
    <row r="194" spans="1:16">
      <c r="A194" s="157"/>
      <c r="B194" s="95"/>
      <c r="C194" s="63"/>
      <c r="D194" s="199"/>
      <c r="E194" s="90"/>
      <c r="F194" s="61"/>
      <c r="G194" s="206"/>
      <c r="H194" s="74"/>
      <c r="I194" s="183"/>
      <c r="J194" s="175"/>
      <c r="K194" s="197"/>
      <c r="L194" s="194"/>
      <c r="M194" s="188">
        <v>18537.7</v>
      </c>
      <c r="N194" s="188">
        <f>M194-(M194*0.03)</f>
        <v>17981.569</v>
      </c>
      <c r="O194" s="189">
        <v>7.0000000000000007E-2</v>
      </c>
      <c r="P194" s="170">
        <f t="shared" si="17"/>
        <v>19240.278829999999</v>
      </c>
    </row>
    <row r="195" spans="1:16">
      <c r="A195" s="158"/>
      <c r="B195" s="95"/>
      <c r="C195" s="63"/>
      <c r="D195" s="199"/>
      <c r="E195" s="91"/>
      <c r="F195" s="61"/>
      <c r="G195" s="206"/>
      <c r="H195" s="74"/>
      <c r="I195" s="183"/>
      <c r="J195" s="175"/>
      <c r="K195" s="197"/>
      <c r="L195" s="194"/>
      <c r="M195" s="188">
        <v>9031.68</v>
      </c>
      <c r="N195" s="188">
        <f t="shared" ref="N195:N207" si="18">M195-(M195*0.03)</f>
        <v>8760.7296000000006</v>
      </c>
      <c r="O195" s="189">
        <v>7.0000000000000007E-2</v>
      </c>
      <c r="P195" s="170">
        <f t="shared" si="17"/>
        <v>9373.9806720000015</v>
      </c>
    </row>
    <row r="196" spans="1:16">
      <c r="A196" s="200"/>
      <c r="B196" s="95"/>
      <c r="C196" s="63"/>
      <c r="D196" s="199"/>
      <c r="E196" s="153"/>
      <c r="F196" s="61"/>
      <c r="G196" s="206"/>
      <c r="H196" s="88"/>
      <c r="I196" s="184"/>
      <c r="J196" s="201"/>
      <c r="K196" s="202"/>
      <c r="L196" s="194"/>
      <c r="N196" s="188">
        <f t="shared" si="18"/>
        <v>0</v>
      </c>
      <c r="O196" s="189">
        <v>7.0000000000000007E-2</v>
      </c>
      <c r="P196" s="170">
        <f t="shared" si="17"/>
        <v>0</v>
      </c>
    </row>
    <row r="197" spans="1:16">
      <c r="A197" s="157"/>
      <c r="B197" s="95"/>
      <c r="C197" s="63"/>
      <c r="D197" s="199"/>
      <c r="E197" s="198"/>
      <c r="F197" s="61"/>
      <c r="G197" s="206"/>
      <c r="H197" s="74"/>
      <c r="I197" s="183"/>
      <c r="J197" s="175"/>
      <c r="K197" s="197"/>
      <c r="L197" s="194"/>
      <c r="M197" s="188">
        <v>8478.9599999999991</v>
      </c>
      <c r="N197" s="188">
        <f t="shared" si="18"/>
        <v>8224.5911999999989</v>
      </c>
      <c r="O197" s="189">
        <v>7.0000000000000007E-2</v>
      </c>
      <c r="P197" s="170">
        <f t="shared" si="17"/>
        <v>8800.3125839999993</v>
      </c>
    </row>
    <row r="198" spans="1:16">
      <c r="A198" s="157"/>
      <c r="B198" s="95"/>
      <c r="C198" s="63"/>
      <c r="D198" s="199"/>
      <c r="E198" s="142"/>
      <c r="F198" s="61"/>
      <c r="G198" s="206"/>
      <c r="H198" s="74"/>
      <c r="I198" s="183"/>
      <c r="J198" s="175"/>
      <c r="K198" s="197"/>
      <c r="L198" s="194"/>
      <c r="M198" s="188">
        <v>11122.62</v>
      </c>
      <c r="N198" s="188">
        <f t="shared" si="18"/>
        <v>10788.941400000002</v>
      </c>
      <c r="O198" s="189">
        <v>7.0000000000000007E-2</v>
      </c>
      <c r="P198" s="170">
        <f t="shared" si="17"/>
        <v>11544.167298000002</v>
      </c>
    </row>
    <row r="199" spans="1:16">
      <c r="A199" s="157"/>
      <c r="B199" s="268"/>
      <c r="C199" s="63"/>
      <c r="D199" s="196"/>
      <c r="E199" s="120"/>
      <c r="F199" s="121"/>
      <c r="G199" s="206"/>
      <c r="H199" s="115"/>
      <c r="I199" s="185"/>
      <c r="J199" s="175"/>
      <c r="K199" s="197"/>
      <c r="L199" s="194"/>
      <c r="M199" s="188">
        <v>3813.12</v>
      </c>
      <c r="N199" s="188">
        <f t="shared" si="18"/>
        <v>3698.7264</v>
      </c>
      <c r="O199" s="189">
        <v>7.0000000000000007E-2</v>
      </c>
      <c r="P199" s="170">
        <f t="shared" si="17"/>
        <v>3957.637248</v>
      </c>
    </row>
    <row r="200" spans="1:16">
      <c r="A200" s="157"/>
      <c r="B200" s="95"/>
      <c r="C200" s="63"/>
      <c r="D200" s="196"/>
      <c r="E200" s="249"/>
      <c r="F200" s="121"/>
      <c r="G200" s="206"/>
      <c r="H200" s="115"/>
      <c r="I200" s="185"/>
      <c r="J200" s="175"/>
      <c r="K200" s="197"/>
      <c r="L200" s="194"/>
    </row>
    <row r="201" spans="1:16">
      <c r="A201" s="157"/>
      <c r="B201" s="95"/>
      <c r="C201" s="63"/>
      <c r="D201" s="196"/>
      <c r="E201" s="249"/>
      <c r="F201" s="121"/>
      <c r="G201" s="206"/>
      <c r="H201" s="115"/>
      <c r="I201" s="185"/>
      <c r="J201" s="175"/>
      <c r="K201" s="197"/>
      <c r="L201" s="194"/>
    </row>
    <row r="202" spans="1:16">
      <c r="A202" s="157"/>
      <c r="B202" s="95"/>
      <c r="C202" s="63"/>
      <c r="D202" s="196"/>
      <c r="E202" s="249"/>
      <c r="F202" s="121"/>
      <c r="G202" s="206"/>
      <c r="H202" s="115"/>
      <c r="I202" s="185"/>
      <c r="J202" s="175"/>
      <c r="K202" s="197"/>
      <c r="L202" s="194"/>
    </row>
    <row r="203" spans="1:16">
      <c r="A203" s="157"/>
      <c r="B203" s="95"/>
      <c r="C203" s="63"/>
      <c r="D203" s="196"/>
      <c r="E203" s="249"/>
      <c r="F203" s="121"/>
      <c r="G203" s="206"/>
      <c r="H203" s="115"/>
      <c r="I203" s="185"/>
      <c r="J203" s="175"/>
      <c r="K203" s="197"/>
      <c r="L203" s="194"/>
    </row>
    <row r="204" spans="1:16">
      <c r="A204" s="157"/>
      <c r="B204" s="95"/>
      <c r="C204" s="63"/>
      <c r="D204" s="196"/>
      <c r="E204" s="249"/>
      <c r="F204" s="121"/>
      <c r="G204" s="206"/>
      <c r="H204" s="115"/>
      <c r="I204" s="185"/>
      <c r="J204" s="175"/>
      <c r="K204" s="197"/>
      <c r="L204" s="194"/>
    </row>
    <row r="205" spans="1:16">
      <c r="A205" s="157"/>
      <c r="B205" s="95"/>
      <c r="C205" s="63"/>
      <c r="D205" s="196"/>
      <c r="E205" s="142"/>
      <c r="F205" s="61"/>
      <c r="G205" s="206"/>
      <c r="H205" s="74"/>
      <c r="I205" s="183"/>
      <c r="J205" s="175"/>
      <c r="K205" s="197"/>
      <c r="L205" s="194"/>
    </row>
    <row r="206" spans="1:16">
      <c r="A206" s="157"/>
      <c r="B206" s="95"/>
      <c r="C206" s="63"/>
      <c r="D206" s="196"/>
      <c r="E206" s="142"/>
      <c r="F206" s="61"/>
      <c r="G206" s="206"/>
      <c r="H206" s="74"/>
      <c r="I206" s="183"/>
      <c r="J206" s="175"/>
      <c r="K206" s="197"/>
      <c r="L206" s="194"/>
    </row>
    <row r="207" spans="1:16">
      <c r="A207" s="157"/>
      <c r="B207" s="95"/>
      <c r="C207" s="63"/>
      <c r="D207" s="196"/>
      <c r="E207" s="142"/>
      <c r="F207" s="61"/>
      <c r="G207" s="206"/>
      <c r="H207" s="74"/>
      <c r="I207" s="183"/>
      <c r="J207" s="175"/>
      <c r="K207" s="197"/>
      <c r="L207" s="194"/>
      <c r="M207" s="188">
        <v>8640</v>
      </c>
      <c r="N207" s="188">
        <f t="shared" si="18"/>
        <v>8380.7999999999993</v>
      </c>
      <c r="O207" s="189">
        <v>7.0000000000000007E-2</v>
      </c>
      <c r="P207" s="170">
        <f>(N207*O207)+N207</f>
        <v>8967.4559999999983</v>
      </c>
    </row>
    <row r="208" spans="1:16">
      <c r="A208" s="157"/>
      <c r="B208" s="95"/>
      <c r="C208" s="63"/>
      <c r="D208" s="196"/>
      <c r="E208" s="142"/>
      <c r="F208" s="61"/>
      <c r="G208" s="206"/>
      <c r="H208" s="74"/>
      <c r="I208" s="183"/>
      <c r="J208" s="175"/>
      <c r="K208" s="197"/>
      <c r="L208" s="194"/>
    </row>
    <row r="209" spans="1:16" ht="34.5" customHeight="1">
      <c r="A209" s="160"/>
      <c r="B209" s="95"/>
      <c r="C209" s="63"/>
      <c r="D209" s="196"/>
      <c r="E209" s="120"/>
      <c r="F209" s="121"/>
      <c r="G209" s="206"/>
      <c r="H209" s="115"/>
      <c r="I209" s="185"/>
      <c r="J209" s="174"/>
      <c r="K209" s="195"/>
      <c r="L209" s="194"/>
    </row>
    <row r="210" spans="1:16">
      <c r="A210" s="204"/>
      <c r="B210" s="3444"/>
      <c r="C210" s="3444"/>
      <c r="D210" s="3444"/>
      <c r="E210" s="3444"/>
      <c r="F210" s="3444"/>
      <c r="G210" s="213"/>
      <c r="H210" s="109"/>
      <c r="I210" s="3444"/>
      <c r="J210" s="234"/>
      <c r="K210" s="3444"/>
      <c r="L210" s="235"/>
      <c r="M210" s="3444"/>
    </row>
    <row r="211" spans="1:16">
      <c r="A211" s="44" t="s">
        <v>0</v>
      </c>
      <c r="B211" s="127"/>
      <c r="C211" s="104"/>
      <c r="F211" s="68"/>
      <c r="I211" s="179"/>
      <c r="K211" s="163"/>
      <c r="L211" s="168"/>
    </row>
    <row r="212" spans="1:16">
      <c r="A212" s="3480" t="s">
        <v>2512</v>
      </c>
      <c r="B212" s="3480"/>
      <c r="C212" s="44"/>
      <c r="D212" s="109"/>
      <c r="F212" s="68"/>
      <c r="I212" s="179"/>
      <c r="K212" s="163"/>
      <c r="L212" s="168"/>
    </row>
    <row r="213" spans="1:16" ht="35.25" thickBot="1">
      <c r="F213" s="68"/>
    </row>
    <row r="214" spans="1:16">
      <c r="A214" s="3493" t="s">
        <v>2</v>
      </c>
      <c r="B214" s="3482"/>
      <c r="C214" s="48" t="s">
        <v>3</v>
      </c>
      <c r="D214" s="128" t="s">
        <v>4</v>
      </c>
      <c r="E214" s="77" t="s">
        <v>5</v>
      </c>
      <c r="F214" s="78" t="s">
        <v>5</v>
      </c>
      <c r="G214" s="211" t="s">
        <v>6</v>
      </c>
      <c r="H214" s="140" t="s">
        <v>7</v>
      </c>
      <c r="I214" s="180" t="s">
        <v>1511</v>
      </c>
      <c r="J214" s="172" t="s">
        <v>9</v>
      </c>
      <c r="K214" s="186" t="s">
        <v>9</v>
      </c>
      <c r="L214" s="192" t="s">
        <v>2495</v>
      </c>
      <c r="M214" s="190"/>
    </row>
    <row r="215" spans="1:16" ht="35.25" thickBot="1">
      <c r="A215" s="155"/>
      <c r="B215" s="138"/>
      <c r="C215" s="50"/>
      <c r="D215" s="129" t="s">
        <v>10</v>
      </c>
      <c r="E215" s="79" t="s">
        <v>11</v>
      </c>
      <c r="F215" s="80" t="s">
        <v>12</v>
      </c>
      <c r="G215" s="212"/>
      <c r="H215" s="141" t="s">
        <v>13</v>
      </c>
      <c r="I215" s="181" t="s">
        <v>1512</v>
      </c>
      <c r="J215" s="173" t="s">
        <v>15</v>
      </c>
      <c r="K215" s="187" t="s">
        <v>14</v>
      </c>
      <c r="L215" s="193" t="s">
        <v>2496</v>
      </c>
      <c r="M215" s="190"/>
    </row>
    <row r="216" spans="1:16">
      <c r="A216" s="156"/>
      <c r="B216" s="276"/>
      <c r="C216" s="63"/>
      <c r="D216" s="199"/>
      <c r="E216" s="143"/>
      <c r="F216" s="69"/>
      <c r="G216" s="206"/>
      <c r="H216" s="74"/>
      <c r="I216" s="183"/>
      <c r="J216" s="175"/>
      <c r="K216" s="172"/>
      <c r="L216" s="194"/>
      <c r="M216" s="188">
        <v>3552</v>
      </c>
      <c r="N216" s="188">
        <f t="shared" ref="N216:N232" si="19">M216-(M216*0.03)</f>
        <v>3445.44</v>
      </c>
      <c r="O216" s="189">
        <v>7.0000000000000007E-2</v>
      </c>
      <c r="P216" s="170">
        <f t="shared" ref="P216:P232" si="20">(N216*O216)+N216</f>
        <v>3686.6208000000001</v>
      </c>
    </row>
    <row r="217" spans="1:16">
      <c r="A217" s="157"/>
      <c r="B217" s="95"/>
      <c r="C217" s="63"/>
      <c r="D217" s="199"/>
      <c r="E217" s="145"/>
      <c r="F217" s="61"/>
      <c r="G217" s="206"/>
      <c r="H217" s="74"/>
      <c r="I217" s="183"/>
      <c r="J217" s="175"/>
      <c r="K217" s="176"/>
      <c r="L217" s="194"/>
      <c r="N217" s="188">
        <f t="shared" si="19"/>
        <v>0</v>
      </c>
      <c r="O217" s="189">
        <v>7.0000000000000007E-2</v>
      </c>
      <c r="P217" s="170">
        <f t="shared" si="20"/>
        <v>0</v>
      </c>
    </row>
    <row r="218" spans="1:16">
      <c r="A218" s="157"/>
      <c r="B218" s="95"/>
      <c r="C218" s="63"/>
      <c r="D218" s="199"/>
      <c r="E218" s="145"/>
      <c r="F218" s="61"/>
      <c r="G218" s="206"/>
      <c r="H218" s="74"/>
      <c r="I218" s="183"/>
      <c r="J218" s="175"/>
      <c r="K218" s="245"/>
      <c r="L218" s="194"/>
      <c r="M218" s="188">
        <v>9498.06</v>
      </c>
      <c r="N218" s="188">
        <f t="shared" si="19"/>
        <v>9213.118199999999</v>
      </c>
      <c r="O218" s="189">
        <v>7.0000000000000007E-2</v>
      </c>
      <c r="P218" s="170">
        <f t="shared" si="20"/>
        <v>9858.0364739999986</v>
      </c>
    </row>
    <row r="219" spans="1:16">
      <c r="A219" s="157"/>
      <c r="B219" s="95"/>
      <c r="C219" s="63"/>
      <c r="D219" s="199"/>
      <c r="E219" s="145"/>
      <c r="F219" s="61"/>
      <c r="G219" s="206"/>
      <c r="H219" s="74"/>
      <c r="I219" s="183"/>
      <c r="J219" s="175"/>
      <c r="K219" s="197"/>
      <c r="L219" s="194"/>
      <c r="M219" s="188">
        <v>15305.4</v>
      </c>
      <c r="N219" s="188">
        <f t="shared" si="19"/>
        <v>14846.237999999999</v>
      </c>
      <c r="O219" s="189">
        <v>7.0000000000000007E-2</v>
      </c>
      <c r="P219" s="170">
        <f t="shared" si="20"/>
        <v>15885.47466</v>
      </c>
    </row>
    <row r="220" spans="1:16">
      <c r="A220" s="157"/>
      <c r="B220" s="95"/>
      <c r="C220" s="63"/>
      <c r="D220" s="199"/>
      <c r="E220" s="145"/>
      <c r="F220" s="61"/>
      <c r="G220" s="206"/>
      <c r="H220" s="74"/>
      <c r="I220" s="183"/>
      <c r="J220" s="175"/>
      <c r="K220" s="197"/>
      <c r="L220" s="194"/>
      <c r="N220" s="188">
        <f t="shared" si="19"/>
        <v>0</v>
      </c>
      <c r="O220" s="189">
        <v>7.0000000000000007E-2</v>
      </c>
      <c r="P220" s="170">
        <f t="shared" si="20"/>
        <v>0</v>
      </c>
    </row>
    <row r="221" spans="1:16">
      <c r="A221" s="157"/>
      <c r="B221" s="95"/>
      <c r="C221" s="63"/>
      <c r="D221" s="199"/>
      <c r="E221" s="145"/>
      <c r="F221" s="61"/>
      <c r="G221" s="206"/>
      <c r="H221" s="74"/>
      <c r="I221" s="183"/>
      <c r="J221" s="175"/>
      <c r="K221" s="197"/>
      <c r="L221" s="194"/>
      <c r="N221" s="188">
        <f t="shared" si="19"/>
        <v>0</v>
      </c>
      <c r="O221" s="189">
        <v>7.0000000000000007E-2</v>
      </c>
      <c r="P221" s="170">
        <f t="shared" si="20"/>
        <v>0</v>
      </c>
    </row>
    <row r="222" spans="1:16">
      <c r="A222" s="157"/>
      <c r="B222" s="95"/>
      <c r="C222" s="63"/>
      <c r="D222" s="199"/>
      <c r="E222" s="145"/>
      <c r="F222" s="61"/>
      <c r="G222" s="206"/>
      <c r="H222" s="74"/>
      <c r="I222" s="183"/>
      <c r="J222" s="175"/>
      <c r="K222" s="197"/>
      <c r="L222" s="194"/>
      <c r="N222" s="188">
        <f t="shared" si="19"/>
        <v>0</v>
      </c>
      <c r="O222" s="189">
        <v>7.0000000000000007E-2</v>
      </c>
      <c r="P222" s="170">
        <f t="shared" si="20"/>
        <v>0</v>
      </c>
    </row>
    <row r="223" spans="1:16">
      <c r="A223" s="157"/>
      <c r="B223" s="95"/>
      <c r="C223" s="222"/>
      <c r="D223" s="3464"/>
      <c r="E223" s="145"/>
      <c r="F223" s="61"/>
      <c r="G223" s="223"/>
      <c r="H223" s="224"/>
      <c r="I223" s="225"/>
      <c r="J223" s="209"/>
      <c r="K223" s="244"/>
      <c r="M223" s="188">
        <v>14244.12</v>
      </c>
      <c r="N223" s="188">
        <f t="shared" si="19"/>
        <v>13816.796400000001</v>
      </c>
      <c r="O223" s="189">
        <v>7.0000000000000007E-2</v>
      </c>
      <c r="P223" s="170">
        <f t="shared" si="20"/>
        <v>14783.972148000001</v>
      </c>
    </row>
    <row r="224" spans="1:16">
      <c r="A224" s="157"/>
      <c r="B224" s="95"/>
      <c r="C224" s="63"/>
      <c r="D224" s="199"/>
      <c r="E224" s="145"/>
      <c r="F224" s="61"/>
      <c r="G224" s="206"/>
      <c r="H224" s="74"/>
      <c r="I224" s="183"/>
      <c r="J224" s="175"/>
      <c r="K224" s="197"/>
      <c r="L224" s="194"/>
      <c r="M224" s="188">
        <v>3240</v>
      </c>
      <c r="N224" s="188">
        <f t="shared" si="19"/>
        <v>3142.8</v>
      </c>
      <c r="O224" s="189">
        <v>7.0000000000000007E-2</v>
      </c>
      <c r="P224" s="170">
        <f t="shared" si="20"/>
        <v>3362.7960000000003</v>
      </c>
    </row>
    <row r="225" spans="1:16">
      <c r="A225" s="157"/>
      <c r="B225" s="95"/>
      <c r="C225" s="63"/>
      <c r="D225" s="199"/>
      <c r="E225" s="145"/>
      <c r="F225" s="61"/>
      <c r="G225" s="206"/>
      <c r="H225" s="74"/>
      <c r="I225" s="183"/>
      <c r="J225" s="175"/>
      <c r="K225" s="197"/>
      <c r="L225" s="194"/>
      <c r="M225" s="188">
        <v>14700</v>
      </c>
      <c r="N225" s="188">
        <f t="shared" si="19"/>
        <v>14259</v>
      </c>
      <c r="O225" s="189">
        <v>7.0000000000000007E-2</v>
      </c>
      <c r="P225" s="170">
        <f t="shared" si="20"/>
        <v>15257.130000000001</v>
      </c>
    </row>
    <row r="226" spans="1:16">
      <c r="A226" s="157"/>
      <c r="B226" s="95"/>
      <c r="C226" s="222"/>
      <c r="D226" s="3464"/>
      <c r="E226" s="237"/>
      <c r="F226" s="238"/>
      <c r="G226" s="223"/>
      <c r="H226" s="224"/>
      <c r="I226" s="225"/>
      <c r="J226" s="209"/>
      <c r="K226" s="226"/>
      <c r="L226" s="229"/>
      <c r="M226" s="188">
        <v>14582.7</v>
      </c>
      <c r="N226" s="188">
        <f t="shared" si="19"/>
        <v>14145.219000000001</v>
      </c>
      <c r="O226" s="189">
        <v>7.0000000000000007E-2</v>
      </c>
      <c r="P226" s="170">
        <f t="shared" si="20"/>
        <v>15135.384330000001</v>
      </c>
    </row>
    <row r="227" spans="1:16">
      <c r="A227" s="157"/>
      <c r="B227" s="162"/>
      <c r="C227" s="63"/>
      <c r="D227" s="199"/>
      <c r="E227" s="145"/>
      <c r="F227" s="61"/>
      <c r="G227" s="206"/>
      <c r="H227" s="74"/>
      <c r="I227" s="183"/>
      <c r="J227" s="175"/>
      <c r="K227" s="197"/>
      <c r="L227" s="229"/>
      <c r="M227" s="188">
        <v>13483.8</v>
      </c>
      <c r="N227" s="188">
        <f t="shared" si="19"/>
        <v>13079.286</v>
      </c>
      <c r="O227" s="189">
        <v>7.0000000000000007E-2</v>
      </c>
      <c r="P227" s="170">
        <f t="shared" si="20"/>
        <v>13994.836020000001</v>
      </c>
    </row>
    <row r="228" spans="1:16">
      <c r="A228" s="157"/>
      <c r="B228" s="154"/>
      <c r="C228" s="222"/>
      <c r="D228" s="3464"/>
      <c r="E228" s="145"/>
      <c r="F228" s="61"/>
      <c r="G228" s="223"/>
      <c r="H228" s="224"/>
      <c r="I228" s="225"/>
      <c r="J228" s="209"/>
      <c r="K228" s="226"/>
      <c r="L228" s="229"/>
      <c r="M228" s="188">
        <v>2669.52</v>
      </c>
      <c r="N228" s="188">
        <f t="shared" si="19"/>
        <v>2589.4344000000001</v>
      </c>
      <c r="O228" s="189">
        <v>7.0000000000000007E-2</v>
      </c>
      <c r="P228" s="170">
        <f t="shared" si="20"/>
        <v>2770.6948080000002</v>
      </c>
    </row>
    <row r="229" spans="1:16" ht="35.25" customHeight="1">
      <c r="A229" s="157"/>
      <c r="B229" s="154"/>
      <c r="C229" s="222"/>
      <c r="D229" s="3464"/>
      <c r="E229" s="145"/>
      <c r="F229" s="61"/>
      <c r="G229" s="223"/>
      <c r="H229" s="224"/>
      <c r="I229" s="225"/>
      <c r="J229" s="209"/>
      <c r="K229" s="226"/>
      <c r="L229" s="229"/>
      <c r="N229" s="188">
        <f t="shared" si="19"/>
        <v>0</v>
      </c>
      <c r="O229" s="189">
        <v>7.0000000000000007E-2</v>
      </c>
      <c r="P229" s="170">
        <f t="shared" si="20"/>
        <v>0</v>
      </c>
    </row>
    <row r="230" spans="1:16">
      <c r="A230" s="221"/>
      <c r="B230" s="240"/>
      <c r="C230" s="222"/>
      <c r="D230" s="3464"/>
      <c r="E230" s="145"/>
      <c r="F230" s="61"/>
      <c r="G230" s="223"/>
      <c r="H230" s="224"/>
      <c r="I230" s="225"/>
      <c r="J230" s="209"/>
      <c r="K230" s="226"/>
      <c r="L230" s="229"/>
      <c r="M230" s="188">
        <v>12972.96</v>
      </c>
      <c r="N230" s="188">
        <f t="shared" si="19"/>
        <v>12583.771199999999</v>
      </c>
      <c r="O230" s="189">
        <v>7.0000000000000007E-2</v>
      </c>
      <c r="P230" s="170">
        <f t="shared" si="20"/>
        <v>13464.635183999999</v>
      </c>
    </row>
    <row r="231" spans="1:16">
      <c r="A231" s="157"/>
      <c r="B231" s="154"/>
      <c r="C231" s="63"/>
      <c r="D231" s="199"/>
      <c r="E231" s="145"/>
      <c r="F231" s="61"/>
      <c r="G231" s="206"/>
      <c r="H231" s="74"/>
      <c r="I231" s="183"/>
      <c r="J231" s="209"/>
      <c r="K231" s="197"/>
      <c r="L231" s="229"/>
      <c r="M231" s="188">
        <v>12687.84</v>
      </c>
      <c r="N231" s="188">
        <f t="shared" si="19"/>
        <v>12307.2048</v>
      </c>
      <c r="O231" s="189">
        <v>7.0000000000000007E-2</v>
      </c>
      <c r="P231" s="170">
        <f t="shared" si="20"/>
        <v>13168.709135999999</v>
      </c>
    </row>
    <row r="232" spans="1:16">
      <c r="A232" s="157"/>
      <c r="B232" s="154"/>
      <c r="C232" s="63"/>
      <c r="D232" s="199"/>
      <c r="E232" s="145"/>
      <c r="F232" s="61"/>
      <c r="G232" s="206"/>
      <c r="H232" s="74"/>
      <c r="I232" s="183"/>
      <c r="J232" s="175"/>
      <c r="K232" s="197"/>
      <c r="L232" s="194"/>
      <c r="M232" s="188">
        <v>16572.599999999999</v>
      </c>
      <c r="N232" s="188">
        <f t="shared" si="19"/>
        <v>16075.421999999999</v>
      </c>
      <c r="O232" s="189">
        <v>7.0000000000000007E-2</v>
      </c>
      <c r="P232" s="170">
        <f t="shared" si="20"/>
        <v>17200.701539999998</v>
      </c>
    </row>
    <row r="233" spans="1:16">
      <c r="A233" s="157"/>
      <c r="B233" s="154"/>
      <c r="C233" s="63"/>
      <c r="D233" s="199"/>
      <c r="E233" s="90"/>
      <c r="F233" s="61"/>
      <c r="G233" s="206"/>
      <c r="H233" s="74"/>
      <c r="I233" s="203"/>
      <c r="J233" s="175"/>
      <c r="K233" s="197"/>
      <c r="L233" s="194"/>
      <c r="M233" s="188">
        <v>6021.12</v>
      </c>
      <c r="N233" s="188">
        <f>M233-(M233*0.03)</f>
        <v>5840.4863999999998</v>
      </c>
      <c r="O233" s="189">
        <v>7.0000000000000007E-2</v>
      </c>
      <c r="P233" s="170">
        <f>(N233*O233)+N233</f>
        <v>6249.3204479999995</v>
      </c>
    </row>
    <row r="234" spans="1:16">
      <c r="A234" s="157"/>
      <c r="B234" s="154"/>
      <c r="C234" s="63"/>
      <c r="D234" s="199"/>
      <c r="E234" s="90"/>
      <c r="F234" s="61"/>
      <c r="G234" s="206"/>
      <c r="H234" s="74"/>
      <c r="I234" s="183"/>
      <c r="J234" s="175"/>
      <c r="K234" s="197"/>
      <c r="L234" s="194"/>
      <c r="M234" s="188">
        <v>8714.16</v>
      </c>
      <c r="N234" s="188">
        <f>M234-(M234*0.03)</f>
        <v>8452.7351999999992</v>
      </c>
      <c r="O234" s="189">
        <v>7.0000000000000007E-2</v>
      </c>
      <c r="P234" s="170">
        <f>(N234*O234)+N234</f>
        <v>9044.4266639999987</v>
      </c>
    </row>
    <row r="235" spans="1:16">
      <c r="A235" s="157"/>
      <c r="B235" s="154"/>
      <c r="C235" s="63"/>
      <c r="D235" s="199"/>
      <c r="E235" s="90"/>
      <c r="F235" s="61"/>
      <c r="G235" s="206"/>
      <c r="H235" s="74"/>
      <c r="I235" s="183"/>
      <c r="J235" s="175"/>
      <c r="K235" s="197"/>
      <c r="L235" s="194"/>
      <c r="M235" s="188">
        <v>0</v>
      </c>
      <c r="N235" s="188">
        <f>M235-(M235*0.03)</f>
        <v>0</v>
      </c>
      <c r="O235" s="189">
        <v>7.0000000000000007E-2</v>
      </c>
      <c r="P235" s="170">
        <f t="shared" ref="P235:P241" si="21">(N235*O235)+N235</f>
        <v>0</v>
      </c>
    </row>
    <row r="236" spans="1:16">
      <c r="A236" s="157"/>
      <c r="B236" s="154"/>
      <c r="C236" s="63"/>
      <c r="D236" s="199"/>
      <c r="E236" s="90"/>
      <c r="F236" s="61"/>
      <c r="G236" s="206"/>
      <c r="H236" s="74"/>
      <c r="I236" s="183"/>
      <c r="J236" s="175"/>
      <c r="K236" s="197"/>
      <c r="L236" s="194"/>
      <c r="M236" s="188">
        <v>18537.7</v>
      </c>
      <c r="N236" s="188">
        <f>M236-(M236*0.03)</f>
        <v>17981.569</v>
      </c>
      <c r="O236" s="189">
        <v>7.0000000000000007E-2</v>
      </c>
      <c r="P236" s="170">
        <f t="shared" si="21"/>
        <v>19240.278829999999</v>
      </c>
    </row>
    <row r="237" spans="1:16">
      <c r="A237" s="158"/>
      <c r="B237" s="154"/>
      <c r="C237" s="63"/>
      <c r="D237" s="199"/>
      <c r="E237" s="91"/>
      <c r="F237" s="61"/>
      <c r="G237" s="206"/>
      <c r="H237" s="74"/>
      <c r="I237" s="183"/>
      <c r="J237" s="175"/>
      <c r="K237" s="197"/>
      <c r="L237" s="194"/>
      <c r="M237" s="188">
        <v>9031.68</v>
      </c>
      <c r="N237" s="188">
        <f t="shared" ref="N237:N246" si="22">M237-(M237*0.03)</f>
        <v>8760.7296000000006</v>
      </c>
      <c r="O237" s="189">
        <v>7.0000000000000007E-2</v>
      </c>
      <c r="P237" s="170">
        <f t="shared" si="21"/>
        <v>9373.9806720000015</v>
      </c>
    </row>
    <row r="238" spans="1:16">
      <c r="A238" s="200"/>
      <c r="B238" s="154"/>
      <c r="C238" s="63"/>
      <c r="D238" s="199"/>
      <c r="E238" s="153"/>
      <c r="F238" s="61"/>
      <c r="G238" s="206"/>
      <c r="H238" s="88"/>
      <c r="I238" s="184"/>
      <c r="J238" s="201"/>
      <c r="K238" s="202"/>
      <c r="L238" s="194"/>
      <c r="N238" s="188">
        <f t="shared" si="22"/>
        <v>0</v>
      </c>
      <c r="O238" s="189">
        <v>7.0000000000000007E-2</v>
      </c>
      <c r="P238" s="170">
        <f t="shared" si="21"/>
        <v>0</v>
      </c>
    </row>
    <row r="239" spans="1:16">
      <c r="A239" s="157"/>
      <c r="B239" s="154"/>
      <c r="C239" s="63"/>
      <c r="D239" s="199"/>
      <c r="E239" s="198"/>
      <c r="F239" s="61"/>
      <c r="G239" s="206"/>
      <c r="H239" s="74"/>
      <c r="I239" s="183"/>
      <c r="J239" s="175"/>
      <c r="K239" s="197"/>
      <c r="L239" s="194"/>
      <c r="M239" s="188">
        <v>8478.9599999999991</v>
      </c>
      <c r="N239" s="188">
        <f t="shared" si="22"/>
        <v>8224.5911999999989</v>
      </c>
      <c r="O239" s="189">
        <v>7.0000000000000007E-2</v>
      </c>
      <c r="P239" s="170">
        <f t="shared" si="21"/>
        <v>8800.3125839999993</v>
      </c>
    </row>
    <row r="240" spans="1:16">
      <c r="A240" s="157"/>
      <c r="B240" s="154"/>
      <c r="C240" s="63"/>
      <c r="D240" s="199"/>
      <c r="E240" s="142"/>
      <c r="F240" s="61"/>
      <c r="G240" s="206"/>
      <c r="H240" s="74"/>
      <c r="I240" s="183"/>
      <c r="J240" s="175"/>
      <c r="K240" s="197"/>
      <c r="L240" s="194"/>
      <c r="M240" s="188">
        <v>11122.62</v>
      </c>
      <c r="N240" s="188">
        <f t="shared" si="22"/>
        <v>10788.941400000002</v>
      </c>
      <c r="O240" s="189">
        <v>7.0000000000000007E-2</v>
      </c>
      <c r="P240" s="170">
        <f t="shared" si="21"/>
        <v>11544.167298000002</v>
      </c>
    </row>
    <row r="241" spans="1:16">
      <c r="A241" s="157"/>
      <c r="B241" s="154"/>
      <c r="C241" s="63"/>
      <c r="D241" s="196"/>
      <c r="E241" s="120"/>
      <c r="F241" s="121"/>
      <c r="G241" s="206"/>
      <c r="H241" s="115"/>
      <c r="I241" s="185"/>
      <c r="J241" s="175"/>
      <c r="K241" s="197"/>
      <c r="L241" s="194"/>
      <c r="M241" s="188">
        <v>3813.12</v>
      </c>
      <c r="N241" s="188">
        <f t="shared" si="22"/>
        <v>3698.7264</v>
      </c>
      <c r="O241" s="189">
        <v>7.0000000000000007E-2</v>
      </c>
      <c r="P241" s="170">
        <f t="shared" si="21"/>
        <v>3957.637248</v>
      </c>
    </row>
    <row r="242" spans="1:16">
      <c r="A242" s="157"/>
      <c r="B242" s="154"/>
      <c r="C242" s="63"/>
      <c r="D242" s="196"/>
      <c r="E242" s="249"/>
      <c r="F242" s="121"/>
      <c r="G242" s="206"/>
      <c r="H242" s="115"/>
      <c r="I242" s="185"/>
      <c r="J242" s="175"/>
      <c r="K242" s="197"/>
      <c r="L242" s="194"/>
    </row>
    <row r="243" spans="1:16" ht="28.5" customHeight="1">
      <c r="A243" s="157"/>
      <c r="B243" s="154"/>
      <c r="C243" s="63"/>
      <c r="D243" s="196"/>
      <c r="E243" s="249"/>
      <c r="F243" s="121"/>
      <c r="G243" s="206"/>
      <c r="H243" s="115"/>
      <c r="I243" s="185"/>
      <c r="J243" s="175"/>
      <c r="K243" s="197"/>
      <c r="L243" s="194"/>
    </row>
    <row r="244" spans="1:16">
      <c r="A244" s="157"/>
      <c r="B244" s="154"/>
      <c r="C244" s="63"/>
      <c r="D244" s="196"/>
      <c r="E244" s="249"/>
      <c r="F244" s="121"/>
      <c r="G244" s="206"/>
      <c r="H244" s="115"/>
      <c r="I244" s="185"/>
      <c r="J244" s="175"/>
      <c r="K244" s="197"/>
      <c r="L244" s="194"/>
    </row>
    <row r="245" spans="1:16">
      <c r="A245" s="157"/>
      <c r="B245" s="154"/>
      <c r="C245" s="63"/>
      <c r="D245" s="196"/>
      <c r="E245" s="142"/>
      <c r="F245" s="61"/>
      <c r="G245" s="206"/>
      <c r="H245" s="74"/>
      <c r="I245" s="183"/>
      <c r="J245" s="175"/>
      <c r="K245" s="197"/>
      <c r="L245" s="194"/>
    </row>
    <row r="246" spans="1:16">
      <c r="A246" s="157"/>
      <c r="B246" s="161"/>
      <c r="C246" s="63"/>
      <c r="D246" s="196"/>
      <c r="E246" s="142"/>
      <c r="F246" s="61"/>
      <c r="G246" s="206"/>
      <c r="H246" s="74"/>
      <c r="I246" s="183"/>
      <c r="J246" s="175"/>
      <c r="K246" s="197"/>
      <c r="L246" s="194"/>
      <c r="M246" s="188">
        <v>8640</v>
      </c>
      <c r="N246" s="188">
        <f t="shared" si="22"/>
        <v>8380.7999999999993</v>
      </c>
      <c r="O246" s="189">
        <v>7.0000000000000007E-2</v>
      </c>
      <c r="P246" s="170">
        <f>(N246*O246)+N246</f>
        <v>8967.4559999999983</v>
      </c>
    </row>
    <row r="247" spans="1:16">
      <c r="A247" s="157"/>
      <c r="B247" s="161"/>
      <c r="C247" s="63"/>
      <c r="D247" s="196"/>
      <c r="E247" s="142"/>
      <c r="F247" s="61"/>
      <c r="G247" s="206"/>
      <c r="H247" s="74"/>
      <c r="I247" s="183"/>
      <c r="J247" s="175"/>
      <c r="K247" s="197"/>
      <c r="L247" s="194"/>
    </row>
    <row r="248" spans="1:16">
      <c r="A248" s="157"/>
      <c r="B248" s="161"/>
      <c r="C248" s="63"/>
      <c r="D248" s="196"/>
      <c r="E248" s="142"/>
      <c r="F248" s="61"/>
      <c r="G248" s="206"/>
      <c r="H248" s="74"/>
      <c r="I248" s="183"/>
      <c r="J248" s="175"/>
      <c r="K248" s="197"/>
      <c r="L248" s="194"/>
    </row>
    <row r="249" spans="1:16">
      <c r="A249" s="157"/>
      <c r="B249" s="161"/>
      <c r="C249" s="63"/>
      <c r="D249" s="196"/>
      <c r="E249" s="142"/>
      <c r="F249" s="61"/>
      <c r="G249" s="206"/>
      <c r="H249" s="74"/>
      <c r="I249" s="183"/>
      <c r="J249" s="175"/>
      <c r="K249" s="197"/>
      <c r="L249" s="194"/>
    </row>
    <row r="250" spans="1:16">
      <c r="A250" s="157"/>
      <c r="B250" s="161"/>
      <c r="C250" s="63"/>
      <c r="D250" s="196"/>
      <c r="E250" s="142"/>
      <c r="F250" s="61"/>
      <c r="G250" s="206"/>
      <c r="H250" s="74"/>
      <c r="I250" s="183"/>
      <c r="J250" s="175"/>
      <c r="K250" s="197"/>
      <c r="L250" s="194"/>
    </row>
    <row r="251" spans="1:16">
      <c r="A251" s="160"/>
      <c r="B251" s="154"/>
      <c r="C251" s="63"/>
      <c r="D251" s="196"/>
      <c r="E251" s="120"/>
      <c r="F251" s="121"/>
      <c r="G251" s="206"/>
      <c r="H251" s="115"/>
      <c r="I251" s="185"/>
      <c r="J251" s="174"/>
      <c r="K251" s="195"/>
      <c r="L251" s="194"/>
    </row>
    <row r="252" spans="1:16">
      <c r="F252" s="68"/>
    </row>
    <row r="253" spans="1:16">
      <c r="A253" s="44" t="s">
        <v>0</v>
      </c>
      <c r="B253" s="127"/>
      <c r="C253" s="104"/>
      <c r="F253" s="68"/>
      <c r="I253" s="179"/>
      <c r="K253" s="163"/>
      <c r="L253" s="168"/>
    </row>
    <row r="254" spans="1:16">
      <c r="A254" s="3480" t="s">
        <v>2512</v>
      </c>
      <c r="B254" s="3480"/>
      <c r="C254" s="44"/>
      <c r="D254" s="109"/>
      <c r="F254" s="68"/>
      <c r="I254" s="179"/>
      <c r="K254" s="163"/>
      <c r="L254" s="168"/>
    </row>
    <row r="255" spans="1:16" ht="35.25" thickBot="1">
      <c r="F255" s="68"/>
    </row>
    <row r="256" spans="1:16">
      <c r="A256" s="3493" t="s">
        <v>2</v>
      </c>
      <c r="B256" s="3482"/>
      <c r="C256" s="48" t="s">
        <v>3</v>
      </c>
      <c r="D256" s="128" t="s">
        <v>4</v>
      </c>
      <c r="E256" s="77" t="s">
        <v>5</v>
      </c>
      <c r="F256" s="78" t="s">
        <v>5</v>
      </c>
      <c r="G256" s="211" t="s">
        <v>6</v>
      </c>
      <c r="H256" s="140" t="s">
        <v>7</v>
      </c>
      <c r="I256" s="180" t="s">
        <v>1511</v>
      </c>
      <c r="J256" s="172" t="s">
        <v>9</v>
      </c>
      <c r="K256" s="186" t="s">
        <v>9</v>
      </c>
      <c r="L256" s="192" t="s">
        <v>2495</v>
      </c>
      <c r="M256" s="190"/>
    </row>
    <row r="257" spans="1:16" ht="35.25" thickBot="1">
      <c r="A257" s="155"/>
      <c r="B257" s="138"/>
      <c r="C257" s="50"/>
      <c r="D257" s="129" t="s">
        <v>10</v>
      </c>
      <c r="E257" s="79" t="s">
        <v>11</v>
      </c>
      <c r="F257" s="80" t="s">
        <v>12</v>
      </c>
      <c r="G257" s="212"/>
      <c r="H257" s="141" t="s">
        <v>13</v>
      </c>
      <c r="I257" s="181" t="s">
        <v>1512</v>
      </c>
      <c r="J257" s="173" t="s">
        <v>15</v>
      </c>
      <c r="K257" s="187" t="s">
        <v>14</v>
      </c>
      <c r="L257" s="193" t="s">
        <v>2496</v>
      </c>
      <c r="M257" s="190"/>
    </row>
    <row r="258" spans="1:16">
      <c r="A258" s="156"/>
      <c r="B258" s="154"/>
      <c r="C258" s="63"/>
      <c r="D258" s="199"/>
      <c r="E258" s="143"/>
      <c r="F258" s="69"/>
      <c r="G258" s="206"/>
      <c r="H258" s="74"/>
      <c r="I258" s="183"/>
      <c r="J258" s="175"/>
      <c r="K258" s="172"/>
      <c r="L258" s="194"/>
      <c r="M258" s="188">
        <v>3552</v>
      </c>
      <c r="N258" s="188">
        <f t="shared" ref="N258:N274" si="23">M258-(M258*0.03)</f>
        <v>3445.44</v>
      </c>
      <c r="O258" s="189">
        <v>7.0000000000000007E-2</v>
      </c>
      <c r="P258" s="170">
        <f t="shared" ref="P258:P274" si="24">(N258*O258)+N258</f>
        <v>3686.6208000000001</v>
      </c>
    </row>
    <row r="259" spans="1:16">
      <c r="A259" s="157"/>
      <c r="B259" s="154"/>
      <c r="C259" s="63"/>
      <c r="D259" s="199"/>
      <c r="E259" s="145"/>
      <c r="F259" s="61"/>
      <c r="G259" s="206"/>
      <c r="H259" s="74"/>
      <c r="I259" s="183"/>
      <c r="J259" s="175"/>
      <c r="K259" s="176"/>
      <c r="L259" s="194"/>
      <c r="N259" s="188">
        <f t="shared" si="23"/>
        <v>0</v>
      </c>
      <c r="O259" s="189">
        <v>7.0000000000000007E-2</v>
      </c>
      <c r="P259" s="170">
        <f t="shared" si="24"/>
        <v>0</v>
      </c>
    </row>
    <row r="260" spans="1:16">
      <c r="A260" s="157"/>
      <c r="B260" s="239"/>
      <c r="C260" s="63"/>
      <c r="D260" s="199"/>
      <c r="E260" s="145"/>
      <c r="F260" s="61"/>
      <c r="G260" s="206"/>
      <c r="H260" s="74"/>
      <c r="I260" s="183"/>
      <c r="J260" s="175"/>
      <c r="K260" s="245"/>
      <c r="L260" s="194"/>
      <c r="M260" s="188">
        <v>9498.06</v>
      </c>
      <c r="N260" s="188">
        <f t="shared" si="23"/>
        <v>9213.118199999999</v>
      </c>
      <c r="O260" s="189">
        <v>7.0000000000000007E-2</v>
      </c>
      <c r="P260" s="170">
        <f t="shared" si="24"/>
        <v>9858.0364739999986</v>
      </c>
    </row>
    <row r="261" spans="1:16">
      <c r="A261" s="157"/>
      <c r="B261" s="239"/>
      <c r="C261" s="63"/>
      <c r="D261" s="199"/>
      <c r="E261" s="145"/>
      <c r="F261" s="61"/>
      <c r="G261" s="206"/>
      <c r="H261" s="74"/>
      <c r="I261" s="183"/>
      <c r="J261" s="175"/>
      <c r="K261" s="197"/>
      <c r="L261" s="194"/>
      <c r="M261" s="188">
        <v>15305.4</v>
      </c>
      <c r="N261" s="188">
        <f t="shared" si="23"/>
        <v>14846.237999999999</v>
      </c>
      <c r="O261" s="189">
        <v>7.0000000000000007E-2</v>
      </c>
      <c r="P261" s="170">
        <f t="shared" si="24"/>
        <v>15885.47466</v>
      </c>
    </row>
    <row r="262" spans="1:16">
      <c r="A262" s="157"/>
      <c r="B262" s="154"/>
      <c r="C262" s="63"/>
      <c r="D262" s="199"/>
      <c r="E262" s="145"/>
      <c r="F262" s="61"/>
      <c r="G262" s="206"/>
      <c r="H262" s="74"/>
      <c r="I262" s="183"/>
      <c r="J262" s="175"/>
      <c r="K262" s="197"/>
      <c r="L262" s="194"/>
      <c r="N262" s="188">
        <f t="shared" si="23"/>
        <v>0</v>
      </c>
      <c r="O262" s="189">
        <v>7.0000000000000007E-2</v>
      </c>
      <c r="P262" s="170">
        <f t="shared" si="24"/>
        <v>0</v>
      </c>
    </row>
    <row r="263" spans="1:16">
      <c r="A263" s="157"/>
      <c r="B263" s="154"/>
      <c r="C263" s="63"/>
      <c r="D263" s="199"/>
      <c r="E263" s="145"/>
      <c r="F263" s="61"/>
      <c r="G263" s="206"/>
      <c r="H263" s="74"/>
      <c r="I263" s="183"/>
      <c r="J263" s="175"/>
      <c r="K263" s="197"/>
      <c r="L263" s="194"/>
      <c r="N263" s="188">
        <f t="shared" si="23"/>
        <v>0</v>
      </c>
      <c r="O263" s="189">
        <v>7.0000000000000007E-2</v>
      </c>
      <c r="P263" s="170">
        <f t="shared" si="24"/>
        <v>0</v>
      </c>
    </row>
    <row r="264" spans="1:16">
      <c r="A264" s="157"/>
      <c r="B264" s="154"/>
      <c r="C264" s="63"/>
      <c r="D264" s="199"/>
      <c r="E264" s="145"/>
      <c r="F264" s="61"/>
      <c r="G264" s="206"/>
      <c r="H264" s="74"/>
      <c r="I264" s="183"/>
      <c r="J264" s="175"/>
      <c r="K264" s="197"/>
      <c r="L264" s="194"/>
      <c r="N264" s="188">
        <f t="shared" si="23"/>
        <v>0</v>
      </c>
      <c r="O264" s="189">
        <v>7.0000000000000007E-2</v>
      </c>
      <c r="P264" s="170">
        <f t="shared" si="24"/>
        <v>0</v>
      </c>
    </row>
    <row r="265" spans="1:16">
      <c r="A265" s="157"/>
      <c r="B265" s="239"/>
      <c r="C265" s="222"/>
      <c r="D265" s="3464"/>
      <c r="E265" s="145"/>
      <c r="F265" s="61"/>
      <c r="G265" s="223"/>
      <c r="H265" s="224"/>
      <c r="I265" s="225"/>
      <c r="J265" s="209"/>
      <c r="K265" s="244"/>
      <c r="M265" s="188">
        <v>14244.12</v>
      </c>
      <c r="N265" s="188">
        <f t="shared" si="23"/>
        <v>13816.796400000001</v>
      </c>
      <c r="O265" s="189">
        <v>7.0000000000000007E-2</v>
      </c>
      <c r="P265" s="170">
        <f t="shared" si="24"/>
        <v>14783.972148000001</v>
      </c>
    </row>
    <row r="266" spans="1:16">
      <c r="A266" s="157"/>
      <c r="B266" s="162"/>
      <c r="C266" s="63"/>
      <c r="D266" s="199"/>
      <c r="E266" s="145"/>
      <c r="F266" s="61"/>
      <c r="G266" s="206"/>
      <c r="H266" s="74"/>
      <c r="I266" s="183"/>
      <c r="J266" s="175"/>
      <c r="K266" s="197"/>
      <c r="L266" s="194"/>
      <c r="M266" s="188">
        <v>3240</v>
      </c>
      <c r="N266" s="188">
        <f t="shared" si="23"/>
        <v>3142.8</v>
      </c>
      <c r="O266" s="189">
        <v>7.0000000000000007E-2</v>
      </c>
      <c r="P266" s="170">
        <f t="shared" si="24"/>
        <v>3362.7960000000003</v>
      </c>
    </row>
    <row r="267" spans="1:16">
      <c r="A267" s="157"/>
      <c r="B267" s="162"/>
      <c r="C267" s="63"/>
      <c r="D267" s="199"/>
      <c r="E267" s="145"/>
      <c r="F267" s="61"/>
      <c r="G267" s="206"/>
      <c r="H267" s="74"/>
      <c r="I267" s="183"/>
      <c r="J267" s="175"/>
      <c r="K267" s="197"/>
      <c r="L267" s="194"/>
      <c r="M267" s="188">
        <v>14700</v>
      </c>
      <c r="N267" s="188">
        <f t="shared" si="23"/>
        <v>14259</v>
      </c>
      <c r="O267" s="189">
        <v>7.0000000000000007E-2</v>
      </c>
      <c r="P267" s="170">
        <f t="shared" si="24"/>
        <v>15257.130000000001</v>
      </c>
    </row>
    <row r="268" spans="1:16">
      <c r="A268" s="157"/>
      <c r="B268" s="162"/>
      <c r="C268" s="222"/>
      <c r="D268" s="3464"/>
      <c r="E268" s="237"/>
      <c r="F268" s="238"/>
      <c r="G268" s="223"/>
      <c r="H268" s="224"/>
      <c r="I268" s="225"/>
      <c r="J268" s="209"/>
      <c r="K268" s="226"/>
      <c r="L268" s="229"/>
      <c r="M268" s="188">
        <v>14582.7</v>
      </c>
      <c r="N268" s="188">
        <f t="shared" si="23"/>
        <v>14145.219000000001</v>
      </c>
      <c r="O268" s="189">
        <v>7.0000000000000007E-2</v>
      </c>
      <c r="P268" s="170">
        <f t="shared" si="24"/>
        <v>15135.384330000001</v>
      </c>
    </row>
    <row r="269" spans="1:16">
      <c r="A269" s="157"/>
      <c r="B269" s="162"/>
      <c r="C269" s="63"/>
      <c r="D269" s="199"/>
      <c r="E269" s="145"/>
      <c r="F269" s="61"/>
      <c r="G269" s="206"/>
      <c r="H269" s="74"/>
      <c r="I269" s="183"/>
      <c r="J269" s="175"/>
      <c r="K269" s="197"/>
      <c r="L269" s="229"/>
      <c r="M269" s="188">
        <v>13483.8</v>
      </c>
      <c r="N269" s="188">
        <f t="shared" si="23"/>
        <v>13079.286</v>
      </c>
      <c r="O269" s="189">
        <v>7.0000000000000007E-2</v>
      </c>
      <c r="P269" s="170">
        <f t="shared" si="24"/>
        <v>13994.836020000001</v>
      </c>
    </row>
    <row r="270" spans="1:16">
      <c r="A270" s="157"/>
      <c r="B270" s="154"/>
      <c r="C270" s="222"/>
      <c r="D270" s="3464"/>
      <c r="E270" s="145"/>
      <c r="F270" s="61"/>
      <c r="G270" s="223"/>
      <c r="H270" s="224"/>
      <c r="I270" s="225"/>
      <c r="J270" s="209"/>
      <c r="K270" s="226"/>
      <c r="L270" s="229"/>
      <c r="M270" s="188">
        <v>2669.52</v>
      </c>
      <c r="N270" s="188">
        <f t="shared" si="23"/>
        <v>2589.4344000000001</v>
      </c>
      <c r="O270" s="189">
        <v>7.0000000000000007E-2</v>
      </c>
      <c r="P270" s="170">
        <f t="shared" si="24"/>
        <v>2770.6948080000002</v>
      </c>
    </row>
    <row r="271" spans="1:16">
      <c r="A271" s="157"/>
      <c r="B271" s="154"/>
      <c r="C271" s="222"/>
      <c r="D271" s="3464"/>
      <c r="E271" s="145"/>
      <c r="F271" s="61"/>
      <c r="G271" s="223"/>
      <c r="H271" s="224"/>
      <c r="I271" s="225"/>
      <c r="J271" s="209"/>
      <c r="K271" s="226"/>
      <c r="L271" s="229"/>
      <c r="N271" s="188">
        <f t="shared" si="23"/>
        <v>0</v>
      </c>
      <c r="O271" s="189">
        <v>7.0000000000000007E-2</v>
      </c>
      <c r="P271" s="170">
        <f t="shared" si="24"/>
        <v>0</v>
      </c>
    </row>
    <row r="272" spans="1:16">
      <c r="A272" s="221"/>
      <c r="B272" s="240"/>
      <c r="C272" s="222"/>
      <c r="D272" s="3464"/>
      <c r="E272" s="145"/>
      <c r="F272" s="61"/>
      <c r="G272" s="223"/>
      <c r="H272" s="224"/>
      <c r="I272" s="225"/>
      <c r="J272" s="209"/>
      <c r="K272" s="226"/>
      <c r="L272" s="229"/>
      <c r="M272" s="188">
        <v>12972.96</v>
      </c>
      <c r="N272" s="188">
        <f t="shared" si="23"/>
        <v>12583.771199999999</v>
      </c>
      <c r="O272" s="189">
        <v>7.0000000000000007E-2</v>
      </c>
      <c r="P272" s="170">
        <f t="shared" si="24"/>
        <v>13464.635183999999</v>
      </c>
    </row>
    <row r="273" spans="1:16">
      <c r="A273" s="157"/>
      <c r="B273" s="154"/>
      <c r="C273" s="63"/>
      <c r="D273" s="199"/>
      <c r="E273" s="145"/>
      <c r="F273" s="61"/>
      <c r="G273" s="206"/>
      <c r="H273" s="74"/>
      <c r="I273" s="183"/>
      <c r="J273" s="209"/>
      <c r="K273" s="197"/>
      <c r="L273" s="229"/>
      <c r="M273" s="188">
        <v>12687.84</v>
      </c>
      <c r="N273" s="188">
        <f t="shared" si="23"/>
        <v>12307.2048</v>
      </c>
      <c r="O273" s="189">
        <v>7.0000000000000007E-2</v>
      </c>
      <c r="P273" s="170">
        <f t="shared" si="24"/>
        <v>13168.709135999999</v>
      </c>
    </row>
    <row r="274" spans="1:16">
      <c r="A274" s="157"/>
      <c r="B274" s="154"/>
      <c r="C274" s="63"/>
      <c r="D274" s="199"/>
      <c r="E274" s="145"/>
      <c r="F274" s="61"/>
      <c r="G274" s="206"/>
      <c r="H274" s="74"/>
      <c r="I274" s="183"/>
      <c r="J274" s="175"/>
      <c r="K274" s="197"/>
      <c r="L274" s="194"/>
      <c r="M274" s="188">
        <v>16572.599999999999</v>
      </c>
      <c r="N274" s="188">
        <f t="shared" si="23"/>
        <v>16075.421999999999</v>
      </c>
      <c r="O274" s="189">
        <v>7.0000000000000007E-2</v>
      </c>
      <c r="P274" s="170">
        <f t="shared" si="24"/>
        <v>17200.701539999998</v>
      </c>
    </row>
    <row r="275" spans="1:16">
      <c r="A275" s="157"/>
      <c r="B275" s="154"/>
      <c r="C275" s="63"/>
      <c r="D275" s="199"/>
      <c r="E275" s="90"/>
      <c r="F275" s="61"/>
      <c r="G275" s="206"/>
      <c r="H275" s="74"/>
      <c r="I275" s="203"/>
      <c r="J275" s="175"/>
      <c r="K275" s="197"/>
      <c r="L275" s="194"/>
      <c r="M275" s="188">
        <v>6021.12</v>
      </c>
      <c r="N275" s="188">
        <f>M275-(M275*0.03)</f>
        <v>5840.4863999999998</v>
      </c>
      <c r="O275" s="189">
        <v>7.0000000000000007E-2</v>
      </c>
      <c r="P275" s="170">
        <f>(N275*O275)+N275</f>
        <v>6249.3204479999995</v>
      </c>
    </row>
    <row r="276" spans="1:16">
      <c r="A276" s="157"/>
      <c r="B276" s="154"/>
      <c r="C276" s="63"/>
      <c r="D276" s="199"/>
      <c r="E276" s="90"/>
      <c r="F276" s="61"/>
      <c r="G276" s="206"/>
      <c r="H276" s="74"/>
      <c r="I276" s="183"/>
      <c r="J276" s="175"/>
      <c r="K276" s="197"/>
      <c r="L276" s="194"/>
      <c r="M276" s="188">
        <v>8714.16</v>
      </c>
      <c r="N276" s="188">
        <f>M276-(M276*0.03)</f>
        <v>8452.7351999999992</v>
      </c>
      <c r="O276" s="189">
        <v>7.0000000000000007E-2</v>
      </c>
      <c r="P276" s="170">
        <f>(N276*O276)+N276</f>
        <v>9044.4266639999987</v>
      </c>
    </row>
    <row r="277" spans="1:16">
      <c r="A277" s="157"/>
      <c r="B277" s="154"/>
      <c r="C277" s="63"/>
      <c r="D277" s="199"/>
      <c r="E277" s="90"/>
      <c r="F277" s="61"/>
      <c r="G277" s="206"/>
      <c r="H277" s="74"/>
      <c r="I277" s="183"/>
      <c r="J277" s="175"/>
      <c r="K277" s="197"/>
      <c r="L277" s="194"/>
      <c r="M277" s="188">
        <v>0</v>
      </c>
      <c r="N277" s="188">
        <f>M277-(M277*0.03)</f>
        <v>0</v>
      </c>
      <c r="O277" s="189">
        <v>7.0000000000000007E-2</v>
      </c>
      <c r="P277" s="170">
        <f t="shared" ref="P277:P283" si="25">(N277*O277)+N277</f>
        <v>0</v>
      </c>
    </row>
    <row r="278" spans="1:16">
      <c r="A278" s="157"/>
      <c r="B278" s="154"/>
      <c r="C278" s="63"/>
      <c r="D278" s="199"/>
      <c r="E278" s="90"/>
      <c r="F278" s="61"/>
      <c r="G278" s="206"/>
      <c r="H278" s="74"/>
      <c r="I278" s="183"/>
      <c r="J278" s="175"/>
      <c r="K278" s="197"/>
      <c r="L278" s="194"/>
      <c r="M278" s="188">
        <v>18537.7</v>
      </c>
      <c r="N278" s="188">
        <f>M278-(M278*0.03)</f>
        <v>17981.569</v>
      </c>
      <c r="O278" s="189">
        <v>7.0000000000000007E-2</v>
      </c>
      <c r="P278" s="170">
        <f t="shared" si="25"/>
        <v>19240.278829999999</v>
      </c>
    </row>
    <row r="279" spans="1:16" ht="35.25" customHeight="1">
      <c r="A279" s="158"/>
      <c r="B279" s="154"/>
      <c r="C279" s="63"/>
      <c r="D279" s="199"/>
      <c r="E279" s="91"/>
      <c r="F279" s="61"/>
      <c r="G279" s="206"/>
      <c r="H279" s="74"/>
      <c r="I279" s="183"/>
      <c r="J279" s="175"/>
      <c r="K279" s="197"/>
      <c r="L279" s="194"/>
      <c r="M279" s="188">
        <v>9031.68</v>
      </c>
      <c r="N279" s="188">
        <f t="shared" ref="N279:N289" si="26">M279-(M279*0.03)</f>
        <v>8760.7296000000006</v>
      </c>
      <c r="O279" s="189">
        <v>7.0000000000000007E-2</v>
      </c>
      <c r="P279" s="170">
        <f t="shared" si="25"/>
        <v>9373.9806720000015</v>
      </c>
    </row>
    <row r="280" spans="1:16">
      <c r="A280" s="200"/>
      <c r="B280" s="154"/>
      <c r="C280" s="63"/>
      <c r="D280" s="199"/>
      <c r="E280" s="153"/>
      <c r="F280" s="61"/>
      <c r="G280" s="206"/>
      <c r="H280" s="88"/>
      <c r="I280" s="184"/>
      <c r="J280" s="201"/>
      <c r="K280" s="202"/>
      <c r="L280" s="194"/>
      <c r="N280" s="188">
        <f t="shared" si="26"/>
        <v>0</v>
      </c>
      <c r="O280" s="189">
        <v>7.0000000000000007E-2</v>
      </c>
      <c r="P280" s="170">
        <f t="shared" si="25"/>
        <v>0</v>
      </c>
    </row>
    <row r="281" spans="1:16">
      <c r="A281" s="157"/>
      <c r="B281" s="154"/>
      <c r="C281" s="63"/>
      <c r="D281" s="199"/>
      <c r="E281" s="198"/>
      <c r="F281" s="61"/>
      <c r="G281" s="206"/>
      <c r="H281" s="74"/>
      <c r="I281" s="183"/>
      <c r="J281" s="175"/>
      <c r="K281" s="197"/>
      <c r="L281" s="194"/>
      <c r="M281" s="188">
        <v>8478.9599999999991</v>
      </c>
      <c r="N281" s="188">
        <f t="shared" si="26"/>
        <v>8224.5911999999989</v>
      </c>
      <c r="O281" s="189">
        <v>7.0000000000000007E-2</v>
      </c>
      <c r="P281" s="170">
        <f t="shared" si="25"/>
        <v>8800.3125839999993</v>
      </c>
    </row>
    <row r="282" spans="1:16" ht="35.25" customHeight="1">
      <c r="A282" s="157"/>
      <c r="B282" s="154"/>
      <c r="C282" s="63"/>
      <c r="D282" s="199"/>
      <c r="E282" s="142"/>
      <c r="F282" s="61"/>
      <c r="G282" s="206"/>
      <c r="H282" s="74"/>
      <c r="I282" s="183"/>
      <c r="J282" s="175"/>
      <c r="K282" s="197"/>
      <c r="L282" s="194"/>
      <c r="M282" s="188">
        <v>11122.62</v>
      </c>
      <c r="N282" s="188">
        <f t="shared" si="26"/>
        <v>10788.941400000002</v>
      </c>
      <c r="O282" s="189">
        <v>7.0000000000000007E-2</v>
      </c>
      <c r="P282" s="170">
        <f t="shared" si="25"/>
        <v>11544.167298000002</v>
      </c>
    </row>
    <row r="283" spans="1:16">
      <c r="A283" s="157"/>
      <c r="B283" s="154"/>
      <c r="C283" s="63"/>
      <c r="D283" s="196"/>
      <c r="E283" s="120"/>
      <c r="F283" s="121"/>
      <c r="G283" s="206"/>
      <c r="H283" s="115"/>
      <c r="I283" s="185"/>
      <c r="J283" s="175"/>
      <c r="K283" s="197"/>
      <c r="L283" s="194"/>
      <c r="M283" s="188">
        <v>3813.12</v>
      </c>
      <c r="N283" s="188">
        <f t="shared" si="26"/>
        <v>3698.7264</v>
      </c>
      <c r="O283" s="189">
        <v>7.0000000000000007E-2</v>
      </c>
      <c r="P283" s="170">
        <f t="shared" si="25"/>
        <v>3957.637248</v>
      </c>
    </row>
    <row r="284" spans="1:16">
      <c r="A284" s="157"/>
      <c r="B284" s="154"/>
      <c r="C284" s="63"/>
      <c r="D284" s="196"/>
      <c r="E284" s="249"/>
      <c r="F284" s="121"/>
      <c r="G284" s="206"/>
      <c r="H284" s="115"/>
      <c r="I284" s="185"/>
      <c r="J284" s="175"/>
      <c r="K284" s="197"/>
      <c r="L284" s="194"/>
    </row>
    <row r="285" spans="1:16">
      <c r="A285" s="157"/>
      <c r="B285" s="154"/>
      <c r="C285" s="63"/>
      <c r="D285" s="196"/>
      <c r="E285" s="249"/>
      <c r="F285" s="121"/>
      <c r="G285" s="206"/>
      <c r="H285" s="115"/>
      <c r="I285" s="185"/>
      <c r="J285" s="175"/>
      <c r="K285" s="197"/>
      <c r="L285" s="194"/>
    </row>
    <row r="286" spans="1:16">
      <c r="A286" s="157"/>
      <c r="B286" s="154"/>
      <c r="C286" s="63"/>
      <c r="D286" s="196"/>
      <c r="E286" s="249"/>
      <c r="F286" s="121"/>
      <c r="G286" s="206"/>
      <c r="H286" s="115"/>
      <c r="I286" s="185"/>
      <c r="J286" s="175"/>
      <c r="K286" s="197"/>
      <c r="L286" s="194"/>
    </row>
    <row r="287" spans="1:16">
      <c r="A287" s="157"/>
      <c r="B287" s="154"/>
      <c r="C287" s="63"/>
      <c r="D287" s="196"/>
      <c r="E287" s="142"/>
      <c r="F287" s="61"/>
      <c r="G287" s="206"/>
      <c r="H287" s="74"/>
      <c r="I287" s="183"/>
      <c r="J287" s="175"/>
      <c r="K287" s="197"/>
      <c r="L287" s="194"/>
    </row>
    <row r="288" spans="1:16">
      <c r="A288" s="157"/>
      <c r="B288" s="154"/>
      <c r="C288" s="63"/>
      <c r="D288" s="196"/>
      <c r="E288" s="142"/>
      <c r="F288" s="61"/>
      <c r="G288" s="206"/>
      <c r="H288" s="74"/>
      <c r="I288" s="183"/>
      <c r="J288" s="175"/>
      <c r="K288" s="197"/>
      <c r="L288" s="194"/>
    </row>
    <row r="289" spans="1:16">
      <c r="A289" s="157"/>
      <c r="B289" s="161"/>
      <c r="C289" s="63"/>
      <c r="D289" s="196"/>
      <c r="E289" s="142"/>
      <c r="F289" s="61"/>
      <c r="G289" s="206"/>
      <c r="H289" s="74"/>
      <c r="I289" s="183"/>
      <c r="J289" s="175"/>
      <c r="K289" s="197"/>
      <c r="L289" s="194"/>
      <c r="M289" s="188">
        <v>8640</v>
      </c>
      <c r="N289" s="188">
        <f t="shared" si="26"/>
        <v>8380.7999999999993</v>
      </c>
      <c r="O289" s="189">
        <v>7.0000000000000007E-2</v>
      </c>
      <c r="P289" s="170">
        <f>(N289*O289)+N289</f>
        <v>8967.4559999999983</v>
      </c>
    </row>
    <row r="290" spans="1:16">
      <c r="A290" s="157"/>
      <c r="B290" s="161"/>
      <c r="C290" s="63"/>
      <c r="D290" s="196"/>
      <c r="E290" s="142"/>
      <c r="F290" s="61"/>
      <c r="G290" s="206"/>
      <c r="H290" s="74"/>
      <c r="I290" s="183"/>
      <c r="J290" s="175"/>
      <c r="K290" s="197"/>
      <c r="L290" s="194"/>
    </row>
    <row r="291" spans="1:16">
      <c r="A291" s="157"/>
      <c r="B291" s="161"/>
      <c r="C291" s="63"/>
      <c r="D291" s="196"/>
      <c r="E291" s="142"/>
      <c r="F291" s="61"/>
      <c r="G291" s="206"/>
      <c r="H291" s="74"/>
      <c r="I291" s="183"/>
      <c r="J291" s="175"/>
      <c r="K291" s="197"/>
      <c r="L291" s="194"/>
    </row>
    <row r="292" spans="1:16">
      <c r="A292" s="157"/>
      <c r="B292" s="161"/>
      <c r="C292" s="63"/>
      <c r="D292" s="196"/>
      <c r="E292" s="142"/>
      <c r="F292" s="61"/>
      <c r="G292" s="206"/>
      <c r="H292" s="74"/>
      <c r="I292" s="183"/>
      <c r="J292" s="175"/>
      <c r="K292" s="197"/>
      <c r="L292" s="194"/>
    </row>
    <row r="293" spans="1:16">
      <c r="A293" s="160"/>
      <c r="B293" s="154"/>
      <c r="C293" s="63"/>
      <c r="D293" s="196"/>
      <c r="E293" s="120"/>
      <c r="F293" s="121"/>
      <c r="G293" s="206"/>
      <c r="H293" s="115"/>
      <c r="I293" s="185"/>
      <c r="J293" s="174"/>
      <c r="K293" s="195"/>
      <c r="L293" s="194"/>
    </row>
    <row r="294" spans="1:16">
      <c r="A294" s="204"/>
      <c r="B294" s="3444"/>
      <c r="C294" s="3444"/>
      <c r="D294" s="3444"/>
      <c r="E294" s="3444"/>
      <c r="F294" s="3444"/>
      <c r="G294" s="213"/>
      <c r="H294" s="109"/>
      <c r="I294" s="3444"/>
      <c r="J294" s="234"/>
      <c r="K294" s="3444"/>
      <c r="L294" s="235"/>
      <c r="M294" s="3444"/>
    </row>
    <row r="295" spans="1:16">
      <c r="A295" s="44" t="s">
        <v>0</v>
      </c>
      <c r="B295" s="127"/>
      <c r="C295" s="104"/>
      <c r="F295" s="68"/>
      <c r="I295" s="179"/>
      <c r="K295" s="163"/>
      <c r="L295" s="168"/>
    </row>
    <row r="296" spans="1:16">
      <c r="A296" s="3480" t="s">
        <v>2512</v>
      </c>
      <c r="B296" s="3480"/>
      <c r="C296" s="44"/>
      <c r="D296" s="109"/>
      <c r="F296" s="68"/>
      <c r="I296" s="179"/>
      <c r="K296" s="163"/>
      <c r="L296" s="168"/>
    </row>
    <row r="297" spans="1:16" ht="35.25" thickBot="1">
      <c r="F297" s="68"/>
    </row>
    <row r="298" spans="1:16">
      <c r="A298" s="3493" t="s">
        <v>2</v>
      </c>
      <c r="B298" s="3482"/>
      <c r="C298" s="48" t="s">
        <v>3</v>
      </c>
      <c r="D298" s="128" t="s">
        <v>4</v>
      </c>
      <c r="E298" s="77" t="s">
        <v>5</v>
      </c>
      <c r="F298" s="78" t="s">
        <v>5</v>
      </c>
      <c r="G298" s="211" t="s">
        <v>6</v>
      </c>
      <c r="H298" s="140" t="s">
        <v>7</v>
      </c>
      <c r="I298" s="180" t="s">
        <v>1511</v>
      </c>
      <c r="J298" s="172" t="s">
        <v>9</v>
      </c>
      <c r="K298" s="186" t="s">
        <v>9</v>
      </c>
      <c r="L298" s="192" t="s">
        <v>2495</v>
      </c>
      <c r="M298" s="190"/>
    </row>
    <row r="299" spans="1:16" ht="35.25" thickBot="1">
      <c r="A299" s="155"/>
      <c r="B299" s="138"/>
      <c r="C299" s="50"/>
      <c r="D299" s="129" t="s">
        <v>10</v>
      </c>
      <c r="E299" s="79" t="s">
        <v>11</v>
      </c>
      <c r="F299" s="80" t="s">
        <v>12</v>
      </c>
      <c r="G299" s="212"/>
      <c r="H299" s="141" t="s">
        <v>13</v>
      </c>
      <c r="I299" s="181" t="s">
        <v>1512</v>
      </c>
      <c r="J299" s="173" t="s">
        <v>15</v>
      </c>
      <c r="K299" s="187" t="s">
        <v>14</v>
      </c>
      <c r="L299" s="193" t="s">
        <v>2496</v>
      </c>
      <c r="M299" s="190"/>
    </row>
    <row r="300" spans="1:16">
      <c r="A300" s="156"/>
      <c r="B300" s="154"/>
      <c r="C300" s="63"/>
      <c r="D300" s="199"/>
      <c r="E300" s="143"/>
      <c r="F300" s="69"/>
      <c r="G300" s="206"/>
      <c r="H300" s="74"/>
      <c r="I300" s="183"/>
      <c r="J300" s="175"/>
      <c r="K300" s="172"/>
      <c r="L300" s="194"/>
      <c r="M300" s="188">
        <v>3552</v>
      </c>
      <c r="N300" s="188">
        <f t="shared" ref="N300:N316" si="27">M300-(M300*0.03)</f>
        <v>3445.44</v>
      </c>
      <c r="O300" s="189">
        <v>7.0000000000000007E-2</v>
      </c>
      <c r="P300" s="170">
        <f t="shared" ref="P300:P316" si="28">(N300*O300)+N300</f>
        <v>3686.6208000000001</v>
      </c>
    </row>
    <row r="301" spans="1:16">
      <c r="A301" s="157"/>
      <c r="B301" s="154"/>
      <c r="C301" s="63"/>
      <c r="D301" s="199"/>
      <c r="E301" s="145"/>
      <c r="F301" s="61"/>
      <c r="G301" s="206"/>
      <c r="H301" s="74"/>
      <c r="I301" s="183"/>
      <c r="J301" s="175"/>
      <c r="K301" s="176"/>
      <c r="L301" s="194"/>
      <c r="N301" s="188">
        <f t="shared" si="27"/>
        <v>0</v>
      </c>
      <c r="O301" s="189">
        <v>7.0000000000000007E-2</v>
      </c>
      <c r="P301" s="170">
        <f t="shared" si="28"/>
        <v>0</v>
      </c>
    </row>
    <row r="302" spans="1:16">
      <c r="A302" s="157"/>
      <c r="B302" s="239"/>
      <c r="C302" s="63"/>
      <c r="D302" s="199"/>
      <c r="E302" s="145"/>
      <c r="F302" s="61"/>
      <c r="G302" s="206"/>
      <c r="H302" s="74"/>
      <c r="I302" s="183"/>
      <c r="J302" s="175"/>
      <c r="K302" s="245"/>
      <c r="L302" s="194"/>
      <c r="M302" s="188">
        <v>9498.06</v>
      </c>
      <c r="N302" s="188">
        <f t="shared" si="27"/>
        <v>9213.118199999999</v>
      </c>
      <c r="O302" s="189">
        <v>7.0000000000000007E-2</v>
      </c>
      <c r="P302" s="170">
        <f t="shared" si="28"/>
        <v>9858.0364739999986</v>
      </c>
    </row>
    <row r="303" spans="1:16">
      <c r="A303" s="157"/>
      <c r="B303" s="239"/>
      <c r="C303" s="63"/>
      <c r="D303" s="199"/>
      <c r="E303" s="145"/>
      <c r="F303" s="61"/>
      <c r="G303" s="206"/>
      <c r="H303" s="74"/>
      <c r="I303" s="183"/>
      <c r="J303" s="175"/>
      <c r="K303" s="197"/>
      <c r="L303" s="194"/>
      <c r="M303" s="188">
        <v>15305.4</v>
      </c>
      <c r="N303" s="188">
        <f t="shared" si="27"/>
        <v>14846.237999999999</v>
      </c>
      <c r="O303" s="189">
        <v>7.0000000000000007E-2</v>
      </c>
      <c r="P303" s="170">
        <f t="shared" si="28"/>
        <v>15885.47466</v>
      </c>
    </row>
    <row r="304" spans="1:16">
      <c r="A304" s="157"/>
      <c r="B304" s="154"/>
      <c r="C304" s="63"/>
      <c r="D304" s="199"/>
      <c r="E304" s="145"/>
      <c r="F304" s="61"/>
      <c r="G304" s="206"/>
      <c r="H304" s="74"/>
      <c r="I304" s="183"/>
      <c r="J304" s="175"/>
      <c r="K304" s="197"/>
      <c r="L304" s="194"/>
      <c r="N304" s="188">
        <f t="shared" si="27"/>
        <v>0</v>
      </c>
      <c r="O304" s="189">
        <v>7.0000000000000007E-2</v>
      </c>
      <c r="P304" s="170">
        <f t="shared" si="28"/>
        <v>0</v>
      </c>
    </row>
    <row r="305" spans="1:16">
      <c r="A305" s="157"/>
      <c r="B305" s="154"/>
      <c r="C305" s="63"/>
      <c r="D305" s="199"/>
      <c r="E305" s="145"/>
      <c r="F305" s="61"/>
      <c r="G305" s="206"/>
      <c r="H305" s="74"/>
      <c r="I305" s="183"/>
      <c r="J305" s="175"/>
      <c r="K305" s="197"/>
      <c r="L305" s="194"/>
      <c r="N305" s="188">
        <f t="shared" si="27"/>
        <v>0</v>
      </c>
      <c r="O305" s="189">
        <v>7.0000000000000007E-2</v>
      </c>
      <c r="P305" s="170">
        <f t="shared" si="28"/>
        <v>0</v>
      </c>
    </row>
    <row r="306" spans="1:16">
      <c r="A306" s="157"/>
      <c r="B306" s="154"/>
      <c r="C306" s="63"/>
      <c r="D306" s="199"/>
      <c r="E306" s="145"/>
      <c r="F306" s="61"/>
      <c r="G306" s="206"/>
      <c r="H306" s="74"/>
      <c r="I306" s="183"/>
      <c r="J306" s="175"/>
      <c r="K306" s="197"/>
      <c r="L306" s="194"/>
      <c r="N306" s="188">
        <f t="shared" si="27"/>
        <v>0</v>
      </c>
      <c r="O306" s="189">
        <v>7.0000000000000007E-2</v>
      </c>
      <c r="P306" s="170">
        <f t="shared" si="28"/>
        <v>0</v>
      </c>
    </row>
    <row r="307" spans="1:16">
      <c r="A307" s="157"/>
      <c r="B307" s="239"/>
      <c r="C307" s="222"/>
      <c r="D307" s="3464"/>
      <c r="E307" s="145"/>
      <c r="F307" s="61"/>
      <c r="G307" s="223"/>
      <c r="H307" s="224"/>
      <c r="I307" s="225"/>
      <c r="J307" s="209"/>
      <c r="K307" s="244"/>
      <c r="M307" s="188">
        <v>14244.12</v>
      </c>
      <c r="N307" s="188">
        <f t="shared" si="27"/>
        <v>13816.796400000001</v>
      </c>
      <c r="O307" s="189">
        <v>7.0000000000000007E-2</v>
      </c>
      <c r="P307" s="170">
        <f t="shared" si="28"/>
        <v>14783.972148000001</v>
      </c>
    </row>
    <row r="308" spans="1:16">
      <c r="A308" s="157"/>
      <c r="B308" s="162"/>
      <c r="C308" s="63"/>
      <c r="D308" s="199"/>
      <c r="E308" s="145"/>
      <c r="F308" s="61"/>
      <c r="G308" s="206"/>
      <c r="H308" s="74"/>
      <c r="I308" s="183"/>
      <c r="J308" s="175"/>
      <c r="K308" s="197"/>
      <c r="L308" s="194"/>
      <c r="M308" s="188">
        <v>3240</v>
      </c>
      <c r="N308" s="188">
        <f t="shared" si="27"/>
        <v>3142.8</v>
      </c>
      <c r="O308" s="189">
        <v>7.0000000000000007E-2</v>
      </c>
      <c r="P308" s="170">
        <f t="shared" si="28"/>
        <v>3362.7960000000003</v>
      </c>
    </row>
    <row r="309" spans="1:16">
      <c r="A309" s="157"/>
      <c r="B309" s="162"/>
      <c r="C309" s="63"/>
      <c r="D309" s="199"/>
      <c r="E309" s="145"/>
      <c r="F309" s="61"/>
      <c r="G309" s="206"/>
      <c r="H309" s="74"/>
      <c r="I309" s="183"/>
      <c r="J309" s="175"/>
      <c r="K309" s="197"/>
      <c r="L309" s="194"/>
      <c r="M309" s="188">
        <v>14700</v>
      </c>
      <c r="N309" s="188">
        <f t="shared" si="27"/>
        <v>14259</v>
      </c>
      <c r="O309" s="189">
        <v>7.0000000000000007E-2</v>
      </c>
      <c r="P309" s="170">
        <f t="shared" si="28"/>
        <v>15257.130000000001</v>
      </c>
    </row>
    <row r="310" spans="1:16">
      <c r="A310" s="157"/>
      <c r="B310" s="162"/>
      <c r="C310" s="222"/>
      <c r="D310" s="3464"/>
      <c r="E310" s="237"/>
      <c r="F310" s="238"/>
      <c r="G310" s="223"/>
      <c r="H310" s="224"/>
      <c r="I310" s="225"/>
      <c r="J310" s="209"/>
      <c r="K310" s="226"/>
      <c r="L310" s="229"/>
      <c r="M310" s="188">
        <v>14582.7</v>
      </c>
      <c r="N310" s="188">
        <f t="shared" si="27"/>
        <v>14145.219000000001</v>
      </c>
      <c r="O310" s="189">
        <v>7.0000000000000007E-2</v>
      </c>
      <c r="P310" s="170">
        <f t="shared" si="28"/>
        <v>15135.384330000001</v>
      </c>
    </row>
    <row r="311" spans="1:16">
      <c r="A311" s="157"/>
      <c r="B311" s="162"/>
      <c r="C311" s="63"/>
      <c r="D311" s="199"/>
      <c r="E311" s="145"/>
      <c r="F311" s="61"/>
      <c r="G311" s="206"/>
      <c r="H311" s="74"/>
      <c r="I311" s="183"/>
      <c r="J311" s="175"/>
      <c r="K311" s="197"/>
      <c r="L311" s="229"/>
      <c r="M311" s="188">
        <v>13483.8</v>
      </c>
      <c r="N311" s="188">
        <f t="shared" si="27"/>
        <v>13079.286</v>
      </c>
      <c r="O311" s="189">
        <v>7.0000000000000007E-2</v>
      </c>
      <c r="P311" s="170">
        <f t="shared" si="28"/>
        <v>13994.836020000001</v>
      </c>
    </row>
    <row r="312" spans="1:16">
      <c r="A312" s="157"/>
      <c r="B312" s="154"/>
      <c r="C312" s="222"/>
      <c r="D312" s="3464"/>
      <c r="E312" s="145"/>
      <c r="F312" s="61"/>
      <c r="G312" s="223"/>
      <c r="H312" s="224"/>
      <c r="I312" s="225"/>
      <c r="J312" s="209"/>
      <c r="K312" s="226"/>
      <c r="L312" s="229"/>
      <c r="M312" s="188">
        <v>2669.52</v>
      </c>
      <c r="N312" s="188">
        <f t="shared" si="27"/>
        <v>2589.4344000000001</v>
      </c>
      <c r="O312" s="189">
        <v>7.0000000000000007E-2</v>
      </c>
      <c r="P312" s="170">
        <f t="shared" si="28"/>
        <v>2770.6948080000002</v>
      </c>
    </row>
    <row r="313" spans="1:16">
      <c r="A313" s="157"/>
      <c r="B313" s="154"/>
      <c r="C313" s="222"/>
      <c r="D313" s="3464"/>
      <c r="E313" s="145"/>
      <c r="F313" s="61"/>
      <c r="G313" s="223"/>
      <c r="H313" s="224"/>
      <c r="I313" s="225"/>
      <c r="J313" s="209"/>
      <c r="K313" s="226"/>
      <c r="L313" s="229"/>
      <c r="N313" s="188">
        <f t="shared" si="27"/>
        <v>0</v>
      </c>
      <c r="O313" s="189">
        <v>7.0000000000000007E-2</v>
      </c>
      <c r="P313" s="170">
        <f t="shared" si="28"/>
        <v>0</v>
      </c>
    </row>
    <row r="314" spans="1:16">
      <c r="A314" s="221"/>
      <c r="B314" s="240"/>
      <c r="C314" s="222"/>
      <c r="D314" s="3464"/>
      <c r="E314" s="145"/>
      <c r="F314" s="61"/>
      <c r="G314" s="223"/>
      <c r="H314" s="224"/>
      <c r="I314" s="225"/>
      <c r="J314" s="209"/>
      <c r="K314" s="226"/>
      <c r="L314" s="229"/>
      <c r="M314" s="188">
        <v>12972.96</v>
      </c>
      <c r="N314" s="188">
        <f t="shared" si="27"/>
        <v>12583.771199999999</v>
      </c>
      <c r="O314" s="189">
        <v>7.0000000000000007E-2</v>
      </c>
      <c r="P314" s="170">
        <f t="shared" si="28"/>
        <v>13464.635183999999</v>
      </c>
    </row>
    <row r="315" spans="1:16">
      <c r="A315" s="157"/>
      <c r="B315" s="154"/>
      <c r="C315" s="63"/>
      <c r="D315" s="199"/>
      <c r="E315" s="145"/>
      <c r="F315" s="61"/>
      <c r="G315" s="206"/>
      <c r="H315" s="74"/>
      <c r="I315" s="183"/>
      <c r="J315" s="209"/>
      <c r="K315" s="197"/>
      <c r="L315" s="229"/>
      <c r="M315" s="188">
        <v>12687.84</v>
      </c>
      <c r="N315" s="188">
        <f t="shared" si="27"/>
        <v>12307.2048</v>
      </c>
      <c r="O315" s="189">
        <v>7.0000000000000007E-2</v>
      </c>
      <c r="P315" s="170">
        <f t="shared" si="28"/>
        <v>13168.709135999999</v>
      </c>
    </row>
    <row r="316" spans="1:16">
      <c r="A316" s="157"/>
      <c r="B316" s="154"/>
      <c r="C316" s="63"/>
      <c r="D316" s="199"/>
      <c r="E316" s="145"/>
      <c r="F316" s="61"/>
      <c r="G316" s="206"/>
      <c r="H316" s="74"/>
      <c r="I316" s="183"/>
      <c r="J316" s="175"/>
      <c r="K316" s="197"/>
      <c r="L316" s="194"/>
      <c r="M316" s="188">
        <v>16572.599999999999</v>
      </c>
      <c r="N316" s="188">
        <f t="shared" si="27"/>
        <v>16075.421999999999</v>
      </c>
      <c r="O316" s="189">
        <v>7.0000000000000007E-2</v>
      </c>
      <c r="P316" s="170">
        <f t="shared" si="28"/>
        <v>17200.701539999998</v>
      </c>
    </row>
    <row r="317" spans="1:16">
      <c r="A317" s="157"/>
      <c r="B317" s="154"/>
      <c r="C317" s="63"/>
      <c r="D317" s="199"/>
      <c r="E317" s="90"/>
      <c r="F317" s="61"/>
      <c r="G317" s="206"/>
      <c r="H317" s="74"/>
      <c r="I317" s="203"/>
      <c r="J317" s="175"/>
      <c r="K317" s="197"/>
      <c r="L317" s="194"/>
      <c r="M317" s="188">
        <v>6021.12</v>
      </c>
      <c r="N317" s="188">
        <f t="shared" ref="N317:N325" si="29">M317-(M317*0.03)</f>
        <v>5840.4863999999998</v>
      </c>
      <c r="O317" s="189">
        <v>7.0000000000000007E-2</v>
      </c>
      <c r="P317" s="170">
        <f>(N317*O317)+N317</f>
        <v>6249.3204479999995</v>
      </c>
    </row>
    <row r="318" spans="1:16">
      <c r="A318" s="157"/>
      <c r="B318" s="154"/>
      <c r="C318" s="63"/>
      <c r="D318" s="199"/>
      <c r="E318" s="90"/>
      <c r="F318" s="61"/>
      <c r="G318" s="206"/>
      <c r="H318" s="74"/>
      <c r="I318" s="183"/>
      <c r="J318" s="175"/>
      <c r="K318" s="197"/>
      <c r="L318" s="194"/>
      <c r="M318" s="188">
        <v>8714.16</v>
      </c>
      <c r="N318" s="188">
        <f t="shared" si="29"/>
        <v>8452.7351999999992</v>
      </c>
      <c r="O318" s="189">
        <v>7.0000000000000007E-2</v>
      </c>
      <c r="P318" s="170">
        <f>(N318*O318)+N318</f>
        <v>9044.4266639999987</v>
      </c>
    </row>
    <row r="319" spans="1:16">
      <c r="A319" s="157"/>
      <c r="B319" s="154"/>
      <c r="C319" s="63"/>
      <c r="D319" s="199"/>
      <c r="E319" s="90"/>
      <c r="F319" s="61"/>
      <c r="G319" s="206"/>
      <c r="H319" s="74"/>
      <c r="I319" s="183"/>
      <c r="J319" s="175"/>
      <c r="K319" s="197"/>
      <c r="L319" s="194"/>
      <c r="M319" s="188">
        <v>0</v>
      </c>
      <c r="N319" s="188">
        <f t="shared" si="29"/>
        <v>0</v>
      </c>
      <c r="O319" s="189">
        <v>7.0000000000000007E-2</v>
      </c>
      <c r="P319" s="170">
        <f t="shared" ref="P319:P325" si="30">(N319*O319)+N319</f>
        <v>0</v>
      </c>
    </row>
    <row r="320" spans="1:16" ht="35.25" customHeight="1">
      <c r="A320" s="157"/>
      <c r="B320" s="154"/>
      <c r="C320" s="63"/>
      <c r="D320" s="199"/>
      <c r="E320" s="90"/>
      <c r="F320" s="61"/>
      <c r="G320" s="206"/>
      <c r="H320" s="74"/>
      <c r="I320" s="183"/>
      <c r="J320" s="175"/>
      <c r="K320" s="197"/>
      <c r="L320" s="194"/>
      <c r="M320" s="188">
        <v>18537.7</v>
      </c>
      <c r="N320" s="188">
        <f t="shared" si="29"/>
        <v>17981.569</v>
      </c>
      <c r="O320" s="189">
        <v>7.0000000000000007E-2</v>
      </c>
      <c r="P320" s="170">
        <f t="shared" si="30"/>
        <v>19240.278829999999</v>
      </c>
    </row>
    <row r="321" spans="1:16">
      <c r="A321" s="158"/>
      <c r="B321" s="154"/>
      <c r="C321" s="63"/>
      <c r="D321" s="199"/>
      <c r="E321" s="91"/>
      <c r="F321" s="61"/>
      <c r="G321" s="206"/>
      <c r="H321" s="74"/>
      <c r="I321" s="183"/>
      <c r="J321" s="175"/>
      <c r="K321" s="197"/>
      <c r="L321" s="194"/>
      <c r="M321" s="188">
        <v>9031.68</v>
      </c>
      <c r="N321" s="188">
        <f t="shared" si="29"/>
        <v>8760.7296000000006</v>
      </c>
      <c r="O321" s="189">
        <v>7.0000000000000007E-2</v>
      </c>
      <c r="P321" s="170">
        <f t="shared" si="30"/>
        <v>9373.9806720000015</v>
      </c>
    </row>
    <row r="322" spans="1:16">
      <c r="A322" s="200"/>
      <c r="B322" s="154"/>
      <c r="C322" s="63"/>
      <c r="D322" s="199"/>
      <c r="E322" s="153"/>
      <c r="F322" s="61"/>
      <c r="G322" s="206"/>
      <c r="H322" s="88"/>
      <c r="I322" s="184"/>
      <c r="J322" s="201"/>
      <c r="K322" s="202"/>
      <c r="L322" s="194"/>
      <c r="N322" s="188">
        <f t="shared" si="29"/>
        <v>0</v>
      </c>
      <c r="O322" s="189">
        <v>7.0000000000000007E-2</v>
      </c>
      <c r="P322" s="170">
        <f t="shared" si="30"/>
        <v>0</v>
      </c>
    </row>
    <row r="323" spans="1:16">
      <c r="A323" s="157"/>
      <c r="B323" s="154"/>
      <c r="C323" s="63"/>
      <c r="D323" s="199"/>
      <c r="E323" s="198"/>
      <c r="F323" s="61"/>
      <c r="G323" s="206"/>
      <c r="H323" s="74"/>
      <c r="I323" s="183"/>
      <c r="J323" s="175"/>
      <c r="K323" s="197"/>
      <c r="L323" s="194"/>
      <c r="M323" s="188">
        <v>8478.9599999999991</v>
      </c>
      <c r="N323" s="188">
        <f t="shared" si="29"/>
        <v>8224.5911999999989</v>
      </c>
      <c r="O323" s="189">
        <v>7.0000000000000007E-2</v>
      </c>
      <c r="P323" s="170">
        <f t="shared" si="30"/>
        <v>8800.3125839999993</v>
      </c>
    </row>
    <row r="324" spans="1:16">
      <c r="A324" s="157"/>
      <c r="B324" s="154"/>
      <c r="C324" s="63"/>
      <c r="D324" s="199"/>
      <c r="E324" s="142"/>
      <c r="F324" s="61"/>
      <c r="G324" s="206"/>
      <c r="H324" s="74"/>
      <c r="I324" s="183"/>
      <c r="J324" s="175"/>
      <c r="K324" s="197"/>
      <c r="L324" s="194"/>
      <c r="M324" s="188">
        <v>11122.62</v>
      </c>
      <c r="N324" s="188">
        <f t="shared" si="29"/>
        <v>10788.941400000002</v>
      </c>
      <c r="O324" s="189">
        <v>7.0000000000000007E-2</v>
      </c>
      <c r="P324" s="170">
        <f t="shared" si="30"/>
        <v>11544.167298000002</v>
      </c>
    </row>
    <row r="325" spans="1:16">
      <c r="A325" s="157"/>
      <c r="B325" s="154"/>
      <c r="C325" s="63"/>
      <c r="D325" s="196"/>
      <c r="E325" s="120"/>
      <c r="F325" s="121"/>
      <c r="G325" s="206"/>
      <c r="H325" s="115"/>
      <c r="I325" s="185"/>
      <c r="J325" s="175"/>
      <c r="K325" s="197"/>
      <c r="L325" s="194"/>
      <c r="M325" s="188">
        <v>3813.12</v>
      </c>
      <c r="N325" s="188">
        <f t="shared" si="29"/>
        <v>3698.7264</v>
      </c>
      <c r="O325" s="189">
        <v>7.0000000000000007E-2</v>
      </c>
      <c r="P325" s="170">
        <f t="shared" si="30"/>
        <v>3957.637248</v>
      </c>
    </row>
    <row r="326" spans="1:16">
      <c r="A326" s="157"/>
      <c r="B326" s="154"/>
      <c r="C326" s="63"/>
      <c r="D326" s="196"/>
      <c r="E326" s="249"/>
      <c r="F326" s="121"/>
      <c r="G326" s="206"/>
      <c r="H326" s="115"/>
      <c r="I326" s="185"/>
      <c r="J326" s="175"/>
      <c r="K326" s="197"/>
      <c r="L326" s="194"/>
    </row>
    <row r="327" spans="1:16">
      <c r="A327" s="157"/>
      <c r="B327" s="154"/>
      <c r="C327" s="63"/>
      <c r="D327" s="196"/>
      <c r="E327" s="249"/>
      <c r="F327" s="121"/>
      <c r="G327" s="206"/>
      <c r="H327" s="115"/>
      <c r="I327" s="185"/>
      <c r="J327" s="175"/>
      <c r="K327" s="197"/>
      <c r="L327" s="194"/>
    </row>
    <row r="328" spans="1:16">
      <c r="A328" s="157"/>
      <c r="B328" s="154"/>
      <c r="C328" s="63"/>
      <c r="D328" s="196"/>
      <c r="E328" s="249"/>
      <c r="F328" s="121"/>
      <c r="G328" s="206"/>
      <c r="H328" s="115"/>
      <c r="I328" s="185"/>
      <c r="J328" s="175"/>
      <c r="K328" s="197"/>
      <c r="L328" s="194"/>
    </row>
    <row r="329" spans="1:16">
      <c r="A329" s="157"/>
      <c r="B329" s="154"/>
      <c r="C329" s="63"/>
      <c r="D329" s="196"/>
      <c r="E329" s="249"/>
      <c r="F329" s="121"/>
      <c r="G329" s="206"/>
      <c r="H329" s="115"/>
      <c r="I329" s="185"/>
      <c r="J329" s="175"/>
      <c r="K329" s="197"/>
      <c r="L329" s="194"/>
    </row>
    <row r="330" spans="1:16">
      <c r="A330" s="157"/>
      <c r="B330" s="154"/>
      <c r="C330" s="63"/>
      <c r="D330" s="196"/>
      <c r="E330" s="249"/>
      <c r="F330" s="121"/>
      <c r="G330" s="206"/>
      <c r="H330" s="115"/>
      <c r="I330" s="185"/>
      <c r="J330" s="175"/>
      <c r="K330" s="197"/>
      <c r="L330" s="194"/>
    </row>
    <row r="331" spans="1:16">
      <c r="A331" s="157"/>
      <c r="B331" s="154"/>
      <c r="C331" s="63"/>
      <c r="D331" s="196"/>
      <c r="E331" s="142"/>
      <c r="F331" s="61"/>
      <c r="G331" s="206"/>
      <c r="H331" s="74"/>
      <c r="I331" s="183"/>
      <c r="J331" s="175"/>
      <c r="K331" s="197"/>
      <c r="L331" s="194"/>
    </row>
    <row r="332" spans="1:16">
      <c r="A332" s="157"/>
      <c r="B332" s="154"/>
      <c r="C332" s="63"/>
      <c r="D332" s="196"/>
      <c r="E332" s="142"/>
      <c r="F332" s="61"/>
      <c r="G332" s="206"/>
      <c r="H332" s="74"/>
      <c r="I332" s="183"/>
      <c r="J332" s="175"/>
      <c r="K332" s="197"/>
      <c r="L332" s="194"/>
    </row>
    <row r="333" spans="1:16">
      <c r="A333" s="157"/>
      <c r="B333" s="154"/>
      <c r="C333" s="63"/>
      <c r="D333" s="196"/>
      <c r="E333" s="142"/>
      <c r="F333" s="61"/>
      <c r="G333" s="206"/>
      <c r="H333" s="74"/>
      <c r="I333" s="183"/>
      <c r="J333" s="175"/>
      <c r="K333" s="197"/>
      <c r="L333" s="194"/>
    </row>
    <row r="334" spans="1:16">
      <c r="A334" s="157"/>
      <c r="B334" s="161"/>
      <c r="C334" s="63"/>
      <c r="D334" s="196"/>
      <c r="E334" s="142"/>
      <c r="F334" s="61"/>
      <c r="G334" s="206"/>
      <c r="H334" s="74"/>
      <c r="I334" s="183"/>
      <c r="J334" s="175"/>
      <c r="K334" s="197"/>
      <c r="L334" s="194"/>
      <c r="M334" s="188">
        <v>8640</v>
      </c>
      <c r="N334" s="188">
        <f>M334-(M334*0.03)</f>
        <v>8380.7999999999993</v>
      </c>
      <c r="O334" s="189">
        <v>7.0000000000000007E-2</v>
      </c>
      <c r="P334" s="170">
        <f>(N334*O334)+N334</f>
        <v>8967.4559999999983</v>
      </c>
    </row>
    <row r="335" spans="1:16">
      <c r="A335" s="160"/>
      <c r="B335" s="154"/>
      <c r="C335" s="63"/>
      <c r="D335" s="196"/>
      <c r="E335" s="120"/>
      <c r="F335" s="121"/>
      <c r="G335" s="206"/>
      <c r="H335" s="115"/>
      <c r="I335" s="185"/>
      <c r="J335" s="174"/>
      <c r="K335" s="195"/>
      <c r="L335" s="194"/>
    </row>
    <row r="336" spans="1:16">
      <c r="F336" s="68"/>
    </row>
    <row r="337" spans="1:16">
      <c r="A337" s="44" t="s">
        <v>0</v>
      </c>
      <c r="B337" s="127"/>
      <c r="C337" s="104"/>
      <c r="F337" s="68"/>
      <c r="I337" s="179"/>
      <c r="K337" s="163"/>
      <c r="L337" s="168"/>
    </row>
    <row r="338" spans="1:16">
      <c r="A338" s="3480" t="s">
        <v>2512</v>
      </c>
      <c r="B338" s="3480"/>
      <c r="C338" s="44"/>
      <c r="D338" s="109"/>
      <c r="F338" s="68"/>
      <c r="I338" s="179"/>
      <c r="K338" s="163"/>
      <c r="L338" s="168"/>
    </row>
    <row r="339" spans="1:16" ht="35.25" thickBot="1">
      <c r="F339" s="68"/>
    </row>
    <row r="340" spans="1:16">
      <c r="A340" s="3493" t="s">
        <v>2</v>
      </c>
      <c r="B340" s="3482"/>
      <c r="C340" s="48" t="s">
        <v>3</v>
      </c>
      <c r="D340" s="128" t="s">
        <v>4</v>
      </c>
      <c r="E340" s="77" t="s">
        <v>5</v>
      </c>
      <c r="F340" s="78" t="s">
        <v>5</v>
      </c>
      <c r="G340" s="211" t="s">
        <v>6</v>
      </c>
      <c r="H340" s="140" t="s">
        <v>7</v>
      </c>
      <c r="I340" s="180" t="s">
        <v>1511</v>
      </c>
      <c r="J340" s="172" t="s">
        <v>9</v>
      </c>
      <c r="K340" s="186" t="s">
        <v>9</v>
      </c>
      <c r="L340" s="192" t="s">
        <v>2495</v>
      </c>
      <c r="M340" s="190"/>
    </row>
    <row r="341" spans="1:16" ht="35.25" thickBot="1">
      <c r="A341" s="155"/>
      <c r="B341" s="138"/>
      <c r="C341" s="50"/>
      <c r="D341" s="129" t="s">
        <v>10</v>
      </c>
      <c r="E341" s="79" t="s">
        <v>11</v>
      </c>
      <c r="F341" s="80" t="s">
        <v>12</v>
      </c>
      <c r="G341" s="212"/>
      <c r="H341" s="141" t="s">
        <v>13</v>
      </c>
      <c r="I341" s="181" t="s">
        <v>1512</v>
      </c>
      <c r="J341" s="173" t="s">
        <v>15</v>
      </c>
      <c r="K341" s="187" t="s">
        <v>14</v>
      </c>
      <c r="L341" s="193" t="s">
        <v>2496</v>
      </c>
      <c r="M341" s="190"/>
    </row>
    <row r="342" spans="1:16">
      <c r="A342" s="156"/>
      <c r="B342" s="154"/>
      <c r="C342" s="63"/>
      <c r="D342" s="199"/>
      <c r="E342" s="143"/>
      <c r="F342" s="69"/>
      <c r="G342" s="206"/>
      <c r="H342" s="74"/>
      <c r="I342" s="183"/>
      <c r="J342" s="175"/>
      <c r="K342" s="172"/>
      <c r="L342" s="194"/>
      <c r="M342" s="188">
        <v>3552</v>
      </c>
      <c r="N342" s="188">
        <f t="shared" ref="N342:N358" si="31">M342-(M342*0.03)</f>
        <v>3445.44</v>
      </c>
      <c r="O342" s="189">
        <v>7.0000000000000007E-2</v>
      </c>
      <c r="P342" s="170">
        <f t="shared" ref="P342:P358" si="32">(N342*O342)+N342</f>
        <v>3686.6208000000001</v>
      </c>
    </row>
    <row r="343" spans="1:16">
      <c r="A343" s="157"/>
      <c r="B343" s="154"/>
      <c r="C343" s="63"/>
      <c r="D343" s="199"/>
      <c r="E343" s="145"/>
      <c r="F343" s="61"/>
      <c r="G343" s="206"/>
      <c r="H343" s="74"/>
      <c r="I343" s="183"/>
      <c r="J343" s="175"/>
      <c r="K343" s="176"/>
      <c r="L343" s="194"/>
      <c r="N343" s="188">
        <f t="shared" si="31"/>
        <v>0</v>
      </c>
      <c r="O343" s="189">
        <v>7.0000000000000007E-2</v>
      </c>
      <c r="P343" s="170">
        <f t="shared" si="32"/>
        <v>0</v>
      </c>
    </row>
    <row r="344" spans="1:16">
      <c r="A344" s="157"/>
      <c r="B344" s="239"/>
      <c r="C344" s="63"/>
      <c r="D344" s="199"/>
      <c r="E344" s="145"/>
      <c r="F344" s="61"/>
      <c r="G344" s="206"/>
      <c r="H344" s="74"/>
      <c r="I344" s="183"/>
      <c r="J344" s="175"/>
      <c r="K344" s="245"/>
      <c r="L344" s="194"/>
      <c r="M344" s="188">
        <v>9498.06</v>
      </c>
      <c r="N344" s="188">
        <f t="shared" si="31"/>
        <v>9213.118199999999</v>
      </c>
      <c r="O344" s="189">
        <v>7.0000000000000007E-2</v>
      </c>
      <c r="P344" s="170">
        <f t="shared" si="32"/>
        <v>9858.0364739999986</v>
      </c>
    </row>
    <row r="345" spans="1:16">
      <c r="A345" s="157"/>
      <c r="B345" s="239"/>
      <c r="C345" s="63"/>
      <c r="D345" s="199"/>
      <c r="E345" s="145"/>
      <c r="F345" s="61"/>
      <c r="G345" s="206"/>
      <c r="H345" s="74"/>
      <c r="I345" s="183"/>
      <c r="J345" s="175"/>
      <c r="K345" s="197"/>
      <c r="L345" s="194"/>
      <c r="M345" s="188">
        <v>15305.4</v>
      </c>
      <c r="N345" s="188">
        <f t="shared" si="31"/>
        <v>14846.237999999999</v>
      </c>
      <c r="O345" s="189">
        <v>7.0000000000000007E-2</v>
      </c>
      <c r="P345" s="170">
        <f t="shared" si="32"/>
        <v>15885.47466</v>
      </c>
    </row>
    <row r="346" spans="1:16">
      <c r="A346" s="157"/>
      <c r="B346" s="154"/>
      <c r="C346" s="63"/>
      <c r="D346" s="199"/>
      <c r="E346" s="145"/>
      <c r="F346" s="61"/>
      <c r="G346" s="206"/>
      <c r="H346" s="74"/>
      <c r="I346" s="183"/>
      <c r="J346" s="175"/>
      <c r="K346" s="197"/>
      <c r="L346" s="194"/>
      <c r="N346" s="188">
        <f t="shared" si="31"/>
        <v>0</v>
      </c>
      <c r="O346" s="189">
        <v>7.0000000000000007E-2</v>
      </c>
      <c r="P346" s="170">
        <f t="shared" si="32"/>
        <v>0</v>
      </c>
    </row>
    <row r="347" spans="1:16">
      <c r="A347" s="157"/>
      <c r="B347" s="154"/>
      <c r="C347" s="63"/>
      <c r="D347" s="199"/>
      <c r="E347" s="145"/>
      <c r="F347" s="61"/>
      <c r="G347" s="206"/>
      <c r="H347" s="74"/>
      <c r="I347" s="183"/>
      <c r="J347" s="175"/>
      <c r="K347" s="197"/>
      <c r="L347" s="194"/>
      <c r="N347" s="188">
        <f t="shared" si="31"/>
        <v>0</v>
      </c>
      <c r="O347" s="189">
        <v>7.0000000000000007E-2</v>
      </c>
      <c r="P347" s="170">
        <f t="shared" si="32"/>
        <v>0</v>
      </c>
    </row>
    <row r="348" spans="1:16">
      <c r="A348" s="157"/>
      <c r="B348" s="154"/>
      <c r="C348" s="63"/>
      <c r="D348" s="199"/>
      <c r="E348" s="145"/>
      <c r="F348" s="61"/>
      <c r="G348" s="206"/>
      <c r="H348" s="74"/>
      <c r="I348" s="183"/>
      <c r="J348" s="175"/>
      <c r="K348" s="197"/>
      <c r="L348" s="194"/>
      <c r="N348" s="188">
        <f t="shared" si="31"/>
        <v>0</v>
      </c>
      <c r="O348" s="189">
        <v>7.0000000000000007E-2</v>
      </c>
      <c r="P348" s="170">
        <f t="shared" si="32"/>
        <v>0</v>
      </c>
    </row>
    <row r="349" spans="1:16">
      <c r="A349" s="157"/>
      <c r="B349" s="239"/>
      <c r="C349" s="222"/>
      <c r="D349" s="3464"/>
      <c r="E349" s="145"/>
      <c r="F349" s="61"/>
      <c r="G349" s="223"/>
      <c r="H349" s="224"/>
      <c r="I349" s="225"/>
      <c r="J349" s="209"/>
      <c r="K349" s="244"/>
      <c r="M349" s="188">
        <v>14244.12</v>
      </c>
      <c r="N349" s="188">
        <f t="shared" si="31"/>
        <v>13816.796400000001</v>
      </c>
      <c r="O349" s="189">
        <v>7.0000000000000007E-2</v>
      </c>
      <c r="P349" s="170">
        <f t="shared" si="32"/>
        <v>14783.972148000001</v>
      </c>
    </row>
    <row r="350" spans="1:16">
      <c r="A350" s="157"/>
      <c r="B350" s="162"/>
      <c r="C350" s="63"/>
      <c r="D350" s="199"/>
      <c r="E350" s="145"/>
      <c r="F350" s="61"/>
      <c r="G350" s="206"/>
      <c r="H350" s="74"/>
      <c r="I350" s="183"/>
      <c r="J350" s="175"/>
      <c r="K350" s="197"/>
      <c r="L350" s="194"/>
      <c r="M350" s="188">
        <v>3240</v>
      </c>
      <c r="N350" s="188">
        <f t="shared" si="31"/>
        <v>3142.8</v>
      </c>
      <c r="O350" s="189">
        <v>7.0000000000000007E-2</v>
      </c>
      <c r="P350" s="170">
        <f t="shared" si="32"/>
        <v>3362.7960000000003</v>
      </c>
    </row>
    <row r="351" spans="1:16">
      <c r="A351" s="157"/>
      <c r="B351" s="162"/>
      <c r="C351" s="63"/>
      <c r="D351" s="199"/>
      <c r="E351" s="145"/>
      <c r="F351" s="61"/>
      <c r="G351" s="206"/>
      <c r="H351" s="74"/>
      <c r="I351" s="183"/>
      <c r="J351" s="175"/>
      <c r="K351" s="197"/>
      <c r="L351" s="194"/>
      <c r="M351" s="188">
        <v>14700</v>
      </c>
      <c r="N351" s="188">
        <f t="shared" si="31"/>
        <v>14259</v>
      </c>
      <c r="O351" s="189">
        <v>7.0000000000000007E-2</v>
      </c>
      <c r="P351" s="170">
        <f t="shared" si="32"/>
        <v>15257.130000000001</v>
      </c>
    </row>
    <row r="352" spans="1:16">
      <c r="A352" s="157"/>
      <c r="B352" s="162"/>
      <c r="C352" s="222"/>
      <c r="D352" s="3464"/>
      <c r="E352" s="237"/>
      <c r="F352" s="238"/>
      <c r="G352" s="223"/>
      <c r="H352" s="224"/>
      <c r="I352" s="225"/>
      <c r="J352" s="209"/>
      <c r="K352" s="226"/>
      <c r="L352" s="229"/>
      <c r="M352" s="188">
        <v>14582.7</v>
      </c>
      <c r="N352" s="188">
        <f t="shared" si="31"/>
        <v>14145.219000000001</v>
      </c>
      <c r="O352" s="189">
        <v>7.0000000000000007E-2</v>
      </c>
      <c r="P352" s="170">
        <f t="shared" si="32"/>
        <v>15135.384330000001</v>
      </c>
    </row>
    <row r="353" spans="1:16">
      <c r="A353" s="157"/>
      <c r="B353" s="162"/>
      <c r="C353" s="63"/>
      <c r="D353" s="199"/>
      <c r="E353" s="145"/>
      <c r="F353" s="61"/>
      <c r="G353" s="206"/>
      <c r="H353" s="74"/>
      <c r="I353" s="183"/>
      <c r="J353" s="175"/>
      <c r="K353" s="197"/>
      <c r="L353" s="229"/>
      <c r="M353" s="188">
        <v>13483.8</v>
      </c>
      <c r="N353" s="188">
        <f t="shared" si="31"/>
        <v>13079.286</v>
      </c>
      <c r="O353" s="189">
        <v>7.0000000000000007E-2</v>
      </c>
      <c r="P353" s="170">
        <f t="shared" si="32"/>
        <v>13994.836020000001</v>
      </c>
    </row>
    <row r="354" spans="1:16">
      <c r="A354" s="157"/>
      <c r="B354" s="154"/>
      <c r="C354" s="222"/>
      <c r="D354" s="3464"/>
      <c r="E354" s="145"/>
      <c r="F354" s="61"/>
      <c r="G354" s="223"/>
      <c r="H354" s="224"/>
      <c r="I354" s="225"/>
      <c r="J354" s="209"/>
      <c r="K354" s="226"/>
      <c r="L354" s="229"/>
      <c r="M354" s="188">
        <v>2669.52</v>
      </c>
      <c r="N354" s="188">
        <f t="shared" si="31"/>
        <v>2589.4344000000001</v>
      </c>
      <c r="O354" s="189">
        <v>7.0000000000000007E-2</v>
      </c>
      <c r="P354" s="170">
        <f t="shared" si="32"/>
        <v>2770.6948080000002</v>
      </c>
    </row>
    <row r="355" spans="1:16">
      <c r="A355" s="157"/>
      <c r="B355" s="154"/>
      <c r="C355" s="222"/>
      <c r="D355" s="3464"/>
      <c r="E355" s="145"/>
      <c r="F355" s="61"/>
      <c r="G355" s="223"/>
      <c r="H355" s="224"/>
      <c r="I355" s="225"/>
      <c r="J355" s="209"/>
      <c r="K355" s="226"/>
      <c r="L355" s="229"/>
      <c r="N355" s="188">
        <f t="shared" si="31"/>
        <v>0</v>
      </c>
      <c r="O355" s="189">
        <v>7.0000000000000007E-2</v>
      </c>
      <c r="P355" s="170">
        <f t="shared" si="32"/>
        <v>0</v>
      </c>
    </row>
    <row r="356" spans="1:16">
      <c r="A356" s="221"/>
      <c r="B356" s="240"/>
      <c r="C356" s="222"/>
      <c r="D356" s="3464"/>
      <c r="E356" s="145"/>
      <c r="F356" s="61"/>
      <c r="G356" s="223"/>
      <c r="H356" s="224"/>
      <c r="I356" s="225"/>
      <c r="J356" s="209"/>
      <c r="K356" s="226"/>
      <c r="L356" s="229"/>
      <c r="M356" s="188">
        <v>12972.96</v>
      </c>
      <c r="N356" s="188">
        <f t="shared" si="31"/>
        <v>12583.771199999999</v>
      </c>
      <c r="O356" s="189">
        <v>7.0000000000000007E-2</v>
      </c>
      <c r="P356" s="170">
        <f t="shared" si="32"/>
        <v>13464.635183999999</v>
      </c>
    </row>
    <row r="357" spans="1:16">
      <c r="A357" s="157"/>
      <c r="B357" s="154"/>
      <c r="C357" s="63"/>
      <c r="D357" s="199"/>
      <c r="E357" s="145"/>
      <c r="F357" s="61"/>
      <c r="G357" s="206"/>
      <c r="H357" s="74"/>
      <c r="I357" s="183"/>
      <c r="J357" s="209"/>
      <c r="K357" s="197"/>
      <c r="L357" s="229"/>
      <c r="M357" s="188">
        <v>12687.84</v>
      </c>
      <c r="N357" s="188">
        <f t="shared" si="31"/>
        <v>12307.2048</v>
      </c>
      <c r="O357" s="189">
        <v>7.0000000000000007E-2</v>
      </c>
      <c r="P357" s="170">
        <f t="shared" si="32"/>
        <v>13168.709135999999</v>
      </c>
    </row>
    <row r="358" spans="1:16" ht="35.25" customHeight="1">
      <c r="A358" s="157"/>
      <c r="B358" s="154"/>
      <c r="C358" s="63"/>
      <c r="D358" s="199"/>
      <c r="E358" s="145"/>
      <c r="F358" s="61"/>
      <c r="G358" s="206"/>
      <c r="H358" s="74"/>
      <c r="I358" s="183"/>
      <c r="J358" s="175"/>
      <c r="K358" s="197"/>
      <c r="L358" s="194"/>
      <c r="M358" s="188">
        <v>16572.599999999999</v>
      </c>
      <c r="N358" s="188">
        <f t="shared" si="31"/>
        <v>16075.421999999999</v>
      </c>
      <c r="O358" s="189">
        <v>7.0000000000000007E-2</v>
      </c>
      <c r="P358" s="170">
        <f t="shared" si="32"/>
        <v>17200.701539999998</v>
      </c>
    </row>
    <row r="359" spans="1:16">
      <c r="A359" s="157"/>
      <c r="B359" s="154"/>
      <c r="C359" s="63"/>
      <c r="D359" s="199"/>
      <c r="E359" s="90"/>
      <c r="F359" s="61"/>
      <c r="G359" s="206"/>
      <c r="H359" s="74"/>
      <c r="I359" s="203"/>
      <c r="J359" s="175"/>
      <c r="K359" s="197"/>
      <c r="L359" s="194"/>
      <c r="M359" s="188">
        <v>6021.12</v>
      </c>
      <c r="N359" s="188">
        <f>M359-(M359*0.03)</f>
        <v>5840.4863999999998</v>
      </c>
      <c r="O359" s="189">
        <v>7.0000000000000007E-2</v>
      </c>
      <c r="P359" s="170">
        <f>(N359*O359)+N359</f>
        <v>6249.3204479999995</v>
      </c>
    </row>
    <row r="360" spans="1:16">
      <c r="A360" s="157"/>
      <c r="B360" s="154"/>
      <c r="C360" s="63"/>
      <c r="D360" s="199"/>
      <c r="E360" s="90"/>
      <c r="F360" s="61"/>
      <c r="G360" s="206"/>
      <c r="H360" s="74"/>
      <c r="I360" s="183"/>
      <c r="J360" s="175"/>
      <c r="K360" s="197"/>
      <c r="L360" s="194"/>
      <c r="M360" s="188">
        <v>8714.16</v>
      </c>
      <c r="N360" s="188">
        <f>M360-(M360*0.03)</f>
        <v>8452.7351999999992</v>
      </c>
      <c r="O360" s="189">
        <v>7.0000000000000007E-2</v>
      </c>
      <c r="P360" s="170">
        <f>(N360*O360)+N360</f>
        <v>9044.4266639999987</v>
      </c>
    </row>
    <row r="361" spans="1:16">
      <c r="A361" s="157"/>
      <c r="B361" s="154"/>
      <c r="C361" s="63"/>
      <c r="D361" s="199"/>
      <c r="E361" s="90"/>
      <c r="F361" s="61"/>
      <c r="G361" s="206"/>
      <c r="H361" s="74"/>
      <c r="I361" s="183"/>
      <c r="J361" s="175"/>
      <c r="K361" s="197"/>
      <c r="L361" s="194"/>
      <c r="M361" s="188">
        <v>0</v>
      </c>
      <c r="N361" s="188">
        <f>M361-(M361*0.03)</f>
        <v>0</v>
      </c>
      <c r="O361" s="189">
        <v>7.0000000000000007E-2</v>
      </c>
      <c r="P361" s="170">
        <f t="shared" ref="P361:P367" si="33">(N361*O361)+N361</f>
        <v>0</v>
      </c>
    </row>
    <row r="362" spans="1:16">
      <c r="A362" s="157"/>
      <c r="B362" s="154"/>
      <c r="C362" s="63"/>
      <c r="D362" s="199"/>
      <c r="E362" s="90"/>
      <c r="F362" s="61"/>
      <c r="G362" s="206"/>
      <c r="H362" s="74"/>
      <c r="I362" s="183"/>
      <c r="J362" s="175"/>
      <c r="K362" s="197"/>
      <c r="L362" s="194"/>
      <c r="M362" s="188">
        <v>18537.7</v>
      </c>
      <c r="N362" s="188">
        <f>M362-(M362*0.03)</f>
        <v>17981.569</v>
      </c>
      <c r="O362" s="189">
        <v>7.0000000000000007E-2</v>
      </c>
      <c r="P362" s="170">
        <f t="shared" si="33"/>
        <v>19240.278829999999</v>
      </c>
    </row>
    <row r="363" spans="1:16">
      <c r="A363" s="158"/>
      <c r="B363" s="154"/>
      <c r="C363" s="63"/>
      <c r="D363" s="199"/>
      <c r="E363" s="91"/>
      <c r="F363" s="61"/>
      <c r="G363" s="206"/>
      <c r="H363" s="74"/>
      <c r="I363" s="183"/>
      <c r="J363" s="175"/>
      <c r="K363" s="197"/>
      <c r="L363" s="194"/>
      <c r="M363" s="188">
        <v>9031.68</v>
      </c>
      <c r="N363" s="188">
        <f t="shared" ref="N363:N373" si="34">M363-(M363*0.03)</f>
        <v>8760.7296000000006</v>
      </c>
      <c r="O363" s="189">
        <v>7.0000000000000007E-2</v>
      </c>
      <c r="P363" s="170">
        <f t="shared" si="33"/>
        <v>9373.9806720000015</v>
      </c>
    </row>
    <row r="364" spans="1:16">
      <c r="A364" s="200"/>
      <c r="B364" s="154"/>
      <c r="C364" s="63"/>
      <c r="D364" s="199"/>
      <c r="E364" s="153"/>
      <c r="F364" s="61"/>
      <c r="G364" s="206"/>
      <c r="H364" s="88"/>
      <c r="I364" s="184"/>
      <c r="J364" s="201"/>
      <c r="K364" s="202"/>
      <c r="L364" s="194"/>
      <c r="N364" s="188">
        <f t="shared" si="34"/>
        <v>0</v>
      </c>
      <c r="O364" s="189">
        <v>7.0000000000000007E-2</v>
      </c>
      <c r="P364" s="170">
        <f t="shared" si="33"/>
        <v>0</v>
      </c>
    </row>
    <row r="365" spans="1:16">
      <c r="A365" s="157"/>
      <c r="B365" s="154"/>
      <c r="C365" s="63"/>
      <c r="D365" s="199"/>
      <c r="E365" s="198"/>
      <c r="F365" s="61"/>
      <c r="G365" s="206"/>
      <c r="H365" s="74"/>
      <c r="I365" s="183"/>
      <c r="J365" s="175"/>
      <c r="K365" s="197"/>
      <c r="L365" s="194"/>
      <c r="M365" s="188">
        <v>8478.9599999999991</v>
      </c>
      <c r="N365" s="188">
        <f t="shared" si="34"/>
        <v>8224.5911999999989</v>
      </c>
      <c r="O365" s="189">
        <v>7.0000000000000007E-2</v>
      </c>
      <c r="P365" s="170">
        <f t="shared" si="33"/>
        <v>8800.3125839999993</v>
      </c>
    </row>
    <row r="366" spans="1:16">
      <c r="A366" s="157"/>
      <c r="B366" s="154"/>
      <c r="C366" s="63"/>
      <c r="D366" s="199"/>
      <c r="E366" s="142"/>
      <c r="F366" s="61"/>
      <c r="G366" s="206"/>
      <c r="H366" s="74"/>
      <c r="I366" s="183"/>
      <c r="J366" s="175"/>
      <c r="K366" s="197"/>
      <c r="L366" s="194"/>
      <c r="M366" s="188">
        <v>11122.62</v>
      </c>
      <c r="N366" s="188">
        <f t="shared" si="34"/>
        <v>10788.941400000002</v>
      </c>
      <c r="O366" s="189">
        <v>7.0000000000000007E-2</v>
      </c>
      <c r="P366" s="170">
        <f t="shared" si="33"/>
        <v>11544.167298000002</v>
      </c>
    </row>
    <row r="367" spans="1:16">
      <c r="A367" s="157"/>
      <c r="B367" s="154"/>
      <c r="C367" s="63"/>
      <c r="D367" s="196"/>
      <c r="E367" s="120"/>
      <c r="F367" s="121"/>
      <c r="G367" s="206"/>
      <c r="H367" s="115"/>
      <c r="I367" s="185"/>
      <c r="J367" s="175"/>
      <c r="K367" s="197"/>
      <c r="L367" s="194"/>
      <c r="M367" s="188">
        <v>3813.12</v>
      </c>
      <c r="N367" s="188">
        <f t="shared" si="34"/>
        <v>3698.7264</v>
      </c>
      <c r="O367" s="189">
        <v>7.0000000000000007E-2</v>
      </c>
      <c r="P367" s="170">
        <f t="shared" si="33"/>
        <v>3957.637248</v>
      </c>
    </row>
    <row r="368" spans="1:16">
      <c r="A368" s="157"/>
      <c r="B368" s="154"/>
      <c r="C368" s="63"/>
      <c r="D368" s="196"/>
      <c r="E368" s="249"/>
      <c r="F368" s="121"/>
      <c r="G368" s="206"/>
      <c r="H368" s="115"/>
      <c r="I368" s="185"/>
      <c r="J368" s="175"/>
      <c r="K368" s="197"/>
      <c r="L368" s="194"/>
    </row>
    <row r="369" spans="1:16">
      <c r="A369" s="157"/>
      <c r="B369" s="154"/>
      <c r="C369" s="63"/>
      <c r="D369" s="196"/>
      <c r="E369" s="249"/>
      <c r="F369" s="121"/>
      <c r="G369" s="206"/>
      <c r="H369" s="115"/>
      <c r="I369" s="185"/>
      <c r="J369" s="175"/>
      <c r="K369" s="197"/>
      <c r="L369" s="194"/>
    </row>
    <row r="370" spans="1:16">
      <c r="A370" s="157"/>
      <c r="B370" s="154"/>
      <c r="C370" s="63"/>
      <c r="D370" s="196"/>
      <c r="E370" s="249"/>
      <c r="F370" s="121"/>
      <c r="G370" s="206"/>
      <c r="H370" s="115"/>
      <c r="I370" s="185"/>
      <c r="J370" s="175"/>
      <c r="K370" s="197"/>
      <c r="L370" s="194"/>
    </row>
    <row r="371" spans="1:16">
      <c r="A371" s="157"/>
      <c r="B371" s="154"/>
      <c r="C371" s="63"/>
      <c r="D371" s="196"/>
      <c r="E371" s="142"/>
      <c r="F371" s="61"/>
      <c r="G371" s="206"/>
      <c r="H371" s="74"/>
      <c r="I371" s="183"/>
      <c r="J371" s="175"/>
      <c r="K371" s="197"/>
      <c r="L371" s="194"/>
    </row>
    <row r="372" spans="1:16">
      <c r="A372" s="157"/>
      <c r="B372" s="154"/>
      <c r="C372" s="63"/>
      <c r="D372" s="196"/>
      <c r="E372" s="142"/>
      <c r="F372" s="61"/>
      <c r="G372" s="206"/>
      <c r="H372" s="74"/>
      <c r="I372" s="183"/>
      <c r="J372" s="175"/>
      <c r="K372" s="197"/>
      <c r="L372" s="194"/>
    </row>
    <row r="373" spans="1:16">
      <c r="A373" s="157"/>
      <c r="B373" s="161"/>
      <c r="C373" s="63"/>
      <c r="D373" s="196"/>
      <c r="E373" s="142"/>
      <c r="F373" s="61"/>
      <c r="G373" s="206"/>
      <c r="H373" s="74"/>
      <c r="I373" s="183"/>
      <c r="J373" s="175"/>
      <c r="K373" s="197"/>
      <c r="L373" s="194"/>
      <c r="M373" s="188">
        <v>8640</v>
      </c>
      <c r="N373" s="188">
        <f t="shared" si="34"/>
        <v>8380.7999999999993</v>
      </c>
      <c r="O373" s="189">
        <v>7.0000000000000007E-2</v>
      </c>
      <c r="P373" s="170">
        <f>(N373*O373)+N373</f>
        <v>8967.4559999999983</v>
      </c>
    </row>
    <row r="374" spans="1:16">
      <c r="A374" s="157"/>
      <c r="B374" s="161"/>
      <c r="C374" s="63"/>
      <c r="D374" s="196"/>
      <c r="E374" s="142"/>
      <c r="F374" s="61"/>
      <c r="G374" s="206"/>
      <c r="H374" s="74"/>
      <c r="I374" s="183"/>
      <c r="J374" s="175"/>
      <c r="K374" s="197"/>
      <c r="L374" s="194"/>
    </row>
    <row r="375" spans="1:16">
      <c r="A375" s="157"/>
      <c r="B375" s="161"/>
      <c r="C375" s="63"/>
      <c r="D375" s="196"/>
      <c r="E375" s="142"/>
      <c r="F375" s="61"/>
      <c r="G375" s="206"/>
      <c r="H375" s="74"/>
      <c r="I375" s="183"/>
      <c r="J375" s="175"/>
      <c r="K375" s="197"/>
      <c r="L375" s="194"/>
    </row>
    <row r="376" spans="1:16">
      <c r="A376" s="157"/>
      <c r="B376" s="161"/>
      <c r="C376" s="63"/>
      <c r="D376" s="196"/>
      <c r="E376" s="142"/>
      <c r="F376" s="61"/>
      <c r="G376" s="206"/>
      <c r="H376" s="74"/>
      <c r="I376" s="183"/>
      <c r="J376" s="175"/>
      <c r="K376" s="197"/>
      <c r="L376" s="194"/>
    </row>
    <row r="377" spans="1:16">
      <c r="A377" s="160"/>
      <c r="B377" s="154"/>
      <c r="C377" s="63"/>
      <c r="D377" s="196"/>
      <c r="E377" s="120"/>
      <c r="F377" s="121"/>
      <c r="G377" s="206"/>
      <c r="H377" s="115"/>
      <c r="I377" s="185"/>
      <c r="J377" s="174"/>
      <c r="K377" s="195"/>
      <c r="L377" s="194"/>
    </row>
    <row r="378" spans="1:16">
      <c r="A378" s="204"/>
      <c r="B378" s="3444"/>
      <c r="C378" s="3444"/>
      <c r="D378" s="3444"/>
      <c r="E378" s="3444"/>
      <c r="F378" s="3444"/>
      <c r="G378" s="213"/>
      <c r="H378" s="109"/>
      <c r="I378" s="3444"/>
      <c r="J378" s="234"/>
      <c r="K378" s="3444"/>
      <c r="L378" s="235"/>
      <c r="M378" s="3444"/>
    </row>
    <row r="379" spans="1:16">
      <c r="A379" s="44" t="s">
        <v>0</v>
      </c>
      <c r="B379" s="127"/>
      <c r="C379" s="104"/>
      <c r="F379" s="68"/>
      <c r="I379" s="179"/>
      <c r="K379" s="163"/>
      <c r="L379" s="168"/>
    </row>
    <row r="380" spans="1:16">
      <c r="A380" s="3480" t="s">
        <v>2512</v>
      </c>
      <c r="B380" s="3480"/>
      <c r="C380" s="44"/>
      <c r="D380" s="109"/>
      <c r="F380" s="68"/>
      <c r="I380" s="179"/>
      <c r="K380" s="163"/>
      <c r="L380" s="168"/>
    </row>
    <row r="381" spans="1:16" ht="35.25" thickBot="1">
      <c r="F381" s="68"/>
    </row>
    <row r="382" spans="1:16">
      <c r="A382" s="3493" t="s">
        <v>2</v>
      </c>
      <c r="B382" s="3482"/>
      <c r="C382" s="48" t="s">
        <v>3</v>
      </c>
      <c r="D382" s="128" t="s">
        <v>4</v>
      </c>
      <c r="E382" s="77" t="s">
        <v>5</v>
      </c>
      <c r="F382" s="78" t="s">
        <v>5</v>
      </c>
      <c r="G382" s="211" t="s">
        <v>6</v>
      </c>
      <c r="H382" s="140" t="s">
        <v>7</v>
      </c>
      <c r="I382" s="180" t="s">
        <v>1511</v>
      </c>
      <c r="J382" s="172" t="s">
        <v>9</v>
      </c>
      <c r="K382" s="186" t="s">
        <v>9</v>
      </c>
      <c r="L382" s="192" t="s">
        <v>2495</v>
      </c>
      <c r="M382" s="190"/>
    </row>
    <row r="383" spans="1:16" ht="35.25" thickBot="1">
      <c r="A383" s="155"/>
      <c r="B383" s="138"/>
      <c r="C383" s="50"/>
      <c r="D383" s="129" t="s">
        <v>10</v>
      </c>
      <c r="E383" s="79" t="s">
        <v>11</v>
      </c>
      <c r="F383" s="80" t="s">
        <v>12</v>
      </c>
      <c r="G383" s="212"/>
      <c r="H383" s="141" t="s">
        <v>13</v>
      </c>
      <c r="I383" s="181" t="s">
        <v>1512</v>
      </c>
      <c r="J383" s="173" t="s">
        <v>15</v>
      </c>
      <c r="K383" s="187" t="s">
        <v>14</v>
      </c>
      <c r="L383" s="193" t="s">
        <v>2496</v>
      </c>
      <c r="M383" s="190"/>
    </row>
    <row r="384" spans="1:16">
      <c r="A384" s="156"/>
      <c r="B384" s="154"/>
      <c r="C384" s="63"/>
      <c r="D384" s="199"/>
      <c r="E384" s="143"/>
      <c r="F384" s="69"/>
      <c r="G384" s="206"/>
      <c r="H384" s="74"/>
      <c r="I384" s="183"/>
      <c r="J384" s="175"/>
      <c r="K384" s="172"/>
      <c r="L384" s="194"/>
      <c r="M384" s="188">
        <v>3552</v>
      </c>
      <c r="N384" s="188">
        <f t="shared" ref="N384:N400" si="35">M384-(M384*0.03)</f>
        <v>3445.44</v>
      </c>
      <c r="O384" s="189">
        <v>7.0000000000000007E-2</v>
      </c>
      <c r="P384" s="170">
        <f t="shared" ref="P384:P400" si="36">(N384*O384)+N384</f>
        <v>3686.6208000000001</v>
      </c>
    </row>
    <row r="385" spans="1:16">
      <c r="A385" s="157"/>
      <c r="B385" s="154"/>
      <c r="C385" s="63"/>
      <c r="D385" s="199"/>
      <c r="E385" s="145"/>
      <c r="F385" s="61"/>
      <c r="G385" s="206"/>
      <c r="H385" s="74"/>
      <c r="I385" s="183"/>
      <c r="J385" s="175"/>
      <c r="K385" s="176"/>
      <c r="L385" s="194"/>
      <c r="N385" s="188">
        <f t="shared" si="35"/>
        <v>0</v>
      </c>
      <c r="O385" s="189">
        <v>7.0000000000000007E-2</v>
      </c>
      <c r="P385" s="170">
        <f t="shared" si="36"/>
        <v>0</v>
      </c>
    </row>
    <row r="386" spans="1:16">
      <c r="A386" s="157"/>
      <c r="B386" s="239"/>
      <c r="C386" s="63"/>
      <c r="D386" s="199"/>
      <c r="E386" s="145"/>
      <c r="F386" s="61"/>
      <c r="G386" s="206"/>
      <c r="H386" s="74"/>
      <c r="I386" s="183"/>
      <c r="J386" s="175"/>
      <c r="K386" s="245"/>
      <c r="L386" s="194"/>
      <c r="M386" s="188">
        <v>9498.06</v>
      </c>
      <c r="N386" s="188">
        <f t="shared" si="35"/>
        <v>9213.118199999999</v>
      </c>
      <c r="O386" s="189">
        <v>7.0000000000000007E-2</v>
      </c>
      <c r="P386" s="170">
        <f t="shared" si="36"/>
        <v>9858.0364739999986</v>
      </c>
    </row>
    <row r="387" spans="1:16">
      <c r="A387" s="157"/>
      <c r="B387" s="239"/>
      <c r="C387" s="63"/>
      <c r="D387" s="199"/>
      <c r="E387" s="145"/>
      <c r="F387" s="61"/>
      <c r="G387" s="206"/>
      <c r="H387" s="74"/>
      <c r="I387" s="183"/>
      <c r="J387" s="175"/>
      <c r="K387" s="197"/>
      <c r="L387" s="194"/>
      <c r="M387" s="188">
        <v>15305.4</v>
      </c>
      <c r="N387" s="188">
        <f t="shared" si="35"/>
        <v>14846.237999999999</v>
      </c>
      <c r="O387" s="189">
        <v>7.0000000000000007E-2</v>
      </c>
      <c r="P387" s="170">
        <f t="shared" si="36"/>
        <v>15885.47466</v>
      </c>
    </row>
    <row r="388" spans="1:16">
      <c r="A388" s="157"/>
      <c r="B388" s="154"/>
      <c r="C388" s="63"/>
      <c r="D388" s="199"/>
      <c r="E388" s="145"/>
      <c r="F388" s="61"/>
      <c r="G388" s="206"/>
      <c r="H388" s="74"/>
      <c r="I388" s="183"/>
      <c r="J388" s="175"/>
      <c r="K388" s="197"/>
      <c r="L388" s="194"/>
      <c r="N388" s="188">
        <f t="shared" si="35"/>
        <v>0</v>
      </c>
      <c r="O388" s="189">
        <v>7.0000000000000007E-2</v>
      </c>
      <c r="P388" s="170">
        <f t="shared" si="36"/>
        <v>0</v>
      </c>
    </row>
    <row r="389" spans="1:16">
      <c r="A389" s="157"/>
      <c r="B389" s="154"/>
      <c r="C389" s="63"/>
      <c r="D389" s="199"/>
      <c r="E389" s="145"/>
      <c r="F389" s="61"/>
      <c r="G389" s="206"/>
      <c r="H389" s="74"/>
      <c r="I389" s="183"/>
      <c r="J389" s="175"/>
      <c r="K389" s="197"/>
      <c r="L389" s="194"/>
      <c r="N389" s="188">
        <f t="shared" si="35"/>
        <v>0</v>
      </c>
      <c r="O389" s="189">
        <v>7.0000000000000007E-2</v>
      </c>
      <c r="P389" s="170">
        <f t="shared" si="36"/>
        <v>0</v>
      </c>
    </row>
    <row r="390" spans="1:16">
      <c r="A390" s="157"/>
      <c r="B390" s="154"/>
      <c r="C390" s="63"/>
      <c r="D390" s="199"/>
      <c r="E390" s="145"/>
      <c r="F390" s="61"/>
      <c r="G390" s="206"/>
      <c r="H390" s="74"/>
      <c r="I390" s="183"/>
      <c r="J390" s="175"/>
      <c r="K390" s="197"/>
      <c r="L390" s="194"/>
      <c r="N390" s="188">
        <f t="shared" si="35"/>
        <v>0</v>
      </c>
      <c r="O390" s="189">
        <v>7.0000000000000007E-2</v>
      </c>
      <c r="P390" s="170">
        <f t="shared" si="36"/>
        <v>0</v>
      </c>
    </row>
    <row r="391" spans="1:16">
      <c r="A391" s="157"/>
      <c r="B391" s="239"/>
      <c r="C391" s="222"/>
      <c r="D391" s="3464"/>
      <c r="E391" s="145"/>
      <c r="F391" s="61"/>
      <c r="G391" s="223"/>
      <c r="H391" s="224"/>
      <c r="I391" s="225"/>
      <c r="J391" s="209"/>
      <c r="K391" s="244"/>
      <c r="M391" s="188">
        <v>14244.12</v>
      </c>
      <c r="N391" s="188">
        <f t="shared" si="35"/>
        <v>13816.796400000001</v>
      </c>
      <c r="O391" s="189">
        <v>7.0000000000000007E-2</v>
      </c>
      <c r="P391" s="170">
        <f t="shared" si="36"/>
        <v>14783.972148000001</v>
      </c>
    </row>
    <row r="392" spans="1:16">
      <c r="A392" s="157"/>
      <c r="B392" s="162"/>
      <c r="C392" s="63"/>
      <c r="D392" s="199"/>
      <c r="E392" s="145"/>
      <c r="F392" s="61"/>
      <c r="G392" s="206"/>
      <c r="H392" s="74"/>
      <c r="I392" s="183"/>
      <c r="J392" s="175"/>
      <c r="K392" s="197"/>
      <c r="L392" s="194"/>
      <c r="M392" s="188">
        <v>3240</v>
      </c>
      <c r="N392" s="188">
        <f t="shared" si="35"/>
        <v>3142.8</v>
      </c>
      <c r="O392" s="189">
        <v>7.0000000000000007E-2</v>
      </c>
      <c r="P392" s="170">
        <f t="shared" si="36"/>
        <v>3362.7960000000003</v>
      </c>
    </row>
    <row r="393" spans="1:16">
      <c r="A393" s="157"/>
      <c r="B393" s="162"/>
      <c r="C393" s="63"/>
      <c r="D393" s="199"/>
      <c r="E393" s="145"/>
      <c r="F393" s="61"/>
      <c r="G393" s="206"/>
      <c r="H393" s="74"/>
      <c r="I393" s="183"/>
      <c r="J393" s="175"/>
      <c r="K393" s="197"/>
      <c r="L393" s="194"/>
      <c r="M393" s="188">
        <v>14700</v>
      </c>
      <c r="N393" s="188">
        <f t="shared" si="35"/>
        <v>14259</v>
      </c>
      <c r="O393" s="189">
        <v>7.0000000000000007E-2</v>
      </c>
      <c r="P393" s="170">
        <f t="shared" si="36"/>
        <v>15257.130000000001</v>
      </c>
    </row>
    <row r="394" spans="1:16">
      <c r="A394" s="157"/>
      <c r="B394" s="162"/>
      <c r="C394" s="222"/>
      <c r="D394" s="3464"/>
      <c r="E394" s="237"/>
      <c r="F394" s="238"/>
      <c r="G394" s="223"/>
      <c r="H394" s="224"/>
      <c r="I394" s="225"/>
      <c r="J394" s="209"/>
      <c r="K394" s="226"/>
      <c r="L394" s="229"/>
      <c r="M394" s="188">
        <v>14582.7</v>
      </c>
      <c r="N394" s="188">
        <f t="shared" si="35"/>
        <v>14145.219000000001</v>
      </c>
      <c r="O394" s="189">
        <v>7.0000000000000007E-2</v>
      </c>
      <c r="P394" s="170">
        <f t="shared" si="36"/>
        <v>15135.384330000001</v>
      </c>
    </row>
    <row r="395" spans="1:16">
      <c r="A395" s="157"/>
      <c r="B395" s="162"/>
      <c r="C395" s="63"/>
      <c r="D395" s="199"/>
      <c r="E395" s="145"/>
      <c r="F395" s="61"/>
      <c r="G395" s="206"/>
      <c r="H395" s="74"/>
      <c r="I395" s="183"/>
      <c r="J395" s="175"/>
      <c r="K395" s="197"/>
      <c r="L395" s="229"/>
      <c r="M395" s="188">
        <v>13483.8</v>
      </c>
      <c r="N395" s="188">
        <f t="shared" si="35"/>
        <v>13079.286</v>
      </c>
      <c r="O395" s="189">
        <v>7.0000000000000007E-2</v>
      </c>
      <c r="P395" s="170">
        <f t="shared" si="36"/>
        <v>13994.836020000001</v>
      </c>
    </row>
    <row r="396" spans="1:16">
      <c r="A396" s="157"/>
      <c r="B396" s="154"/>
      <c r="C396" s="222"/>
      <c r="D396" s="3464"/>
      <c r="E396" s="145"/>
      <c r="F396" s="61"/>
      <c r="G396" s="223"/>
      <c r="H396" s="224"/>
      <c r="I396" s="225"/>
      <c r="J396" s="209"/>
      <c r="K396" s="226"/>
      <c r="L396" s="229"/>
      <c r="M396" s="188">
        <v>2669.52</v>
      </c>
      <c r="N396" s="188">
        <f t="shared" si="35"/>
        <v>2589.4344000000001</v>
      </c>
      <c r="O396" s="189">
        <v>7.0000000000000007E-2</v>
      </c>
      <c r="P396" s="170">
        <f t="shared" si="36"/>
        <v>2770.6948080000002</v>
      </c>
    </row>
    <row r="397" spans="1:16">
      <c r="A397" s="157"/>
      <c r="B397" s="154"/>
      <c r="C397" s="222"/>
      <c r="D397" s="3464"/>
      <c r="E397" s="145"/>
      <c r="F397" s="61"/>
      <c r="G397" s="223"/>
      <c r="H397" s="224"/>
      <c r="I397" s="225"/>
      <c r="J397" s="209"/>
      <c r="K397" s="226"/>
      <c r="L397" s="229"/>
      <c r="N397" s="188">
        <f t="shared" si="35"/>
        <v>0</v>
      </c>
      <c r="O397" s="189">
        <v>7.0000000000000007E-2</v>
      </c>
      <c r="P397" s="170">
        <f t="shared" si="36"/>
        <v>0</v>
      </c>
    </row>
    <row r="398" spans="1:16">
      <c r="A398" s="221"/>
      <c r="B398" s="240"/>
      <c r="C398" s="222"/>
      <c r="D398" s="3464"/>
      <c r="E398" s="145"/>
      <c r="F398" s="61"/>
      <c r="G398" s="223"/>
      <c r="H398" s="224"/>
      <c r="I398" s="225"/>
      <c r="J398" s="209"/>
      <c r="K398" s="226"/>
      <c r="L398" s="229"/>
      <c r="M398" s="188">
        <v>12972.96</v>
      </c>
      <c r="N398" s="188">
        <f t="shared" si="35"/>
        <v>12583.771199999999</v>
      </c>
      <c r="O398" s="189">
        <v>7.0000000000000007E-2</v>
      </c>
      <c r="P398" s="170">
        <f t="shared" si="36"/>
        <v>13464.635183999999</v>
      </c>
    </row>
    <row r="399" spans="1:16">
      <c r="A399" s="157"/>
      <c r="B399" s="154"/>
      <c r="C399" s="63"/>
      <c r="D399" s="199"/>
      <c r="E399" s="145"/>
      <c r="F399" s="61"/>
      <c r="G399" s="206"/>
      <c r="H399" s="74"/>
      <c r="I399" s="183"/>
      <c r="J399" s="209"/>
      <c r="K399" s="197"/>
      <c r="L399" s="229"/>
      <c r="M399" s="188">
        <v>12687.84</v>
      </c>
      <c r="N399" s="188">
        <f t="shared" si="35"/>
        <v>12307.2048</v>
      </c>
      <c r="O399" s="189">
        <v>7.0000000000000007E-2</v>
      </c>
      <c r="P399" s="170">
        <f t="shared" si="36"/>
        <v>13168.709135999999</v>
      </c>
    </row>
    <row r="400" spans="1:16">
      <c r="A400" s="157"/>
      <c r="B400" s="154"/>
      <c r="C400" s="63"/>
      <c r="D400" s="199"/>
      <c r="E400" s="145"/>
      <c r="F400" s="61"/>
      <c r="G400" s="206"/>
      <c r="H400" s="74"/>
      <c r="I400" s="183"/>
      <c r="J400" s="175"/>
      <c r="K400" s="197"/>
      <c r="L400" s="194"/>
      <c r="M400" s="188">
        <v>16572.599999999999</v>
      </c>
      <c r="N400" s="188">
        <f t="shared" si="35"/>
        <v>16075.421999999999</v>
      </c>
      <c r="O400" s="189">
        <v>7.0000000000000007E-2</v>
      </c>
      <c r="P400" s="170">
        <f t="shared" si="36"/>
        <v>17200.701539999998</v>
      </c>
    </row>
    <row r="401" spans="1:16">
      <c r="A401" s="157"/>
      <c r="B401" s="154"/>
      <c r="C401" s="63"/>
      <c r="D401" s="199"/>
      <c r="E401" s="90"/>
      <c r="F401" s="61"/>
      <c r="G401" s="206"/>
      <c r="H401" s="74"/>
      <c r="I401" s="203"/>
      <c r="J401" s="175"/>
      <c r="K401" s="197"/>
      <c r="L401" s="194"/>
      <c r="M401" s="188">
        <v>6021.12</v>
      </c>
      <c r="N401" s="188">
        <f>M401-(M401*0.03)</f>
        <v>5840.4863999999998</v>
      </c>
      <c r="O401" s="189">
        <v>7.0000000000000007E-2</v>
      </c>
      <c r="P401" s="170">
        <f>(N401*O401)+N401</f>
        <v>6249.3204479999995</v>
      </c>
    </row>
    <row r="402" spans="1:16">
      <c r="A402" s="157"/>
      <c r="B402" s="154"/>
      <c r="C402" s="63"/>
      <c r="D402" s="199"/>
      <c r="E402" s="90"/>
      <c r="F402" s="61"/>
      <c r="G402" s="206"/>
      <c r="H402" s="74"/>
      <c r="I402" s="183"/>
      <c r="J402" s="175"/>
      <c r="K402" s="197"/>
      <c r="L402" s="194"/>
      <c r="M402" s="188">
        <v>8714.16</v>
      </c>
      <c r="N402" s="188">
        <f>M402-(M402*0.03)</f>
        <v>8452.7351999999992</v>
      </c>
      <c r="O402" s="189">
        <v>7.0000000000000007E-2</v>
      </c>
      <c r="P402" s="170">
        <f>(N402*O402)+N402</f>
        <v>9044.4266639999987</v>
      </c>
    </row>
    <row r="403" spans="1:16">
      <c r="A403" s="157"/>
      <c r="B403" s="154"/>
      <c r="C403" s="63"/>
      <c r="D403" s="199"/>
      <c r="E403" s="90"/>
      <c r="F403" s="61"/>
      <c r="G403" s="206"/>
      <c r="H403" s="74"/>
      <c r="I403" s="183"/>
      <c r="J403" s="175"/>
      <c r="K403" s="197"/>
      <c r="L403" s="194"/>
      <c r="M403" s="188">
        <v>0</v>
      </c>
      <c r="N403" s="188">
        <f>M403-(M403*0.03)</f>
        <v>0</v>
      </c>
      <c r="O403" s="189">
        <v>7.0000000000000007E-2</v>
      </c>
      <c r="P403" s="170">
        <f t="shared" ref="P403:P409" si="37">(N403*O403)+N403</f>
        <v>0</v>
      </c>
    </row>
    <row r="404" spans="1:16">
      <c r="A404" s="157"/>
      <c r="B404" s="154"/>
      <c r="C404" s="63"/>
      <c r="D404" s="199"/>
      <c r="E404" s="90"/>
      <c r="F404" s="61"/>
      <c r="G404" s="206"/>
      <c r="H404" s="74"/>
      <c r="I404" s="183"/>
      <c r="J404" s="175"/>
      <c r="K404" s="197"/>
      <c r="L404" s="194"/>
      <c r="M404" s="188">
        <v>18537.7</v>
      </c>
      <c r="N404" s="188">
        <f>M404-(M404*0.03)</f>
        <v>17981.569</v>
      </c>
      <c r="O404" s="189">
        <v>7.0000000000000007E-2</v>
      </c>
      <c r="P404" s="170">
        <f t="shared" si="37"/>
        <v>19240.278829999999</v>
      </c>
    </row>
    <row r="405" spans="1:16">
      <c r="A405" s="158"/>
      <c r="B405" s="154"/>
      <c r="C405" s="63"/>
      <c r="D405" s="199"/>
      <c r="E405" s="91"/>
      <c r="F405" s="61"/>
      <c r="G405" s="206"/>
      <c r="H405" s="74"/>
      <c r="I405" s="183"/>
      <c r="J405" s="175"/>
      <c r="K405" s="197"/>
      <c r="L405" s="194"/>
      <c r="M405" s="188">
        <v>9031.68</v>
      </c>
      <c r="N405" s="188">
        <f t="shared" ref="N405:N416" si="38">M405-(M405*0.03)</f>
        <v>8760.7296000000006</v>
      </c>
      <c r="O405" s="189">
        <v>7.0000000000000007E-2</v>
      </c>
      <c r="P405" s="170">
        <f t="shared" si="37"/>
        <v>9373.9806720000015</v>
      </c>
    </row>
    <row r="406" spans="1:16">
      <c r="A406" s="200"/>
      <c r="B406" s="154"/>
      <c r="C406" s="63"/>
      <c r="D406" s="199"/>
      <c r="E406" s="153"/>
      <c r="F406" s="61"/>
      <c r="G406" s="206"/>
      <c r="H406" s="88"/>
      <c r="I406" s="184"/>
      <c r="J406" s="201"/>
      <c r="K406" s="202"/>
      <c r="L406" s="194"/>
      <c r="N406" s="188">
        <f t="shared" si="38"/>
        <v>0</v>
      </c>
      <c r="O406" s="189">
        <v>7.0000000000000007E-2</v>
      </c>
      <c r="P406" s="170">
        <f t="shared" si="37"/>
        <v>0</v>
      </c>
    </row>
    <row r="407" spans="1:16">
      <c r="A407" s="157"/>
      <c r="B407" s="154"/>
      <c r="C407" s="63"/>
      <c r="D407" s="199"/>
      <c r="E407" s="198"/>
      <c r="F407" s="61"/>
      <c r="G407" s="206"/>
      <c r="H407" s="74"/>
      <c r="I407" s="183"/>
      <c r="J407" s="175"/>
      <c r="K407" s="197"/>
      <c r="L407" s="194"/>
      <c r="M407" s="188">
        <v>8478.9599999999991</v>
      </c>
      <c r="N407" s="188">
        <f t="shared" si="38"/>
        <v>8224.5911999999989</v>
      </c>
      <c r="O407" s="189">
        <v>7.0000000000000007E-2</v>
      </c>
      <c r="P407" s="170">
        <f t="shared" si="37"/>
        <v>8800.3125839999993</v>
      </c>
    </row>
    <row r="408" spans="1:16">
      <c r="A408" s="157"/>
      <c r="B408" s="154"/>
      <c r="C408" s="63"/>
      <c r="D408" s="199"/>
      <c r="E408" s="142"/>
      <c r="F408" s="61"/>
      <c r="G408" s="206"/>
      <c r="H408" s="74"/>
      <c r="I408" s="183"/>
      <c r="J408" s="175"/>
      <c r="K408" s="197"/>
      <c r="L408" s="194"/>
      <c r="M408" s="188">
        <v>11122.62</v>
      </c>
      <c r="N408" s="188">
        <f t="shared" si="38"/>
        <v>10788.941400000002</v>
      </c>
      <c r="O408" s="189">
        <v>7.0000000000000007E-2</v>
      </c>
      <c r="P408" s="170">
        <f t="shared" si="37"/>
        <v>11544.167298000002</v>
      </c>
    </row>
    <row r="409" spans="1:16">
      <c r="A409" s="157"/>
      <c r="B409" s="154"/>
      <c r="C409" s="63"/>
      <c r="D409" s="196"/>
      <c r="E409" s="120"/>
      <c r="F409" s="121"/>
      <c r="G409" s="206"/>
      <c r="H409" s="115"/>
      <c r="I409" s="185"/>
      <c r="J409" s="175"/>
      <c r="K409" s="197"/>
      <c r="L409" s="194"/>
      <c r="M409" s="188">
        <v>3813.12</v>
      </c>
      <c r="N409" s="188">
        <f t="shared" si="38"/>
        <v>3698.7264</v>
      </c>
      <c r="O409" s="189">
        <v>7.0000000000000007E-2</v>
      </c>
      <c r="P409" s="170">
        <f t="shared" si="37"/>
        <v>3957.637248</v>
      </c>
    </row>
    <row r="410" spans="1:16">
      <c r="A410" s="157"/>
      <c r="B410" s="154"/>
      <c r="C410" s="63"/>
      <c r="D410" s="196"/>
      <c r="E410" s="249"/>
      <c r="F410" s="121"/>
      <c r="G410" s="206"/>
      <c r="H410" s="115"/>
      <c r="I410" s="185"/>
      <c r="J410" s="175"/>
      <c r="K410" s="197"/>
      <c r="L410" s="194"/>
    </row>
    <row r="411" spans="1:16">
      <c r="A411" s="157"/>
      <c r="B411" s="154"/>
      <c r="C411" s="63"/>
      <c r="D411" s="196"/>
      <c r="E411" s="249"/>
      <c r="F411" s="121"/>
      <c r="G411" s="206"/>
      <c r="H411" s="115"/>
      <c r="I411" s="185"/>
      <c r="J411" s="175"/>
      <c r="K411" s="197"/>
      <c r="L411" s="194"/>
    </row>
    <row r="412" spans="1:16">
      <c r="A412" s="157"/>
      <c r="B412" s="154"/>
      <c r="C412" s="63"/>
      <c r="D412" s="196"/>
      <c r="E412" s="249"/>
      <c r="F412" s="121"/>
      <c r="G412" s="206"/>
      <c r="H412" s="115"/>
      <c r="I412" s="185"/>
      <c r="J412" s="175"/>
      <c r="K412" s="197"/>
      <c r="L412" s="194"/>
    </row>
    <row r="413" spans="1:16">
      <c r="A413" s="157"/>
      <c r="B413" s="154"/>
      <c r="C413" s="63"/>
      <c r="D413" s="196"/>
      <c r="E413" s="249"/>
      <c r="F413" s="121"/>
      <c r="G413" s="206"/>
      <c r="H413" s="115"/>
      <c r="I413" s="185"/>
      <c r="J413" s="175"/>
      <c r="K413" s="197"/>
      <c r="L413" s="194"/>
    </row>
    <row r="414" spans="1:16">
      <c r="A414" s="157"/>
      <c r="B414" s="154"/>
      <c r="C414" s="63"/>
      <c r="D414" s="196"/>
      <c r="E414" s="142"/>
      <c r="F414" s="61"/>
      <c r="G414" s="206"/>
      <c r="H414" s="74"/>
      <c r="I414" s="183"/>
      <c r="J414" s="175"/>
      <c r="K414" s="197"/>
      <c r="L414" s="194"/>
    </row>
    <row r="415" spans="1:16">
      <c r="A415" s="157"/>
      <c r="B415" s="154"/>
      <c r="C415" s="63"/>
      <c r="D415" s="196"/>
      <c r="E415" s="142"/>
      <c r="F415" s="61"/>
      <c r="G415" s="206"/>
      <c r="H415" s="74"/>
      <c r="I415" s="183"/>
      <c r="J415" s="175"/>
      <c r="K415" s="197"/>
      <c r="L415" s="194"/>
    </row>
    <row r="416" spans="1:16">
      <c r="A416" s="157"/>
      <c r="B416" s="161"/>
      <c r="C416" s="63"/>
      <c r="D416" s="196"/>
      <c r="E416" s="142"/>
      <c r="F416" s="61"/>
      <c r="G416" s="206"/>
      <c r="H416" s="74"/>
      <c r="I416" s="183"/>
      <c r="J416" s="175"/>
      <c r="K416" s="197"/>
      <c r="L416" s="194"/>
      <c r="M416" s="188">
        <v>8640</v>
      </c>
      <c r="N416" s="188">
        <f t="shared" si="38"/>
        <v>8380.7999999999993</v>
      </c>
      <c r="O416" s="189">
        <v>7.0000000000000007E-2</v>
      </c>
      <c r="P416" s="170">
        <f>(N416*O416)+N416</f>
        <v>8967.4559999999983</v>
      </c>
    </row>
    <row r="417" spans="1:16">
      <c r="A417" s="157"/>
      <c r="B417" s="161"/>
      <c r="C417" s="63"/>
      <c r="D417" s="196"/>
      <c r="E417" s="142"/>
      <c r="F417" s="61"/>
      <c r="G417" s="206"/>
      <c r="H417" s="74"/>
      <c r="I417" s="183"/>
      <c r="J417" s="175"/>
      <c r="K417" s="197"/>
      <c r="L417" s="194"/>
    </row>
    <row r="418" spans="1:16">
      <c r="A418" s="160"/>
      <c r="B418" s="154"/>
      <c r="C418" s="63"/>
      <c r="D418" s="196"/>
      <c r="E418" s="120"/>
      <c r="F418" s="121"/>
      <c r="G418" s="206"/>
      <c r="H418" s="115"/>
      <c r="I418" s="185"/>
      <c r="J418" s="174"/>
      <c r="K418" s="195"/>
      <c r="L418" s="194"/>
    </row>
    <row r="419" spans="1:16">
      <c r="F419" s="68"/>
    </row>
    <row r="420" spans="1:16">
      <c r="F420" s="68"/>
    </row>
    <row r="421" spans="1:16">
      <c r="A421" s="44" t="s">
        <v>0</v>
      </c>
      <c r="B421" s="127"/>
      <c r="C421" s="104"/>
      <c r="F421" s="68"/>
      <c r="I421" s="179"/>
      <c r="K421" s="163"/>
      <c r="L421" s="168"/>
    </row>
    <row r="422" spans="1:16">
      <c r="A422" s="3480" t="s">
        <v>2512</v>
      </c>
      <c r="B422" s="3480"/>
      <c r="C422" s="44"/>
      <c r="D422" s="109"/>
      <c r="F422" s="68"/>
      <c r="I422" s="179"/>
      <c r="K422" s="163"/>
      <c r="L422" s="168"/>
    </row>
    <row r="423" spans="1:16" ht="35.25" thickBot="1">
      <c r="F423" s="68"/>
    </row>
    <row r="424" spans="1:16">
      <c r="A424" s="3493" t="s">
        <v>2</v>
      </c>
      <c r="B424" s="3482"/>
      <c r="C424" s="48" t="s">
        <v>3</v>
      </c>
      <c r="D424" s="128" t="s">
        <v>4</v>
      </c>
      <c r="E424" s="77" t="s">
        <v>5</v>
      </c>
      <c r="F424" s="78" t="s">
        <v>5</v>
      </c>
      <c r="G424" s="211" t="s">
        <v>6</v>
      </c>
      <c r="H424" s="140" t="s">
        <v>7</v>
      </c>
      <c r="I424" s="180" t="s">
        <v>1511</v>
      </c>
      <c r="J424" s="172" t="s">
        <v>9</v>
      </c>
      <c r="K424" s="186" t="s">
        <v>9</v>
      </c>
      <c r="L424" s="192" t="s">
        <v>2495</v>
      </c>
      <c r="M424" s="190"/>
    </row>
    <row r="425" spans="1:16" ht="35.25" thickBot="1">
      <c r="A425" s="155"/>
      <c r="B425" s="138"/>
      <c r="C425" s="50"/>
      <c r="D425" s="129" t="s">
        <v>10</v>
      </c>
      <c r="E425" s="79" t="s">
        <v>11</v>
      </c>
      <c r="F425" s="80" t="s">
        <v>12</v>
      </c>
      <c r="G425" s="212"/>
      <c r="H425" s="141" t="s">
        <v>13</v>
      </c>
      <c r="I425" s="181" t="s">
        <v>1512</v>
      </c>
      <c r="J425" s="173" t="s">
        <v>15</v>
      </c>
      <c r="K425" s="187" t="s">
        <v>14</v>
      </c>
      <c r="L425" s="193" t="s">
        <v>2496</v>
      </c>
      <c r="M425" s="190"/>
    </row>
    <row r="426" spans="1:16">
      <c r="A426" s="156"/>
      <c r="B426" s="154"/>
      <c r="C426" s="63"/>
      <c r="D426" s="199"/>
      <c r="E426" s="143"/>
      <c r="F426" s="69"/>
      <c r="G426" s="206"/>
      <c r="H426" s="74"/>
      <c r="I426" s="183"/>
      <c r="J426" s="175"/>
      <c r="K426" s="172"/>
      <c r="L426" s="194"/>
      <c r="M426" s="188">
        <v>3552</v>
      </c>
      <c r="N426" s="188">
        <f t="shared" ref="N426:N442" si="39">M426-(M426*0.03)</f>
        <v>3445.44</v>
      </c>
      <c r="O426" s="189">
        <v>7.0000000000000007E-2</v>
      </c>
      <c r="P426" s="170">
        <f t="shared" ref="P426:P442" si="40">(N426*O426)+N426</f>
        <v>3686.6208000000001</v>
      </c>
    </row>
    <row r="427" spans="1:16">
      <c r="A427" s="157"/>
      <c r="B427" s="154"/>
      <c r="C427" s="63"/>
      <c r="D427" s="199"/>
      <c r="E427" s="145"/>
      <c r="F427" s="61"/>
      <c r="G427" s="206"/>
      <c r="H427" s="74"/>
      <c r="I427" s="183"/>
      <c r="J427" s="175"/>
      <c r="K427" s="176"/>
      <c r="L427" s="194"/>
      <c r="N427" s="188">
        <f t="shared" si="39"/>
        <v>0</v>
      </c>
      <c r="O427" s="189">
        <v>7.0000000000000007E-2</v>
      </c>
      <c r="P427" s="170">
        <f t="shared" si="40"/>
        <v>0</v>
      </c>
    </row>
    <row r="428" spans="1:16">
      <c r="A428" s="157"/>
      <c r="B428" s="239"/>
      <c r="C428" s="63"/>
      <c r="D428" s="199"/>
      <c r="E428" s="145"/>
      <c r="F428" s="61"/>
      <c r="G428" s="206"/>
      <c r="H428" s="74"/>
      <c r="I428" s="183"/>
      <c r="J428" s="175"/>
      <c r="K428" s="245"/>
      <c r="L428" s="194"/>
      <c r="M428" s="188">
        <v>9498.06</v>
      </c>
      <c r="N428" s="188">
        <f t="shared" si="39"/>
        <v>9213.118199999999</v>
      </c>
      <c r="O428" s="189">
        <v>7.0000000000000007E-2</v>
      </c>
      <c r="P428" s="170">
        <f t="shared" si="40"/>
        <v>9858.0364739999986</v>
      </c>
    </row>
    <row r="429" spans="1:16">
      <c r="A429" s="157"/>
      <c r="B429" s="239"/>
      <c r="C429" s="63"/>
      <c r="D429" s="199"/>
      <c r="E429" s="145"/>
      <c r="F429" s="61"/>
      <c r="G429" s="206"/>
      <c r="H429" s="74"/>
      <c r="I429" s="183"/>
      <c r="J429" s="175"/>
      <c r="K429" s="197"/>
      <c r="L429" s="194"/>
      <c r="M429" s="188">
        <v>15305.4</v>
      </c>
      <c r="N429" s="188">
        <f t="shared" si="39"/>
        <v>14846.237999999999</v>
      </c>
      <c r="O429" s="189">
        <v>7.0000000000000007E-2</v>
      </c>
      <c r="P429" s="170">
        <f t="shared" si="40"/>
        <v>15885.47466</v>
      </c>
    </row>
    <row r="430" spans="1:16">
      <c r="A430" s="157"/>
      <c r="B430" s="154"/>
      <c r="C430" s="63"/>
      <c r="D430" s="199"/>
      <c r="E430" s="145"/>
      <c r="F430" s="61"/>
      <c r="G430" s="206"/>
      <c r="H430" s="74"/>
      <c r="I430" s="183"/>
      <c r="J430" s="175"/>
      <c r="K430" s="197"/>
      <c r="L430" s="194"/>
      <c r="N430" s="188">
        <f t="shared" si="39"/>
        <v>0</v>
      </c>
      <c r="O430" s="189">
        <v>7.0000000000000007E-2</v>
      </c>
      <c r="P430" s="170">
        <f t="shared" si="40"/>
        <v>0</v>
      </c>
    </row>
    <row r="431" spans="1:16">
      <c r="A431" s="157"/>
      <c r="B431" s="154"/>
      <c r="C431" s="63"/>
      <c r="D431" s="199"/>
      <c r="E431" s="145"/>
      <c r="F431" s="61"/>
      <c r="G431" s="206"/>
      <c r="H431" s="74"/>
      <c r="I431" s="183"/>
      <c r="J431" s="175"/>
      <c r="K431" s="197"/>
      <c r="L431" s="194"/>
      <c r="N431" s="188">
        <f t="shared" si="39"/>
        <v>0</v>
      </c>
      <c r="O431" s="189">
        <v>7.0000000000000007E-2</v>
      </c>
      <c r="P431" s="170">
        <f t="shared" si="40"/>
        <v>0</v>
      </c>
    </row>
    <row r="432" spans="1:16">
      <c r="A432" s="157"/>
      <c r="B432" s="154"/>
      <c r="C432" s="63"/>
      <c r="D432" s="199"/>
      <c r="E432" s="145"/>
      <c r="F432" s="61"/>
      <c r="G432" s="206"/>
      <c r="H432" s="74"/>
      <c r="I432" s="183"/>
      <c r="J432" s="175"/>
      <c r="K432" s="197"/>
      <c r="L432" s="194"/>
      <c r="N432" s="188">
        <f t="shared" si="39"/>
        <v>0</v>
      </c>
      <c r="O432" s="189">
        <v>7.0000000000000007E-2</v>
      </c>
      <c r="P432" s="170">
        <f t="shared" si="40"/>
        <v>0</v>
      </c>
    </row>
    <row r="433" spans="1:16">
      <c r="A433" s="157"/>
      <c r="B433" s="239"/>
      <c r="C433" s="222"/>
      <c r="D433" s="3464"/>
      <c r="E433" s="145"/>
      <c r="F433" s="61"/>
      <c r="G433" s="223"/>
      <c r="H433" s="224"/>
      <c r="I433" s="225"/>
      <c r="J433" s="209"/>
      <c r="K433" s="244"/>
      <c r="M433" s="188">
        <v>14244.12</v>
      </c>
      <c r="N433" s="188">
        <f t="shared" si="39"/>
        <v>13816.796400000001</v>
      </c>
      <c r="O433" s="189">
        <v>7.0000000000000007E-2</v>
      </c>
      <c r="P433" s="170">
        <f t="shared" si="40"/>
        <v>14783.972148000001</v>
      </c>
    </row>
    <row r="434" spans="1:16">
      <c r="A434" s="157"/>
      <c r="B434" s="162"/>
      <c r="C434" s="63"/>
      <c r="D434" s="199"/>
      <c r="E434" s="145"/>
      <c r="F434" s="61"/>
      <c r="G434" s="206"/>
      <c r="H434" s="74"/>
      <c r="I434" s="183"/>
      <c r="J434" s="175"/>
      <c r="K434" s="197"/>
      <c r="L434" s="194"/>
      <c r="M434" s="188">
        <v>3240</v>
      </c>
      <c r="N434" s="188">
        <f t="shared" si="39"/>
        <v>3142.8</v>
      </c>
      <c r="O434" s="189">
        <v>7.0000000000000007E-2</v>
      </c>
      <c r="P434" s="170">
        <f t="shared" si="40"/>
        <v>3362.7960000000003</v>
      </c>
    </row>
    <row r="435" spans="1:16">
      <c r="A435" s="157"/>
      <c r="B435" s="162"/>
      <c r="C435" s="63"/>
      <c r="D435" s="199"/>
      <c r="E435" s="145"/>
      <c r="F435" s="61"/>
      <c r="G435" s="206"/>
      <c r="H435" s="74"/>
      <c r="I435" s="183"/>
      <c r="J435" s="175"/>
      <c r="K435" s="197"/>
      <c r="L435" s="194"/>
      <c r="M435" s="188">
        <v>14700</v>
      </c>
      <c r="N435" s="188">
        <f t="shared" si="39"/>
        <v>14259</v>
      </c>
      <c r="O435" s="189">
        <v>7.0000000000000007E-2</v>
      </c>
      <c r="P435" s="170">
        <f t="shared" si="40"/>
        <v>15257.130000000001</v>
      </c>
    </row>
    <row r="436" spans="1:16">
      <c r="A436" s="157"/>
      <c r="B436" s="162"/>
      <c r="C436" s="222"/>
      <c r="D436" s="3464"/>
      <c r="E436" s="237"/>
      <c r="F436" s="238"/>
      <c r="G436" s="223"/>
      <c r="H436" s="224"/>
      <c r="I436" s="225"/>
      <c r="J436" s="209"/>
      <c r="K436" s="226"/>
      <c r="L436" s="229"/>
      <c r="M436" s="188">
        <v>14582.7</v>
      </c>
      <c r="N436" s="188">
        <f t="shared" si="39"/>
        <v>14145.219000000001</v>
      </c>
      <c r="O436" s="189">
        <v>7.0000000000000007E-2</v>
      </c>
      <c r="P436" s="170">
        <f t="shared" si="40"/>
        <v>15135.384330000001</v>
      </c>
    </row>
    <row r="437" spans="1:16">
      <c r="A437" s="157"/>
      <c r="B437" s="162"/>
      <c r="C437" s="63"/>
      <c r="D437" s="199"/>
      <c r="E437" s="145"/>
      <c r="F437" s="61"/>
      <c r="G437" s="206"/>
      <c r="H437" s="74"/>
      <c r="I437" s="183"/>
      <c r="J437" s="175"/>
      <c r="K437" s="197"/>
      <c r="L437" s="229"/>
      <c r="M437" s="188">
        <v>13483.8</v>
      </c>
      <c r="N437" s="188">
        <f t="shared" si="39"/>
        <v>13079.286</v>
      </c>
      <c r="O437" s="189">
        <v>7.0000000000000007E-2</v>
      </c>
      <c r="P437" s="170">
        <f t="shared" si="40"/>
        <v>13994.836020000001</v>
      </c>
    </row>
    <row r="438" spans="1:16">
      <c r="A438" s="157"/>
      <c r="B438" s="154"/>
      <c r="C438" s="222"/>
      <c r="D438" s="3464"/>
      <c r="E438" s="145"/>
      <c r="F438" s="61"/>
      <c r="G438" s="223"/>
      <c r="H438" s="224"/>
      <c r="I438" s="225"/>
      <c r="J438" s="209"/>
      <c r="K438" s="226"/>
      <c r="L438" s="229"/>
      <c r="M438" s="188">
        <v>2669.52</v>
      </c>
      <c r="N438" s="188">
        <f t="shared" si="39"/>
        <v>2589.4344000000001</v>
      </c>
      <c r="O438" s="189">
        <v>7.0000000000000007E-2</v>
      </c>
      <c r="P438" s="170">
        <f t="shared" si="40"/>
        <v>2770.6948080000002</v>
      </c>
    </row>
    <row r="439" spans="1:16">
      <c r="A439" s="157"/>
      <c r="B439" s="154"/>
      <c r="C439" s="222"/>
      <c r="D439" s="3464"/>
      <c r="E439" s="145"/>
      <c r="F439" s="61"/>
      <c r="G439" s="223"/>
      <c r="H439" s="224"/>
      <c r="I439" s="225"/>
      <c r="J439" s="209"/>
      <c r="K439" s="226"/>
      <c r="L439" s="229"/>
      <c r="N439" s="188">
        <f t="shared" si="39"/>
        <v>0</v>
      </c>
      <c r="O439" s="189">
        <v>7.0000000000000007E-2</v>
      </c>
      <c r="P439" s="170">
        <f t="shared" si="40"/>
        <v>0</v>
      </c>
    </row>
    <row r="440" spans="1:16">
      <c r="A440" s="221"/>
      <c r="B440" s="240"/>
      <c r="C440" s="222"/>
      <c r="D440" s="3464"/>
      <c r="E440" s="145"/>
      <c r="F440" s="61"/>
      <c r="G440" s="223"/>
      <c r="H440" s="224"/>
      <c r="I440" s="225"/>
      <c r="J440" s="209"/>
      <c r="K440" s="226"/>
      <c r="L440" s="229"/>
      <c r="M440" s="188">
        <v>12972.96</v>
      </c>
      <c r="N440" s="188">
        <f t="shared" si="39"/>
        <v>12583.771199999999</v>
      </c>
      <c r="O440" s="189">
        <v>7.0000000000000007E-2</v>
      </c>
      <c r="P440" s="170">
        <f t="shared" si="40"/>
        <v>13464.635183999999</v>
      </c>
    </row>
    <row r="441" spans="1:16">
      <c r="A441" s="157"/>
      <c r="B441" s="154"/>
      <c r="C441" s="63"/>
      <c r="D441" s="199"/>
      <c r="E441" s="145"/>
      <c r="F441" s="61"/>
      <c r="G441" s="206"/>
      <c r="H441" s="74"/>
      <c r="I441" s="183"/>
      <c r="J441" s="209"/>
      <c r="K441" s="197"/>
      <c r="L441" s="229"/>
      <c r="M441" s="188">
        <v>12687.84</v>
      </c>
      <c r="N441" s="188">
        <f t="shared" si="39"/>
        <v>12307.2048</v>
      </c>
      <c r="O441" s="189">
        <v>7.0000000000000007E-2</v>
      </c>
      <c r="P441" s="170">
        <f t="shared" si="40"/>
        <v>13168.709135999999</v>
      </c>
    </row>
    <row r="442" spans="1:16">
      <c r="A442" s="157"/>
      <c r="B442" s="154"/>
      <c r="C442" s="63"/>
      <c r="D442" s="199"/>
      <c r="E442" s="145"/>
      <c r="F442" s="61"/>
      <c r="G442" s="206"/>
      <c r="H442" s="74"/>
      <c r="I442" s="183"/>
      <c r="J442" s="175"/>
      <c r="K442" s="197"/>
      <c r="L442" s="194"/>
      <c r="M442" s="188">
        <v>16572.599999999999</v>
      </c>
      <c r="N442" s="188">
        <f t="shared" si="39"/>
        <v>16075.421999999999</v>
      </c>
      <c r="O442" s="189">
        <v>7.0000000000000007E-2</v>
      </c>
      <c r="P442" s="170">
        <f t="shared" si="40"/>
        <v>17200.701539999998</v>
      </c>
    </row>
    <row r="443" spans="1:16">
      <c r="A443" s="157"/>
      <c r="B443" s="154"/>
      <c r="C443" s="63"/>
      <c r="D443" s="199"/>
      <c r="E443" s="90"/>
      <c r="F443" s="61"/>
      <c r="G443" s="206"/>
      <c r="H443" s="74"/>
      <c r="I443" s="203"/>
      <c r="J443" s="175"/>
      <c r="K443" s="197"/>
      <c r="L443" s="194"/>
      <c r="M443" s="188">
        <v>6021.12</v>
      </c>
      <c r="N443" s="188">
        <f>M443-(M443*0.03)</f>
        <v>5840.4863999999998</v>
      </c>
      <c r="O443" s="189">
        <v>7.0000000000000007E-2</v>
      </c>
      <c r="P443" s="170">
        <f>(N443*O443)+N443</f>
        <v>6249.3204479999995</v>
      </c>
    </row>
    <row r="444" spans="1:16">
      <c r="A444" s="157"/>
      <c r="B444" s="154"/>
      <c r="C444" s="63"/>
      <c r="D444" s="199"/>
      <c r="E444" s="90"/>
      <c r="F444" s="61"/>
      <c r="G444" s="206"/>
      <c r="H444" s="74"/>
      <c r="I444" s="183"/>
      <c r="J444" s="175"/>
      <c r="K444" s="197"/>
      <c r="L444" s="194"/>
      <c r="M444" s="188">
        <v>8714.16</v>
      </c>
      <c r="N444" s="188">
        <f>M444-(M444*0.03)</f>
        <v>8452.7351999999992</v>
      </c>
      <c r="O444" s="189">
        <v>7.0000000000000007E-2</v>
      </c>
      <c r="P444" s="170">
        <f>(N444*O444)+N444</f>
        <v>9044.4266639999987</v>
      </c>
    </row>
    <row r="445" spans="1:16">
      <c r="A445" s="157"/>
      <c r="B445" s="154"/>
      <c r="C445" s="63"/>
      <c r="D445" s="199"/>
      <c r="E445" s="90"/>
      <c r="F445" s="61"/>
      <c r="G445" s="206"/>
      <c r="H445" s="74"/>
      <c r="I445" s="183"/>
      <c r="J445" s="175"/>
      <c r="K445" s="197"/>
      <c r="L445" s="194"/>
      <c r="M445" s="188">
        <v>0</v>
      </c>
      <c r="N445" s="188">
        <f>M445-(M445*0.03)</f>
        <v>0</v>
      </c>
      <c r="O445" s="189">
        <v>7.0000000000000007E-2</v>
      </c>
      <c r="P445" s="170">
        <f t="shared" ref="P445:P451" si="41">(N445*O445)+N445</f>
        <v>0</v>
      </c>
    </row>
    <row r="446" spans="1:16">
      <c r="A446" s="157"/>
      <c r="B446" s="154"/>
      <c r="C446" s="63"/>
      <c r="D446" s="199"/>
      <c r="E446" s="90"/>
      <c r="F446" s="61"/>
      <c r="G446" s="206"/>
      <c r="H446" s="74"/>
      <c r="I446" s="183"/>
      <c r="J446" s="175"/>
      <c r="K446" s="197"/>
      <c r="L446" s="194"/>
      <c r="M446" s="188">
        <v>18537.7</v>
      </c>
      <c r="N446" s="188">
        <f>M446-(M446*0.03)</f>
        <v>17981.569</v>
      </c>
      <c r="O446" s="189">
        <v>7.0000000000000007E-2</v>
      </c>
      <c r="P446" s="170">
        <f t="shared" si="41"/>
        <v>19240.278829999999</v>
      </c>
    </row>
    <row r="447" spans="1:16">
      <c r="A447" s="158"/>
      <c r="B447" s="154"/>
      <c r="C447" s="63"/>
      <c r="D447" s="199"/>
      <c r="E447" s="91"/>
      <c r="F447" s="61"/>
      <c r="G447" s="206"/>
      <c r="H447" s="74"/>
      <c r="I447" s="183"/>
      <c r="J447" s="175"/>
      <c r="K447" s="197"/>
      <c r="L447" s="194"/>
      <c r="M447" s="188">
        <v>9031.68</v>
      </c>
      <c r="N447" s="188">
        <f t="shared" ref="N447:N459" si="42">M447-(M447*0.03)</f>
        <v>8760.7296000000006</v>
      </c>
      <c r="O447" s="189">
        <v>7.0000000000000007E-2</v>
      </c>
      <c r="P447" s="170">
        <f t="shared" si="41"/>
        <v>9373.9806720000015</v>
      </c>
    </row>
    <row r="448" spans="1:16">
      <c r="A448" s="200"/>
      <c r="B448" s="154"/>
      <c r="C448" s="63"/>
      <c r="D448" s="199"/>
      <c r="E448" s="153"/>
      <c r="F448" s="61"/>
      <c r="G448" s="206"/>
      <c r="H448" s="88"/>
      <c r="I448" s="184"/>
      <c r="J448" s="201"/>
      <c r="K448" s="202"/>
      <c r="L448" s="194"/>
      <c r="N448" s="188">
        <f t="shared" si="42"/>
        <v>0</v>
      </c>
      <c r="O448" s="189">
        <v>7.0000000000000007E-2</v>
      </c>
      <c r="P448" s="170">
        <f t="shared" si="41"/>
        <v>0</v>
      </c>
    </row>
    <row r="449" spans="1:16">
      <c r="A449" s="157"/>
      <c r="B449" s="154"/>
      <c r="C449" s="63"/>
      <c r="D449" s="199"/>
      <c r="E449" s="198"/>
      <c r="F449" s="61"/>
      <c r="G449" s="206"/>
      <c r="H449" s="74"/>
      <c r="I449" s="183"/>
      <c r="J449" s="175"/>
      <c r="K449" s="197"/>
      <c r="L449" s="194"/>
      <c r="M449" s="188">
        <v>8478.9599999999991</v>
      </c>
      <c r="N449" s="188">
        <f t="shared" si="42"/>
        <v>8224.5911999999989</v>
      </c>
      <c r="O449" s="189">
        <v>7.0000000000000007E-2</v>
      </c>
      <c r="P449" s="170">
        <f t="shared" si="41"/>
        <v>8800.3125839999993</v>
      </c>
    </row>
    <row r="450" spans="1:16">
      <c r="A450" s="157"/>
      <c r="B450" s="154"/>
      <c r="C450" s="63"/>
      <c r="D450" s="199"/>
      <c r="E450" s="142"/>
      <c r="F450" s="61"/>
      <c r="G450" s="206"/>
      <c r="H450" s="74"/>
      <c r="I450" s="183"/>
      <c r="J450" s="175"/>
      <c r="K450" s="197"/>
      <c r="L450" s="194"/>
      <c r="M450" s="188">
        <v>11122.62</v>
      </c>
      <c r="N450" s="188">
        <f t="shared" si="42"/>
        <v>10788.941400000002</v>
      </c>
      <c r="O450" s="189">
        <v>7.0000000000000007E-2</v>
      </c>
      <c r="P450" s="170">
        <f t="shared" si="41"/>
        <v>11544.167298000002</v>
      </c>
    </row>
    <row r="451" spans="1:16">
      <c r="A451" s="157"/>
      <c r="B451" s="154"/>
      <c r="C451" s="63"/>
      <c r="D451" s="196"/>
      <c r="E451" s="120"/>
      <c r="F451" s="121"/>
      <c r="G451" s="206"/>
      <c r="H451" s="115"/>
      <c r="I451" s="185"/>
      <c r="J451" s="175"/>
      <c r="K451" s="197"/>
      <c r="L451" s="194"/>
      <c r="M451" s="188">
        <v>3813.12</v>
      </c>
      <c r="N451" s="188">
        <f t="shared" si="42"/>
        <v>3698.7264</v>
      </c>
      <c r="O451" s="189">
        <v>7.0000000000000007E-2</v>
      </c>
      <c r="P451" s="170">
        <f t="shared" si="41"/>
        <v>3957.637248</v>
      </c>
    </row>
    <row r="452" spans="1:16">
      <c r="A452" s="157"/>
      <c r="B452" s="154"/>
      <c r="C452" s="63"/>
      <c r="D452" s="196"/>
      <c r="E452" s="249"/>
      <c r="F452" s="121"/>
      <c r="G452" s="206"/>
      <c r="H452" s="115"/>
      <c r="I452" s="185"/>
      <c r="J452" s="175"/>
      <c r="K452" s="197"/>
      <c r="L452" s="194"/>
    </row>
    <row r="453" spans="1:16">
      <c r="A453" s="157"/>
      <c r="B453" s="154"/>
      <c r="C453" s="63"/>
      <c r="D453" s="196"/>
      <c r="E453" s="249"/>
      <c r="F453" s="121"/>
      <c r="G453" s="206"/>
      <c r="H453" s="115"/>
      <c r="I453" s="185"/>
      <c r="J453" s="175"/>
      <c r="K453" s="197"/>
      <c r="L453" s="194"/>
    </row>
    <row r="454" spans="1:16">
      <c r="A454" s="157"/>
      <c r="B454" s="154"/>
      <c r="C454" s="63"/>
      <c r="D454" s="196"/>
      <c r="E454" s="249"/>
      <c r="F454" s="121"/>
      <c r="G454" s="206"/>
      <c r="H454" s="115"/>
      <c r="I454" s="185"/>
      <c r="J454" s="175"/>
      <c r="K454" s="197"/>
      <c r="L454" s="194"/>
    </row>
    <row r="455" spans="1:16">
      <c r="A455" s="157"/>
      <c r="B455" s="154"/>
      <c r="C455" s="63"/>
      <c r="D455" s="196"/>
      <c r="E455" s="249"/>
      <c r="F455" s="121"/>
      <c r="G455" s="206"/>
      <c r="H455" s="115"/>
      <c r="I455" s="185"/>
      <c r="J455" s="175"/>
      <c r="K455" s="197"/>
      <c r="L455" s="194"/>
    </row>
    <row r="456" spans="1:16">
      <c r="A456" s="157"/>
      <c r="B456" s="154"/>
      <c r="C456" s="63"/>
      <c r="D456" s="196"/>
      <c r="E456" s="249"/>
      <c r="F456" s="121"/>
      <c r="G456" s="206"/>
      <c r="H456" s="115"/>
      <c r="I456" s="185"/>
      <c r="J456" s="175"/>
      <c r="K456" s="197"/>
      <c r="L456" s="194"/>
    </row>
    <row r="457" spans="1:16">
      <c r="A457" s="157"/>
      <c r="B457" s="154"/>
      <c r="C457" s="63"/>
      <c r="D457" s="196"/>
      <c r="E457" s="142"/>
      <c r="F457" s="61"/>
      <c r="G457" s="206"/>
      <c r="H457" s="74"/>
      <c r="I457" s="183"/>
      <c r="J457" s="175"/>
      <c r="K457" s="197"/>
      <c r="L457" s="194"/>
    </row>
    <row r="458" spans="1:16">
      <c r="A458" s="157"/>
      <c r="B458" s="154"/>
      <c r="C458" s="63"/>
      <c r="D458" s="196"/>
      <c r="E458" s="142"/>
      <c r="F458" s="61"/>
      <c r="G458" s="206"/>
      <c r="H458" s="74"/>
      <c r="I458" s="183"/>
      <c r="J458" s="175"/>
      <c r="K458" s="197"/>
      <c r="L458" s="194"/>
    </row>
    <row r="459" spans="1:16">
      <c r="A459" s="157"/>
      <c r="B459" s="161"/>
      <c r="C459" s="63"/>
      <c r="D459" s="196"/>
      <c r="E459" s="142"/>
      <c r="F459" s="61"/>
      <c r="G459" s="206"/>
      <c r="H459" s="74"/>
      <c r="I459" s="183"/>
      <c r="J459" s="175"/>
      <c r="K459" s="197"/>
      <c r="L459" s="194"/>
      <c r="M459" s="188">
        <v>8640</v>
      </c>
      <c r="N459" s="188">
        <f t="shared" si="42"/>
        <v>8380.7999999999993</v>
      </c>
      <c r="O459" s="189">
        <v>7.0000000000000007E-2</v>
      </c>
      <c r="P459" s="170">
        <f>(N459*O459)+N459</f>
        <v>8967.4559999999983</v>
      </c>
    </row>
    <row r="460" spans="1:16">
      <c r="A460" s="160"/>
      <c r="B460" s="154"/>
      <c r="C460" s="63"/>
      <c r="D460" s="196"/>
      <c r="E460" s="120"/>
      <c r="F460" s="121"/>
      <c r="G460" s="206"/>
      <c r="H460" s="115"/>
      <c r="I460" s="185"/>
      <c r="J460" s="174"/>
      <c r="K460" s="195"/>
      <c r="L460" s="194"/>
    </row>
    <row r="461" spans="1:16">
      <c r="F461" s="68"/>
    </row>
    <row r="462" spans="1:16">
      <c r="F462" s="68"/>
    </row>
    <row r="463" spans="1:16">
      <c r="A463" s="44" t="s">
        <v>0</v>
      </c>
      <c r="B463" s="127"/>
      <c r="C463" s="104"/>
      <c r="F463" s="68"/>
      <c r="I463" s="179"/>
      <c r="K463" s="163"/>
      <c r="L463" s="168"/>
    </row>
    <row r="464" spans="1:16">
      <c r="A464" s="3480" t="s">
        <v>2512</v>
      </c>
      <c r="B464" s="3480"/>
      <c r="C464" s="44"/>
      <c r="D464" s="109"/>
      <c r="F464" s="68"/>
      <c r="I464" s="179"/>
      <c r="K464" s="163"/>
      <c r="L464" s="168"/>
    </row>
    <row r="465" spans="1:16" ht="35.25" thickBot="1">
      <c r="F465" s="68"/>
    </row>
    <row r="466" spans="1:16">
      <c r="A466" s="3493" t="s">
        <v>2</v>
      </c>
      <c r="B466" s="3482"/>
      <c r="C466" s="48" t="s">
        <v>3</v>
      </c>
      <c r="D466" s="128" t="s">
        <v>4</v>
      </c>
      <c r="E466" s="77" t="s">
        <v>5</v>
      </c>
      <c r="F466" s="78" t="s">
        <v>5</v>
      </c>
      <c r="G466" s="211" t="s">
        <v>6</v>
      </c>
      <c r="H466" s="140" t="s">
        <v>7</v>
      </c>
      <c r="I466" s="180" t="s">
        <v>1511</v>
      </c>
      <c r="J466" s="172" t="s">
        <v>9</v>
      </c>
      <c r="K466" s="186" t="s">
        <v>9</v>
      </c>
      <c r="L466" s="192" t="s">
        <v>2495</v>
      </c>
      <c r="M466" s="190"/>
    </row>
    <row r="467" spans="1:16" ht="35.25" thickBot="1">
      <c r="A467" s="155"/>
      <c r="B467" s="138"/>
      <c r="C467" s="50"/>
      <c r="D467" s="129" t="s">
        <v>10</v>
      </c>
      <c r="E467" s="79" t="s">
        <v>11</v>
      </c>
      <c r="F467" s="80" t="s">
        <v>12</v>
      </c>
      <c r="G467" s="212"/>
      <c r="H467" s="141" t="s">
        <v>13</v>
      </c>
      <c r="I467" s="181" t="s">
        <v>1512</v>
      </c>
      <c r="J467" s="173" t="s">
        <v>15</v>
      </c>
      <c r="K467" s="187" t="s">
        <v>14</v>
      </c>
      <c r="L467" s="193" t="s">
        <v>2496</v>
      </c>
      <c r="M467" s="190"/>
    </row>
    <row r="468" spans="1:16">
      <c r="A468" s="156"/>
      <c r="B468" s="154"/>
      <c r="C468" s="63"/>
      <c r="D468" s="199"/>
      <c r="E468" s="143"/>
      <c r="F468" s="69"/>
      <c r="G468" s="206"/>
      <c r="H468" s="74"/>
      <c r="I468" s="183"/>
      <c r="J468" s="175"/>
      <c r="K468" s="172"/>
      <c r="L468" s="194"/>
      <c r="M468" s="188">
        <v>3552</v>
      </c>
      <c r="N468" s="188">
        <f t="shared" ref="N468:N484" si="43">M468-(M468*0.03)</f>
        <v>3445.44</v>
      </c>
      <c r="O468" s="189">
        <v>7.0000000000000007E-2</v>
      </c>
      <c r="P468" s="170">
        <f t="shared" ref="P468:P484" si="44">(N468*O468)+N468</f>
        <v>3686.6208000000001</v>
      </c>
    </row>
    <row r="469" spans="1:16">
      <c r="A469" s="157"/>
      <c r="B469" s="154"/>
      <c r="C469" s="63"/>
      <c r="D469" s="199"/>
      <c r="E469" s="145"/>
      <c r="F469" s="61"/>
      <c r="G469" s="206"/>
      <c r="H469" s="74"/>
      <c r="I469" s="183"/>
      <c r="J469" s="175"/>
      <c r="K469" s="176"/>
      <c r="L469" s="194"/>
      <c r="N469" s="188">
        <f t="shared" si="43"/>
        <v>0</v>
      </c>
      <c r="O469" s="189">
        <v>7.0000000000000007E-2</v>
      </c>
      <c r="P469" s="170">
        <f t="shared" si="44"/>
        <v>0</v>
      </c>
    </row>
    <row r="470" spans="1:16">
      <c r="A470" s="157"/>
      <c r="B470" s="239"/>
      <c r="C470" s="63"/>
      <c r="D470" s="199"/>
      <c r="E470" s="145"/>
      <c r="F470" s="61"/>
      <c r="G470" s="206"/>
      <c r="H470" s="74"/>
      <c r="I470" s="183"/>
      <c r="J470" s="175"/>
      <c r="K470" s="245"/>
      <c r="L470" s="194"/>
      <c r="M470" s="188">
        <v>9498.06</v>
      </c>
      <c r="N470" s="188">
        <f t="shared" si="43"/>
        <v>9213.118199999999</v>
      </c>
      <c r="O470" s="189">
        <v>7.0000000000000007E-2</v>
      </c>
      <c r="P470" s="170">
        <f t="shared" si="44"/>
        <v>9858.0364739999986</v>
      </c>
    </row>
    <row r="471" spans="1:16">
      <c r="A471" s="157"/>
      <c r="B471" s="239"/>
      <c r="C471" s="63"/>
      <c r="D471" s="199"/>
      <c r="E471" s="145"/>
      <c r="F471" s="61"/>
      <c r="G471" s="206"/>
      <c r="H471" s="74"/>
      <c r="I471" s="183"/>
      <c r="J471" s="175"/>
      <c r="K471" s="197"/>
      <c r="L471" s="194"/>
      <c r="M471" s="188">
        <v>15305.4</v>
      </c>
      <c r="N471" s="188">
        <f t="shared" si="43"/>
        <v>14846.237999999999</v>
      </c>
      <c r="O471" s="189">
        <v>7.0000000000000007E-2</v>
      </c>
      <c r="P471" s="170">
        <f t="shared" si="44"/>
        <v>15885.47466</v>
      </c>
    </row>
    <row r="472" spans="1:16">
      <c r="A472" s="157"/>
      <c r="B472" s="154"/>
      <c r="C472" s="63"/>
      <c r="D472" s="199"/>
      <c r="E472" s="145"/>
      <c r="F472" s="61"/>
      <c r="G472" s="206"/>
      <c r="H472" s="74"/>
      <c r="I472" s="183"/>
      <c r="J472" s="175"/>
      <c r="K472" s="197"/>
      <c r="L472" s="194"/>
      <c r="N472" s="188">
        <f t="shared" si="43"/>
        <v>0</v>
      </c>
      <c r="O472" s="189">
        <v>7.0000000000000007E-2</v>
      </c>
      <c r="P472" s="170">
        <f t="shared" si="44"/>
        <v>0</v>
      </c>
    </row>
    <row r="473" spans="1:16">
      <c r="A473" s="157"/>
      <c r="B473" s="154"/>
      <c r="C473" s="63"/>
      <c r="D473" s="199"/>
      <c r="E473" s="145"/>
      <c r="F473" s="61"/>
      <c r="G473" s="206"/>
      <c r="H473" s="74"/>
      <c r="I473" s="183"/>
      <c r="J473" s="175"/>
      <c r="K473" s="197"/>
      <c r="L473" s="194"/>
      <c r="N473" s="188">
        <f t="shared" si="43"/>
        <v>0</v>
      </c>
      <c r="O473" s="189">
        <v>7.0000000000000007E-2</v>
      </c>
      <c r="P473" s="170">
        <f t="shared" si="44"/>
        <v>0</v>
      </c>
    </row>
    <row r="474" spans="1:16">
      <c r="A474" s="157"/>
      <c r="B474" s="154"/>
      <c r="C474" s="63"/>
      <c r="D474" s="199"/>
      <c r="E474" s="145"/>
      <c r="F474" s="61"/>
      <c r="G474" s="206"/>
      <c r="H474" s="74"/>
      <c r="I474" s="183"/>
      <c r="J474" s="175"/>
      <c r="K474" s="197"/>
      <c r="L474" s="194"/>
      <c r="N474" s="188">
        <f t="shared" si="43"/>
        <v>0</v>
      </c>
      <c r="O474" s="189">
        <v>7.0000000000000007E-2</v>
      </c>
      <c r="P474" s="170">
        <f t="shared" si="44"/>
        <v>0</v>
      </c>
    </row>
    <row r="475" spans="1:16">
      <c r="A475" s="157"/>
      <c r="B475" s="239"/>
      <c r="C475" s="222"/>
      <c r="D475" s="3464"/>
      <c r="E475" s="145"/>
      <c r="F475" s="61"/>
      <c r="G475" s="223"/>
      <c r="H475" s="224"/>
      <c r="I475" s="225"/>
      <c r="J475" s="209"/>
      <c r="K475" s="244"/>
      <c r="M475" s="188">
        <v>14244.12</v>
      </c>
      <c r="N475" s="188">
        <f t="shared" si="43"/>
        <v>13816.796400000001</v>
      </c>
      <c r="O475" s="189">
        <v>7.0000000000000007E-2</v>
      </c>
      <c r="P475" s="170">
        <f t="shared" si="44"/>
        <v>14783.972148000001</v>
      </c>
    </row>
    <row r="476" spans="1:16">
      <c r="A476" s="157"/>
      <c r="B476" s="162"/>
      <c r="C476" s="63"/>
      <c r="D476" s="199"/>
      <c r="E476" s="145"/>
      <c r="F476" s="61"/>
      <c r="G476" s="206"/>
      <c r="H476" s="74"/>
      <c r="I476" s="183"/>
      <c r="J476" s="175"/>
      <c r="K476" s="197"/>
      <c r="L476" s="194"/>
      <c r="M476" s="188">
        <v>3240</v>
      </c>
      <c r="N476" s="188">
        <f t="shared" si="43"/>
        <v>3142.8</v>
      </c>
      <c r="O476" s="189">
        <v>7.0000000000000007E-2</v>
      </c>
      <c r="P476" s="170">
        <f t="shared" si="44"/>
        <v>3362.7960000000003</v>
      </c>
    </row>
    <row r="477" spans="1:16">
      <c r="A477" s="157"/>
      <c r="B477" s="162"/>
      <c r="C477" s="63"/>
      <c r="D477" s="199"/>
      <c r="E477" s="145"/>
      <c r="F477" s="61"/>
      <c r="G477" s="206"/>
      <c r="H477" s="74"/>
      <c r="I477" s="183"/>
      <c r="J477" s="175"/>
      <c r="K477" s="197"/>
      <c r="L477" s="194"/>
      <c r="M477" s="188">
        <v>14700</v>
      </c>
      <c r="N477" s="188">
        <f t="shared" si="43"/>
        <v>14259</v>
      </c>
      <c r="O477" s="189">
        <v>7.0000000000000007E-2</v>
      </c>
      <c r="P477" s="170">
        <f t="shared" si="44"/>
        <v>15257.130000000001</v>
      </c>
    </row>
    <row r="478" spans="1:16">
      <c r="A478" s="157"/>
      <c r="B478" s="162"/>
      <c r="C478" s="222"/>
      <c r="D478" s="3464"/>
      <c r="E478" s="237"/>
      <c r="F478" s="238"/>
      <c r="G478" s="223"/>
      <c r="H478" s="224"/>
      <c r="I478" s="225"/>
      <c r="J478" s="209"/>
      <c r="K478" s="226"/>
      <c r="L478" s="229"/>
      <c r="M478" s="188">
        <v>14582.7</v>
      </c>
      <c r="N478" s="188">
        <f t="shared" si="43"/>
        <v>14145.219000000001</v>
      </c>
      <c r="O478" s="189">
        <v>7.0000000000000007E-2</v>
      </c>
      <c r="P478" s="170">
        <f t="shared" si="44"/>
        <v>15135.384330000001</v>
      </c>
    </row>
    <row r="479" spans="1:16">
      <c r="A479" s="157"/>
      <c r="B479" s="162"/>
      <c r="C479" s="63"/>
      <c r="D479" s="199"/>
      <c r="E479" s="145"/>
      <c r="F479" s="61"/>
      <c r="G479" s="206"/>
      <c r="H479" s="74"/>
      <c r="I479" s="183"/>
      <c r="J479" s="175"/>
      <c r="K479" s="197"/>
      <c r="L479" s="229"/>
      <c r="M479" s="188">
        <v>13483.8</v>
      </c>
      <c r="N479" s="188">
        <f t="shared" si="43"/>
        <v>13079.286</v>
      </c>
      <c r="O479" s="189">
        <v>7.0000000000000007E-2</v>
      </c>
      <c r="P479" s="170">
        <f t="shared" si="44"/>
        <v>13994.836020000001</v>
      </c>
    </row>
    <row r="480" spans="1:16">
      <c r="A480" s="157"/>
      <c r="B480" s="154"/>
      <c r="C480" s="222"/>
      <c r="D480" s="3464"/>
      <c r="E480" s="145"/>
      <c r="F480" s="61"/>
      <c r="G480" s="223"/>
      <c r="H480" s="224"/>
      <c r="I480" s="225"/>
      <c r="J480" s="209"/>
      <c r="K480" s="226"/>
      <c r="L480" s="229"/>
      <c r="M480" s="188">
        <v>2669.52</v>
      </c>
      <c r="N480" s="188">
        <f t="shared" si="43"/>
        <v>2589.4344000000001</v>
      </c>
      <c r="O480" s="189">
        <v>7.0000000000000007E-2</v>
      </c>
      <c r="P480" s="170">
        <f t="shared" si="44"/>
        <v>2770.6948080000002</v>
      </c>
    </row>
    <row r="481" spans="1:16">
      <c r="A481" s="157"/>
      <c r="B481" s="154"/>
      <c r="C481" s="222"/>
      <c r="D481" s="3464"/>
      <c r="E481" s="145"/>
      <c r="F481" s="61"/>
      <c r="G481" s="223"/>
      <c r="H481" s="224"/>
      <c r="I481" s="225"/>
      <c r="J481" s="209"/>
      <c r="K481" s="226"/>
      <c r="L481" s="229"/>
      <c r="N481" s="188">
        <f t="shared" si="43"/>
        <v>0</v>
      </c>
      <c r="O481" s="189">
        <v>7.0000000000000007E-2</v>
      </c>
      <c r="P481" s="170">
        <f t="shared" si="44"/>
        <v>0</v>
      </c>
    </row>
    <row r="482" spans="1:16">
      <c r="A482" s="221"/>
      <c r="B482" s="240"/>
      <c r="C482" s="222"/>
      <c r="D482" s="3464"/>
      <c r="E482" s="145"/>
      <c r="F482" s="61"/>
      <c r="G482" s="223"/>
      <c r="H482" s="224"/>
      <c r="I482" s="225"/>
      <c r="J482" s="209"/>
      <c r="K482" s="226"/>
      <c r="L482" s="229"/>
      <c r="M482" s="188">
        <v>12972.96</v>
      </c>
      <c r="N482" s="188">
        <f t="shared" si="43"/>
        <v>12583.771199999999</v>
      </c>
      <c r="O482" s="189">
        <v>7.0000000000000007E-2</v>
      </c>
      <c r="P482" s="170">
        <f t="shared" si="44"/>
        <v>13464.635183999999</v>
      </c>
    </row>
    <row r="483" spans="1:16">
      <c r="A483" s="157"/>
      <c r="B483" s="154"/>
      <c r="C483" s="63"/>
      <c r="D483" s="199"/>
      <c r="E483" s="145"/>
      <c r="F483" s="61"/>
      <c r="G483" s="206"/>
      <c r="H483" s="74"/>
      <c r="I483" s="183"/>
      <c r="J483" s="209"/>
      <c r="K483" s="197"/>
      <c r="L483" s="229"/>
      <c r="M483" s="188">
        <v>12687.84</v>
      </c>
      <c r="N483" s="188">
        <f t="shared" si="43"/>
        <v>12307.2048</v>
      </c>
      <c r="O483" s="189">
        <v>7.0000000000000007E-2</v>
      </c>
      <c r="P483" s="170">
        <f t="shared" si="44"/>
        <v>13168.709135999999</v>
      </c>
    </row>
    <row r="484" spans="1:16">
      <c r="A484" s="157"/>
      <c r="B484" s="154"/>
      <c r="C484" s="63"/>
      <c r="D484" s="199"/>
      <c r="E484" s="145"/>
      <c r="F484" s="61"/>
      <c r="G484" s="206"/>
      <c r="H484" s="74"/>
      <c r="I484" s="183"/>
      <c r="J484" s="175"/>
      <c r="K484" s="197"/>
      <c r="L484" s="194"/>
      <c r="M484" s="188">
        <v>16572.599999999999</v>
      </c>
      <c r="N484" s="188">
        <f t="shared" si="43"/>
        <v>16075.421999999999</v>
      </c>
      <c r="O484" s="189">
        <v>7.0000000000000007E-2</v>
      </c>
      <c r="P484" s="170">
        <f t="shared" si="44"/>
        <v>17200.701539999998</v>
      </c>
    </row>
    <row r="485" spans="1:16">
      <c r="A485" s="157"/>
      <c r="B485" s="154"/>
      <c r="C485" s="63"/>
      <c r="D485" s="199"/>
      <c r="E485" s="90"/>
      <c r="F485" s="61"/>
      <c r="G485" s="206"/>
      <c r="H485" s="74"/>
      <c r="I485" s="203"/>
      <c r="J485" s="175"/>
      <c r="K485" s="197"/>
      <c r="L485" s="194"/>
      <c r="M485" s="188">
        <v>6021.12</v>
      </c>
      <c r="N485" s="188">
        <f>M485-(M485*0.03)</f>
        <v>5840.4863999999998</v>
      </c>
      <c r="O485" s="189">
        <v>7.0000000000000007E-2</v>
      </c>
      <c r="P485" s="170">
        <f>(N485*O485)+N485</f>
        <v>6249.3204479999995</v>
      </c>
    </row>
    <row r="486" spans="1:16">
      <c r="A486" s="157"/>
      <c r="B486" s="154"/>
      <c r="C486" s="63"/>
      <c r="D486" s="199"/>
      <c r="E486" s="90"/>
      <c r="F486" s="61"/>
      <c r="G486" s="206"/>
      <c r="H486" s="74"/>
      <c r="I486" s="183"/>
      <c r="J486" s="175"/>
      <c r="K486" s="197"/>
      <c r="L486" s="194"/>
      <c r="M486" s="188">
        <v>8714.16</v>
      </c>
      <c r="N486" s="188">
        <f>M486-(M486*0.03)</f>
        <v>8452.7351999999992</v>
      </c>
      <c r="O486" s="189">
        <v>7.0000000000000007E-2</v>
      </c>
      <c r="P486" s="170">
        <f>(N486*O486)+N486</f>
        <v>9044.4266639999987</v>
      </c>
    </row>
    <row r="487" spans="1:16">
      <c r="A487" s="157"/>
      <c r="B487" s="154"/>
      <c r="C487" s="63"/>
      <c r="D487" s="199"/>
      <c r="E487" s="90"/>
      <c r="F487" s="61"/>
      <c r="G487" s="206"/>
      <c r="H487" s="74"/>
      <c r="I487" s="183"/>
      <c r="J487" s="175"/>
      <c r="K487" s="197"/>
      <c r="L487" s="194"/>
      <c r="M487" s="188">
        <v>0</v>
      </c>
      <c r="N487" s="188">
        <f>M487-(M487*0.03)</f>
        <v>0</v>
      </c>
      <c r="O487" s="189">
        <v>7.0000000000000007E-2</v>
      </c>
      <c r="P487" s="170">
        <f t="shared" ref="P487:P493" si="45">(N487*O487)+N487</f>
        <v>0</v>
      </c>
    </row>
    <row r="488" spans="1:16">
      <c r="A488" s="157"/>
      <c r="B488" s="154"/>
      <c r="C488" s="63"/>
      <c r="D488" s="199"/>
      <c r="E488" s="90"/>
      <c r="F488" s="61"/>
      <c r="G488" s="206"/>
      <c r="H488" s="74"/>
      <c r="I488" s="183"/>
      <c r="J488" s="175"/>
      <c r="K488" s="197"/>
      <c r="L488" s="194"/>
      <c r="M488" s="188">
        <v>18537.7</v>
      </c>
      <c r="N488" s="188">
        <f>M488-(M488*0.03)</f>
        <v>17981.569</v>
      </c>
      <c r="O488" s="189">
        <v>7.0000000000000007E-2</v>
      </c>
      <c r="P488" s="170">
        <f t="shared" si="45"/>
        <v>19240.278829999999</v>
      </c>
    </row>
    <row r="489" spans="1:16">
      <c r="A489" s="158"/>
      <c r="B489" s="154"/>
      <c r="C489" s="63"/>
      <c r="D489" s="199"/>
      <c r="E489" s="91"/>
      <c r="F489" s="61"/>
      <c r="G489" s="206"/>
      <c r="H489" s="74"/>
      <c r="I489" s="183"/>
      <c r="J489" s="175"/>
      <c r="K489" s="197"/>
      <c r="L489" s="194"/>
      <c r="M489" s="188">
        <v>9031.68</v>
      </c>
      <c r="N489" s="188">
        <f t="shared" ref="N489:N501" si="46">M489-(M489*0.03)</f>
        <v>8760.7296000000006</v>
      </c>
      <c r="O489" s="189">
        <v>7.0000000000000007E-2</v>
      </c>
      <c r="P489" s="170">
        <f t="shared" si="45"/>
        <v>9373.9806720000015</v>
      </c>
    </row>
    <row r="490" spans="1:16">
      <c r="A490" s="200"/>
      <c r="B490" s="154"/>
      <c r="C490" s="63"/>
      <c r="D490" s="199"/>
      <c r="E490" s="153"/>
      <c r="F490" s="61"/>
      <c r="G490" s="206"/>
      <c r="H490" s="88"/>
      <c r="I490" s="184"/>
      <c r="J490" s="201"/>
      <c r="K490" s="202"/>
      <c r="L490" s="194"/>
      <c r="N490" s="188">
        <f t="shared" si="46"/>
        <v>0</v>
      </c>
      <c r="O490" s="189">
        <v>7.0000000000000007E-2</v>
      </c>
      <c r="P490" s="170">
        <f t="shared" si="45"/>
        <v>0</v>
      </c>
    </row>
    <row r="491" spans="1:16">
      <c r="A491" s="157"/>
      <c r="B491" s="154"/>
      <c r="C491" s="63"/>
      <c r="D491" s="199"/>
      <c r="E491" s="198"/>
      <c r="F491" s="61"/>
      <c r="G491" s="206"/>
      <c r="H491" s="74"/>
      <c r="I491" s="183"/>
      <c r="J491" s="175"/>
      <c r="K491" s="197"/>
      <c r="L491" s="194"/>
      <c r="M491" s="188">
        <v>8478.9599999999991</v>
      </c>
      <c r="N491" s="188">
        <f t="shared" si="46"/>
        <v>8224.5911999999989</v>
      </c>
      <c r="O491" s="189">
        <v>7.0000000000000007E-2</v>
      </c>
      <c r="P491" s="170">
        <f t="shared" si="45"/>
        <v>8800.3125839999993</v>
      </c>
    </row>
    <row r="492" spans="1:16">
      <c r="A492" s="157"/>
      <c r="B492" s="154"/>
      <c r="C492" s="63"/>
      <c r="D492" s="199"/>
      <c r="E492" s="142"/>
      <c r="F492" s="61"/>
      <c r="G492" s="206"/>
      <c r="H492" s="74"/>
      <c r="I492" s="183"/>
      <c r="J492" s="175"/>
      <c r="K492" s="197"/>
      <c r="L492" s="194"/>
      <c r="M492" s="188">
        <v>11122.62</v>
      </c>
      <c r="N492" s="188">
        <f t="shared" si="46"/>
        <v>10788.941400000002</v>
      </c>
      <c r="O492" s="189">
        <v>7.0000000000000007E-2</v>
      </c>
      <c r="P492" s="170">
        <f t="shared" si="45"/>
        <v>11544.167298000002</v>
      </c>
    </row>
    <row r="493" spans="1:16">
      <c r="A493" s="157"/>
      <c r="B493" s="154"/>
      <c r="C493" s="63"/>
      <c r="D493" s="196"/>
      <c r="E493" s="120"/>
      <c r="F493" s="121"/>
      <c r="G493" s="206"/>
      <c r="H493" s="115"/>
      <c r="I493" s="185"/>
      <c r="J493" s="175"/>
      <c r="K493" s="197"/>
      <c r="L493" s="194"/>
      <c r="M493" s="188">
        <v>3813.12</v>
      </c>
      <c r="N493" s="188">
        <f t="shared" si="46"/>
        <v>3698.7264</v>
      </c>
      <c r="O493" s="189">
        <v>7.0000000000000007E-2</v>
      </c>
      <c r="P493" s="170">
        <f t="shared" si="45"/>
        <v>3957.637248</v>
      </c>
    </row>
    <row r="494" spans="1:16">
      <c r="A494" s="157"/>
      <c r="B494" s="154"/>
      <c r="C494" s="63"/>
      <c r="D494" s="196"/>
      <c r="E494" s="249"/>
      <c r="F494" s="121"/>
      <c r="G494" s="206"/>
      <c r="H494" s="115"/>
      <c r="I494" s="185"/>
      <c r="J494" s="175"/>
      <c r="K494" s="197"/>
      <c r="L494" s="194"/>
    </row>
    <row r="495" spans="1:16">
      <c r="A495" s="157"/>
      <c r="B495" s="154"/>
      <c r="C495" s="63"/>
      <c r="D495" s="196"/>
      <c r="E495" s="249"/>
      <c r="F495" s="121"/>
      <c r="G495" s="206"/>
      <c r="H495" s="115"/>
      <c r="I495" s="185"/>
      <c r="J495" s="175"/>
      <c r="K495" s="197"/>
      <c r="L495" s="194"/>
    </row>
    <row r="496" spans="1:16">
      <c r="A496" s="157"/>
      <c r="B496" s="154"/>
      <c r="C496" s="63"/>
      <c r="D496" s="196"/>
      <c r="E496" s="249"/>
      <c r="F496" s="121"/>
      <c r="G496" s="206"/>
      <c r="H496" s="115"/>
      <c r="I496" s="185"/>
      <c r="J496" s="175"/>
      <c r="K496" s="197"/>
      <c r="L496" s="194"/>
    </row>
    <row r="497" spans="1:16">
      <c r="A497" s="157"/>
      <c r="B497" s="154"/>
      <c r="C497" s="63"/>
      <c r="D497" s="196"/>
      <c r="E497" s="249"/>
      <c r="F497" s="121"/>
      <c r="G497" s="206"/>
      <c r="H497" s="115"/>
      <c r="I497" s="185"/>
      <c r="J497" s="175"/>
      <c r="K497" s="197"/>
      <c r="L497" s="194"/>
    </row>
    <row r="498" spans="1:16">
      <c r="A498" s="157"/>
      <c r="B498" s="154"/>
      <c r="C498" s="63"/>
      <c r="D498" s="196"/>
      <c r="E498" s="249"/>
      <c r="F498" s="121"/>
      <c r="G498" s="206"/>
      <c r="H498" s="115"/>
      <c r="I498" s="185"/>
      <c r="J498" s="175"/>
      <c r="K498" s="197"/>
      <c r="L498" s="194"/>
    </row>
    <row r="499" spans="1:16">
      <c r="A499" s="157"/>
      <c r="B499" s="154"/>
      <c r="C499" s="63"/>
      <c r="D499" s="196"/>
      <c r="E499" s="249"/>
      <c r="F499" s="121"/>
      <c r="G499" s="206"/>
      <c r="H499" s="115"/>
      <c r="I499" s="185"/>
      <c r="J499" s="175"/>
      <c r="K499" s="197"/>
      <c r="L499" s="194"/>
    </row>
    <row r="500" spans="1:16">
      <c r="A500" s="157"/>
      <c r="B500" s="154"/>
      <c r="C500" s="63"/>
      <c r="D500" s="196"/>
      <c r="E500" s="142"/>
      <c r="F500" s="61"/>
      <c r="G500" s="206"/>
      <c r="H500" s="74"/>
      <c r="I500" s="183"/>
      <c r="J500" s="175"/>
      <c r="K500" s="197"/>
      <c r="L500" s="194"/>
    </row>
    <row r="501" spans="1:16">
      <c r="A501" s="157"/>
      <c r="B501" s="161"/>
      <c r="C501" s="63"/>
      <c r="D501" s="196"/>
      <c r="E501" s="142"/>
      <c r="F501" s="61"/>
      <c r="G501" s="206"/>
      <c r="H501" s="74"/>
      <c r="I501" s="183"/>
      <c r="J501" s="175"/>
      <c r="K501" s="197"/>
      <c r="L501" s="194"/>
      <c r="M501" s="188">
        <v>8640</v>
      </c>
      <c r="N501" s="188">
        <f t="shared" si="46"/>
        <v>8380.7999999999993</v>
      </c>
      <c r="O501" s="189">
        <v>7.0000000000000007E-2</v>
      </c>
      <c r="P501" s="170">
        <f>(N501*O501)+N501</f>
        <v>8967.4559999999983</v>
      </c>
    </row>
    <row r="502" spans="1:16">
      <c r="A502" s="160"/>
      <c r="B502" s="154"/>
      <c r="C502" s="63"/>
      <c r="D502" s="196"/>
      <c r="E502" s="120"/>
      <c r="F502" s="121"/>
      <c r="G502" s="206"/>
      <c r="H502" s="115"/>
      <c r="I502" s="185"/>
      <c r="J502" s="174"/>
      <c r="K502" s="195"/>
      <c r="L502" s="194"/>
    </row>
    <row r="503" spans="1:16">
      <c r="F503" s="68"/>
    </row>
    <row r="504" spans="1:16">
      <c r="F504" s="68"/>
    </row>
    <row r="505" spans="1:16">
      <c r="A505" s="44" t="s">
        <v>0</v>
      </c>
      <c r="B505" s="127"/>
      <c r="C505" s="104"/>
      <c r="F505" s="68"/>
      <c r="I505" s="179"/>
      <c r="K505" s="163"/>
      <c r="L505" s="168"/>
    </row>
    <row r="506" spans="1:16">
      <c r="A506" s="3480" t="s">
        <v>2512</v>
      </c>
      <c r="B506" s="3480"/>
      <c r="C506" s="44"/>
      <c r="D506" s="109"/>
      <c r="F506" s="68"/>
      <c r="I506" s="179"/>
      <c r="K506" s="163"/>
      <c r="L506" s="168"/>
    </row>
    <row r="507" spans="1:16" ht="35.25" thickBot="1">
      <c r="F507" s="68"/>
    </row>
    <row r="508" spans="1:16">
      <c r="A508" s="3493" t="s">
        <v>2</v>
      </c>
      <c r="B508" s="3482"/>
      <c r="C508" s="48" t="s">
        <v>3</v>
      </c>
      <c r="D508" s="128" t="s">
        <v>4</v>
      </c>
      <c r="E508" s="77" t="s">
        <v>5</v>
      </c>
      <c r="F508" s="78" t="s">
        <v>5</v>
      </c>
      <c r="G508" s="211" t="s">
        <v>6</v>
      </c>
      <c r="H508" s="140" t="s">
        <v>7</v>
      </c>
      <c r="I508" s="180" t="s">
        <v>1511</v>
      </c>
      <c r="J508" s="172" t="s">
        <v>9</v>
      </c>
      <c r="K508" s="186" t="s">
        <v>9</v>
      </c>
      <c r="L508" s="192" t="s">
        <v>2495</v>
      </c>
      <c r="M508" s="190"/>
    </row>
    <row r="509" spans="1:16" ht="35.25" thickBot="1">
      <c r="A509" s="155"/>
      <c r="B509" s="138"/>
      <c r="C509" s="50"/>
      <c r="D509" s="129" t="s">
        <v>10</v>
      </c>
      <c r="E509" s="79" t="s">
        <v>11</v>
      </c>
      <c r="F509" s="80" t="s">
        <v>12</v>
      </c>
      <c r="G509" s="212"/>
      <c r="H509" s="141" t="s">
        <v>13</v>
      </c>
      <c r="I509" s="181" t="s">
        <v>1512</v>
      </c>
      <c r="J509" s="173" t="s">
        <v>15</v>
      </c>
      <c r="K509" s="187" t="s">
        <v>14</v>
      </c>
      <c r="L509" s="193" t="s">
        <v>2496</v>
      </c>
      <c r="M509" s="190"/>
    </row>
    <row r="510" spans="1:16">
      <c r="A510" s="156"/>
      <c r="B510" s="154"/>
      <c r="C510" s="63"/>
      <c r="D510" s="199"/>
      <c r="E510" s="143"/>
      <c r="F510" s="69"/>
      <c r="G510" s="206"/>
      <c r="H510" s="74"/>
      <c r="I510" s="183"/>
      <c r="J510" s="175"/>
      <c r="K510" s="172"/>
      <c r="L510" s="194"/>
      <c r="M510" s="188">
        <v>3552</v>
      </c>
      <c r="N510" s="188">
        <f t="shared" ref="N510:N526" si="47">M510-(M510*0.03)</f>
        <v>3445.44</v>
      </c>
      <c r="O510" s="189">
        <v>7.0000000000000007E-2</v>
      </c>
      <c r="P510" s="170">
        <f t="shared" ref="P510:P526" si="48">(N510*O510)+N510</f>
        <v>3686.6208000000001</v>
      </c>
    </row>
    <row r="511" spans="1:16">
      <c r="A511" s="157"/>
      <c r="B511" s="154"/>
      <c r="C511" s="63"/>
      <c r="D511" s="199"/>
      <c r="E511" s="145"/>
      <c r="F511" s="61"/>
      <c r="G511" s="206"/>
      <c r="H511" s="74"/>
      <c r="I511" s="183"/>
      <c r="J511" s="175"/>
      <c r="K511" s="176"/>
      <c r="L511" s="194"/>
      <c r="N511" s="188">
        <f t="shared" si="47"/>
        <v>0</v>
      </c>
      <c r="O511" s="189">
        <v>7.0000000000000007E-2</v>
      </c>
      <c r="P511" s="170">
        <f t="shared" si="48"/>
        <v>0</v>
      </c>
    </row>
    <row r="512" spans="1:16">
      <c r="A512" s="157"/>
      <c r="B512" s="239"/>
      <c r="C512" s="63"/>
      <c r="D512" s="199"/>
      <c r="E512" s="145"/>
      <c r="F512" s="61"/>
      <c r="G512" s="206"/>
      <c r="H512" s="74"/>
      <c r="I512" s="183"/>
      <c r="J512" s="175"/>
      <c r="K512" s="245"/>
      <c r="L512" s="194"/>
      <c r="M512" s="188">
        <v>9498.06</v>
      </c>
      <c r="N512" s="188">
        <f t="shared" si="47"/>
        <v>9213.118199999999</v>
      </c>
      <c r="O512" s="189">
        <v>7.0000000000000007E-2</v>
      </c>
      <c r="P512" s="170">
        <f t="shared" si="48"/>
        <v>9858.0364739999986</v>
      </c>
    </row>
    <row r="513" spans="1:16">
      <c r="A513" s="157"/>
      <c r="B513" s="239"/>
      <c r="C513" s="63"/>
      <c r="D513" s="199"/>
      <c r="E513" s="145"/>
      <c r="F513" s="61"/>
      <c r="G513" s="206"/>
      <c r="H513" s="74"/>
      <c r="I513" s="183"/>
      <c r="J513" s="175"/>
      <c r="K513" s="197"/>
      <c r="L513" s="194"/>
      <c r="M513" s="188">
        <v>15305.4</v>
      </c>
      <c r="N513" s="188">
        <f t="shared" si="47"/>
        <v>14846.237999999999</v>
      </c>
      <c r="O513" s="189">
        <v>7.0000000000000007E-2</v>
      </c>
      <c r="P513" s="170">
        <f t="shared" si="48"/>
        <v>15885.47466</v>
      </c>
    </row>
    <row r="514" spans="1:16">
      <c r="A514" s="157"/>
      <c r="B514" s="154"/>
      <c r="C514" s="63"/>
      <c r="D514" s="199"/>
      <c r="E514" s="145"/>
      <c r="F514" s="61"/>
      <c r="G514" s="206"/>
      <c r="H514" s="74"/>
      <c r="I514" s="183"/>
      <c r="J514" s="175"/>
      <c r="K514" s="197"/>
      <c r="L514" s="194"/>
      <c r="N514" s="188">
        <f t="shared" si="47"/>
        <v>0</v>
      </c>
      <c r="O514" s="189">
        <v>7.0000000000000007E-2</v>
      </c>
      <c r="P514" s="170">
        <f t="shared" si="48"/>
        <v>0</v>
      </c>
    </row>
    <row r="515" spans="1:16">
      <c r="A515" s="157"/>
      <c r="B515" s="154"/>
      <c r="C515" s="63"/>
      <c r="D515" s="199"/>
      <c r="E515" s="145"/>
      <c r="F515" s="61"/>
      <c r="G515" s="206"/>
      <c r="H515" s="74"/>
      <c r="I515" s="183"/>
      <c r="J515" s="175"/>
      <c r="K515" s="197"/>
      <c r="L515" s="194"/>
      <c r="N515" s="188">
        <f t="shared" si="47"/>
        <v>0</v>
      </c>
      <c r="O515" s="189">
        <v>7.0000000000000007E-2</v>
      </c>
      <c r="P515" s="170">
        <f t="shared" si="48"/>
        <v>0</v>
      </c>
    </row>
    <row r="516" spans="1:16">
      <c r="A516" s="157"/>
      <c r="B516" s="154"/>
      <c r="C516" s="63"/>
      <c r="D516" s="199"/>
      <c r="E516" s="145"/>
      <c r="F516" s="61"/>
      <c r="G516" s="206"/>
      <c r="H516" s="74"/>
      <c r="I516" s="183"/>
      <c r="J516" s="175"/>
      <c r="K516" s="197"/>
      <c r="L516" s="194"/>
      <c r="N516" s="188">
        <f t="shared" si="47"/>
        <v>0</v>
      </c>
      <c r="O516" s="189">
        <v>7.0000000000000007E-2</v>
      </c>
      <c r="P516" s="170">
        <f t="shared" si="48"/>
        <v>0</v>
      </c>
    </row>
    <row r="517" spans="1:16">
      <c r="A517" s="157"/>
      <c r="B517" s="239"/>
      <c r="C517" s="222"/>
      <c r="D517" s="3464"/>
      <c r="E517" s="145"/>
      <c r="F517" s="61"/>
      <c r="G517" s="223"/>
      <c r="H517" s="224"/>
      <c r="I517" s="225"/>
      <c r="J517" s="209"/>
      <c r="K517" s="244"/>
      <c r="M517" s="188">
        <v>14244.12</v>
      </c>
      <c r="N517" s="188">
        <f t="shared" si="47"/>
        <v>13816.796400000001</v>
      </c>
      <c r="O517" s="189">
        <v>7.0000000000000007E-2</v>
      </c>
      <c r="P517" s="170">
        <f t="shared" si="48"/>
        <v>14783.972148000001</v>
      </c>
    </row>
    <row r="518" spans="1:16">
      <c r="A518" s="157"/>
      <c r="B518" s="162"/>
      <c r="C518" s="63"/>
      <c r="D518" s="199"/>
      <c r="E518" s="145"/>
      <c r="F518" s="61"/>
      <c r="G518" s="206"/>
      <c r="H518" s="74"/>
      <c r="I518" s="183"/>
      <c r="J518" s="175"/>
      <c r="K518" s="197"/>
      <c r="L518" s="194"/>
      <c r="M518" s="188">
        <v>3240</v>
      </c>
      <c r="N518" s="188">
        <f t="shared" si="47"/>
        <v>3142.8</v>
      </c>
      <c r="O518" s="189">
        <v>7.0000000000000007E-2</v>
      </c>
      <c r="P518" s="170">
        <f t="shared" si="48"/>
        <v>3362.7960000000003</v>
      </c>
    </row>
    <row r="519" spans="1:16">
      <c r="A519" s="157"/>
      <c r="B519" s="162"/>
      <c r="C519" s="63"/>
      <c r="D519" s="199"/>
      <c r="E519" s="145"/>
      <c r="F519" s="61"/>
      <c r="G519" s="206"/>
      <c r="H519" s="74"/>
      <c r="I519" s="183"/>
      <c r="J519" s="175"/>
      <c r="K519" s="197"/>
      <c r="L519" s="194"/>
      <c r="M519" s="188">
        <v>14700</v>
      </c>
      <c r="N519" s="188">
        <f t="shared" si="47"/>
        <v>14259</v>
      </c>
      <c r="O519" s="189">
        <v>7.0000000000000007E-2</v>
      </c>
      <c r="P519" s="170">
        <f t="shared" si="48"/>
        <v>15257.130000000001</v>
      </c>
    </row>
    <row r="520" spans="1:16">
      <c r="A520" s="157"/>
      <c r="B520" s="162"/>
      <c r="C520" s="222"/>
      <c r="D520" s="3464"/>
      <c r="E520" s="237"/>
      <c r="F520" s="238"/>
      <c r="G520" s="223"/>
      <c r="H520" s="224"/>
      <c r="I520" s="225"/>
      <c r="J520" s="209"/>
      <c r="K520" s="226"/>
      <c r="L520" s="229"/>
      <c r="M520" s="188">
        <v>14582.7</v>
      </c>
      <c r="N520" s="188">
        <f t="shared" si="47"/>
        <v>14145.219000000001</v>
      </c>
      <c r="O520" s="189">
        <v>7.0000000000000007E-2</v>
      </c>
      <c r="P520" s="170">
        <f t="shared" si="48"/>
        <v>15135.384330000001</v>
      </c>
    </row>
    <row r="521" spans="1:16">
      <c r="A521" s="157"/>
      <c r="B521" s="162"/>
      <c r="C521" s="63"/>
      <c r="D521" s="199"/>
      <c r="E521" s="145"/>
      <c r="F521" s="61"/>
      <c r="G521" s="206"/>
      <c r="H521" s="74"/>
      <c r="I521" s="183"/>
      <c r="J521" s="175"/>
      <c r="K521" s="197"/>
      <c r="L521" s="229"/>
      <c r="M521" s="188">
        <v>13483.8</v>
      </c>
      <c r="N521" s="188">
        <f t="shared" si="47"/>
        <v>13079.286</v>
      </c>
      <c r="O521" s="189">
        <v>7.0000000000000007E-2</v>
      </c>
      <c r="P521" s="170">
        <f t="shared" si="48"/>
        <v>13994.836020000001</v>
      </c>
    </row>
    <row r="522" spans="1:16">
      <c r="A522" s="157"/>
      <c r="B522" s="154"/>
      <c r="C522" s="222"/>
      <c r="D522" s="3464"/>
      <c r="E522" s="145"/>
      <c r="F522" s="61"/>
      <c r="G522" s="223"/>
      <c r="H522" s="224"/>
      <c r="I522" s="225"/>
      <c r="J522" s="209"/>
      <c r="K522" s="226"/>
      <c r="L522" s="229"/>
      <c r="M522" s="188">
        <v>2669.52</v>
      </c>
      <c r="N522" s="188">
        <f t="shared" si="47"/>
        <v>2589.4344000000001</v>
      </c>
      <c r="O522" s="189">
        <v>7.0000000000000007E-2</v>
      </c>
      <c r="P522" s="170">
        <f t="shared" si="48"/>
        <v>2770.6948080000002</v>
      </c>
    </row>
    <row r="523" spans="1:16">
      <c r="A523" s="157"/>
      <c r="B523" s="154"/>
      <c r="C523" s="222"/>
      <c r="D523" s="3464"/>
      <c r="E523" s="145"/>
      <c r="F523" s="61"/>
      <c r="G523" s="223"/>
      <c r="H523" s="224"/>
      <c r="I523" s="225"/>
      <c r="J523" s="209"/>
      <c r="K523" s="226"/>
      <c r="L523" s="229"/>
      <c r="N523" s="188">
        <f t="shared" si="47"/>
        <v>0</v>
      </c>
      <c r="O523" s="189">
        <v>7.0000000000000007E-2</v>
      </c>
      <c r="P523" s="170">
        <f t="shared" si="48"/>
        <v>0</v>
      </c>
    </row>
    <row r="524" spans="1:16">
      <c r="A524" s="221"/>
      <c r="B524" s="240"/>
      <c r="C524" s="222"/>
      <c r="D524" s="3464"/>
      <c r="E524" s="145"/>
      <c r="F524" s="61"/>
      <c r="G524" s="223"/>
      <c r="H524" s="224"/>
      <c r="I524" s="225"/>
      <c r="J524" s="209"/>
      <c r="K524" s="226"/>
      <c r="L524" s="229"/>
      <c r="M524" s="188">
        <v>12972.96</v>
      </c>
      <c r="N524" s="188">
        <f t="shared" si="47"/>
        <v>12583.771199999999</v>
      </c>
      <c r="O524" s="189">
        <v>7.0000000000000007E-2</v>
      </c>
      <c r="P524" s="170">
        <f t="shared" si="48"/>
        <v>13464.635183999999</v>
      </c>
    </row>
    <row r="525" spans="1:16">
      <c r="A525" s="157"/>
      <c r="B525" s="154"/>
      <c r="C525" s="63"/>
      <c r="D525" s="199"/>
      <c r="E525" s="145"/>
      <c r="F525" s="61"/>
      <c r="G525" s="206"/>
      <c r="H525" s="74"/>
      <c r="I525" s="183"/>
      <c r="J525" s="209"/>
      <c r="K525" s="197"/>
      <c r="L525" s="229"/>
      <c r="M525" s="188">
        <v>12687.84</v>
      </c>
      <c r="N525" s="188">
        <f t="shared" si="47"/>
        <v>12307.2048</v>
      </c>
      <c r="O525" s="189">
        <v>7.0000000000000007E-2</v>
      </c>
      <c r="P525" s="170">
        <f t="shared" si="48"/>
        <v>13168.709135999999</v>
      </c>
    </row>
    <row r="526" spans="1:16">
      <c r="A526" s="157"/>
      <c r="B526" s="154"/>
      <c r="C526" s="63"/>
      <c r="D526" s="199"/>
      <c r="E526" s="145"/>
      <c r="F526" s="61"/>
      <c r="G526" s="206"/>
      <c r="H526" s="74"/>
      <c r="I526" s="183"/>
      <c r="J526" s="175"/>
      <c r="K526" s="197"/>
      <c r="L526" s="194"/>
      <c r="M526" s="188">
        <v>16572.599999999999</v>
      </c>
      <c r="N526" s="188">
        <f t="shared" si="47"/>
        <v>16075.421999999999</v>
      </c>
      <c r="O526" s="189">
        <v>7.0000000000000007E-2</v>
      </c>
      <c r="P526" s="170">
        <f t="shared" si="48"/>
        <v>17200.701539999998</v>
      </c>
    </row>
    <row r="527" spans="1:16">
      <c r="A527" s="157"/>
      <c r="B527" s="154"/>
      <c r="C527" s="63"/>
      <c r="D527" s="199"/>
      <c r="E527" s="90"/>
      <c r="F527" s="61"/>
      <c r="G527" s="206"/>
      <c r="H527" s="74"/>
      <c r="I527" s="203"/>
      <c r="J527" s="175"/>
      <c r="K527" s="197"/>
      <c r="L527" s="194"/>
      <c r="M527" s="188">
        <v>6021.12</v>
      </c>
      <c r="N527" s="188">
        <f>M527-(M527*0.03)</f>
        <v>5840.4863999999998</v>
      </c>
      <c r="O527" s="189">
        <v>7.0000000000000007E-2</v>
      </c>
      <c r="P527" s="170">
        <f>(N527*O527)+N527</f>
        <v>6249.3204479999995</v>
      </c>
    </row>
    <row r="528" spans="1:16">
      <c r="A528" s="157"/>
      <c r="B528" s="154"/>
      <c r="C528" s="63"/>
      <c r="D528" s="199"/>
      <c r="E528" s="90"/>
      <c r="F528" s="61"/>
      <c r="G528" s="206"/>
      <c r="H528" s="74"/>
      <c r="I528" s="183"/>
      <c r="J528" s="175"/>
      <c r="K528" s="197"/>
      <c r="L528" s="194"/>
      <c r="M528" s="188">
        <v>8714.16</v>
      </c>
      <c r="N528" s="188">
        <f>M528-(M528*0.03)</f>
        <v>8452.7351999999992</v>
      </c>
      <c r="O528" s="189">
        <v>7.0000000000000007E-2</v>
      </c>
      <c r="P528" s="170">
        <f>(N528*O528)+N528</f>
        <v>9044.4266639999987</v>
      </c>
    </row>
    <row r="529" spans="1:16">
      <c r="A529" s="157"/>
      <c r="B529" s="154"/>
      <c r="C529" s="63"/>
      <c r="D529" s="199"/>
      <c r="E529" s="90"/>
      <c r="F529" s="61"/>
      <c r="G529" s="206"/>
      <c r="H529" s="74"/>
      <c r="I529" s="183"/>
      <c r="J529" s="175"/>
      <c r="K529" s="197"/>
      <c r="L529" s="194"/>
      <c r="M529" s="188">
        <v>0</v>
      </c>
      <c r="N529" s="188">
        <f>M529-(M529*0.03)</f>
        <v>0</v>
      </c>
      <c r="O529" s="189">
        <v>7.0000000000000007E-2</v>
      </c>
      <c r="P529" s="170">
        <f t="shared" ref="P529:P535" si="49">(N529*O529)+N529</f>
        <v>0</v>
      </c>
    </row>
    <row r="530" spans="1:16">
      <c r="A530" s="157"/>
      <c r="B530" s="154"/>
      <c r="C530" s="63"/>
      <c r="D530" s="199"/>
      <c r="E530" s="90"/>
      <c r="F530" s="61"/>
      <c r="G530" s="206"/>
      <c r="H530" s="74"/>
      <c r="I530" s="183"/>
      <c r="J530" s="175"/>
      <c r="K530" s="197"/>
      <c r="L530" s="194"/>
      <c r="M530" s="188">
        <v>18537.7</v>
      </c>
      <c r="N530" s="188">
        <f>M530-(M530*0.03)</f>
        <v>17981.569</v>
      </c>
      <c r="O530" s="189">
        <v>7.0000000000000007E-2</v>
      </c>
      <c r="P530" s="170">
        <f t="shared" si="49"/>
        <v>19240.278829999999</v>
      </c>
    </row>
    <row r="531" spans="1:16">
      <c r="A531" s="158"/>
      <c r="B531" s="154"/>
      <c r="C531" s="63"/>
      <c r="D531" s="199"/>
      <c r="E531" s="91"/>
      <c r="F531" s="61"/>
      <c r="G531" s="206"/>
      <c r="H531" s="74"/>
      <c r="I531" s="183"/>
      <c r="J531" s="175"/>
      <c r="K531" s="197"/>
      <c r="L531" s="194"/>
      <c r="M531" s="188">
        <v>9031.68</v>
      </c>
      <c r="N531" s="188">
        <f t="shared" ref="N531:N543" si="50">M531-(M531*0.03)</f>
        <v>8760.7296000000006</v>
      </c>
      <c r="O531" s="189">
        <v>7.0000000000000007E-2</v>
      </c>
      <c r="P531" s="170">
        <f t="shared" si="49"/>
        <v>9373.9806720000015</v>
      </c>
    </row>
    <row r="532" spans="1:16">
      <c r="A532" s="200"/>
      <c r="B532" s="154"/>
      <c r="C532" s="63"/>
      <c r="D532" s="199"/>
      <c r="E532" s="153"/>
      <c r="F532" s="61"/>
      <c r="G532" s="206"/>
      <c r="H532" s="88"/>
      <c r="I532" s="184"/>
      <c r="J532" s="201"/>
      <c r="K532" s="202"/>
      <c r="L532" s="194"/>
      <c r="N532" s="188">
        <f t="shared" si="50"/>
        <v>0</v>
      </c>
      <c r="O532" s="189">
        <v>7.0000000000000007E-2</v>
      </c>
      <c r="P532" s="170">
        <f t="shared" si="49"/>
        <v>0</v>
      </c>
    </row>
    <row r="533" spans="1:16">
      <c r="A533" s="157"/>
      <c r="B533" s="154"/>
      <c r="C533" s="63"/>
      <c r="D533" s="199"/>
      <c r="E533" s="198"/>
      <c r="F533" s="61"/>
      <c r="G533" s="206"/>
      <c r="H533" s="74"/>
      <c r="I533" s="183"/>
      <c r="J533" s="175"/>
      <c r="K533" s="197"/>
      <c r="L533" s="194"/>
      <c r="M533" s="188">
        <v>8478.9599999999991</v>
      </c>
      <c r="N533" s="188">
        <f t="shared" si="50"/>
        <v>8224.5911999999989</v>
      </c>
      <c r="O533" s="189">
        <v>7.0000000000000007E-2</v>
      </c>
      <c r="P533" s="170">
        <f t="shared" si="49"/>
        <v>8800.3125839999993</v>
      </c>
    </row>
    <row r="534" spans="1:16">
      <c r="A534" s="157"/>
      <c r="B534" s="154"/>
      <c r="C534" s="63"/>
      <c r="D534" s="199"/>
      <c r="E534" s="142"/>
      <c r="F534" s="61"/>
      <c r="G534" s="206"/>
      <c r="H534" s="74"/>
      <c r="I534" s="183"/>
      <c r="J534" s="175"/>
      <c r="K534" s="197"/>
      <c r="L534" s="194"/>
      <c r="M534" s="188">
        <v>11122.62</v>
      </c>
      <c r="N534" s="188">
        <f t="shared" si="50"/>
        <v>10788.941400000002</v>
      </c>
      <c r="O534" s="189">
        <v>7.0000000000000007E-2</v>
      </c>
      <c r="P534" s="170">
        <f t="shared" si="49"/>
        <v>11544.167298000002</v>
      </c>
    </row>
    <row r="535" spans="1:16">
      <c r="A535" s="157"/>
      <c r="B535" s="154"/>
      <c r="C535" s="63"/>
      <c r="D535" s="196"/>
      <c r="E535" s="120"/>
      <c r="F535" s="121"/>
      <c r="G535" s="206"/>
      <c r="H535" s="115"/>
      <c r="I535" s="185"/>
      <c r="J535" s="175"/>
      <c r="K535" s="197"/>
      <c r="L535" s="194"/>
      <c r="M535" s="188">
        <v>3813.12</v>
      </c>
      <c r="N535" s="188">
        <f t="shared" si="50"/>
        <v>3698.7264</v>
      </c>
      <c r="O535" s="189">
        <v>7.0000000000000007E-2</v>
      </c>
      <c r="P535" s="170">
        <f t="shared" si="49"/>
        <v>3957.637248</v>
      </c>
    </row>
    <row r="536" spans="1:16">
      <c r="A536" s="157"/>
      <c r="B536" s="154"/>
      <c r="C536" s="63"/>
      <c r="D536" s="196"/>
      <c r="E536" s="249"/>
      <c r="F536" s="121"/>
      <c r="G536" s="206"/>
      <c r="H536" s="115"/>
      <c r="I536" s="185"/>
      <c r="J536" s="175"/>
      <c r="K536" s="197"/>
      <c r="L536" s="194"/>
    </row>
    <row r="537" spans="1:16">
      <c r="A537" s="157"/>
      <c r="B537" s="154"/>
      <c r="C537" s="63"/>
      <c r="D537" s="196"/>
      <c r="E537" s="249"/>
      <c r="F537" s="121"/>
      <c r="G537" s="206"/>
      <c r="H537" s="115"/>
      <c r="I537" s="185"/>
      <c r="J537" s="175"/>
      <c r="K537" s="197"/>
      <c r="L537" s="194"/>
    </row>
    <row r="538" spans="1:16">
      <c r="A538" s="157"/>
      <c r="B538" s="154"/>
      <c r="C538" s="63"/>
      <c r="D538" s="196"/>
      <c r="E538" s="249"/>
      <c r="F538" s="121"/>
      <c r="G538" s="206"/>
      <c r="H538" s="115"/>
      <c r="I538" s="185"/>
      <c r="J538" s="175"/>
      <c r="K538" s="197"/>
      <c r="L538" s="194"/>
    </row>
    <row r="539" spans="1:16">
      <c r="A539" s="157"/>
      <c r="B539" s="154"/>
      <c r="C539" s="63"/>
      <c r="D539" s="196"/>
      <c r="E539" s="249"/>
      <c r="F539" s="121"/>
      <c r="G539" s="206"/>
      <c r="H539" s="115"/>
      <c r="I539" s="185"/>
      <c r="J539" s="175"/>
      <c r="K539" s="197"/>
      <c r="L539" s="194"/>
    </row>
    <row r="540" spans="1:16">
      <c r="A540" s="157"/>
      <c r="B540" s="154"/>
      <c r="C540" s="63"/>
      <c r="D540" s="196"/>
      <c r="E540" s="249"/>
      <c r="F540" s="121"/>
      <c r="G540" s="206"/>
      <c r="H540" s="115"/>
      <c r="I540" s="185"/>
      <c r="J540" s="175"/>
      <c r="K540" s="197"/>
      <c r="L540" s="194"/>
    </row>
    <row r="541" spans="1:16">
      <c r="A541" s="157"/>
      <c r="B541" s="154"/>
      <c r="C541" s="63"/>
      <c r="D541" s="196"/>
      <c r="E541" s="249"/>
      <c r="F541" s="121"/>
      <c r="G541" s="206"/>
      <c r="H541" s="115"/>
      <c r="I541" s="185"/>
      <c r="J541" s="175"/>
      <c r="K541" s="197"/>
      <c r="L541" s="194"/>
    </row>
    <row r="542" spans="1:16">
      <c r="A542" s="157"/>
      <c r="B542" s="154"/>
      <c r="C542" s="63"/>
      <c r="D542" s="196"/>
      <c r="E542" s="142"/>
      <c r="F542" s="61"/>
      <c r="G542" s="206"/>
      <c r="H542" s="74"/>
      <c r="I542" s="183"/>
      <c r="J542" s="175"/>
      <c r="K542" s="197"/>
      <c r="L542" s="194"/>
    </row>
    <row r="543" spans="1:16">
      <c r="A543" s="157"/>
      <c r="B543" s="161"/>
      <c r="C543" s="63"/>
      <c r="D543" s="196"/>
      <c r="E543" s="142"/>
      <c r="F543" s="61"/>
      <c r="G543" s="206"/>
      <c r="H543" s="74"/>
      <c r="I543" s="183"/>
      <c r="J543" s="175"/>
      <c r="K543" s="197"/>
      <c r="L543" s="194"/>
      <c r="M543" s="188">
        <v>8640</v>
      </c>
      <c r="N543" s="188">
        <f t="shared" si="50"/>
        <v>8380.7999999999993</v>
      </c>
      <c r="O543" s="189">
        <v>7.0000000000000007E-2</v>
      </c>
      <c r="P543" s="170">
        <f>(N543*O543)+N543</f>
        <v>8967.4559999999983</v>
      </c>
    </row>
    <row r="544" spans="1:16">
      <c r="A544" s="160"/>
      <c r="B544" s="154"/>
      <c r="C544" s="63"/>
      <c r="D544" s="196"/>
      <c r="E544" s="120"/>
      <c r="F544" s="121"/>
      <c r="G544" s="206"/>
      <c r="H544" s="115"/>
      <c r="I544" s="185"/>
      <c r="J544" s="174"/>
      <c r="K544" s="195"/>
      <c r="L544" s="194"/>
    </row>
    <row r="545" spans="1:16">
      <c r="F545" s="68"/>
    </row>
    <row r="546" spans="1:16">
      <c r="F546" s="68"/>
    </row>
    <row r="547" spans="1:16">
      <c r="A547" s="44" t="s">
        <v>0</v>
      </c>
      <c r="B547" s="127"/>
      <c r="C547" s="104"/>
      <c r="F547" s="68"/>
      <c r="I547" s="179"/>
      <c r="K547" s="163"/>
      <c r="L547" s="168"/>
    </row>
    <row r="548" spans="1:16">
      <c r="A548" s="3480" t="s">
        <v>2512</v>
      </c>
      <c r="B548" s="3480"/>
      <c r="C548" s="44"/>
      <c r="D548" s="109"/>
      <c r="F548" s="68"/>
      <c r="I548" s="179"/>
      <c r="K548" s="163"/>
      <c r="L548" s="168"/>
    </row>
    <row r="549" spans="1:16" ht="35.25" thickBot="1">
      <c r="F549" s="68"/>
    </row>
    <row r="550" spans="1:16">
      <c r="A550" s="3493" t="s">
        <v>2</v>
      </c>
      <c r="B550" s="3482"/>
      <c r="C550" s="48" t="s">
        <v>3</v>
      </c>
      <c r="D550" s="128" t="s">
        <v>4</v>
      </c>
      <c r="E550" s="77" t="s">
        <v>5</v>
      </c>
      <c r="F550" s="78" t="s">
        <v>5</v>
      </c>
      <c r="G550" s="211" t="s">
        <v>6</v>
      </c>
      <c r="H550" s="140" t="s">
        <v>7</v>
      </c>
      <c r="I550" s="180" t="s">
        <v>1511</v>
      </c>
      <c r="J550" s="172" t="s">
        <v>9</v>
      </c>
      <c r="K550" s="186" t="s">
        <v>9</v>
      </c>
      <c r="L550" s="192" t="s">
        <v>2495</v>
      </c>
      <c r="M550" s="190"/>
    </row>
    <row r="551" spans="1:16" ht="35.25" thickBot="1">
      <c r="A551" s="155"/>
      <c r="B551" s="138"/>
      <c r="C551" s="50"/>
      <c r="D551" s="129" t="s">
        <v>10</v>
      </c>
      <c r="E551" s="79" t="s">
        <v>11</v>
      </c>
      <c r="F551" s="80" t="s">
        <v>12</v>
      </c>
      <c r="G551" s="212"/>
      <c r="H551" s="141" t="s">
        <v>13</v>
      </c>
      <c r="I551" s="181" t="s">
        <v>1512</v>
      </c>
      <c r="J551" s="173" t="s">
        <v>15</v>
      </c>
      <c r="K551" s="187" t="s">
        <v>14</v>
      </c>
      <c r="L551" s="193" t="s">
        <v>2496</v>
      </c>
      <c r="M551" s="190"/>
    </row>
    <row r="552" spans="1:16">
      <c r="A552" s="156"/>
      <c r="B552" s="154"/>
      <c r="C552" s="63"/>
      <c r="D552" s="199"/>
      <c r="E552" s="143"/>
      <c r="F552" s="69"/>
      <c r="G552" s="206"/>
      <c r="H552" s="74"/>
      <c r="I552" s="183"/>
      <c r="J552" s="175"/>
      <c r="K552" s="172"/>
      <c r="L552" s="194"/>
      <c r="M552" s="188">
        <v>3552</v>
      </c>
      <c r="N552" s="188">
        <f t="shared" ref="N552:N568" si="51">M552-(M552*0.03)</f>
        <v>3445.44</v>
      </c>
      <c r="O552" s="189">
        <v>7.0000000000000007E-2</v>
      </c>
      <c r="P552" s="170">
        <f t="shared" ref="P552:P568" si="52">(N552*O552)+N552</f>
        <v>3686.6208000000001</v>
      </c>
    </row>
    <row r="553" spans="1:16">
      <c r="A553" s="157"/>
      <c r="B553" s="154"/>
      <c r="C553" s="63"/>
      <c r="D553" s="199"/>
      <c r="E553" s="145"/>
      <c r="F553" s="61"/>
      <c r="G553" s="206"/>
      <c r="H553" s="74"/>
      <c r="I553" s="183"/>
      <c r="J553" s="175"/>
      <c r="K553" s="176"/>
      <c r="L553" s="194"/>
      <c r="N553" s="188">
        <f t="shared" si="51"/>
        <v>0</v>
      </c>
      <c r="O553" s="189">
        <v>7.0000000000000007E-2</v>
      </c>
      <c r="P553" s="170">
        <f t="shared" si="52"/>
        <v>0</v>
      </c>
    </row>
    <row r="554" spans="1:16">
      <c r="A554" s="157"/>
      <c r="B554" s="239"/>
      <c r="C554" s="63"/>
      <c r="D554" s="199"/>
      <c r="E554" s="145"/>
      <c r="F554" s="61"/>
      <c r="G554" s="206"/>
      <c r="H554" s="74"/>
      <c r="I554" s="183"/>
      <c r="J554" s="175"/>
      <c r="K554" s="245"/>
      <c r="L554" s="194"/>
      <c r="M554" s="188">
        <v>9498.06</v>
      </c>
      <c r="N554" s="188">
        <f t="shared" si="51"/>
        <v>9213.118199999999</v>
      </c>
      <c r="O554" s="189">
        <v>7.0000000000000007E-2</v>
      </c>
      <c r="P554" s="170">
        <f t="shared" si="52"/>
        <v>9858.0364739999986</v>
      </c>
    </row>
    <row r="555" spans="1:16">
      <c r="A555" s="157"/>
      <c r="B555" s="239"/>
      <c r="C555" s="63"/>
      <c r="D555" s="199"/>
      <c r="E555" s="145"/>
      <c r="F555" s="61"/>
      <c r="G555" s="206"/>
      <c r="H555" s="74"/>
      <c r="I555" s="183"/>
      <c r="J555" s="175"/>
      <c r="K555" s="197"/>
      <c r="L555" s="194"/>
      <c r="M555" s="188">
        <v>15305.4</v>
      </c>
      <c r="N555" s="188">
        <f t="shared" si="51"/>
        <v>14846.237999999999</v>
      </c>
      <c r="O555" s="189">
        <v>7.0000000000000007E-2</v>
      </c>
      <c r="P555" s="170">
        <f t="shared" si="52"/>
        <v>15885.47466</v>
      </c>
    </row>
    <row r="556" spans="1:16">
      <c r="A556" s="157"/>
      <c r="B556" s="154"/>
      <c r="C556" s="63"/>
      <c r="D556" s="199"/>
      <c r="E556" s="145"/>
      <c r="F556" s="61"/>
      <c r="G556" s="206"/>
      <c r="H556" s="74"/>
      <c r="I556" s="183"/>
      <c r="J556" s="175"/>
      <c r="K556" s="197"/>
      <c r="L556" s="194"/>
      <c r="N556" s="188">
        <f t="shared" si="51"/>
        <v>0</v>
      </c>
      <c r="O556" s="189">
        <v>7.0000000000000007E-2</v>
      </c>
      <c r="P556" s="170">
        <f t="shared" si="52"/>
        <v>0</v>
      </c>
    </row>
    <row r="557" spans="1:16">
      <c r="A557" s="157"/>
      <c r="B557" s="154"/>
      <c r="C557" s="63"/>
      <c r="D557" s="199"/>
      <c r="E557" s="145"/>
      <c r="F557" s="61"/>
      <c r="G557" s="206"/>
      <c r="H557" s="74"/>
      <c r="I557" s="183"/>
      <c r="J557" s="175"/>
      <c r="K557" s="197"/>
      <c r="L557" s="194"/>
      <c r="N557" s="188">
        <f t="shared" si="51"/>
        <v>0</v>
      </c>
      <c r="O557" s="189">
        <v>7.0000000000000007E-2</v>
      </c>
      <c r="P557" s="170">
        <f t="shared" si="52"/>
        <v>0</v>
      </c>
    </row>
    <row r="558" spans="1:16">
      <c r="A558" s="157"/>
      <c r="B558" s="154"/>
      <c r="C558" s="63"/>
      <c r="D558" s="199"/>
      <c r="E558" s="145"/>
      <c r="F558" s="61"/>
      <c r="G558" s="206"/>
      <c r="H558" s="74"/>
      <c r="I558" s="183"/>
      <c r="J558" s="175"/>
      <c r="K558" s="197"/>
      <c r="L558" s="194"/>
      <c r="N558" s="188">
        <f t="shared" si="51"/>
        <v>0</v>
      </c>
      <c r="O558" s="189">
        <v>7.0000000000000007E-2</v>
      </c>
      <c r="P558" s="170">
        <f t="shared" si="52"/>
        <v>0</v>
      </c>
    </row>
    <row r="559" spans="1:16">
      <c r="A559" s="157"/>
      <c r="B559" s="239"/>
      <c r="C559" s="222"/>
      <c r="D559" s="3464"/>
      <c r="E559" s="145"/>
      <c r="F559" s="61"/>
      <c r="G559" s="223"/>
      <c r="H559" s="224"/>
      <c r="I559" s="225"/>
      <c r="J559" s="209"/>
      <c r="K559" s="244"/>
      <c r="M559" s="188">
        <v>14244.12</v>
      </c>
      <c r="N559" s="188">
        <f t="shared" si="51"/>
        <v>13816.796400000001</v>
      </c>
      <c r="O559" s="189">
        <v>7.0000000000000007E-2</v>
      </c>
      <c r="P559" s="170">
        <f t="shared" si="52"/>
        <v>14783.972148000001</v>
      </c>
    </row>
    <row r="560" spans="1:16">
      <c r="A560" s="157"/>
      <c r="B560" s="162"/>
      <c r="C560" s="63"/>
      <c r="D560" s="199"/>
      <c r="E560" s="145"/>
      <c r="F560" s="61"/>
      <c r="G560" s="206"/>
      <c r="H560" s="74"/>
      <c r="I560" s="183"/>
      <c r="J560" s="175"/>
      <c r="K560" s="197"/>
      <c r="L560" s="194"/>
      <c r="M560" s="188">
        <v>3240</v>
      </c>
      <c r="N560" s="188">
        <f t="shared" si="51"/>
        <v>3142.8</v>
      </c>
      <c r="O560" s="189">
        <v>7.0000000000000007E-2</v>
      </c>
      <c r="P560" s="170">
        <f t="shared" si="52"/>
        <v>3362.7960000000003</v>
      </c>
    </row>
    <row r="561" spans="1:16">
      <c r="A561" s="157"/>
      <c r="B561" s="162"/>
      <c r="C561" s="63"/>
      <c r="D561" s="199"/>
      <c r="E561" s="145"/>
      <c r="F561" s="61"/>
      <c r="G561" s="206"/>
      <c r="H561" s="74"/>
      <c r="I561" s="183"/>
      <c r="J561" s="175"/>
      <c r="K561" s="197"/>
      <c r="L561" s="194"/>
      <c r="M561" s="188">
        <v>14700</v>
      </c>
      <c r="N561" s="188">
        <f t="shared" si="51"/>
        <v>14259</v>
      </c>
      <c r="O561" s="189">
        <v>7.0000000000000007E-2</v>
      </c>
      <c r="P561" s="170">
        <f t="shared" si="52"/>
        <v>15257.130000000001</v>
      </c>
    </row>
    <row r="562" spans="1:16">
      <c r="A562" s="157"/>
      <c r="B562" s="162"/>
      <c r="C562" s="222"/>
      <c r="D562" s="3464"/>
      <c r="E562" s="237"/>
      <c r="F562" s="238"/>
      <c r="G562" s="223"/>
      <c r="H562" s="224"/>
      <c r="I562" s="225"/>
      <c r="J562" s="209"/>
      <c r="K562" s="226"/>
      <c r="L562" s="229"/>
      <c r="M562" s="188">
        <v>14582.7</v>
      </c>
      <c r="N562" s="188">
        <f t="shared" si="51"/>
        <v>14145.219000000001</v>
      </c>
      <c r="O562" s="189">
        <v>7.0000000000000007E-2</v>
      </c>
      <c r="P562" s="170">
        <f t="shared" si="52"/>
        <v>15135.384330000001</v>
      </c>
    </row>
    <row r="563" spans="1:16">
      <c r="A563" s="157"/>
      <c r="B563" s="162"/>
      <c r="C563" s="63"/>
      <c r="D563" s="199"/>
      <c r="E563" s="145"/>
      <c r="F563" s="61"/>
      <c r="G563" s="206"/>
      <c r="H563" s="74"/>
      <c r="I563" s="183"/>
      <c r="J563" s="175"/>
      <c r="K563" s="197"/>
      <c r="L563" s="229"/>
      <c r="M563" s="188">
        <v>13483.8</v>
      </c>
      <c r="N563" s="188">
        <f t="shared" si="51"/>
        <v>13079.286</v>
      </c>
      <c r="O563" s="189">
        <v>7.0000000000000007E-2</v>
      </c>
      <c r="P563" s="170">
        <f t="shared" si="52"/>
        <v>13994.836020000001</v>
      </c>
    </row>
    <row r="564" spans="1:16">
      <c r="A564" s="157"/>
      <c r="B564" s="154"/>
      <c r="C564" s="222"/>
      <c r="D564" s="3464"/>
      <c r="E564" s="145"/>
      <c r="F564" s="61"/>
      <c r="G564" s="223"/>
      <c r="H564" s="224"/>
      <c r="I564" s="225"/>
      <c r="J564" s="209"/>
      <c r="K564" s="226"/>
      <c r="L564" s="229"/>
      <c r="M564" s="188">
        <v>2669.52</v>
      </c>
      <c r="N564" s="188">
        <f t="shared" si="51"/>
        <v>2589.4344000000001</v>
      </c>
      <c r="O564" s="189">
        <v>7.0000000000000007E-2</v>
      </c>
      <c r="P564" s="170">
        <f t="shared" si="52"/>
        <v>2770.6948080000002</v>
      </c>
    </row>
    <row r="565" spans="1:16">
      <c r="A565" s="157"/>
      <c r="B565" s="154"/>
      <c r="C565" s="222"/>
      <c r="D565" s="3464"/>
      <c r="E565" s="145"/>
      <c r="F565" s="61"/>
      <c r="G565" s="223"/>
      <c r="H565" s="224"/>
      <c r="I565" s="225"/>
      <c r="J565" s="209"/>
      <c r="K565" s="226"/>
      <c r="L565" s="229"/>
      <c r="N565" s="188">
        <f t="shared" si="51"/>
        <v>0</v>
      </c>
      <c r="O565" s="189">
        <v>7.0000000000000007E-2</v>
      </c>
      <c r="P565" s="170">
        <f t="shared" si="52"/>
        <v>0</v>
      </c>
    </row>
    <row r="566" spans="1:16">
      <c r="A566" s="221"/>
      <c r="B566" s="240"/>
      <c r="C566" s="222"/>
      <c r="D566" s="3464"/>
      <c r="E566" s="145"/>
      <c r="F566" s="61"/>
      <c r="G566" s="223"/>
      <c r="H566" s="224"/>
      <c r="I566" s="225"/>
      <c r="J566" s="209"/>
      <c r="K566" s="226"/>
      <c r="L566" s="229"/>
      <c r="M566" s="188">
        <v>12972.96</v>
      </c>
      <c r="N566" s="188">
        <f t="shared" si="51"/>
        <v>12583.771199999999</v>
      </c>
      <c r="O566" s="189">
        <v>7.0000000000000007E-2</v>
      </c>
      <c r="P566" s="170">
        <f t="shared" si="52"/>
        <v>13464.635183999999</v>
      </c>
    </row>
    <row r="567" spans="1:16">
      <c r="A567" s="157"/>
      <c r="B567" s="154"/>
      <c r="C567" s="63"/>
      <c r="D567" s="199"/>
      <c r="E567" s="145"/>
      <c r="F567" s="61"/>
      <c r="G567" s="206"/>
      <c r="H567" s="74"/>
      <c r="I567" s="183"/>
      <c r="J567" s="209"/>
      <c r="K567" s="197"/>
      <c r="L567" s="229"/>
      <c r="M567" s="188">
        <v>12687.84</v>
      </c>
      <c r="N567" s="188">
        <f t="shared" si="51"/>
        <v>12307.2048</v>
      </c>
      <c r="O567" s="189">
        <v>7.0000000000000007E-2</v>
      </c>
      <c r="P567" s="170">
        <f t="shared" si="52"/>
        <v>13168.709135999999</v>
      </c>
    </row>
    <row r="568" spans="1:16">
      <c r="A568" s="157"/>
      <c r="B568" s="154"/>
      <c r="C568" s="63"/>
      <c r="D568" s="199"/>
      <c r="E568" s="145"/>
      <c r="F568" s="61"/>
      <c r="G568" s="206"/>
      <c r="H568" s="74"/>
      <c r="I568" s="183"/>
      <c r="J568" s="175"/>
      <c r="K568" s="197"/>
      <c r="L568" s="194"/>
      <c r="M568" s="188">
        <v>16572.599999999999</v>
      </c>
      <c r="N568" s="188">
        <f t="shared" si="51"/>
        <v>16075.421999999999</v>
      </c>
      <c r="O568" s="189">
        <v>7.0000000000000007E-2</v>
      </c>
      <c r="P568" s="170">
        <f t="shared" si="52"/>
        <v>17200.701539999998</v>
      </c>
    </row>
    <row r="569" spans="1:16">
      <c r="A569" s="157"/>
      <c r="B569" s="154"/>
      <c r="C569" s="63"/>
      <c r="D569" s="199"/>
      <c r="E569" s="90"/>
      <c r="F569" s="61"/>
      <c r="G569" s="206"/>
      <c r="H569" s="74"/>
      <c r="I569" s="203"/>
      <c r="J569" s="175"/>
      <c r="K569" s="197"/>
      <c r="L569" s="194"/>
      <c r="M569" s="188">
        <v>6021.12</v>
      </c>
      <c r="N569" s="188">
        <f>M569-(M569*0.03)</f>
        <v>5840.4863999999998</v>
      </c>
      <c r="O569" s="189">
        <v>7.0000000000000007E-2</v>
      </c>
      <c r="P569" s="170">
        <f>(N569*O569)+N569</f>
        <v>6249.3204479999995</v>
      </c>
    </row>
    <row r="570" spans="1:16">
      <c r="A570" s="157"/>
      <c r="B570" s="154"/>
      <c r="C570" s="63"/>
      <c r="D570" s="199"/>
      <c r="E570" s="90"/>
      <c r="F570" s="61"/>
      <c r="G570" s="206"/>
      <c r="H570" s="74"/>
      <c r="I570" s="183"/>
      <c r="J570" s="175"/>
      <c r="K570" s="197"/>
      <c r="L570" s="194"/>
      <c r="M570" s="188">
        <v>8714.16</v>
      </c>
      <c r="N570" s="188">
        <f>M570-(M570*0.03)</f>
        <v>8452.7351999999992</v>
      </c>
      <c r="O570" s="189">
        <v>7.0000000000000007E-2</v>
      </c>
      <c r="P570" s="170">
        <f>(N570*O570)+N570</f>
        <v>9044.4266639999987</v>
      </c>
    </row>
    <row r="571" spans="1:16">
      <c r="A571" s="157"/>
      <c r="B571" s="154"/>
      <c r="C571" s="63"/>
      <c r="D571" s="199"/>
      <c r="E571" s="90"/>
      <c r="F571" s="61"/>
      <c r="G571" s="206"/>
      <c r="H571" s="74"/>
      <c r="I571" s="183"/>
      <c r="J571" s="175"/>
      <c r="K571" s="197"/>
      <c r="L571" s="194"/>
      <c r="M571" s="188">
        <v>0</v>
      </c>
      <c r="N571" s="188">
        <f>M571-(M571*0.03)</f>
        <v>0</v>
      </c>
      <c r="O571" s="189">
        <v>7.0000000000000007E-2</v>
      </c>
      <c r="P571" s="170">
        <f t="shared" ref="P571:P577" si="53">(N571*O571)+N571</f>
        <v>0</v>
      </c>
    </row>
    <row r="572" spans="1:16">
      <c r="A572" s="157"/>
      <c r="B572" s="154"/>
      <c r="C572" s="63"/>
      <c r="D572" s="199"/>
      <c r="E572" s="90"/>
      <c r="F572" s="61"/>
      <c r="G572" s="206"/>
      <c r="H572" s="74"/>
      <c r="I572" s="183"/>
      <c r="J572" s="175"/>
      <c r="K572" s="197"/>
      <c r="L572" s="194"/>
      <c r="M572" s="188">
        <v>18537.7</v>
      </c>
      <c r="N572" s="188">
        <f>M572-(M572*0.03)</f>
        <v>17981.569</v>
      </c>
      <c r="O572" s="189">
        <v>7.0000000000000007E-2</v>
      </c>
      <c r="P572" s="170">
        <f t="shared" si="53"/>
        <v>19240.278829999999</v>
      </c>
    </row>
    <row r="573" spans="1:16">
      <c r="A573" s="158"/>
      <c r="B573" s="154"/>
      <c r="C573" s="63"/>
      <c r="D573" s="199"/>
      <c r="E573" s="91"/>
      <c r="F573" s="61"/>
      <c r="G573" s="206"/>
      <c r="H573" s="74"/>
      <c r="I573" s="183"/>
      <c r="J573" s="175"/>
      <c r="K573" s="197"/>
      <c r="L573" s="194"/>
      <c r="M573" s="188">
        <v>9031.68</v>
      </c>
      <c r="N573" s="188">
        <f t="shared" ref="N573:N583" si="54">M573-(M573*0.03)</f>
        <v>8760.7296000000006</v>
      </c>
      <c r="O573" s="189">
        <v>7.0000000000000007E-2</v>
      </c>
      <c r="P573" s="170">
        <f t="shared" si="53"/>
        <v>9373.9806720000015</v>
      </c>
    </row>
    <row r="574" spans="1:16">
      <c r="A574" s="200"/>
      <c r="B574" s="154"/>
      <c r="C574" s="63"/>
      <c r="D574" s="199"/>
      <c r="E574" s="153"/>
      <c r="F574" s="61"/>
      <c r="G574" s="206"/>
      <c r="H574" s="88"/>
      <c r="I574" s="184"/>
      <c r="J574" s="201"/>
      <c r="K574" s="202"/>
      <c r="L574" s="194"/>
      <c r="N574" s="188">
        <f t="shared" si="54"/>
        <v>0</v>
      </c>
      <c r="O574" s="189">
        <v>7.0000000000000007E-2</v>
      </c>
      <c r="P574" s="170">
        <f t="shared" si="53"/>
        <v>0</v>
      </c>
    </row>
    <row r="575" spans="1:16">
      <c r="A575" s="157"/>
      <c r="B575" s="154"/>
      <c r="C575" s="63"/>
      <c r="D575" s="199"/>
      <c r="E575" s="198"/>
      <c r="F575" s="61"/>
      <c r="G575" s="206"/>
      <c r="H575" s="74"/>
      <c r="I575" s="183"/>
      <c r="J575" s="175"/>
      <c r="K575" s="197"/>
      <c r="L575" s="194"/>
      <c r="M575" s="188">
        <v>8478.9599999999991</v>
      </c>
      <c r="N575" s="188">
        <f t="shared" si="54"/>
        <v>8224.5911999999989</v>
      </c>
      <c r="O575" s="189">
        <v>7.0000000000000007E-2</v>
      </c>
      <c r="P575" s="170">
        <f t="shared" si="53"/>
        <v>8800.3125839999993</v>
      </c>
    </row>
    <row r="576" spans="1:16">
      <c r="A576" s="157"/>
      <c r="B576" s="154"/>
      <c r="C576" s="63"/>
      <c r="D576" s="199"/>
      <c r="E576" s="142"/>
      <c r="F576" s="61"/>
      <c r="G576" s="206"/>
      <c r="H576" s="74"/>
      <c r="I576" s="183"/>
      <c r="J576" s="175"/>
      <c r="K576" s="197"/>
      <c r="L576" s="194"/>
      <c r="M576" s="188">
        <v>11122.62</v>
      </c>
      <c r="N576" s="188">
        <f t="shared" si="54"/>
        <v>10788.941400000002</v>
      </c>
      <c r="O576" s="189">
        <v>7.0000000000000007E-2</v>
      </c>
      <c r="P576" s="170">
        <f t="shared" si="53"/>
        <v>11544.167298000002</v>
      </c>
    </row>
    <row r="577" spans="1:16">
      <c r="A577" s="157"/>
      <c r="B577" s="154"/>
      <c r="C577" s="63"/>
      <c r="D577" s="196"/>
      <c r="E577" s="120"/>
      <c r="F577" s="121"/>
      <c r="G577" s="206"/>
      <c r="H577" s="115"/>
      <c r="I577" s="185"/>
      <c r="J577" s="175"/>
      <c r="K577" s="197"/>
      <c r="L577" s="194"/>
      <c r="M577" s="188">
        <v>3813.12</v>
      </c>
      <c r="N577" s="188">
        <f t="shared" si="54"/>
        <v>3698.7264</v>
      </c>
      <c r="O577" s="189">
        <v>7.0000000000000007E-2</v>
      </c>
      <c r="P577" s="170">
        <f t="shared" si="53"/>
        <v>3957.637248</v>
      </c>
    </row>
    <row r="578" spans="1:16">
      <c r="A578" s="157"/>
      <c r="B578" s="154"/>
      <c r="C578" s="63"/>
      <c r="D578" s="196"/>
      <c r="E578" s="249"/>
      <c r="F578" s="121"/>
      <c r="G578" s="206"/>
      <c r="H578" s="115"/>
      <c r="I578" s="185"/>
      <c r="J578" s="175"/>
      <c r="K578" s="197"/>
      <c r="L578" s="194"/>
    </row>
    <row r="579" spans="1:16">
      <c r="A579" s="157"/>
      <c r="B579" s="154"/>
      <c r="C579" s="63"/>
      <c r="D579" s="196"/>
      <c r="E579" s="249"/>
      <c r="F579" s="121"/>
      <c r="G579" s="206"/>
      <c r="H579" s="115"/>
      <c r="I579" s="185"/>
      <c r="J579" s="175"/>
      <c r="K579" s="197"/>
      <c r="L579" s="194"/>
    </row>
    <row r="580" spans="1:16">
      <c r="A580" s="157"/>
      <c r="B580" s="154"/>
      <c r="C580" s="63"/>
      <c r="D580" s="196"/>
      <c r="E580" s="249"/>
      <c r="F580" s="121"/>
      <c r="G580" s="206"/>
      <c r="H580" s="115"/>
      <c r="I580" s="185"/>
      <c r="J580" s="175"/>
      <c r="K580" s="197"/>
      <c r="L580" s="194"/>
    </row>
    <row r="581" spans="1:16">
      <c r="A581" s="157"/>
      <c r="B581" s="154"/>
      <c r="C581" s="63"/>
      <c r="D581" s="196"/>
      <c r="E581" s="142"/>
      <c r="F581" s="61"/>
      <c r="G581" s="206"/>
      <c r="H581" s="74"/>
      <c r="I581" s="183"/>
      <c r="J581" s="175"/>
      <c r="K581" s="197"/>
      <c r="L581" s="194"/>
    </row>
    <row r="582" spans="1:16">
      <c r="A582" s="157"/>
      <c r="B582" s="154"/>
      <c r="C582" s="63"/>
      <c r="D582" s="196"/>
      <c r="E582" s="142"/>
      <c r="F582" s="61"/>
      <c r="G582" s="206"/>
      <c r="H582" s="74"/>
      <c r="I582" s="183"/>
      <c r="J582" s="175"/>
      <c r="K582" s="197"/>
      <c r="L582" s="194"/>
    </row>
    <row r="583" spans="1:16">
      <c r="A583" s="157"/>
      <c r="B583" s="161"/>
      <c r="C583" s="63"/>
      <c r="D583" s="196"/>
      <c r="E583" s="142"/>
      <c r="F583" s="61"/>
      <c r="G583" s="206"/>
      <c r="H583" s="74"/>
      <c r="I583" s="183"/>
      <c r="J583" s="175"/>
      <c r="K583" s="197"/>
      <c r="L583" s="194"/>
      <c r="M583" s="188">
        <v>8640</v>
      </c>
      <c r="N583" s="188">
        <f t="shared" si="54"/>
        <v>8380.7999999999993</v>
      </c>
      <c r="O583" s="189">
        <v>7.0000000000000007E-2</v>
      </c>
      <c r="P583" s="170">
        <f>(N583*O583)+N583</f>
        <v>8967.4559999999983</v>
      </c>
    </row>
    <row r="584" spans="1:16">
      <c r="A584" s="157"/>
      <c r="B584" s="161"/>
      <c r="C584" s="63"/>
      <c r="D584" s="196"/>
      <c r="E584" s="142"/>
      <c r="F584" s="61"/>
      <c r="G584" s="206"/>
      <c r="H584" s="74"/>
      <c r="I584" s="183"/>
      <c r="J584" s="175"/>
      <c r="K584" s="197"/>
      <c r="L584" s="194"/>
    </row>
    <row r="585" spans="1:16">
      <c r="A585" s="157"/>
      <c r="B585" s="161"/>
      <c r="C585" s="63"/>
      <c r="D585" s="196"/>
      <c r="E585" s="142"/>
      <c r="F585" s="61"/>
      <c r="G585" s="206"/>
      <c r="H585" s="74"/>
      <c r="I585" s="183"/>
      <c r="J585" s="175"/>
      <c r="K585" s="197"/>
      <c r="L585" s="194"/>
    </row>
    <row r="586" spans="1:16">
      <c r="A586" s="160"/>
      <c r="B586" s="154"/>
      <c r="C586" s="63"/>
      <c r="D586" s="196"/>
      <c r="E586" s="120"/>
      <c r="F586" s="121"/>
      <c r="G586" s="206"/>
      <c r="H586" s="115"/>
      <c r="I586" s="185"/>
      <c r="J586" s="174"/>
      <c r="K586" s="195"/>
      <c r="L586" s="194"/>
    </row>
    <row r="587" spans="1:16">
      <c r="F587" s="68"/>
    </row>
    <row r="588" spans="1:16">
      <c r="F588" s="68"/>
    </row>
    <row r="589" spans="1:16">
      <c r="A589" s="44" t="s">
        <v>0</v>
      </c>
      <c r="B589" s="127"/>
      <c r="C589" s="104"/>
      <c r="F589" s="68"/>
      <c r="I589" s="179"/>
      <c r="K589" s="163"/>
      <c r="L589" s="168"/>
    </row>
    <row r="590" spans="1:16">
      <c r="A590" s="3480" t="s">
        <v>2512</v>
      </c>
      <c r="B590" s="3480"/>
      <c r="C590" s="44"/>
      <c r="D590" s="109"/>
      <c r="F590" s="68"/>
      <c r="I590" s="179"/>
      <c r="K590" s="163"/>
      <c r="L590" s="168"/>
    </row>
    <row r="591" spans="1:16" ht="35.25" thickBot="1">
      <c r="F591" s="68"/>
    </row>
    <row r="592" spans="1:16">
      <c r="A592" s="3493" t="s">
        <v>2</v>
      </c>
      <c r="B592" s="3482"/>
      <c r="C592" s="48" t="s">
        <v>3</v>
      </c>
      <c r="D592" s="128" t="s">
        <v>4</v>
      </c>
      <c r="E592" s="77" t="s">
        <v>5</v>
      </c>
      <c r="F592" s="78" t="s">
        <v>5</v>
      </c>
      <c r="G592" s="211" t="s">
        <v>6</v>
      </c>
      <c r="H592" s="140" t="s">
        <v>7</v>
      </c>
      <c r="I592" s="180" t="s">
        <v>1511</v>
      </c>
      <c r="J592" s="172" t="s">
        <v>9</v>
      </c>
      <c r="K592" s="186" t="s">
        <v>9</v>
      </c>
      <c r="L592" s="192" t="s">
        <v>2495</v>
      </c>
      <c r="M592" s="190"/>
    </row>
    <row r="593" spans="1:16" ht="35.25" thickBot="1">
      <c r="A593" s="155"/>
      <c r="B593" s="138"/>
      <c r="C593" s="50"/>
      <c r="D593" s="129" t="s">
        <v>10</v>
      </c>
      <c r="E593" s="79" t="s">
        <v>11</v>
      </c>
      <c r="F593" s="80" t="s">
        <v>12</v>
      </c>
      <c r="G593" s="212"/>
      <c r="H593" s="141" t="s">
        <v>13</v>
      </c>
      <c r="I593" s="181" t="s">
        <v>1512</v>
      </c>
      <c r="J593" s="173" t="s">
        <v>15</v>
      </c>
      <c r="K593" s="187" t="s">
        <v>14</v>
      </c>
      <c r="L593" s="193" t="s">
        <v>2496</v>
      </c>
      <c r="M593" s="190"/>
    </row>
    <row r="594" spans="1:16">
      <c r="A594" s="156"/>
      <c r="B594" s="154"/>
      <c r="C594" s="63"/>
      <c r="D594" s="199"/>
      <c r="E594" s="143"/>
      <c r="F594" s="69"/>
      <c r="G594" s="206"/>
      <c r="H594" s="74"/>
      <c r="I594" s="183"/>
      <c r="J594" s="175"/>
      <c r="K594" s="172"/>
      <c r="L594" s="194"/>
      <c r="M594" s="188">
        <v>3552</v>
      </c>
      <c r="N594" s="188">
        <f t="shared" ref="N594:N610" si="55">M594-(M594*0.03)</f>
        <v>3445.44</v>
      </c>
      <c r="O594" s="189">
        <v>7.0000000000000007E-2</v>
      </c>
      <c r="P594" s="170">
        <f t="shared" ref="P594:P610" si="56">(N594*O594)+N594</f>
        <v>3686.6208000000001</v>
      </c>
    </row>
    <row r="595" spans="1:16">
      <c r="A595" s="157"/>
      <c r="B595" s="154"/>
      <c r="C595" s="63"/>
      <c r="D595" s="199"/>
      <c r="E595" s="145"/>
      <c r="F595" s="61"/>
      <c r="G595" s="206"/>
      <c r="H595" s="74"/>
      <c r="I595" s="183"/>
      <c r="J595" s="175"/>
      <c r="K595" s="176"/>
      <c r="L595" s="194"/>
      <c r="N595" s="188">
        <f t="shared" si="55"/>
        <v>0</v>
      </c>
      <c r="O595" s="189">
        <v>7.0000000000000007E-2</v>
      </c>
      <c r="P595" s="170">
        <f t="shared" si="56"/>
        <v>0</v>
      </c>
    </row>
    <row r="596" spans="1:16">
      <c r="A596" s="157"/>
      <c r="B596" s="239"/>
      <c r="C596" s="63"/>
      <c r="D596" s="199"/>
      <c r="E596" s="145"/>
      <c r="F596" s="61"/>
      <c r="G596" s="206"/>
      <c r="H596" s="74"/>
      <c r="I596" s="183"/>
      <c r="J596" s="175"/>
      <c r="K596" s="245"/>
      <c r="L596" s="194"/>
      <c r="M596" s="188">
        <v>9498.06</v>
      </c>
      <c r="N596" s="188">
        <f t="shared" si="55"/>
        <v>9213.118199999999</v>
      </c>
      <c r="O596" s="189">
        <v>7.0000000000000007E-2</v>
      </c>
      <c r="P596" s="170">
        <f t="shared" si="56"/>
        <v>9858.0364739999986</v>
      </c>
    </row>
    <row r="597" spans="1:16">
      <c r="A597" s="157"/>
      <c r="B597" s="239"/>
      <c r="C597" s="63"/>
      <c r="D597" s="199"/>
      <c r="E597" s="145"/>
      <c r="F597" s="61"/>
      <c r="G597" s="206"/>
      <c r="H597" s="74"/>
      <c r="I597" s="183"/>
      <c r="J597" s="175"/>
      <c r="K597" s="197"/>
      <c r="L597" s="194"/>
      <c r="M597" s="188">
        <v>15305.4</v>
      </c>
      <c r="N597" s="188">
        <f t="shared" si="55"/>
        <v>14846.237999999999</v>
      </c>
      <c r="O597" s="189">
        <v>7.0000000000000007E-2</v>
      </c>
      <c r="P597" s="170">
        <f t="shared" si="56"/>
        <v>15885.47466</v>
      </c>
    </row>
    <row r="598" spans="1:16">
      <c r="A598" s="157"/>
      <c r="B598" s="154"/>
      <c r="C598" s="63"/>
      <c r="D598" s="199"/>
      <c r="E598" s="145"/>
      <c r="F598" s="61"/>
      <c r="G598" s="206"/>
      <c r="H598" s="74"/>
      <c r="I598" s="183"/>
      <c r="J598" s="175"/>
      <c r="K598" s="197"/>
      <c r="L598" s="194"/>
      <c r="N598" s="188">
        <f t="shared" si="55"/>
        <v>0</v>
      </c>
      <c r="O598" s="189">
        <v>7.0000000000000007E-2</v>
      </c>
      <c r="P598" s="170">
        <f t="shared" si="56"/>
        <v>0</v>
      </c>
    </row>
    <row r="599" spans="1:16">
      <c r="A599" s="157"/>
      <c r="B599" s="154"/>
      <c r="C599" s="63"/>
      <c r="D599" s="199"/>
      <c r="E599" s="145"/>
      <c r="F599" s="61"/>
      <c r="G599" s="206"/>
      <c r="H599" s="74"/>
      <c r="I599" s="183"/>
      <c r="J599" s="175"/>
      <c r="K599" s="197"/>
      <c r="L599" s="194"/>
      <c r="N599" s="188">
        <f t="shared" si="55"/>
        <v>0</v>
      </c>
      <c r="O599" s="189">
        <v>7.0000000000000007E-2</v>
      </c>
      <c r="P599" s="170">
        <f t="shared" si="56"/>
        <v>0</v>
      </c>
    </row>
    <row r="600" spans="1:16">
      <c r="A600" s="157"/>
      <c r="B600" s="154"/>
      <c r="C600" s="63"/>
      <c r="D600" s="199"/>
      <c r="E600" s="145"/>
      <c r="F600" s="61"/>
      <c r="G600" s="206"/>
      <c r="H600" s="74"/>
      <c r="I600" s="183"/>
      <c r="J600" s="175"/>
      <c r="K600" s="197"/>
      <c r="L600" s="194"/>
      <c r="N600" s="188">
        <f t="shared" si="55"/>
        <v>0</v>
      </c>
      <c r="O600" s="189">
        <v>7.0000000000000007E-2</v>
      </c>
      <c r="P600" s="170">
        <f t="shared" si="56"/>
        <v>0</v>
      </c>
    </row>
    <row r="601" spans="1:16">
      <c r="A601" s="157"/>
      <c r="B601" s="239"/>
      <c r="C601" s="222"/>
      <c r="D601" s="3464"/>
      <c r="E601" s="145"/>
      <c r="F601" s="61"/>
      <c r="G601" s="223"/>
      <c r="H601" s="224"/>
      <c r="I601" s="225"/>
      <c r="J601" s="209"/>
      <c r="K601" s="244"/>
      <c r="M601" s="188">
        <v>14244.12</v>
      </c>
      <c r="N601" s="188">
        <f t="shared" si="55"/>
        <v>13816.796400000001</v>
      </c>
      <c r="O601" s="189">
        <v>7.0000000000000007E-2</v>
      </c>
      <c r="P601" s="170">
        <f t="shared" si="56"/>
        <v>14783.972148000001</v>
      </c>
    </row>
    <row r="602" spans="1:16">
      <c r="A602" s="157"/>
      <c r="B602" s="162"/>
      <c r="C602" s="63"/>
      <c r="D602" s="199"/>
      <c r="E602" s="145"/>
      <c r="F602" s="61"/>
      <c r="G602" s="206"/>
      <c r="H602" s="74"/>
      <c r="I602" s="183"/>
      <c r="J602" s="175"/>
      <c r="K602" s="197"/>
      <c r="L602" s="194"/>
      <c r="M602" s="188">
        <v>3240</v>
      </c>
      <c r="N602" s="188">
        <f t="shared" si="55"/>
        <v>3142.8</v>
      </c>
      <c r="O602" s="189">
        <v>7.0000000000000007E-2</v>
      </c>
      <c r="P602" s="170">
        <f t="shared" si="56"/>
        <v>3362.7960000000003</v>
      </c>
    </row>
    <row r="603" spans="1:16">
      <c r="A603" s="157"/>
      <c r="B603" s="162"/>
      <c r="C603" s="63"/>
      <c r="D603" s="199"/>
      <c r="E603" s="145"/>
      <c r="F603" s="61"/>
      <c r="G603" s="206"/>
      <c r="H603" s="74"/>
      <c r="I603" s="183"/>
      <c r="J603" s="175"/>
      <c r="K603" s="197"/>
      <c r="L603" s="194"/>
      <c r="M603" s="188">
        <v>14700</v>
      </c>
      <c r="N603" s="188">
        <f t="shared" si="55"/>
        <v>14259</v>
      </c>
      <c r="O603" s="189">
        <v>7.0000000000000007E-2</v>
      </c>
      <c r="P603" s="170">
        <f t="shared" si="56"/>
        <v>15257.130000000001</v>
      </c>
    </row>
    <row r="604" spans="1:16">
      <c r="A604" s="157"/>
      <c r="B604" s="162"/>
      <c r="C604" s="222"/>
      <c r="D604" s="3464"/>
      <c r="E604" s="237"/>
      <c r="F604" s="238"/>
      <c r="G604" s="223"/>
      <c r="H604" s="224"/>
      <c r="I604" s="225"/>
      <c r="J604" s="209"/>
      <c r="K604" s="226"/>
      <c r="L604" s="229"/>
      <c r="M604" s="188">
        <v>14582.7</v>
      </c>
      <c r="N604" s="188">
        <f t="shared" si="55"/>
        <v>14145.219000000001</v>
      </c>
      <c r="O604" s="189">
        <v>7.0000000000000007E-2</v>
      </c>
      <c r="P604" s="170">
        <f t="shared" si="56"/>
        <v>15135.384330000001</v>
      </c>
    </row>
    <row r="605" spans="1:16">
      <c r="A605" s="157"/>
      <c r="B605" s="162"/>
      <c r="C605" s="63"/>
      <c r="D605" s="199"/>
      <c r="E605" s="145"/>
      <c r="F605" s="61"/>
      <c r="G605" s="206"/>
      <c r="H605" s="74"/>
      <c r="I605" s="183"/>
      <c r="J605" s="175"/>
      <c r="K605" s="197"/>
      <c r="L605" s="229"/>
      <c r="M605" s="188">
        <v>13483.8</v>
      </c>
      <c r="N605" s="188">
        <f t="shared" si="55"/>
        <v>13079.286</v>
      </c>
      <c r="O605" s="189">
        <v>7.0000000000000007E-2</v>
      </c>
      <c r="P605" s="170">
        <f t="shared" si="56"/>
        <v>13994.836020000001</v>
      </c>
    </row>
    <row r="606" spans="1:16">
      <c r="A606" s="157"/>
      <c r="B606" s="154"/>
      <c r="C606" s="222"/>
      <c r="D606" s="3464"/>
      <c r="E606" s="145"/>
      <c r="F606" s="61"/>
      <c r="G606" s="223"/>
      <c r="H606" s="224"/>
      <c r="I606" s="225"/>
      <c r="J606" s="209"/>
      <c r="K606" s="226"/>
      <c r="L606" s="229"/>
      <c r="M606" s="188">
        <v>2669.52</v>
      </c>
      <c r="N606" s="188">
        <f t="shared" si="55"/>
        <v>2589.4344000000001</v>
      </c>
      <c r="O606" s="189">
        <v>7.0000000000000007E-2</v>
      </c>
      <c r="P606" s="170">
        <f t="shared" si="56"/>
        <v>2770.6948080000002</v>
      </c>
    </row>
    <row r="607" spans="1:16">
      <c r="A607" s="157"/>
      <c r="B607" s="154"/>
      <c r="C607" s="222"/>
      <c r="D607" s="3464"/>
      <c r="E607" s="145"/>
      <c r="F607" s="61"/>
      <c r="G607" s="223"/>
      <c r="H607" s="224"/>
      <c r="I607" s="225"/>
      <c r="J607" s="209"/>
      <c r="K607" s="226"/>
      <c r="L607" s="229"/>
      <c r="N607" s="188">
        <f t="shared" si="55"/>
        <v>0</v>
      </c>
      <c r="O607" s="189">
        <v>7.0000000000000007E-2</v>
      </c>
      <c r="P607" s="170">
        <f t="shared" si="56"/>
        <v>0</v>
      </c>
    </row>
    <row r="608" spans="1:16">
      <c r="A608" s="221"/>
      <c r="B608" s="240"/>
      <c r="C608" s="222"/>
      <c r="D608" s="3464"/>
      <c r="E608" s="145"/>
      <c r="F608" s="61"/>
      <c r="G608" s="223"/>
      <c r="H608" s="224"/>
      <c r="I608" s="225"/>
      <c r="J608" s="209"/>
      <c r="K608" s="226"/>
      <c r="L608" s="229"/>
      <c r="M608" s="188">
        <v>12972.96</v>
      </c>
      <c r="N608" s="188">
        <f t="shared" si="55"/>
        <v>12583.771199999999</v>
      </c>
      <c r="O608" s="189">
        <v>7.0000000000000007E-2</v>
      </c>
      <c r="P608" s="170">
        <f t="shared" si="56"/>
        <v>13464.635183999999</v>
      </c>
    </row>
    <row r="609" spans="1:16">
      <c r="A609" s="157"/>
      <c r="B609" s="154"/>
      <c r="C609" s="63"/>
      <c r="D609" s="199"/>
      <c r="E609" s="145"/>
      <c r="F609" s="61"/>
      <c r="G609" s="206"/>
      <c r="H609" s="74"/>
      <c r="I609" s="183"/>
      <c r="J609" s="209"/>
      <c r="K609" s="197"/>
      <c r="L609" s="229"/>
      <c r="M609" s="188">
        <v>12687.84</v>
      </c>
      <c r="N609" s="188">
        <f t="shared" si="55"/>
        <v>12307.2048</v>
      </c>
      <c r="O609" s="189">
        <v>7.0000000000000007E-2</v>
      </c>
      <c r="P609" s="170">
        <f t="shared" si="56"/>
        <v>13168.709135999999</v>
      </c>
    </row>
    <row r="610" spans="1:16">
      <c r="A610" s="157"/>
      <c r="B610" s="154"/>
      <c r="C610" s="63"/>
      <c r="D610" s="199"/>
      <c r="E610" s="145"/>
      <c r="F610" s="61"/>
      <c r="G610" s="206"/>
      <c r="H610" s="74"/>
      <c r="I610" s="183"/>
      <c r="J610" s="175"/>
      <c r="K610" s="197"/>
      <c r="L610" s="194"/>
      <c r="M610" s="188">
        <v>16572.599999999999</v>
      </c>
      <c r="N610" s="188">
        <f t="shared" si="55"/>
        <v>16075.421999999999</v>
      </c>
      <c r="O610" s="189">
        <v>7.0000000000000007E-2</v>
      </c>
      <c r="P610" s="170">
        <f t="shared" si="56"/>
        <v>17200.701539999998</v>
      </c>
    </row>
    <row r="611" spans="1:16">
      <c r="A611" s="157"/>
      <c r="B611" s="154"/>
      <c r="C611" s="63"/>
      <c r="D611" s="199"/>
      <c r="E611" s="90"/>
      <c r="F611" s="61"/>
      <c r="G611" s="206"/>
      <c r="H611" s="74"/>
      <c r="I611" s="203"/>
      <c r="J611" s="175"/>
      <c r="K611" s="197"/>
      <c r="L611" s="194"/>
      <c r="M611" s="188">
        <v>6021.12</v>
      </c>
      <c r="N611" s="188">
        <f>M611-(M611*0.03)</f>
        <v>5840.4863999999998</v>
      </c>
      <c r="O611" s="189">
        <v>7.0000000000000007E-2</v>
      </c>
      <c r="P611" s="170">
        <f>(N611*O611)+N611</f>
        <v>6249.3204479999995</v>
      </c>
    </row>
    <row r="612" spans="1:16">
      <c r="A612" s="157"/>
      <c r="B612" s="154"/>
      <c r="C612" s="63"/>
      <c r="D612" s="199"/>
      <c r="E612" s="90"/>
      <c r="F612" s="61"/>
      <c r="G612" s="206"/>
      <c r="H612" s="74"/>
      <c r="I612" s="183"/>
      <c r="J612" s="175"/>
      <c r="K612" s="197"/>
      <c r="L612" s="194"/>
      <c r="M612" s="188">
        <v>8714.16</v>
      </c>
      <c r="N612" s="188">
        <f>M612-(M612*0.03)</f>
        <v>8452.7351999999992</v>
      </c>
      <c r="O612" s="189">
        <v>7.0000000000000007E-2</v>
      </c>
      <c r="P612" s="170">
        <f>(N612*O612)+N612</f>
        <v>9044.4266639999987</v>
      </c>
    </row>
    <row r="613" spans="1:16">
      <c r="A613" s="157"/>
      <c r="B613" s="154"/>
      <c r="C613" s="63"/>
      <c r="D613" s="199"/>
      <c r="E613" s="90"/>
      <c r="F613" s="61"/>
      <c r="G613" s="206"/>
      <c r="H613" s="74"/>
      <c r="I613" s="183"/>
      <c r="J613" s="175"/>
      <c r="K613" s="197"/>
      <c r="L613" s="194"/>
      <c r="M613" s="188">
        <v>0</v>
      </c>
      <c r="N613" s="188">
        <f>M613-(M613*0.03)</f>
        <v>0</v>
      </c>
      <c r="O613" s="189">
        <v>7.0000000000000007E-2</v>
      </c>
      <c r="P613" s="170">
        <f t="shared" ref="P613:P619" si="57">(N613*O613)+N613</f>
        <v>0</v>
      </c>
    </row>
    <row r="614" spans="1:16">
      <c r="A614" s="157"/>
      <c r="B614" s="154"/>
      <c r="C614" s="63"/>
      <c r="D614" s="199"/>
      <c r="E614" s="90"/>
      <c r="F614" s="61"/>
      <c r="G614" s="206"/>
      <c r="H614" s="74"/>
      <c r="I614" s="183"/>
      <c r="J614" s="175"/>
      <c r="K614" s="197"/>
      <c r="L614" s="194"/>
      <c r="M614" s="188">
        <v>18537.7</v>
      </c>
      <c r="N614" s="188">
        <f>M614-(M614*0.03)</f>
        <v>17981.569</v>
      </c>
      <c r="O614" s="189">
        <v>7.0000000000000007E-2</v>
      </c>
      <c r="P614" s="170">
        <f t="shared" si="57"/>
        <v>19240.278829999999</v>
      </c>
    </row>
    <row r="615" spans="1:16">
      <c r="A615" s="158"/>
      <c r="B615" s="154"/>
      <c r="C615" s="63"/>
      <c r="D615" s="199"/>
      <c r="E615" s="91"/>
      <c r="F615" s="61"/>
      <c r="G615" s="206"/>
      <c r="H615" s="74"/>
      <c r="I615" s="183"/>
      <c r="J615" s="175"/>
      <c r="K615" s="197"/>
      <c r="L615" s="194"/>
      <c r="M615" s="188">
        <v>9031.68</v>
      </c>
      <c r="N615" s="188">
        <f t="shared" ref="N615:N624" si="58">M615-(M615*0.03)</f>
        <v>8760.7296000000006</v>
      </c>
      <c r="O615" s="189">
        <v>7.0000000000000007E-2</v>
      </c>
      <c r="P615" s="170">
        <f t="shared" si="57"/>
        <v>9373.9806720000015</v>
      </c>
    </row>
    <row r="616" spans="1:16">
      <c r="A616" s="200"/>
      <c r="B616" s="154"/>
      <c r="C616" s="63"/>
      <c r="D616" s="199"/>
      <c r="E616" s="153"/>
      <c r="F616" s="61"/>
      <c r="G616" s="206"/>
      <c r="H616" s="88"/>
      <c r="I616" s="184"/>
      <c r="J616" s="201"/>
      <c r="K616" s="202"/>
      <c r="L616" s="194"/>
      <c r="N616" s="188">
        <f t="shared" si="58"/>
        <v>0</v>
      </c>
      <c r="O616" s="189">
        <v>7.0000000000000007E-2</v>
      </c>
      <c r="P616" s="170">
        <f t="shared" si="57"/>
        <v>0</v>
      </c>
    </row>
    <row r="617" spans="1:16">
      <c r="A617" s="157"/>
      <c r="B617" s="154"/>
      <c r="C617" s="63"/>
      <c r="D617" s="199"/>
      <c r="E617" s="198"/>
      <c r="F617" s="61"/>
      <c r="G617" s="206"/>
      <c r="H617" s="74"/>
      <c r="I617" s="183"/>
      <c r="J617" s="175"/>
      <c r="K617" s="197"/>
      <c r="L617" s="194"/>
      <c r="M617" s="188">
        <v>8478.9599999999991</v>
      </c>
      <c r="N617" s="188">
        <f t="shared" si="58"/>
        <v>8224.5911999999989</v>
      </c>
      <c r="O617" s="189">
        <v>7.0000000000000007E-2</v>
      </c>
      <c r="P617" s="170">
        <f t="shared" si="57"/>
        <v>8800.3125839999993</v>
      </c>
    </row>
    <row r="618" spans="1:16">
      <c r="A618" s="157"/>
      <c r="B618" s="154"/>
      <c r="C618" s="63"/>
      <c r="D618" s="199"/>
      <c r="E618" s="142"/>
      <c r="F618" s="61"/>
      <c r="G618" s="206"/>
      <c r="H618" s="74"/>
      <c r="I618" s="183"/>
      <c r="J618" s="175"/>
      <c r="K618" s="197"/>
      <c r="L618" s="194"/>
      <c r="M618" s="188">
        <v>11122.62</v>
      </c>
      <c r="N618" s="188">
        <f t="shared" si="58"/>
        <v>10788.941400000002</v>
      </c>
      <c r="O618" s="189">
        <v>7.0000000000000007E-2</v>
      </c>
      <c r="P618" s="170">
        <f t="shared" si="57"/>
        <v>11544.167298000002</v>
      </c>
    </row>
    <row r="619" spans="1:16">
      <c r="A619" s="157"/>
      <c r="B619" s="154"/>
      <c r="C619" s="63"/>
      <c r="D619" s="196"/>
      <c r="E619" s="120"/>
      <c r="F619" s="121"/>
      <c r="G619" s="206"/>
      <c r="H619" s="115"/>
      <c r="I619" s="185"/>
      <c r="J619" s="175"/>
      <c r="K619" s="197"/>
      <c r="L619" s="194"/>
      <c r="M619" s="188">
        <v>3813.12</v>
      </c>
      <c r="N619" s="188">
        <f t="shared" si="58"/>
        <v>3698.7264</v>
      </c>
      <c r="O619" s="189">
        <v>7.0000000000000007E-2</v>
      </c>
      <c r="P619" s="170">
        <f t="shared" si="57"/>
        <v>3957.637248</v>
      </c>
    </row>
    <row r="620" spans="1:16">
      <c r="A620" s="157"/>
      <c r="B620" s="154"/>
      <c r="C620" s="63"/>
      <c r="D620" s="196"/>
      <c r="E620" s="249"/>
      <c r="F620" s="121"/>
      <c r="G620" s="206"/>
      <c r="H620" s="115"/>
      <c r="I620" s="185"/>
      <c r="J620" s="175"/>
      <c r="K620" s="197"/>
      <c r="L620" s="194"/>
    </row>
    <row r="621" spans="1:16">
      <c r="A621" s="157"/>
      <c r="B621" s="154"/>
      <c r="C621" s="63"/>
      <c r="D621" s="196"/>
      <c r="E621" s="249"/>
      <c r="F621" s="121"/>
      <c r="G621" s="206"/>
      <c r="H621" s="115"/>
      <c r="I621" s="185"/>
      <c r="J621" s="175"/>
      <c r="K621" s="197"/>
      <c r="L621" s="194"/>
    </row>
    <row r="622" spans="1:16">
      <c r="A622" s="157"/>
      <c r="B622" s="154"/>
      <c r="C622" s="63"/>
      <c r="D622" s="196"/>
      <c r="E622" s="249"/>
      <c r="F622" s="121"/>
      <c r="G622" s="206"/>
      <c r="H622" s="115"/>
      <c r="I622" s="185"/>
      <c r="J622" s="175"/>
      <c r="K622" s="197"/>
      <c r="L622" s="194"/>
    </row>
    <row r="623" spans="1:16">
      <c r="A623" s="157"/>
      <c r="B623" s="154"/>
      <c r="C623" s="63"/>
      <c r="D623" s="196"/>
      <c r="E623" s="142"/>
      <c r="F623" s="61"/>
      <c r="G623" s="206"/>
      <c r="H623" s="74"/>
      <c r="I623" s="183"/>
      <c r="J623" s="175"/>
      <c r="K623" s="197"/>
      <c r="L623" s="194"/>
    </row>
    <row r="624" spans="1:16">
      <c r="A624" s="157"/>
      <c r="B624" s="161"/>
      <c r="C624" s="63"/>
      <c r="D624" s="196"/>
      <c r="E624" s="142"/>
      <c r="F624" s="61"/>
      <c r="G624" s="206"/>
      <c r="H624" s="74"/>
      <c r="I624" s="183"/>
      <c r="J624" s="175"/>
      <c r="K624" s="197"/>
      <c r="L624" s="194"/>
      <c r="M624" s="188">
        <v>8640</v>
      </c>
      <c r="N624" s="188">
        <f t="shared" si="58"/>
        <v>8380.7999999999993</v>
      </c>
      <c r="O624" s="189">
        <v>7.0000000000000007E-2</v>
      </c>
      <c r="P624" s="170">
        <f>(N624*O624)+N624</f>
        <v>8967.4559999999983</v>
      </c>
    </row>
    <row r="625" spans="1:13">
      <c r="A625" s="160"/>
      <c r="B625" s="154"/>
      <c r="C625" s="63"/>
      <c r="D625" s="196"/>
      <c r="E625" s="120"/>
      <c r="F625" s="121"/>
      <c r="G625" s="206"/>
      <c r="H625" s="115"/>
      <c r="I625" s="185"/>
      <c r="J625" s="174"/>
      <c r="K625" s="195"/>
      <c r="L625" s="194"/>
    </row>
    <row r="626" spans="1:13">
      <c r="A626" s="204"/>
      <c r="B626" s="3444"/>
      <c r="C626" s="3444"/>
      <c r="D626" s="3444"/>
      <c r="E626" s="3444"/>
      <c r="F626" s="3444"/>
      <c r="G626" s="213"/>
      <c r="H626" s="109"/>
      <c r="I626" s="3444"/>
      <c r="J626" s="234"/>
      <c r="K626" s="3444"/>
      <c r="L626" s="235"/>
      <c r="M626" s="3444"/>
    </row>
  </sheetData>
  <mergeCells count="30">
    <mergeCell ref="A89:B89"/>
    <mergeCell ref="A3:B3"/>
    <mergeCell ref="A5:B5"/>
    <mergeCell ref="A45:B45"/>
    <mergeCell ref="A47:B47"/>
    <mergeCell ref="A87:B87"/>
    <mergeCell ref="A340:B340"/>
    <mergeCell ref="A128:B128"/>
    <mergeCell ref="A130:B130"/>
    <mergeCell ref="A170:B170"/>
    <mergeCell ref="A172:B172"/>
    <mergeCell ref="A212:B212"/>
    <mergeCell ref="A214:B214"/>
    <mergeCell ref="A254:B254"/>
    <mergeCell ref="A256:B256"/>
    <mergeCell ref="A296:B296"/>
    <mergeCell ref="A298:B298"/>
    <mergeCell ref="A338:B338"/>
    <mergeCell ref="A592:B592"/>
    <mergeCell ref="A380:B380"/>
    <mergeCell ref="A382:B382"/>
    <mergeCell ref="A422:B422"/>
    <mergeCell ref="A424:B424"/>
    <mergeCell ref="A464:B464"/>
    <mergeCell ref="A466:B466"/>
    <mergeCell ref="A506:B506"/>
    <mergeCell ref="A508:B508"/>
    <mergeCell ref="A548:B548"/>
    <mergeCell ref="A550:B550"/>
    <mergeCell ref="A590:B590"/>
  </mergeCells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D79F-B961-49BC-958C-E44D76FEC3D2}">
  <dimension ref="A1:AC1619"/>
  <sheetViews>
    <sheetView view="pageBreakPreview" topLeftCell="A1420" zoomScale="73" zoomScaleNormal="75" zoomScaleSheetLayoutView="73" workbookViewId="0">
      <selection activeCell="A1446" sqref="A1446"/>
    </sheetView>
  </sheetViews>
  <sheetFormatPr defaultRowHeight="39.75"/>
  <cols>
    <col min="1" max="1" width="40.140625" style="5" customWidth="1"/>
    <col min="2" max="2" width="12.5703125" style="24" customWidth="1"/>
    <col min="3" max="3" width="7" style="5" customWidth="1"/>
    <col min="4" max="26" width="6.7109375" style="5" customWidth="1"/>
    <col min="27" max="27" width="9.140625" style="24"/>
    <col min="28" max="28" width="8.28515625" style="5" customWidth="1"/>
    <col min="29" max="16384" width="9.140625" style="5"/>
  </cols>
  <sheetData>
    <row r="1" spans="1:29" ht="40.5">
      <c r="A1" s="3" t="s">
        <v>5063</v>
      </c>
      <c r="B1" s="23"/>
      <c r="C1" s="3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B1" s="4"/>
      <c r="AC1" s="4"/>
    </row>
    <row r="2" spans="1:29" ht="40.5" thickBot="1">
      <c r="A2" s="5" t="s">
        <v>5064</v>
      </c>
    </row>
    <row r="3" spans="1:29">
      <c r="A3" s="3544" t="s">
        <v>2</v>
      </c>
      <c r="B3" s="3546" t="s">
        <v>3</v>
      </c>
      <c r="C3" s="3537" t="s">
        <v>5065</v>
      </c>
      <c r="D3" s="3538"/>
      <c r="E3" s="3536" t="s">
        <v>5066</v>
      </c>
      <c r="F3" s="3536"/>
      <c r="G3" s="3537" t="s">
        <v>5067</v>
      </c>
      <c r="H3" s="3538"/>
      <c r="I3" s="3536" t="s">
        <v>5068</v>
      </c>
      <c r="J3" s="3536"/>
      <c r="K3" s="3537" t="s">
        <v>5069</v>
      </c>
      <c r="L3" s="3538"/>
      <c r="M3" s="3536" t="s">
        <v>5070</v>
      </c>
      <c r="N3" s="3536"/>
      <c r="O3" s="3537" t="s">
        <v>5071</v>
      </c>
      <c r="P3" s="3538"/>
      <c r="Q3" s="3536" t="s">
        <v>5072</v>
      </c>
      <c r="R3" s="3536"/>
      <c r="S3" s="3537" t="s">
        <v>5073</v>
      </c>
      <c r="T3" s="3538"/>
      <c r="U3" s="3536" t="s">
        <v>5074</v>
      </c>
      <c r="V3" s="3536"/>
      <c r="W3" s="3537" t="s">
        <v>5075</v>
      </c>
      <c r="X3" s="3538"/>
      <c r="Y3" s="3536" t="s">
        <v>5076</v>
      </c>
      <c r="Z3" s="3538"/>
      <c r="AA3" s="3550" t="s">
        <v>5077</v>
      </c>
      <c r="AB3" s="3551"/>
    </row>
    <row r="4" spans="1:29" ht="40.5" thickBot="1">
      <c r="A4" s="3545"/>
      <c r="B4" s="3547"/>
      <c r="C4" s="1" t="s">
        <v>5078</v>
      </c>
      <c r="D4" s="35" t="s">
        <v>5079</v>
      </c>
      <c r="E4" s="2" t="s">
        <v>5078</v>
      </c>
      <c r="F4" s="36" t="s">
        <v>5079</v>
      </c>
      <c r="G4" s="1" t="s">
        <v>5078</v>
      </c>
      <c r="H4" s="35" t="s">
        <v>5079</v>
      </c>
      <c r="I4" s="2" t="s">
        <v>5078</v>
      </c>
      <c r="J4" s="36" t="s">
        <v>5079</v>
      </c>
      <c r="K4" s="1" t="s">
        <v>5078</v>
      </c>
      <c r="L4" s="35" t="s">
        <v>5079</v>
      </c>
      <c r="M4" s="2" t="s">
        <v>5078</v>
      </c>
      <c r="N4" s="36" t="s">
        <v>5079</v>
      </c>
      <c r="O4" s="1" t="s">
        <v>5078</v>
      </c>
      <c r="P4" s="35" t="s">
        <v>5079</v>
      </c>
      <c r="Q4" s="2" t="s">
        <v>5078</v>
      </c>
      <c r="R4" s="36" t="s">
        <v>5079</v>
      </c>
      <c r="S4" s="1" t="s">
        <v>5078</v>
      </c>
      <c r="T4" s="35" t="s">
        <v>5079</v>
      </c>
      <c r="U4" s="2" t="s">
        <v>5078</v>
      </c>
      <c r="V4" s="36" t="s">
        <v>5079</v>
      </c>
      <c r="W4" s="1" t="s">
        <v>5078</v>
      </c>
      <c r="X4" s="35" t="s">
        <v>5079</v>
      </c>
      <c r="Y4" s="2" t="s">
        <v>5078</v>
      </c>
      <c r="Z4" s="35" t="s">
        <v>5079</v>
      </c>
      <c r="AA4" s="3477"/>
      <c r="AB4" s="27"/>
    </row>
    <row r="5" spans="1:29">
      <c r="A5" s="8" t="s">
        <v>5080</v>
      </c>
      <c r="B5" s="25">
        <v>1.5</v>
      </c>
      <c r="C5" s="9"/>
      <c r="D5" s="10"/>
      <c r="E5" s="11"/>
      <c r="F5" s="12"/>
      <c r="G5" s="9"/>
      <c r="H5" s="10"/>
      <c r="I5" s="11"/>
      <c r="J5" s="12"/>
      <c r="K5" s="9"/>
      <c r="L5" s="10"/>
      <c r="M5" s="11"/>
      <c r="N5" s="12"/>
      <c r="O5" s="9"/>
      <c r="P5" s="10"/>
      <c r="Q5" s="11"/>
      <c r="R5" s="12"/>
      <c r="S5" s="9"/>
      <c r="T5" s="10"/>
      <c r="U5" s="11"/>
      <c r="V5" s="12"/>
      <c r="W5" s="9"/>
      <c r="X5" s="10"/>
      <c r="Y5" s="11"/>
      <c r="Z5" s="10"/>
      <c r="AA5" s="28"/>
      <c r="AB5" s="29"/>
    </row>
    <row r="6" spans="1:29">
      <c r="A6" s="8" t="s">
        <v>4282</v>
      </c>
      <c r="B6" s="25">
        <v>1.5</v>
      </c>
      <c r="C6" s="14"/>
      <c r="D6" s="15"/>
      <c r="E6" s="16"/>
      <c r="F6" s="17"/>
      <c r="G6" s="14"/>
      <c r="H6" s="15"/>
      <c r="I6" s="16"/>
      <c r="J6" s="17"/>
      <c r="K6" s="14"/>
      <c r="L6" s="15"/>
      <c r="M6" s="16"/>
      <c r="N6" s="17"/>
      <c r="O6" s="14"/>
      <c r="P6" s="15"/>
      <c r="Q6" s="16"/>
      <c r="R6" s="17"/>
      <c r="S6" s="14"/>
      <c r="T6" s="15"/>
      <c r="U6" s="16"/>
      <c r="V6" s="17"/>
      <c r="W6" s="14"/>
      <c r="X6" s="15"/>
      <c r="Y6" s="16"/>
      <c r="Z6" s="15"/>
      <c r="AA6" s="30"/>
      <c r="AB6" s="15"/>
    </row>
    <row r="7" spans="1:29">
      <c r="A7" s="8" t="s">
        <v>4282</v>
      </c>
      <c r="B7" s="25">
        <v>2.5</v>
      </c>
      <c r="C7" s="14"/>
      <c r="D7" s="15"/>
      <c r="E7" s="16"/>
      <c r="F7" s="17"/>
      <c r="G7" s="14"/>
      <c r="H7" s="15"/>
      <c r="I7" s="16"/>
      <c r="J7" s="17"/>
      <c r="K7" s="14"/>
      <c r="L7" s="15"/>
      <c r="M7" s="16"/>
      <c r="N7" s="17"/>
      <c r="O7" s="14"/>
      <c r="P7" s="15"/>
      <c r="Q7" s="16"/>
      <c r="R7" s="17"/>
      <c r="S7" s="14"/>
      <c r="T7" s="15"/>
      <c r="U7" s="16"/>
      <c r="V7" s="17"/>
      <c r="W7" s="14"/>
      <c r="X7" s="15"/>
      <c r="Y7" s="16"/>
      <c r="Z7" s="15"/>
      <c r="AA7" s="30"/>
      <c r="AB7" s="15"/>
    </row>
    <row r="8" spans="1:29">
      <c r="A8" s="8" t="s">
        <v>5081</v>
      </c>
      <c r="B8" s="25">
        <v>1.5</v>
      </c>
      <c r="C8" s="14"/>
      <c r="D8" s="15"/>
      <c r="E8" s="16"/>
      <c r="F8" s="17"/>
      <c r="G8" s="14"/>
      <c r="H8" s="15"/>
      <c r="I8" s="16"/>
      <c r="J8" s="17"/>
      <c r="K8" s="14"/>
      <c r="L8" s="15"/>
      <c r="M8" s="16"/>
      <c r="N8" s="17"/>
      <c r="O8" s="14"/>
      <c r="P8" s="15"/>
      <c r="Q8" s="16"/>
      <c r="R8" s="17"/>
      <c r="S8" s="14"/>
      <c r="T8" s="15"/>
      <c r="U8" s="16"/>
      <c r="V8" s="17"/>
      <c r="W8" s="14"/>
      <c r="X8" s="15"/>
      <c r="Y8" s="16"/>
      <c r="Z8" s="15"/>
      <c r="AA8" s="30"/>
      <c r="AB8" s="15"/>
    </row>
    <row r="9" spans="1:29">
      <c r="A9" s="8" t="s">
        <v>5082</v>
      </c>
      <c r="B9" s="25">
        <v>1.5</v>
      </c>
      <c r="C9" s="14"/>
      <c r="D9" s="15"/>
      <c r="E9" s="16"/>
      <c r="F9" s="17"/>
      <c r="G9" s="14"/>
      <c r="H9" s="15"/>
      <c r="I9" s="16"/>
      <c r="J9" s="17"/>
      <c r="K9" s="14"/>
      <c r="L9" s="15"/>
      <c r="M9" s="16"/>
      <c r="N9" s="17"/>
      <c r="O9" s="14"/>
      <c r="P9" s="15"/>
      <c r="Q9" s="16"/>
      <c r="R9" s="17"/>
      <c r="S9" s="14"/>
      <c r="T9" s="15"/>
      <c r="U9" s="16"/>
      <c r="V9" s="17"/>
      <c r="W9" s="14"/>
      <c r="X9" s="15"/>
      <c r="Y9" s="16"/>
      <c r="Z9" s="15"/>
      <c r="AA9" s="30"/>
      <c r="AB9" s="15"/>
    </row>
    <row r="10" spans="1:29">
      <c r="A10" s="8" t="s">
        <v>5083</v>
      </c>
      <c r="B10" s="25">
        <v>1.5</v>
      </c>
      <c r="C10" s="14"/>
      <c r="D10" s="15"/>
      <c r="E10" s="16"/>
      <c r="F10" s="17"/>
      <c r="G10" s="14"/>
      <c r="H10" s="15"/>
      <c r="I10" s="16"/>
      <c r="J10" s="17"/>
      <c r="K10" s="14"/>
      <c r="L10" s="15"/>
      <c r="M10" s="16"/>
      <c r="N10" s="17"/>
      <c r="O10" s="14"/>
      <c r="P10" s="15"/>
      <c r="Q10" s="16"/>
      <c r="R10" s="17"/>
      <c r="S10" s="14"/>
      <c r="T10" s="15"/>
      <c r="U10" s="16"/>
      <c r="V10" s="17"/>
      <c r="W10" s="14"/>
      <c r="X10" s="15"/>
      <c r="Y10" s="16"/>
      <c r="Z10" s="15"/>
      <c r="AA10" s="30"/>
      <c r="AB10" s="15"/>
    </row>
    <row r="11" spans="1:29">
      <c r="A11" s="8" t="s">
        <v>4315</v>
      </c>
      <c r="B11" s="25">
        <v>1.5</v>
      </c>
      <c r="C11" s="14"/>
      <c r="D11" s="15"/>
      <c r="E11" s="16"/>
      <c r="F11" s="17"/>
      <c r="G11" s="14"/>
      <c r="H11" s="15"/>
      <c r="I11" s="16"/>
      <c r="J11" s="17"/>
      <c r="K11" s="14"/>
      <c r="L11" s="15"/>
      <c r="M11" s="16"/>
      <c r="N11" s="17"/>
      <c r="O11" s="14"/>
      <c r="P11" s="15"/>
      <c r="Q11" s="16"/>
      <c r="R11" s="17"/>
      <c r="S11" s="14"/>
      <c r="T11" s="15"/>
      <c r="U11" s="16"/>
      <c r="V11" s="17"/>
      <c r="W11" s="14"/>
      <c r="X11" s="15"/>
      <c r="Y11" s="16"/>
      <c r="Z11" s="15"/>
      <c r="AA11" s="30"/>
      <c r="AB11" s="15"/>
    </row>
    <row r="12" spans="1:29">
      <c r="A12" s="8" t="s">
        <v>4315</v>
      </c>
      <c r="B12" s="25">
        <v>2.5</v>
      </c>
      <c r="C12" s="14"/>
      <c r="D12" s="15"/>
      <c r="E12" s="16"/>
      <c r="F12" s="17"/>
      <c r="G12" s="14"/>
      <c r="H12" s="15"/>
      <c r="I12" s="16"/>
      <c r="J12" s="17"/>
      <c r="K12" s="14"/>
      <c r="L12" s="15"/>
      <c r="M12" s="16"/>
      <c r="N12" s="17"/>
      <c r="O12" s="14"/>
      <c r="P12" s="15"/>
      <c r="Q12" s="16"/>
      <c r="R12" s="17"/>
      <c r="S12" s="14"/>
      <c r="T12" s="15"/>
      <c r="U12" s="16"/>
      <c r="V12" s="17"/>
      <c r="W12" s="14"/>
      <c r="X12" s="15"/>
      <c r="Y12" s="16"/>
      <c r="Z12" s="15"/>
      <c r="AA12" s="30"/>
      <c r="AB12" s="15"/>
    </row>
    <row r="13" spans="1:29">
      <c r="A13" s="8" t="s">
        <v>5084</v>
      </c>
      <c r="B13" s="25">
        <v>1.5</v>
      </c>
      <c r="C13" s="14"/>
      <c r="D13" s="15"/>
      <c r="E13" s="16"/>
      <c r="F13" s="17"/>
      <c r="G13" s="14"/>
      <c r="H13" s="15"/>
      <c r="I13" s="16"/>
      <c r="J13" s="17"/>
      <c r="K13" s="14"/>
      <c r="L13" s="15"/>
      <c r="M13" s="16"/>
      <c r="N13" s="17"/>
      <c r="O13" s="14"/>
      <c r="P13" s="15"/>
      <c r="Q13" s="16"/>
      <c r="R13" s="17"/>
      <c r="S13" s="14"/>
      <c r="T13" s="15"/>
      <c r="U13" s="16"/>
      <c r="V13" s="17"/>
      <c r="W13" s="14"/>
      <c r="X13" s="15"/>
      <c r="Y13" s="16"/>
      <c r="Z13" s="15"/>
      <c r="AA13" s="30"/>
      <c r="AB13" s="15"/>
    </row>
    <row r="14" spans="1:29">
      <c r="A14" s="8" t="s">
        <v>5084</v>
      </c>
      <c r="B14" s="25">
        <v>2.5</v>
      </c>
      <c r="C14" s="14"/>
      <c r="D14" s="15"/>
      <c r="E14" s="16"/>
      <c r="F14" s="17"/>
      <c r="G14" s="14"/>
      <c r="H14" s="15"/>
      <c r="I14" s="16"/>
      <c r="J14" s="17"/>
      <c r="K14" s="14"/>
      <c r="L14" s="15"/>
      <c r="M14" s="16"/>
      <c r="N14" s="17"/>
      <c r="O14" s="14"/>
      <c r="P14" s="15"/>
      <c r="Q14" s="16"/>
      <c r="R14" s="17"/>
      <c r="S14" s="14"/>
      <c r="T14" s="15"/>
      <c r="U14" s="16"/>
      <c r="V14" s="17"/>
      <c r="W14" s="14"/>
      <c r="X14" s="15"/>
      <c r="Y14" s="16"/>
      <c r="Z14" s="15"/>
      <c r="AA14" s="30"/>
      <c r="AB14" s="15"/>
    </row>
    <row r="15" spans="1:29">
      <c r="A15" s="8" t="s">
        <v>5085</v>
      </c>
      <c r="B15" s="25">
        <v>1.5</v>
      </c>
      <c r="C15" s="14"/>
      <c r="D15" s="15"/>
      <c r="E15" s="16"/>
      <c r="F15" s="17"/>
      <c r="G15" s="14"/>
      <c r="H15" s="15"/>
      <c r="I15" s="16"/>
      <c r="J15" s="17"/>
      <c r="K15" s="14"/>
      <c r="L15" s="15"/>
      <c r="M15" s="16"/>
      <c r="N15" s="17"/>
      <c r="O15" s="14"/>
      <c r="P15" s="15"/>
      <c r="Q15" s="16"/>
      <c r="R15" s="17"/>
      <c r="S15" s="14"/>
      <c r="T15" s="15"/>
      <c r="U15" s="16"/>
      <c r="V15" s="17"/>
      <c r="W15" s="14"/>
      <c r="X15" s="15"/>
      <c r="Y15" s="16"/>
      <c r="Z15" s="15"/>
      <c r="AA15" s="30"/>
      <c r="AB15" s="15"/>
    </row>
    <row r="16" spans="1:29">
      <c r="A16" s="8" t="s">
        <v>5086</v>
      </c>
      <c r="B16" s="25">
        <v>1.5</v>
      </c>
      <c r="C16" s="14"/>
      <c r="D16" s="15"/>
      <c r="E16" s="16"/>
      <c r="F16" s="17"/>
      <c r="G16" s="14"/>
      <c r="H16" s="15"/>
      <c r="I16" s="16"/>
      <c r="J16" s="17"/>
      <c r="K16" s="14"/>
      <c r="L16" s="15"/>
      <c r="M16" s="16"/>
      <c r="N16" s="17"/>
      <c r="O16" s="14"/>
      <c r="P16" s="15"/>
      <c r="Q16" s="16"/>
      <c r="R16" s="17"/>
      <c r="S16" s="14"/>
      <c r="T16" s="15"/>
      <c r="U16" s="16"/>
      <c r="V16" s="17"/>
      <c r="W16" s="14"/>
      <c r="X16" s="15"/>
      <c r="Y16" s="16"/>
      <c r="Z16" s="15"/>
      <c r="AA16" s="30"/>
      <c r="AB16" s="15"/>
    </row>
    <row r="17" spans="1:29">
      <c r="A17" s="8" t="s">
        <v>5087</v>
      </c>
      <c r="B17" s="25" t="s">
        <v>5088</v>
      </c>
      <c r="C17" s="14"/>
      <c r="D17" s="15"/>
      <c r="E17" s="16"/>
      <c r="F17" s="17"/>
      <c r="G17" s="14"/>
      <c r="H17" s="15"/>
      <c r="I17" s="16"/>
      <c r="J17" s="17"/>
      <c r="K17" s="14"/>
      <c r="L17" s="15"/>
      <c r="M17" s="16"/>
      <c r="N17" s="17"/>
      <c r="O17" s="14"/>
      <c r="P17" s="15"/>
      <c r="Q17" s="16"/>
      <c r="R17" s="17"/>
      <c r="S17" s="14"/>
      <c r="T17" s="15"/>
      <c r="U17" s="16"/>
      <c r="V17" s="17"/>
      <c r="W17" s="14"/>
      <c r="X17" s="15"/>
      <c r="Y17" s="16"/>
      <c r="Z17" s="15"/>
      <c r="AA17" s="30"/>
      <c r="AB17" s="15"/>
    </row>
    <row r="18" spans="1:29">
      <c r="A18" s="8" t="s">
        <v>5089</v>
      </c>
      <c r="B18" s="25" t="s">
        <v>5090</v>
      </c>
      <c r="C18" s="14"/>
      <c r="D18" s="15"/>
      <c r="E18" s="16"/>
      <c r="F18" s="17"/>
      <c r="G18" s="14"/>
      <c r="H18" s="15"/>
      <c r="I18" s="16"/>
      <c r="J18" s="17"/>
      <c r="K18" s="14"/>
      <c r="L18" s="15"/>
      <c r="M18" s="16"/>
      <c r="N18" s="17"/>
      <c r="O18" s="14"/>
      <c r="P18" s="15"/>
      <c r="Q18" s="16"/>
      <c r="R18" s="17"/>
      <c r="S18" s="14"/>
      <c r="T18" s="15"/>
      <c r="U18" s="16"/>
      <c r="V18" s="17"/>
      <c r="W18" s="14"/>
      <c r="X18" s="15"/>
      <c r="Y18" s="16"/>
      <c r="Z18" s="15"/>
      <c r="AA18" s="30"/>
      <c r="AB18" s="15"/>
    </row>
    <row r="19" spans="1:29">
      <c r="A19" s="8" t="s">
        <v>5091</v>
      </c>
      <c r="B19" s="25" t="s">
        <v>5092</v>
      </c>
      <c r="C19" s="14"/>
      <c r="D19" s="15"/>
      <c r="E19" s="16"/>
      <c r="F19" s="17"/>
      <c r="G19" s="14"/>
      <c r="H19" s="15"/>
      <c r="I19" s="16"/>
      <c r="J19" s="17"/>
      <c r="K19" s="14"/>
      <c r="L19" s="15"/>
      <c r="M19" s="16"/>
      <c r="N19" s="17"/>
      <c r="O19" s="14"/>
      <c r="P19" s="15"/>
      <c r="Q19" s="16"/>
      <c r="R19" s="17"/>
      <c r="S19" s="14"/>
      <c r="T19" s="15"/>
      <c r="U19" s="16"/>
      <c r="V19" s="17"/>
      <c r="W19" s="14"/>
      <c r="X19" s="15"/>
      <c r="Y19" s="16"/>
      <c r="Z19" s="15"/>
      <c r="AA19" s="30"/>
      <c r="AB19" s="15"/>
    </row>
    <row r="20" spans="1:29">
      <c r="A20" s="8" t="s">
        <v>5093</v>
      </c>
      <c r="B20" s="25" t="s">
        <v>5094</v>
      </c>
      <c r="C20" s="14"/>
      <c r="D20" s="15"/>
      <c r="E20" s="16"/>
      <c r="F20" s="17"/>
      <c r="G20" s="14"/>
      <c r="H20" s="15"/>
      <c r="I20" s="16"/>
      <c r="J20" s="17"/>
      <c r="K20" s="14"/>
      <c r="L20" s="15"/>
      <c r="M20" s="16"/>
      <c r="N20" s="17"/>
      <c r="O20" s="14"/>
      <c r="P20" s="15"/>
      <c r="Q20" s="16"/>
      <c r="R20" s="17"/>
      <c r="S20" s="14"/>
      <c r="T20" s="15"/>
      <c r="U20" s="16"/>
      <c r="V20" s="17"/>
      <c r="W20" s="14"/>
      <c r="X20" s="15"/>
      <c r="Y20" s="16"/>
      <c r="Z20" s="15"/>
      <c r="AA20" s="30"/>
      <c r="AB20" s="15"/>
    </row>
    <row r="21" spans="1:29">
      <c r="A21" s="13"/>
      <c r="B21" s="25"/>
      <c r="C21" s="14"/>
      <c r="D21" s="15"/>
      <c r="E21" s="16"/>
      <c r="F21" s="17"/>
      <c r="G21" s="14"/>
      <c r="H21" s="15"/>
      <c r="I21" s="16"/>
      <c r="J21" s="17"/>
      <c r="K21" s="14"/>
      <c r="L21" s="15"/>
      <c r="M21" s="16"/>
      <c r="N21" s="17"/>
      <c r="O21" s="14"/>
      <c r="P21" s="15"/>
      <c r="Q21" s="16"/>
      <c r="R21" s="17"/>
      <c r="S21" s="14"/>
      <c r="T21" s="15"/>
      <c r="U21" s="16"/>
      <c r="V21" s="17"/>
      <c r="W21" s="14"/>
      <c r="X21" s="15"/>
      <c r="Y21" s="16"/>
      <c r="Z21" s="15"/>
      <c r="AA21" s="30"/>
      <c r="AB21" s="15"/>
    </row>
    <row r="22" spans="1:29">
      <c r="A22" s="8"/>
      <c r="B22" s="25"/>
      <c r="C22" s="14"/>
      <c r="D22" s="15"/>
      <c r="E22" s="16"/>
      <c r="F22" s="17"/>
      <c r="G22" s="14"/>
      <c r="H22" s="15"/>
      <c r="I22" s="16"/>
      <c r="J22" s="17"/>
      <c r="K22" s="14"/>
      <c r="L22" s="15"/>
      <c r="M22" s="16"/>
      <c r="N22" s="17"/>
      <c r="O22" s="14"/>
      <c r="P22" s="15"/>
      <c r="Q22" s="16"/>
      <c r="R22" s="17"/>
      <c r="S22" s="14"/>
      <c r="T22" s="15"/>
      <c r="U22" s="16"/>
      <c r="V22" s="17"/>
      <c r="W22" s="14"/>
      <c r="X22" s="15"/>
      <c r="Y22" s="16"/>
      <c r="Z22" s="15"/>
      <c r="AA22" s="33"/>
      <c r="AB22" s="10"/>
    </row>
    <row r="23" spans="1:29" ht="40.5" thickBot="1">
      <c r="A23" s="34"/>
      <c r="B23" s="41"/>
      <c r="C23" s="6"/>
      <c r="D23" s="32"/>
      <c r="E23" s="7"/>
      <c r="F23" s="40"/>
      <c r="G23" s="6"/>
      <c r="H23" s="32"/>
      <c r="I23" s="7"/>
      <c r="J23" s="40"/>
      <c r="K23" s="6"/>
      <c r="L23" s="32"/>
      <c r="M23" s="7"/>
      <c r="N23" s="40"/>
      <c r="O23" s="6"/>
      <c r="P23" s="32"/>
      <c r="Q23" s="7"/>
      <c r="R23" s="40"/>
      <c r="S23" s="6"/>
      <c r="T23" s="32"/>
      <c r="U23" s="7"/>
      <c r="V23" s="40"/>
      <c r="W23" s="6"/>
      <c r="X23" s="32"/>
      <c r="Y23" s="7"/>
      <c r="Z23" s="32"/>
      <c r="AA23" s="31"/>
      <c r="AB23" s="32"/>
    </row>
    <row r="24" spans="1:29" ht="40.5">
      <c r="A24" s="3" t="s">
        <v>5063</v>
      </c>
      <c r="B24" s="23"/>
      <c r="C24" s="3"/>
      <c r="D24" s="3"/>
      <c r="E24" s="3"/>
      <c r="F24" s="3"/>
      <c r="G24" s="3"/>
      <c r="H24" s="3"/>
      <c r="I24" s="3"/>
      <c r="J24" s="3"/>
      <c r="K24" s="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B24" s="4"/>
      <c r="AC24" s="4"/>
    </row>
    <row r="25" spans="1:29" ht="40.5" thickBot="1">
      <c r="A25" s="5" t="s">
        <v>5095</v>
      </c>
    </row>
    <row r="26" spans="1:29">
      <c r="A26" s="3544" t="s">
        <v>2</v>
      </c>
      <c r="B26" s="3546" t="s">
        <v>3</v>
      </c>
      <c r="C26" s="3537" t="s">
        <v>5065</v>
      </c>
      <c r="D26" s="3538"/>
      <c r="E26" s="3536" t="s">
        <v>5066</v>
      </c>
      <c r="F26" s="3536"/>
      <c r="G26" s="3537" t="s">
        <v>5067</v>
      </c>
      <c r="H26" s="3538"/>
      <c r="I26" s="3536" t="s">
        <v>5068</v>
      </c>
      <c r="J26" s="3536"/>
      <c r="K26" s="3537" t="s">
        <v>5069</v>
      </c>
      <c r="L26" s="3538"/>
      <c r="M26" s="3536" t="s">
        <v>5070</v>
      </c>
      <c r="N26" s="3536"/>
      <c r="O26" s="3537" t="s">
        <v>5071</v>
      </c>
      <c r="P26" s="3538"/>
      <c r="Q26" s="3536" t="s">
        <v>5072</v>
      </c>
      <c r="R26" s="3536"/>
      <c r="S26" s="3537" t="s">
        <v>5073</v>
      </c>
      <c r="T26" s="3538"/>
      <c r="U26" s="3536" t="s">
        <v>5074</v>
      </c>
      <c r="V26" s="3536"/>
      <c r="W26" s="3537" t="s">
        <v>5075</v>
      </c>
      <c r="X26" s="3538"/>
      <c r="Y26" s="3536" t="s">
        <v>5076</v>
      </c>
      <c r="Z26" s="3538"/>
      <c r="AA26" s="3550" t="s">
        <v>5077</v>
      </c>
      <c r="AB26" s="3551"/>
    </row>
    <row r="27" spans="1:29" ht="40.5" thickBot="1">
      <c r="A27" s="3545"/>
      <c r="B27" s="3547"/>
      <c r="C27" s="1" t="s">
        <v>5078</v>
      </c>
      <c r="D27" s="35" t="s">
        <v>5079</v>
      </c>
      <c r="E27" s="2" t="s">
        <v>5078</v>
      </c>
      <c r="F27" s="36" t="s">
        <v>5079</v>
      </c>
      <c r="G27" s="1" t="s">
        <v>5078</v>
      </c>
      <c r="H27" s="35" t="s">
        <v>5079</v>
      </c>
      <c r="I27" s="2" t="s">
        <v>5078</v>
      </c>
      <c r="J27" s="36" t="s">
        <v>5079</v>
      </c>
      <c r="K27" s="1" t="s">
        <v>5078</v>
      </c>
      <c r="L27" s="35" t="s">
        <v>5079</v>
      </c>
      <c r="M27" s="2" t="s">
        <v>5078</v>
      </c>
      <c r="N27" s="36" t="s">
        <v>5079</v>
      </c>
      <c r="O27" s="1" t="s">
        <v>5078</v>
      </c>
      <c r="P27" s="35" t="s">
        <v>5079</v>
      </c>
      <c r="Q27" s="2" t="s">
        <v>5078</v>
      </c>
      <c r="R27" s="36" t="s">
        <v>5079</v>
      </c>
      <c r="S27" s="1" t="s">
        <v>5078</v>
      </c>
      <c r="T27" s="35" t="s">
        <v>5079</v>
      </c>
      <c r="U27" s="2" t="s">
        <v>5078</v>
      </c>
      <c r="V27" s="36" t="s">
        <v>5079</v>
      </c>
      <c r="W27" s="1" t="s">
        <v>5078</v>
      </c>
      <c r="X27" s="35" t="s">
        <v>5079</v>
      </c>
      <c r="Y27" s="2" t="s">
        <v>5078</v>
      </c>
      <c r="Z27" s="35" t="s">
        <v>5079</v>
      </c>
      <c r="AA27" s="37"/>
      <c r="AB27" s="38"/>
    </row>
    <row r="28" spans="1:29">
      <c r="A28" s="8" t="s">
        <v>5096</v>
      </c>
      <c r="B28" s="25" t="s">
        <v>5097</v>
      </c>
      <c r="C28" s="14"/>
      <c r="D28" s="15"/>
      <c r="E28" s="16"/>
      <c r="F28" s="17"/>
      <c r="G28" s="14"/>
      <c r="H28" s="15"/>
      <c r="I28" s="16"/>
      <c r="J28" s="17"/>
      <c r="K28" s="14"/>
      <c r="L28" s="15"/>
      <c r="M28" s="16"/>
      <c r="N28" s="17"/>
      <c r="O28" s="14"/>
      <c r="P28" s="15"/>
      <c r="Q28" s="16"/>
      <c r="R28" s="17"/>
      <c r="S28" s="14"/>
      <c r="T28" s="15"/>
      <c r="U28" s="16"/>
      <c r="V28" s="17"/>
      <c r="W28" s="14"/>
      <c r="X28" s="15"/>
      <c r="Y28" s="16"/>
      <c r="Z28" s="15"/>
      <c r="AA28" s="28"/>
      <c r="AB28" s="29"/>
    </row>
    <row r="29" spans="1:29">
      <c r="A29" s="8" t="s">
        <v>5098</v>
      </c>
      <c r="B29" s="25" t="s">
        <v>5099</v>
      </c>
      <c r="C29" s="14"/>
      <c r="D29" s="15"/>
      <c r="E29" s="16"/>
      <c r="F29" s="17"/>
      <c r="G29" s="14"/>
      <c r="H29" s="15"/>
      <c r="I29" s="16"/>
      <c r="J29" s="17"/>
      <c r="K29" s="14"/>
      <c r="L29" s="15"/>
      <c r="M29" s="16"/>
      <c r="N29" s="17"/>
      <c r="O29" s="14"/>
      <c r="P29" s="15"/>
      <c r="Q29" s="16"/>
      <c r="R29" s="17"/>
      <c r="S29" s="14"/>
      <c r="T29" s="15"/>
      <c r="U29" s="16"/>
      <c r="V29" s="17"/>
      <c r="W29" s="14"/>
      <c r="X29" s="15"/>
      <c r="Y29" s="16"/>
      <c r="Z29" s="15"/>
      <c r="AA29" s="30"/>
      <c r="AB29" s="15"/>
    </row>
    <row r="30" spans="1:29">
      <c r="A30" s="8" t="s">
        <v>5100</v>
      </c>
      <c r="B30" s="25" t="s">
        <v>5097</v>
      </c>
      <c r="C30" s="14"/>
      <c r="D30" s="15"/>
      <c r="E30" s="16"/>
      <c r="F30" s="17"/>
      <c r="G30" s="14"/>
      <c r="H30" s="15"/>
      <c r="I30" s="16"/>
      <c r="J30" s="17"/>
      <c r="K30" s="14"/>
      <c r="L30" s="15"/>
      <c r="M30" s="16"/>
      <c r="N30" s="17"/>
      <c r="O30" s="14"/>
      <c r="P30" s="15"/>
      <c r="Q30" s="16"/>
      <c r="R30" s="17"/>
      <c r="S30" s="14"/>
      <c r="T30" s="15"/>
      <c r="U30" s="16"/>
      <c r="V30" s="17"/>
      <c r="W30" s="14"/>
      <c r="X30" s="15"/>
      <c r="Y30" s="16"/>
      <c r="Z30" s="15"/>
      <c r="AA30" s="30"/>
      <c r="AB30" s="15"/>
    </row>
    <row r="31" spans="1:29">
      <c r="A31" s="8" t="s">
        <v>5100</v>
      </c>
      <c r="B31" s="25" t="s">
        <v>5099</v>
      </c>
      <c r="C31" s="19"/>
      <c r="D31" s="20"/>
      <c r="E31" s="21"/>
      <c r="F31" s="22"/>
      <c r="G31" s="19"/>
      <c r="H31" s="20"/>
      <c r="I31" s="21"/>
      <c r="J31" s="22"/>
      <c r="K31" s="19"/>
      <c r="L31" s="20"/>
      <c r="M31" s="21"/>
      <c r="N31" s="22"/>
      <c r="O31" s="19"/>
      <c r="P31" s="20"/>
      <c r="Q31" s="21"/>
      <c r="R31" s="22"/>
      <c r="S31" s="19"/>
      <c r="T31" s="20"/>
      <c r="U31" s="21"/>
      <c r="V31" s="22"/>
      <c r="W31" s="19"/>
      <c r="X31" s="20"/>
      <c r="Y31" s="21"/>
      <c r="Z31" s="20"/>
      <c r="AA31" s="30"/>
      <c r="AB31" s="15"/>
    </row>
    <row r="32" spans="1:29">
      <c r="A32" s="8" t="s">
        <v>5101</v>
      </c>
      <c r="B32" s="25" t="s">
        <v>5097</v>
      </c>
      <c r="C32" s="14"/>
      <c r="D32" s="15"/>
      <c r="E32" s="14"/>
      <c r="F32" s="15"/>
      <c r="G32" s="16"/>
      <c r="H32" s="15"/>
      <c r="I32" s="16"/>
      <c r="J32" s="15"/>
      <c r="K32" s="16"/>
      <c r="L32" s="15"/>
      <c r="M32" s="16"/>
      <c r="N32" s="15"/>
      <c r="O32" s="16"/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5"/>
      <c r="AA32" s="30"/>
      <c r="AB32" s="15"/>
    </row>
    <row r="33" spans="1:29">
      <c r="A33" s="8" t="s">
        <v>5101</v>
      </c>
      <c r="B33" s="25" t="s">
        <v>5099</v>
      </c>
      <c r="C33" s="14"/>
      <c r="D33" s="15"/>
      <c r="E33" s="14"/>
      <c r="F33" s="15"/>
      <c r="G33" s="16"/>
      <c r="H33" s="15"/>
      <c r="I33" s="16"/>
      <c r="J33" s="15"/>
      <c r="K33" s="16"/>
      <c r="L33" s="15"/>
      <c r="M33" s="16"/>
      <c r="N33" s="15"/>
      <c r="O33" s="16"/>
      <c r="P33" s="15"/>
      <c r="Q33" s="16"/>
      <c r="R33" s="15"/>
      <c r="S33" s="16"/>
      <c r="T33" s="15"/>
      <c r="U33" s="16"/>
      <c r="V33" s="15"/>
      <c r="W33" s="16"/>
      <c r="X33" s="15"/>
      <c r="Y33" s="16"/>
      <c r="Z33" s="15"/>
      <c r="AA33" s="30"/>
      <c r="AB33" s="15"/>
    </row>
    <row r="34" spans="1:29">
      <c r="A34" s="8" t="s">
        <v>5102</v>
      </c>
      <c r="B34" s="25" t="s">
        <v>5097</v>
      </c>
      <c r="C34" s="14"/>
      <c r="D34" s="15"/>
      <c r="E34" s="14"/>
      <c r="F34" s="15"/>
      <c r="G34" s="16"/>
      <c r="H34" s="15"/>
      <c r="I34" s="16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30"/>
      <c r="AB34" s="15"/>
    </row>
    <row r="35" spans="1:29">
      <c r="A35" s="8" t="s">
        <v>5102</v>
      </c>
      <c r="B35" s="25" t="s">
        <v>5099</v>
      </c>
      <c r="C35" s="14"/>
      <c r="D35" s="15"/>
      <c r="E35" s="14"/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5"/>
      <c r="AA35" s="30"/>
      <c r="AB35" s="15"/>
    </row>
    <row r="36" spans="1:29">
      <c r="A36" s="8" t="s">
        <v>5103</v>
      </c>
      <c r="B36" s="25" t="s">
        <v>5097</v>
      </c>
      <c r="C36" s="14"/>
      <c r="D36" s="15"/>
      <c r="E36" s="14"/>
      <c r="F36" s="15"/>
      <c r="G36" s="16"/>
      <c r="H36" s="15"/>
      <c r="I36" s="16"/>
      <c r="J36" s="15"/>
      <c r="K36" s="16"/>
      <c r="L36" s="15"/>
      <c r="M36" s="16"/>
      <c r="N36" s="15"/>
      <c r="O36" s="16"/>
      <c r="P36" s="15"/>
      <c r="Q36" s="16"/>
      <c r="R36" s="15"/>
      <c r="S36" s="16"/>
      <c r="T36" s="15"/>
      <c r="U36" s="16"/>
      <c r="V36" s="15"/>
      <c r="W36" s="16"/>
      <c r="X36" s="15"/>
      <c r="Y36" s="16"/>
      <c r="Z36" s="15"/>
      <c r="AA36" s="30"/>
      <c r="AB36" s="15"/>
    </row>
    <row r="37" spans="1:29">
      <c r="A37" s="8" t="s">
        <v>5103</v>
      </c>
      <c r="B37" s="25" t="s">
        <v>5097</v>
      </c>
      <c r="C37" s="19"/>
      <c r="D37" s="20"/>
      <c r="E37" s="19"/>
      <c r="F37" s="20"/>
      <c r="G37" s="21"/>
      <c r="H37" s="20"/>
      <c r="I37" s="21"/>
      <c r="J37" s="20"/>
      <c r="K37" s="21"/>
      <c r="L37" s="20"/>
      <c r="M37" s="21"/>
      <c r="N37" s="20"/>
      <c r="O37" s="21"/>
      <c r="P37" s="20"/>
      <c r="Q37" s="21"/>
      <c r="R37" s="20"/>
      <c r="S37" s="21"/>
      <c r="T37" s="20"/>
      <c r="U37" s="21"/>
      <c r="V37" s="20"/>
      <c r="W37" s="21"/>
      <c r="X37" s="20"/>
      <c r="Y37" s="21"/>
      <c r="Z37" s="20"/>
      <c r="AA37" s="30"/>
      <c r="AB37" s="15"/>
    </row>
    <row r="38" spans="1:29">
      <c r="A38" s="13" t="s">
        <v>5104</v>
      </c>
      <c r="B38" s="25" t="s">
        <v>5088</v>
      </c>
      <c r="C38" s="14"/>
      <c r="D38" s="15"/>
      <c r="E38" s="14"/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30"/>
      <c r="AB38" s="15"/>
    </row>
    <row r="39" spans="1:29">
      <c r="A39" s="13" t="s">
        <v>5105</v>
      </c>
      <c r="B39" s="25" t="s">
        <v>5090</v>
      </c>
      <c r="C39" s="14"/>
      <c r="D39" s="15"/>
      <c r="E39" s="14"/>
      <c r="F39" s="15"/>
      <c r="G39" s="16"/>
      <c r="H39" s="15"/>
      <c r="I39" s="16"/>
      <c r="J39" s="15"/>
      <c r="K39" s="16"/>
      <c r="L39" s="15"/>
      <c r="M39" s="16"/>
      <c r="N39" s="15"/>
      <c r="O39" s="16"/>
      <c r="P39" s="15"/>
      <c r="Q39" s="16"/>
      <c r="R39" s="15"/>
      <c r="S39" s="16"/>
      <c r="T39" s="15"/>
      <c r="U39" s="16"/>
      <c r="V39" s="15"/>
      <c r="W39" s="16"/>
      <c r="X39" s="15"/>
      <c r="Y39" s="16"/>
      <c r="Z39" s="15"/>
      <c r="AA39" s="30"/>
      <c r="AB39" s="15"/>
    </row>
    <row r="40" spans="1:29">
      <c r="A40" s="42" t="s">
        <v>5106</v>
      </c>
      <c r="B40" s="25" t="s">
        <v>5092</v>
      </c>
      <c r="C40" s="14"/>
      <c r="D40" s="15"/>
      <c r="E40" s="14"/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30"/>
      <c r="AB40" s="15"/>
    </row>
    <row r="41" spans="1:29">
      <c r="A41" s="13" t="s">
        <v>5107</v>
      </c>
      <c r="B41" s="25" t="s">
        <v>5108</v>
      </c>
      <c r="C41" s="14"/>
      <c r="D41" s="15"/>
      <c r="E41" s="14"/>
      <c r="F41" s="15"/>
      <c r="G41" s="16"/>
      <c r="H41" s="15"/>
      <c r="I41" s="16"/>
      <c r="J41" s="15"/>
      <c r="K41" s="16"/>
      <c r="L41" s="15"/>
      <c r="M41" s="16"/>
      <c r="N41" s="15"/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5"/>
      <c r="AA41" s="30"/>
      <c r="AB41" s="15"/>
    </row>
    <row r="42" spans="1:29">
      <c r="A42" s="8"/>
      <c r="B42" s="25"/>
      <c r="C42" s="14"/>
      <c r="D42" s="15"/>
      <c r="E42" s="14"/>
      <c r="F42" s="15"/>
      <c r="G42" s="16"/>
      <c r="H42" s="15"/>
      <c r="I42" s="16"/>
      <c r="J42" s="15"/>
      <c r="K42" s="16"/>
      <c r="L42" s="15"/>
      <c r="M42" s="16"/>
      <c r="N42" s="15"/>
      <c r="O42" s="16"/>
      <c r="P42" s="15"/>
      <c r="Q42" s="16"/>
      <c r="R42" s="15"/>
      <c r="S42" s="16"/>
      <c r="T42" s="15"/>
      <c r="U42" s="16"/>
      <c r="V42" s="15"/>
      <c r="W42" s="16"/>
      <c r="X42" s="15"/>
      <c r="Y42" s="16"/>
      <c r="Z42" s="15"/>
      <c r="AA42" s="30"/>
      <c r="AB42" s="15"/>
    </row>
    <row r="43" spans="1:29">
      <c r="A43" s="13"/>
      <c r="B43" s="26"/>
      <c r="C43" s="14"/>
      <c r="D43" s="15"/>
      <c r="E43" s="14"/>
      <c r="F43" s="15"/>
      <c r="G43" s="16"/>
      <c r="H43" s="15"/>
      <c r="I43" s="16"/>
      <c r="J43" s="15"/>
      <c r="K43" s="16"/>
      <c r="L43" s="15"/>
      <c r="M43" s="16"/>
      <c r="N43" s="15"/>
      <c r="O43" s="16"/>
      <c r="P43" s="15"/>
      <c r="Q43" s="16"/>
      <c r="R43" s="15"/>
      <c r="S43" s="16"/>
      <c r="T43" s="15"/>
      <c r="U43" s="16"/>
      <c r="V43" s="15"/>
      <c r="W43" s="16"/>
      <c r="X43" s="15"/>
      <c r="Y43" s="16"/>
      <c r="Z43" s="15"/>
      <c r="AA43" s="30"/>
      <c r="AB43" s="15"/>
    </row>
    <row r="44" spans="1:29">
      <c r="A44" s="13"/>
      <c r="B44" s="26"/>
      <c r="C44" s="14"/>
      <c r="D44" s="15"/>
      <c r="E44" s="14"/>
      <c r="F44" s="15"/>
      <c r="G44" s="16"/>
      <c r="H44" s="15"/>
      <c r="I44" s="1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30"/>
      <c r="AB44" s="15"/>
    </row>
    <row r="45" spans="1:29">
      <c r="A45" s="13"/>
      <c r="B45" s="26"/>
      <c r="C45" s="14"/>
      <c r="D45" s="15"/>
      <c r="E45" s="14"/>
      <c r="F45" s="15"/>
      <c r="G45" s="16"/>
      <c r="H45" s="15"/>
      <c r="I45" s="16"/>
      <c r="J45" s="15"/>
      <c r="K45" s="16"/>
      <c r="L45" s="15"/>
      <c r="M45" s="16"/>
      <c r="N45" s="15"/>
      <c r="O45" s="16"/>
      <c r="P45" s="15"/>
      <c r="Q45" s="16"/>
      <c r="R45" s="15"/>
      <c r="S45" s="16"/>
      <c r="T45" s="15"/>
      <c r="U45" s="16"/>
      <c r="V45" s="15"/>
      <c r="W45" s="16"/>
      <c r="X45" s="15"/>
      <c r="Y45" s="16"/>
      <c r="Z45" s="15"/>
      <c r="AA45" s="33"/>
      <c r="AB45" s="10"/>
    </row>
    <row r="46" spans="1:29" ht="40.5" thickBot="1">
      <c r="A46" s="34"/>
      <c r="B46" s="3476"/>
      <c r="C46" s="6"/>
      <c r="D46" s="32"/>
      <c r="E46" s="6"/>
      <c r="F46" s="32"/>
      <c r="G46" s="7"/>
      <c r="H46" s="32"/>
      <c r="I46" s="7"/>
      <c r="J46" s="32"/>
      <c r="K46" s="7"/>
      <c r="L46" s="32"/>
      <c r="M46" s="7"/>
      <c r="N46" s="32"/>
      <c r="O46" s="7"/>
      <c r="P46" s="32"/>
      <c r="Q46" s="7"/>
      <c r="R46" s="32"/>
      <c r="S46" s="7"/>
      <c r="T46" s="32"/>
      <c r="U46" s="7"/>
      <c r="V46" s="32"/>
      <c r="W46" s="7"/>
      <c r="X46" s="32"/>
      <c r="Y46" s="7"/>
      <c r="Z46" s="32"/>
      <c r="AA46" s="31"/>
      <c r="AB46" s="32"/>
    </row>
    <row r="47" spans="1:29" ht="40.5">
      <c r="A47" s="3" t="s">
        <v>5063</v>
      </c>
      <c r="B47" s="23"/>
      <c r="C47" s="3"/>
      <c r="D47" s="3"/>
      <c r="E47" s="3"/>
      <c r="F47" s="3"/>
      <c r="G47" s="3"/>
      <c r="H47" s="3"/>
      <c r="I47" s="3"/>
      <c r="J47" s="3"/>
      <c r="K47" s="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B47" s="4"/>
      <c r="AC47" s="4"/>
    </row>
    <row r="48" spans="1:29" ht="40.5" thickBot="1">
      <c r="A48" s="5" t="s">
        <v>5109</v>
      </c>
    </row>
    <row r="49" spans="1:28">
      <c r="A49" s="3544" t="s">
        <v>2</v>
      </c>
      <c r="B49" s="3546" t="s">
        <v>3</v>
      </c>
      <c r="C49" s="3537" t="s">
        <v>5065</v>
      </c>
      <c r="D49" s="3538"/>
      <c r="E49" s="3536" t="s">
        <v>5066</v>
      </c>
      <c r="F49" s="3536"/>
      <c r="G49" s="3537" t="s">
        <v>5067</v>
      </c>
      <c r="H49" s="3538"/>
      <c r="I49" s="3536" t="s">
        <v>5068</v>
      </c>
      <c r="J49" s="3536"/>
      <c r="K49" s="3537" t="s">
        <v>5069</v>
      </c>
      <c r="L49" s="3538"/>
      <c r="M49" s="3536" t="s">
        <v>5070</v>
      </c>
      <c r="N49" s="3536"/>
      <c r="O49" s="3537" t="s">
        <v>5071</v>
      </c>
      <c r="P49" s="3538"/>
      <c r="Q49" s="3536" t="s">
        <v>5072</v>
      </c>
      <c r="R49" s="3536"/>
      <c r="S49" s="3537" t="s">
        <v>5073</v>
      </c>
      <c r="T49" s="3538"/>
      <c r="U49" s="3536" t="s">
        <v>5074</v>
      </c>
      <c r="V49" s="3536"/>
      <c r="W49" s="3537" t="s">
        <v>5075</v>
      </c>
      <c r="X49" s="3538"/>
      <c r="Y49" s="3536" t="s">
        <v>5076</v>
      </c>
      <c r="Z49" s="3538"/>
      <c r="AA49" s="3550" t="s">
        <v>5077</v>
      </c>
      <c r="AB49" s="3551"/>
    </row>
    <row r="50" spans="1:28" ht="40.5" thickBot="1">
      <c r="A50" s="3545"/>
      <c r="B50" s="3547"/>
      <c r="C50" s="1" t="s">
        <v>5078</v>
      </c>
      <c r="D50" s="35" t="s">
        <v>5079</v>
      </c>
      <c r="E50" s="2" t="s">
        <v>5078</v>
      </c>
      <c r="F50" s="36" t="s">
        <v>5079</v>
      </c>
      <c r="G50" s="1" t="s">
        <v>5078</v>
      </c>
      <c r="H50" s="35" t="s">
        <v>5079</v>
      </c>
      <c r="I50" s="2" t="s">
        <v>5078</v>
      </c>
      <c r="J50" s="36" t="s">
        <v>5079</v>
      </c>
      <c r="K50" s="1" t="s">
        <v>5078</v>
      </c>
      <c r="L50" s="35" t="s">
        <v>5079</v>
      </c>
      <c r="M50" s="2" t="s">
        <v>5078</v>
      </c>
      <c r="N50" s="36" t="s">
        <v>5079</v>
      </c>
      <c r="O50" s="1" t="s">
        <v>5078</v>
      </c>
      <c r="P50" s="35" t="s">
        <v>5079</v>
      </c>
      <c r="Q50" s="2" t="s">
        <v>5078</v>
      </c>
      <c r="R50" s="36" t="s">
        <v>5079</v>
      </c>
      <c r="S50" s="1" t="s">
        <v>5078</v>
      </c>
      <c r="T50" s="35" t="s">
        <v>5079</v>
      </c>
      <c r="U50" s="2" t="s">
        <v>5078</v>
      </c>
      <c r="V50" s="36" t="s">
        <v>5079</v>
      </c>
      <c r="W50" s="1" t="s">
        <v>5078</v>
      </c>
      <c r="X50" s="35" t="s">
        <v>5079</v>
      </c>
      <c r="Y50" s="2" t="s">
        <v>5078</v>
      </c>
      <c r="Z50" s="35" t="s">
        <v>5079</v>
      </c>
      <c r="AA50" s="37"/>
      <c r="AB50" s="38"/>
    </row>
    <row r="51" spans="1:28">
      <c r="A51" s="13" t="s">
        <v>4928</v>
      </c>
      <c r="B51" s="26" t="s">
        <v>634</v>
      </c>
      <c r="C51" s="14"/>
      <c r="D51" s="15"/>
      <c r="E51" s="14"/>
      <c r="F51" s="15"/>
      <c r="G51" s="16"/>
      <c r="H51" s="15"/>
      <c r="I51" s="16"/>
      <c r="J51" s="15"/>
      <c r="K51" s="16"/>
      <c r="L51" s="15"/>
      <c r="M51" s="16"/>
      <c r="N51" s="15"/>
      <c r="O51" s="16"/>
      <c r="P51" s="15"/>
      <c r="Q51" s="16"/>
      <c r="R51" s="15"/>
      <c r="S51" s="16"/>
      <c r="T51" s="15"/>
      <c r="U51" s="16"/>
      <c r="V51" s="15"/>
      <c r="W51" s="16"/>
      <c r="X51" s="15"/>
      <c r="Y51" s="16"/>
      <c r="Z51" s="15"/>
      <c r="AA51" s="28"/>
      <c r="AB51" s="29"/>
    </row>
    <row r="52" spans="1:28">
      <c r="A52" s="13"/>
      <c r="B52" s="26" t="s">
        <v>4894</v>
      </c>
      <c r="C52" s="14"/>
      <c r="D52" s="15"/>
      <c r="E52" s="14"/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30"/>
      <c r="AB52" s="15"/>
    </row>
    <row r="53" spans="1:28">
      <c r="A53" s="18"/>
      <c r="B53" s="3474"/>
      <c r="C53" s="14"/>
      <c r="D53" s="15"/>
      <c r="E53" s="14"/>
      <c r="F53" s="15"/>
      <c r="G53" s="16"/>
      <c r="H53" s="15"/>
      <c r="I53" s="16"/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5"/>
      <c r="AA53" s="30"/>
      <c r="AB53" s="15"/>
    </row>
    <row r="54" spans="1:28">
      <c r="A54" s="13" t="s">
        <v>5110</v>
      </c>
      <c r="B54" s="26" t="s">
        <v>256</v>
      </c>
      <c r="C54" s="14"/>
      <c r="D54" s="15"/>
      <c r="E54" s="14"/>
      <c r="F54" s="15"/>
      <c r="G54" s="16"/>
      <c r="H54" s="15"/>
      <c r="I54" s="16"/>
      <c r="J54" s="15"/>
      <c r="K54" s="16"/>
      <c r="L54" s="15"/>
      <c r="M54" s="16"/>
      <c r="N54" s="15"/>
      <c r="O54" s="16"/>
      <c r="P54" s="15"/>
      <c r="Q54" s="16"/>
      <c r="R54" s="15"/>
      <c r="S54" s="16"/>
      <c r="T54" s="15"/>
      <c r="U54" s="16"/>
      <c r="V54" s="15"/>
      <c r="W54" s="16"/>
      <c r="X54" s="15"/>
      <c r="Y54" s="16"/>
      <c r="Z54" s="15"/>
      <c r="AA54" s="30"/>
      <c r="AB54" s="15"/>
    </row>
    <row r="55" spans="1:28">
      <c r="A55" s="13"/>
      <c r="B55" s="26"/>
      <c r="C55" s="14"/>
      <c r="D55" s="15"/>
      <c r="E55" s="14"/>
      <c r="F55" s="15"/>
      <c r="G55" s="16"/>
      <c r="H55" s="15"/>
      <c r="I55" s="16"/>
      <c r="J55" s="15"/>
      <c r="K55" s="16"/>
      <c r="L55" s="15"/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30"/>
      <c r="AB55" s="15"/>
    </row>
    <row r="56" spans="1:28">
      <c r="A56" s="18"/>
      <c r="B56" s="3474"/>
      <c r="C56" s="14"/>
      <c r="D56" s="15"/>
      <c r="E56" s="14"/>
      <c r="F56" s="15"/>
      <c r="G56" s="16"/>
      <c r="H56" s="15"/>
      <c r="I56" s="16"/>
      <c r="J56" s="15"/>
      <c r="K56" s="16"/>
      <c r="L56" s="15"/>
      <c r="M56" s="16"/>
      <c r="N56" s="15"/>
      <c r="O56" s="16"/>
      <c r="P56" s="15"/>
      <c r="Q56" s="16"/>
      <c r="R56" s="15"/>
      <c r="S56" s="16"/>
      <c r="T56" s="15"/>
      <c r="U56" s="16"/>
      <c r="V56" s="15"/>
      <c r="W56" s="16"/>
      <c r="X56" s="15"/>
      <c r="Y56" s="16"/>
      <c r="Z56" s="15"/>
      <c r="AA56" s="30"/>
      <c r="AB56" s="15"/>
    </row>
    <row r="57" spans="1:28">
      <c r="A57" s="13"/>
      <c r="B57" s="26"/>
      <c r="C57" s="14"/>
      <c r="D57" s="15"/>
      <c r="E57" s="14"/>
      <c r="F57" s="15"/>
      <c r="G57" s="16"/>
      <c r="H57" s="15"/>
      <c r="I57" s="16"/>
      <c r="J57" s="15"/>
      <c r="K57" s="16"/>
      <c r="L57" s="15"/>
      <c r="M57" s="16"/>
      <c r="N57" s="15"/>
      <c r="O57" s="16"/>
      <c r="P57" s="15"/>
      <c r="Q57" s="16"/>
      <c r="R57" s="15"/>
      <c r="S57" s="16"/>
      <c r="T57" s="15"/>
      <c r="U57" s="16"/>
      <c r="V57" s="15"/>
      <c r="W57" s="16"/>
      <c r="X57" s="15"/>
      <c r="Y57" s="16"/>
      <c r="Z57" s="15"/>
      <c r="AA57" s="30"/>
      <c r="AB57" s="15"/>
    </row>
    <row r="58" spans="1:28">
      <c r="A58" s="13"/>
      <c r="B58" s="26"/>
      <c r="C58" s="14"/>
      <c r="D58" s="15"/>
      <c r="E58" s="14"/>
      <c r="F58" s="15"/>
      <c r="G58" s="16"/>
      <c r="H58" s="15"/>
      <c r="I58" s="1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30"/>
      <c r="AB58" s="15"/>
    </row>
    <row r="59" spans="1:28">
      <c r="A59" s="18"/>
      <c r="B59" s="3474"/>
      <c r="C59" s="14"/>
      <c r="D59" s="15"/>
      <c r="E59" s="14"/>
      <c r="F59" s="15"/>
      <c r="G59" s="16"/>
      <c r="H59" s="15"/>
      <c r="I59" s="16"/>
      <c r="J59" s="15"/>
      <c r="K59" s="16"/>
      <c r="L59" s="15"/>
      <c r="M59" s="16"/>
      <c r="N59" s="15"/>
      <c r="O59" s="16"/>
      <c r="P59" s="15"/>
      <c r="Q59" s="16"/>
      <c r="R59" s="15"/>
      <c r="S59" s="16"/>
      <c r="T59" s="15"/>
      <c r="U59" s="16"/>
      <c r="V59" s="15"/>
      <c r="W59" s="16"/>
      <c r="X59" s="15"/>
      <c r="Y59" s="16"/>
      <c r="Z59" s="15"/>
      <c r="AA59" s="30"/>
      <c r="AB59" s="15"/>
    </row>
    <row r="60" spans="1:28">
      <c r="A60" s="13"/>
      <c r="B60" s="26"/>
      <c r="C60" s="14"/>
      <c r="D60" s="15"/>
      <c r="E60" s="14"/>
      <c r="F60" s="15"/>
      <c r="G60" s="16"/>
      <c r="H60" s="15"/>
      <c r="I60" s="16"/>
      <c r="J60" s="15"/>
      <c r="K60" s="16"/>
      <c r="L60" s="15"/>
      <c r="M60" s="16"/>
      <c r="N60" s="15"/>
      <c r="O60" s="16"/>
      <c r="P60" s="15"/>
      <c r="Q60" s="16"/>
      <c r="R60" s="15"/>
      <c r="S60" s="16"/>
      <c r="T60" s="15"/>
      <c r="U60" s="16"/>
      <c r="V60" s="15"/>
      <c r="W60" s="16"/>
      <c r="X60" s="15"/>
      <c r="Y60" s="16"/>
      <c r="Z60" s="15"/>
      <c r="AA60" s="30"/>
      <c r="AB60" s="15"/>
    </row>
    <row r="61" spans="1:28">
      <c r="A61" s="13"/>
      <c r="B61" s="26"/>
      <c r="C61" s="14"/>
      <c r="D61" s="15"/>
      <c r="E61" s="14"/>
      <c r="F61" s="15"/>
      <c r="G61" s="16"/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30"/>
      <c r="AB61" s="15"/>
    </row>
    <row r="62" spans="1:28">
      <c r="A62" s="39"/>
      <c r="B62" s="26"/>
      <c r="C62" s="14"/>
      <c r="D62" s="15"/>
      <c r="E62" s="14"/>
      <c r="F62" s="15"/>
      <c r="G62" s="16"/>
      <c r="H62" s="15"/>
      <c r="I62" s="16"/>
      <c r="J62" s="15"/>
      <c r="K62" s="16"/>
      <c r="L62" s="15"/>
      <c r="M62" s="16"/>
      <c r="N62" s="15"/>
      <c r="O62" s="16"/>
      <c r="P62" s="15"/>
      <c r="Q62" s="16"/>
      <c r="R62" s="15"/>
      <c r="S62" s="16"/>
      <c r="T62" s="15"/>
      <c r="U62" s="16"/>
      <c r="V62" s="15"/>
      <c r="W62" s="16"/>
      <c r="X62" s="15"/>
      <c r="Y62" s="16"/>
      <c r="Z62" s="15"/>
      <c r="AA62" s="33"/>
      <c r="AB62" s="10"/>
    </row>
    <row r="63" spans="1:28">
      <c r="A63" s="13"/>
      <c r="B63" s="26"/>
      <c r="C63" s="14"/>
      <c r="D63" s="15"/>
      <c r="E63" s="14"/>
      <c r="F63" s="15"/>
      <c r="G63" s="16"/>
      <c r="H63" s="15"/>
      <c r="I63" s="16"/>
      <c r="J63" s="15"/>
      <c r="K63" s="16"/>
      <c r="L63" s="15"/>
      <c r="M63" s="16"/>
      <c r="N63" s="15"/>
      <c r="O63" s="16"/>
      <c r="P63" s="15"/>
      <c r="Q63" s="16"/>
      <c r="R63" s="15"/>
      <c r="S63" s="16"/>
      <c r="T63" s="15"/>
      <c r="U63" s="16"/>
      <c r="V63" s="15"/>
      <c r="W63" s="16"/>
      <c r="X63" s="15"/>
      <c r="Y63" s="16"/>
      <c r="Z63" s="15"/>
      <c r="AA63" s="30"/>
      <c r="AB63" s="15"/>
    </row>
    <row r="64" spans="1:28">
      <c r="A64" s="13"/>
      <c r="B64" s="26"/>
      <c r="C64" s="14"/>
      <c r="D64" s="15"/>
      <c r="E64" s="14"/>
      <c r="F64" s="15"/>
      <c r="G64" s="16"/>
      <c r="H64" s="15"/>
      <c r="I64" s="16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30"/>
      <c r="AB64" s="15"/>
    </row>
    <row r="65" spans="1:29">
      <c r="A65" s="13"/>
      <c r="B65" s="26"/>
      <c r="C65" s="14"/>
      <c r="D65" s="15"/>
      <c r="E65" s="14"/>
      <c r="F65" s="15"/>
      <c r="G65" s="16"/>
      <c r="H65" s="15"/>
      <c r="I65" s="16"/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5"/>
      <c r="AA65" s="30"/>
      <c r="AB65" s="15"/>
    </row>
    <row r="66" spans="1:29">
      <c r="A66" s="39"/>
      <c r="B66" s="26"/>
      <c r="C66" s="14"/>
      <c r="D66" s="15"/>
      <c r="E66" s="14"/>
      <c r="F66" s="15"/>
      <c r="G66" s="16"/>
      <c r="H66" s="15"/>
      <c r="I66" s="16"/>
      <c r="J66" s="15"/>
      <c r="K66" s="16"/>
      <c r="L66" s="15"/>
      <c r="M66" s="16"/>
      <c r="N66" s="15"/>
      <c r="O66" s="16"/>
      <c r="P66" s="15"/>
      <c r="Q66" s="16"/>
      <c r="R66" s="15"/>
      <c r="S66" s="16"/>
      <c r="T66" s="15"/>
      <c r="U66" s="16"/>
      <c r="V66" s="15"/>
      <c r="W66" s="16"/>
      <c r="X66" s="15"/>
      <c r="Y66" s="16"/>
      <c r="Z66" s="15"/>
      <c r="AA66" s="30"/>
      <c r="AB66" s="15"/>
    </row>
    <row r="67" spans="1:29">
      <c r="A67" s="13"/>
      <c r="B67" s="26"/>
      <c r="C67" s="14"/>
      <c r="D67" s="15"/>
      <c r="E67" s="14"/>
      <c r="F67" s="15"/>
      <c r="G67" s="16"/>
      <c r="H67" s="15"/>
      <c r="I67" s="16"/>
      <c r="J67" s="15"/>
      <c r="K67" s="16"/>
      <c r="L67" s="15"/>
      <c r="M67" s="16"/>
      <c r="N67" s="15"/>
      <c r="O67" s="16"/>
      <c r="P67" s="15"/>
      <c r="Q67" s="16"/>
      <c r="R67" s="15"/>
      <c r="S67" s="16"/>
      <c r="T67" s="15"/>
      <c r="U67" s="16"/>
      <c r="V67" s="15"/>
      <c r="W67" s="16"/>
      <c r="X67" s="15"/>
      <c r="Y67" s="16"/>
      <c r="Z67" s="15"/>
      <c r="AA67" s="30"/>
      <c r="AB67" s="15"/>
    </row>
    <row r="68" spans="1:29">
      <c r="A68" s="13"/>
      <c r="B68" s="26"/>
      <c r="C68" s="14"/>
      <c r="D68" s="15"/>
      <c r="E68" s="14"/>
      <c r="F68" s="15"/>
      <c r="G68" s="16"/>
      <c r="H68" s="15"/>
      <c r="I68" s="16"/>
      <c r="J68" s="15"/>
      <c r="K68" s="16"/>
      <c r="L68" s="15"/>
      <c r="M68" s="16"/>
      <c r="N68" s="15"/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5"/>
      <c r="AA68" s="30"/>
      <c r="AB68" s="15"/>
    </row>
    <row r="69" spans="1:29" ht="40.5" thickBot="1">
      <c r="A69" s="34"/>
      <c r="B69" s="3476"/>
      <c r="C69" s="6"/>
      <c r="D69" s="32"/>
      <c r="E69" s="6"/>
      <c r="F69" s="32"/>
      <c r="G69" s="7"/>
      <c r="H69" s="32"/>
      <c r="I69" s="7"/>
      <c r="J69" s="32"/>
      <c r="K69" s="7"/>
      <c r="L69" s="32"/>
      <c r="M69" s="7"/>
      <c r="N69" s="32"/>
      <c r="O69" s="7"/>
      <c r="P69" s="32"/>
      <c r="Q69" s="7"/>
      <c r="R69" s="32"/>
      <c r="S69" s="7"/>
      <c r="T69" s="32"/>
      <c r="U69" s="7"/>
      <c r="V69" s="32"/>
      <c r="W69" s="7"/>
      <c r="X69" s="32"/>
      <c r="Y69" s="7"/>
      <c r="Z69" s="32"/>
      <c r="AA69" s="31"/>
      <c r="AB69" s="32"/>
    </row>
    <row r="71" spans="1:29" ht="40.5">
      <c r="A71" s="3" t="s">
        <v>5063</v>
      </c>
      <c r="B71" s="23"/>
      <c r="C71" s="3"/>
      <c r="D71" s="3"/>
      <c r="E71" s="3"/>
      <c r="F71" s="3"/>
      <c r="G71" s="3"/>
      <c r="H71" s="3"/>
      <c r="I71" s="3"/>
      <c r="J71" s="3"/>
      <c r="K71" s="3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B71" s="4"/>
      <c r="AC71" s="4"/>
    </row>
    <row r="72" spans="1:29" ht="40.5" thickBot="1">
      <c r="A72" s="5" t="s">
        <v>5111</v>
      </c>
    </row>
    <row r="73" spans="1:29">
      <c r="A73" s="3544" t="s">
        <v>2</v>
      </c>
      <c r="B73" s="3546" t="s">
        <v>3</v>
      </c>
      <c r="C73" s="3537" t="s">
        <v>5065</v>
      </c>
      <c r="D73" s="3538"/>
      <c r="E73" s="3536" t="s">
        <v>5066</v>
      </c>
      <c r="F73" s="3536"/>
      <c r="G73" s="3537" t="s">
        <v>5067</v>
      </c>
      <c r="H73" s="3538"/>
      <c r="I73" s="3536" t="s">
        <v>5068</v>
      </c>
      <c r="J73" s="3536"/>
      <c r="K73" s="3537" t="s">
        <v>5069</v>
      </c>
      <c r="L73" s="3538"/>
      <c r="M73" s="3536" t="s">
        <v>5070</v>
      </c>
      <c r="N73" s="3536"/>
      <c r="O73" s="3537" t="s">
        <v>5071</v>
      </c>
      <c r="P73" s="3538"/>
      <c r="Q73" s="3536" t="s">
        <v>5072</v>
      </c>
      <c r="R73" s="3536"/>
      <c r="S73" s="3537" t="s">
        <v>5073</v>
      </c>
      <c r="T73" s="3538"/>
      <c r="U73" s="3536" t="s">
        <v>5074</v>
      </c>
      <c r="V73" s="3536"/>
      <c r="W73" s="3537" t="s">
        <v>5075</v>
      </c>
      <c r="X73" s="3538"/>
      <c r="Y73" s="3536" t="s">
        <v>5076</v>
      </c>
      <c r="Z73" s="3538"/>
      <c r="AA73" s="3550" t="s">
        <v>5077</v>
      </c>
      <c r="AB73" s="3551"/>
    </row>
    <row r="74" spans="1:29" ht="40.5" thickBot="1">
      <c r="A74" s="3545"/>
      <c r="B74" s="3547"/>
      <c r="C74" s="1" t="s">
        <v>5078</v>
      </c>
      <c r="D74" s="35" t="s">
        <v>5079</v>
      </c>
      <c r="E74" s="2" t="s">
        <v>5078</v>
      </c>
      <c r="F74" s="36" t="s">
        <v>5079</v>
      </c>
      <c r="G74" s="1" t="s">
        <v>5078</v>
      </c>
      <c r="H74" s="35" t="s">
        <v>5079</v>
      </c>
      <c r="I74" s="2" t="s">
        <v>5078</v>
      </c>
      <c r="J74" s="36" t="s">
        <v>5079</v>
      </c>
      <c r="K74" s="1" t="s">
        <v>5078</v>
      </c>
      <c r="L74" s="35" t="s">
        <v>5079</v>
      </c>
      <c r="M74" s="2" t="s">
        <v>5078</v>
      </c>
      <c r="N74" s="36" t="s">
        <v>5079</v>
      </c>
      <c r="O74" s="1" t="s">
        <v>5078</v>
      </c>
      <c r="P74" s="35" t="s">
        <v>5079</v>
      </c>
      <c r="Q74" s="2" t="s">
        <v>5078</v>
      </c>
      <c r="R74" s="36" t="s">
        <v>5079</v>
      </c>
      <c r="S74" s="1" t="s">
        <v>5078</v>
      </c>
      <c r="T74" s="35" t="s">
        <v>5079</v>
      </c>
      <c r="U74" s="2" t="s">
        <v>5078</v>
      </c>
      <c r="V74" s="36" t="s">
        <v>5079</v>
      </c>
      <c r="W74" s="1" t="s">
        <v>5078</v>
      </c>
      <c r="X74" s="35" t="s">
        <v>5079</v>
      </c>
      <c r="Y74" s="2" t="s">
        <v>5078</v>
      </c>
      <c r="Z74" s="35" t="s">
        <v>5079</v>
      </c>
      <c r="AA74" s="37"/>
      <c r="AB74" s="38"/>
    </row>
    <row r="75" spans="1:29">
      <c r="A75" s="13" t="s">
        <v>5112</v>
      </c>
      <c r="B75" s="26" t="s">
        <v>297</v>
      </c>
      <c r="C75" s="14"/>
      <c r="D75" s="15"/>
      <c r="E75" s="14"/>
      <c r="F75" s="15"/>
      <c r="G75" s="16"/>
      <c r="H75" s="15"/>
      <c r="I75" s="16"/>
      <c r="J75" s="15"/>
      <c r="K75" s="16"/>
      <c r="L75" s="15"/>
      <c r="M75" s="16"/>
      <c r="N75" s="15"/>
      <c r="O75" s="16"/>
      <c r="P75" s="15"/>
      <c r="Q75" s="16"/>
      <c r="R75" s="15"/>
      <c r="S75" s="16"/>
      <c r="T75" s="15"/>
      <c r="U75" s="16"/>
      <c r="V75" s="15"/>
      <c r="W75" s="16"/>
      <c r="X75" s="15"/>
      <c r="Y75" s="16"/>
      <c r="Z75" s="15"/>
      <c r="AA75" s="28"/>
      <c r="AB75" s="29"/>
    </row>
    <row r="76" spans="1:29">
      <c r="A76" s="13"/>
      <c r="B76" s="26" t="s">
        <v>4754</v>
      </c>
      <c r="C76" s="14"/>
      <c r="D76" s="15"/>
      <c r="E76" s="14"/>
      <c r="F76" s="15"/>
      <c r="G76" s="16"/>
      <c r="H76" s="15"/>
      <c r="I76" s="1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30"/>
      <c r="AB76" s="15"/>
    </row>
    <row r="77" spans="1:29">
      <c r="A77" s="18"/>
      <c r="B77" s="3474" t="s">
        <v>4957</v>
      </c>
      <c r="C77" s="14"/>
      <c r="D77" s="15"/>
      <c r="E77" s="14"/>
      <c r="F77" s="15"/>
      <c r="G77" s="16"/>
      <c r="H77" s="15"/>
      <c r="I77" s="16"/>
      <c r="J77" s="15"/>
      <c r="K77" s="16"/>
      <c r="L77" s="15"/>
      <c r="M77" s="16"/>
      <c r="N77" s="15"/>
      <c r="O77" s="16"/>
      <c r="P77" s="15"/>
      <c r="Q77" s="16"/>
      <c r="R77" s="15"/>
      <c r="S77" s="16"/>
      <c r="T77" s="15"/>
      <c r="U77" s="16"/>
      <c r="V77" s="15"/>
      <c r="W77" s="16"/>
      <c r="X77" s="15"/>
      <c r="Y77" s="16"/>
      <c r="Z77" s="15"/>
      <c r="AA77" s="30"/>
      <c r="AB77" s="15"/>
    </row>
    <row r="78" spans="1:29">
      <c r="A78" s="13"/>
      <c r="B78" s="26" t="s">
        <v>4960</v>
      </c>
      <c r="C78" s="14"/>
      <c r="D78" s="15"/>
      <c r="E78" s="14"/>
      <c r="F78" s="15"/>
      <c r="G78" s="16"/>
      <c r="H78" s="15"/>
      <c r="I78" s="16"/>
      <c r="J78" s="15"/>
      <c r="K78" s="16"/>
      <c r="L78" s="15"/>
      <c r="M78" s="16"/>
      <c r="N78" s="15"/>
      <c r="O78" s="16"/>
      <c r="P78" s="15"/>
      <c r="Q78" s="16"/>
      <c r="R78" s="15"/>
      <c r="S78" s="16"/>
      <c r="T78" s="15"/>
      <c r="U78" s="16"/>
      <c r="V78" s="15"/>
      <c r="W78" s="16"/>
      <c r="X78" s="15"/>
      <c r="Y78" s="16"/>
      <c r="Z78" s="15"/>
      <c r="AA78" s="30"/>
      <c r="AB78" s="15"/>
    </row>
    <row r="79" spans="1:29" ht="45">
      <c r="A79" s="13" t="s">
        <v>5113</v>
      </c>
      <c r="B79" s="26" t="s">
        <v>2325</v>
      </c>
      <c r="C79" s="14"/>
      <c r="D79" s="15"/>
      <c r="E79" s="14"/>
      <c r="F79" s="15"/>
      <c r="G79" s="16"/>
      <c r="H79" s="15"/>
      <c r="I79" s="16"/>
      <c r="J79" s="15"/>
      <c r="K79" s="16"/>
      <c r="L79" s="15"/>
      <c r="M79" s="16"/>
      <c r="N79" s="15"/>
      <c r="O79" s="16"/>
      <c r="P79" s="15"/>
      <c r="Q79" s="16"/>
      <c r="R79" s="15"/>
      <c r="S79" s="16"/>
      <c r="T79" s="15"/>
      <c r="U79" s="16"/>
      <c r="V79" s="15"/>
      <c r="W79" s="16"/>
      <c r="X79" s="15"/>
      <c r="Y79" s="16"/>
      <c r="Z79" s="15"/>
      <c r="AA79" s="30"/>
      <c r="AB79" s="15"/>
    </row>
    <row r="80" spans="1:29">
      <c r="A80" s="18"/>
      <c r="B80" s="26" t="s">
        <v>123</v>
      </c>
      <c r="C80" s="14"/>
      <c r="D80" s="15"/>
      <c r="E80" s="14"/>
      <c r="F80" s="15"/>
      <c r="G80" s="16"/>
      <c r="H80" s="15"/>
      <c r="I80" s="16"/>
      <c r="J80" s="15"/>
      <c r="K80" s="16"/>
      <c r="L80" s="15"/>
      <c r="M80" s="16"/>
      <c r="N80" s="15"/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  <c r="Z80" s="15"/>
      <c r="AA80" s="30"/>
      <c r="AB80" s="15"/>
    </row>
    <row r="81" spans="1:28">
      <c r="A81" s="13"/>
      <c r="B81" s="3474" t="s">
        <v>4708</v>
      </c>
      <c r="C81" s="14"/>
      <c r="D81" s="15"/>
      <c r="E81" s="14"/>
      <c r="F81" s="15"/>
      <c r="G81" s="16"/>
      <c r="H81" s="15"/>
      <c r="I81" s="16"/>
      <c r="J81" s="15"/>
      <c r="K81" s="16"/>
      <c r="L81" s="15"/>
      <c r="M81" s="16"/>
      <c r="N81" s="15"/>
      <c r="O81" s="16"/>
      <c r="P81" s="15"/>
      <c r="Q81" s="16"/>
      <c r="R81" s="15"/>
      <c r="S81" s="16"/>
      <c r="T81" s="15"/>
      <c r="U81" s="16"/>
      <c r="V81" s="15"/>
      <c r="W81" s="16"/>
      <c r="X81" s="15"/>
      <c r="Y81" s="16"/>
      <c r="Z81" s="15"/>
      <c r="AA81" s="30"/>
      <c r="AB81" s="15"/>
    </row>
    <row r="82" spans="1:28">
      <c r="A82" s="13"/>
      <c r="B82" s="26" t="s">
        <v>4760</v>
      </c>
      <c r="C82" s="14"/>
      <c r="D82" s="15"/>
      <c r="E82" s="14"/>
      <c r="F82" s="15"/>
      <c r="G82" s="16"/>
      <c r="H82" s="15"/>
      <c r="I82" s="1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/>
      <c r="AA82" s="30"/>
      <c r="AB82" s="15"/>
    </row>
    <row r="83" spans="1:28">
      <c r="A83" s="18" t="s">
        <v>5114</v>
      </c>
      <c r="B83" s="26" t="s">
        <v>297</v>
      </c>
      <c r="C83" s="14"/>
      <c r="D83" s="15"/>
      <c r="E83" s="14"/>
      <c r="F83" s="15"/>
      <c r="G83" s="16"/>
      <c r="H83" s="15"/>
      <c r="I83" s="1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5"/>
      <c r="AA83" s="30"/>
      <c r="AB83" s="15"/>
    </row>
    <row r="84" spans="1:28">
      <c r="A84" s="13"/>
      <c r="B84" s="26" t="s">
        <v>4754</v>
      </c>
      <c r="C84" s="14"/>
      <c r="D84" s="15"/>
      <c r="E84" s="14"/>
      <c r="F84" s="15"/>
      <c r="G84" s="16"/>
      <c r="H84" s="15"/>
      <c r="I84" s="16"/>
      <c r="J84" s="15"/>
      <c r="K84" s="16"/>
      <c r="L84" s="15"/>
      <c r="M84" s="16"/>
      <c r="N84" s="15"/>
      <c r="O84" s="16"/>
      <c r="P84" s="15"/>
      <c r="Q84" s="16"/>
      <c r="R84" s="15"/>
      <c r="S84" s="16"/>
      <c r="T84" s="15"/>
      <c r="U84" s="16"/>
      <c r="V84" s="15"/>
      <c r="W84" s="16"/>
      <c r="X84" s="15"/>
      <c r="Y84" s="16"/>
      <c r="Z84" s="15"/>
      <c r="AA84" s="30"/>
      <c r="AB84" s="15"/>
    </row>
    <row r="85" spans="1:28">
      <c r="A85" s="13"/>
      <c r="B85" s="3474" t="s">
        <v>4957</v>
      </c>
      <c r="C85" s="14"/>
      <c r="D85" s="15"/>
      <c r="E85" s="14"/>
      <c r="F85" s="15"/>
      <c r="G85" s="16"/>
      <c r="H85" s="15"/>
      <c r="I85" s="16"/>
      <c r="J85" s="15"/>
      <c r="K85" s="16"/>
      <c r="L85" s="15"/>
      <c r="M85" s="16"/>
      <c r="N85" s="15"/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30"/>
      <c r="AB85" s="15"/>
    </row>
    <row r="86" spans="1:28">
      <c r="A86" s="39"/>
      <c r="B86" s="26" t="s">
        <v>4960</v>
      </c>
      <c r="C86" s="14"/>
      <c r="D86" s="15"/>
      <c r="E86" s="14"/>
      <c r="F86" s="15"/>
      <c r="G86" s="16"/>
      <c r="H86" s="15"/>
      <c r="I86" s="16"/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/>
      <c r="AA86" s="33"/>
      <c r="AB86" s="10"/>
    </row>
    <row r="87" spans="1:28" ht="45">
      <c r="A87" s="13" t="s">
        <v>5115</v>
      </c>
      <c r="B87" s="26" t="s">
        <v>2325</v>
      </c>
      <c r="C87" s="14"/>
      <c r="D87" s="15"/>
      <c r="E87" s="14"/>
      <c r="F87" s="15"/>
      <c r="G87" s="16"/>
      <c r="H87" s="15"/>
      <c r="I87" s="16"/>
      <c r="J87" s="15"/>
      <c r="K87" s="16"/>
      <c r="L87" s="15"/>
      <c r="M87" s="16"/>
      <c r="N87" s="15"/>
      <c r="O87" s="16"/>
      <c r="P87" s="15"/>
      <c r="Q87" s="16"/>
      <c r="R87" s="15"/>
      <c r="S87" s="16"/>
      <c r="T87" s="15"/>
      <c r="U87" s="16"/>
      <c r="V87" s="15"/>
      <c r="W87" s="16"/>
      <c r="X87" s="15"/>
      <c r="Y87" s="16"/>
      <c r="Z87" s="15"/>
      <c r="AA87" s="30"/>
      <c r="AB87" s="15"/>
    </row>
    <row r="88" spans="1:28">
      <c r="A88" s="13"/>
      <c r="B88" s="26" t="s">
        <v>123</v>
      </c>
      <c r="C88" s="14"/>
      <c r="D88" s="15"/>
      <c r="E88" s="14"/>
      <c r="F88" s="15"/>
      <c r="G88" s="16"/>
      <c r="H88" s="15"/>
      <c r="I88" s="16"/>
      <c r="J88" s="15"/>
      <c r="K88" s="16"/>
      <c r="L88" s="15"/>
      <c r="M88" s="16"/>
      <c r="N88" s="15"/>
      <c r="O88" s="16"/>
      <c r="P88" s="15"/>
      <c r="Q88" s="16"/>
      <c r="R88" s="15"/>
      <c r="S88" s="16"/>
      <c r="T88" s="15"/>
      <c r="U88" s="16"/>
      <c r="V88" s="15"/>
      <c r="W88" s="16"/>
      <c r="X88" s="15"/>
      <c r="Y88" s="16"/>
      <c r="Z88" s="15"/>
      <c r="AA88" s="30"/>
      <c r="AB88" s="15"/>
    </row>
    <row r="89" spans="1:28">
      <c r="A89" s="13"/>
      <c r="B89" s="3474" t="s">
        <v>4708</v>
      </c>
      <c r="C89" s="14"/>
      <c r="D89" s="15"/>
      <c r="E89" s="14"/>
      <c r="F89" s="15"/>
      <c r="G89" s="16"/>
      <c r="H89" s="15"/>
      <c r="I89" s="16"/>
      <c r="J89" s="15"/>
      <c r="K89" s="16"/>
      <c r="L89" s="15"/>
      <c r="M89" s="16"/>
      <c r="N89" s="15"/>
      <c r="O89" s="16"/>
      <c r="P89" s="15"/>
      <c r="Q89" s="16"/>
      <c r="R89" s="15"/>
      <c r="S89" s="16"/>
      <c r="T89" s="15"/>
      <c r="U89" s="16"/>
      <c r="V89" s="15"/>
      <c r="W89" s="16"/>
      <c r="X89" s="15"/>
      <c r="Y89" s="16"/>
      <c r="Z89" s="15"/>
      <c r="AA89" s="30"/>
      <c r="AB89" s="15"/>
    </row>
    <row r="90" spans="1:28">
      <c r="A90" s="39"/>
      <c r="B90" s="26" t="s">
        <v>4760</v>
      </c>
      <c r="C90" s="14"/>
      <c r="D90" s="15"/>
      <c r="E90" s="14"/>
      <c r="F90" s="15"/>
      <c r="G90" s="16"/>
      <c r="H90" s="15"/>
      <c r="I90" s="16"/>
      <c r="J90" s="15"/>
      <c r="K90" s="16"/>
      <c r="L90" s="15"/>
      <c r="M90" s="16"/>
      <c r="N90" s="15"/>
      <c r="O90" s="16"/>
      <c r="P90" s="15"/>
      <c r="Q90" s="16"/>
      <c r="R90" s="15"/>
      <c r="S90" s="16"/>
      <c r="T90" s="15"/>
      <c r="U90" s="16"/>
      <c r="V90" s="15"/>
      <c r="W90" s="16"/>
      <c r="X90" s="15"/>
      <c r="Y90" s="16"/>
      <c r="Z90" s="15"/>
      <c r="AA90" s="30"/>
      <c r="AB90" s="15"/>
    </row>
    <row r="91" spans="1:28">
      <c r="A91" s="13"/>
      <c r="B91" s="26" t="s">
        <v>4762</v>
      </c>
      <c r="C91" s="14"/>
      <c r="D91" s="15"/>
      <c r="E91" s="14"/>
      <c r="F91" s="15"/>
      <c r="G91" s="16"/>
      <c r="H91" s="15"/>
      <c r="I91" s="16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30"/>
      <c r="AB91" s="15"/>
    </row>
    <row r="92" spans="1:28" ht="45">
      <c r="A92" s="13" t="s">
        <v>5115</v>
      </c>
      <c r="B92" s="26" t="s">
        <v>297</v>
      </c>
      <c r="C92" s="14"/>
      <c r="D92" s="15"/>
      <c r="E92" s="14"/>
      <c r="F92" s="15"/>
      <c r="G92" s="16"/>
      <c r="H92" s="15"/>
      <c r="I92" s="16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30"/>
      <c r="AB92" s="15"/>
    </row>
    <row r="93" spans="1:28">
      <c r="A93" s="18"/>
      <c r="B93" s="26" t="s">
        <v>123</v>
      </c>
      <c r="C93" s="19"/>
      <c r="D93" s="20"/>
      <c r="E93" s="19"/>
      <c r="F93" s="20"/>
      <c r="G93" s="21"/>
      <c r="H93" s="20"/>
      <c r="I93" s="21"/>
      <c r="J93" s="20"/>
      <c r="K93" s="21"/>
      <c r="L93" s="20"/>
      <c r="M93" s="21"/>
      <c r="N93" s="20"/>
      <c r="O93" s="21"/>
      <c r="P93" s="20"/>
      <c r="Q93" s="21"/>
      <c r="R93" s="20"/>
      <c r="S93" s="21"/>
      <c r="T93" s="20"/>
      <c r="U93" s="21"/>
      <c r="V93" s="20"/>
      <c r="W93" s="21"/>
      <c r="X93" s="20"/>
      <c r="Y93" s="21"/>
      <c r="Z93" s="20"/>
      <c r="AA93" s="98"/>
      <c r="AB93" s="20"/>
    </row>
    <row r="94" spans="1:28">
      <c r="A94" s="18"/>
      <c r="B94" s="3474" t="s">
        <v>4708</v>
      </c>
      <c r="C94" s="19"/>
      <c r="D94" s="20"/>
      <c r="E94" s="19"/>
      <c r="F94" s="20"/>
      <c r="G94" s="21"/>
      <c r="H94" s="20"/>
      <c r="I94" s="21"/>
      <c r="J94" s="20"/>
      <c r="K94" s="21"/>
      <c r="L94" s="20"/>
      <c r="M94" s="21"/>
      <c r="N94" s="20"/>
      <c r="O94" s="21"/>
      <c r="P94" s="20"/>
      <c r="Q94" s="21"/>
      <c r="R94" s="20"/>
      <c r="S94" s="21"/>
      <c r="T94" s="20"/>
      <c r="U94" s="21"/>
      <c r="V94" s="20"/>
      <c r="W94" s="21"/>
      <c r="X94" s="20"/>
      <c r="Y94" s="21"/>
      <c r="Z94" s="20"/>
      <c r="AA94" s="98"/>
      <c r="AB94" s="20"/>
    </row>
    <row r="95" spans="1:28">
      <c r="A95" s="18"/>
      <c r="B95" s="26" t="s">
        <v>4760</v>
      </c>
      <c r="C95" s="19"/>
      <c r="D95" s="20"/>
      <c r="E95" s="19"/>
      <c r="F95" s="20"/>
      <c r="G95" s="21"/>
      <c r="H95" s="20"/>
      <c r="I95" s="21"/>
      <c r="J95" s="20"/>
      <c r="K95" s="21"/>
      <c r="L95" s="20"/>
      <c r="M95" s="21"/>
      <c r="N95" s="20"/>
      <c r="O95" s="21"/>
      <c r="P95" s="20"/>
      <c r="Q95" s="21"/>
      <c r="R95" s="20"/>
      <c r="S95" s="21"/>
      <c r="T95" s="20"/>
      <c r="U95" s="21"/>
      <c r="V95" s="20"/>
      <c r="W95" s="21"/>
      <c r="X95" s="20"/>
      <c r="Y95" s="21"/>
      <c r="Z95" s="20"/>
      <c r="AA95" s="98"/>
      <c r="AB95" s="20"/>
    </row>
    <row r="96" spans="1:28">
      <c r="A96" s="18"/>
      <c r="B96" s="26" t="s">
        <v>4762</v>
      </c>
      <c r="C96" s="19"/>
      <c r="D96" s="20"/>
      <c r="E96" s="19"/>
      <c r="F96" s="20"/>
      <c r="G96" s="21"/>
      <c r="H96" s="20"/>
      <c r="I96" s="21"/>
      <c r="J96" s="20"/>
      <c r="K96" s="21"/>
      <c r="L96" s="20"/>
      <c r="M96" s="21"/>
      <c r="N96" s="20"/>
      <c r="O96" s="21"/>
      <c r="P96" s="20"/>
      <c r="Q96" s="21"/>
      <c r="R96" s="20"/>
      <c r="S96" s="21"/>
      <c r="T96" s="20"/>
      <c r="U96" s="21"/>
      <c r="V96" s="20"/>
      <c r="W96" s="21"/>
      <c r="X96" s="20"/>
      <c r="Y96" s="21"/>
      <c r="Z96" s="20"/>
      <c r="AA96" s="98"/>
      <c r="AB96" s="20"/>
    </row>
    <row r="97" spans="1:28">
      <c r="A97" s="18" t="s">
        <v>5116</v>
      </c>
      <c r="B97" s="3474" t="s">
        <v>1829</v>
      </c>
      <c r="C97" s="19"/>
      <c r="D97" s="20"/>
      <c r="E97" s="19"/>
      <c r="F97" s="20"/>
      <c r="G97" s="21"/>
      <c r="H97" s="20"/>
      <c r="I97" s="21"/>
      <c r="J97" s="20"/>
      <c r="K97" s="21"/>
      <c r="L97" s="20"/>
      <c r="M97" s="21"/>
      <c r="N97" s="20"/>
      <c r="O97" s="21"/>
      <c r="P97" s="20"/>
      <c r="Q97" s="21"/>
      <c r="R97" s="20"/>
      <c r="S97" s="21"/>
      <c r="T97" s="20"/>
      <c r="U97" s="21"/>
      <c r="V97" s="20"/>
      <c r="W97" s="21"/>
      <c r="X97" s="20"/>
      <c r="Y97" s="21"/>
      <c r="Z97" s="20"/>
      <c r="AA97" s="98"/>
      <c r="AB97" s="20"/>
    </row>
    <row r="98" spans="1:28">
      <c r="A98" s="18"/>
      <c r="B98" s="3474" t="s">
        <v>1509</v>
      </c>
      <c r="C98" s="19"/>
      <c r="D98" s="20"/>
      <c r="E98" s="19"/>
      <c r="F98" s="20"/>
      <c r="G98" s="21"/>
      <c r="H98" s="20"/>
      <c r="I98" s="21"/>
      <c r="J98" s="20"/>
      <c r="K98" s="21"/>
      <c r="L98" s="20"/>
      <c r="M98" s="21"/>
      <c r="N98" s="20"/>
      <c r="O98" s="21"/>
      <c r="P98" s="20"/>
      <c r="Q98" s="21"/>
      <c r="R98" s="20"/>
      <c r="S98" s="21"/>
      <c r="T98" s="20"/>
      <c r="U98" s="21"/>
      <c r="V98" s="20"/>
      <c r="W98" s="21"/>
      <c r="X98" s="20"/>
      <c r="Y98" s="21"/>
      <c r="Z98" s="20"/>
      <c r="AA98" s="98"/>
      <c r="AB98" s="20"/>
    </row>
    <row r="99" spans="1:28">
      <c r="A99" s="18" t="s">
        <v>5117</v>
      </c>
      <c r="B99" s="3474" t="s">
        <v>1829</v>
      </c>
      <c r="C99" s="19"/>
      <c r="D99" s="20"/>
      <c r="E99" s="19"/>
      <c r="F99" s="20"/>
      <c r="G99" s="21"/>
      <c r="H99" s="20"/>
      <c r="I99" s="21"/>
      <c r="J99" s="20"/>
      <c r="K99" s="21"/>
      <c r="L99" s="20"/>
      <c r="M99" s="21"/>
      <c r="N99" s="20"/>
      <c r="O99" s="21"/>
      <c r="P99" s="20"/>
      <c r="Q99" s="21"/>
      <c r="R99" s="20"/>
      <c r="S99" s="21"/>
      <c r="T99" s="20"/>
      <c r="U99" s="21"/>
      <c r="V99" s="20"/>
      <c r="W99" s="21"/>
      <c r="X99" s="20"/>
      <c r="Y99" s="21"/>
      <c r="Z99" s="20"/>
      <c r="AA99" s="98"/>
      <c r="AB99" s="20"/>
    </row>
    <row r="100" spans="1:28">
      <c r="A100" s="18" t="s">
        <v>5118</v>
      </c>
      <c r="B100" s="3474" t="s">
        <v>1829</v>
      </c>
      <c r="C100" s="19"/>
      <c r="D100" s="20"/>
      <c r="E100" s="19"/>
      <c r="F100" s="20"/>
      <c r="G100" s="21"/>
      <c r="H100" s="20"/>
      <c r="I100" s="21"/>
      <c r="J100" s="20"/>
      <c r="K100" s="21"/>
      <c r="L100" s="20"/>
      <c r="M100" s="21"/>
      <c r="N100" s="20"/>
      <c r="O100" s="21"/>
      <c r="P100" s="20"/>
      <c r="Q100" s="21"/>
      <c r="R100" s="20"/>
      <c r="S100" s="21"/>
      <c r="T100" s="20"/>
      <c r="U100" s="21"/>
      <c r="V100" s="20"/>
      <c r="W100" s="21"/>
      <c r="X100" s="20"/>
      <c r="Y100" s="21"/>
      <c r="Z100" s="20"/>
      <c r="AA100" s="98"/>
      <c r="AB100" s="20"/>
    </row>
    <row r="101" spans="1:28">
      <c r="A101" s="18"/>
      <c r="B101" s="3474" t="s">
        <v>1509</v>
      </c>
      <c r="C101" s="19"/>
      <c r="D101" s="20"/>
      <c r="E101" s="19"/>
      <c r="F101" s="20"/>
      <c r="G101" s="21"/>
      <c r="H101" s="20"/>
      <c r="I101" s="21"/>
      <c r="J101" s="20"/>
      <c r="K101" s="21"/>
      <c r="L101" s="20"/>
      <c r="M101" s="21"/>
      <c r="N101" s="20"/>
      <c r="O101" s="21"/>
      <c r="P101" s="20"/>
      <c r="Q101" s="21"/>
      <c r="R101" s="20"/>
      <c r="S101" s="21"/>
      <c r="T101" s="20"/>
      <c r="U101" s="21"/>
      <c r="V101" s="20"/>
      <c r="W101" s="21"/>
      <c r="X101" s="20"/>
      <c r="Y101" s="21"/>
      <c r="Z101" s="20"/>
      <c r="AA101" s="98"/>
      <c r="AB101" s="20"/>
    </row>
    <row r="102" spans="1:28">
      <c r="A102" s="18" t="s">
        <v>5119</v>
      </c>
      <c r="B102" s="3474" t="s">
        <v>123</v>
      </c>
      <c r="C102" s="19"/>
      <c r="D102" s="20"/>
      <c r="E102" s="19"/>
      <c r="F102" s="20"/>
      <c r="G102" s="21"/>
      <c r="H102" s="20"/>
      <c r="I102" s="21"/>
      <c r="J102" s="20"/>
      <c r="K102" s="21"/>
      <c r="L102" s="20"/>
      <c r="M102" s="21"/>
      <c r="N102" s="20"/>
      <c r="O102" s="21"/>
      <c r="P102" s="20"/>
      <c r="Q102" s="21"/>
      <c r="R102" s="20"/>
      <c r="S102" s="21"/>
      <c r="T102" s="20"/>
      <c r="U102" s="21"/>
      <c r="V102" s="20"/>
      <c r="W102" s="21"/>
      <c r="X102" s="20"/>
      <c r="Y102" s="21"/>
      <c r="Z102" s="20"/>
      <c r="AA102" s="98"/>
      <c r="AB102" s="20"/>
    </row>
    <row r="103" spans="1:28">
      <c r="A103" s="18"/>
      <c r="B103" s="3474" t="s">
        <v>4708</v>
      </c>
      <c r="C103" s="19"/>
      <c r="D103" s="20"/>
      <c r="E103" s="19"/>
      <c r="F103" s="20"/>
      <c r="G103" s="21"/>
      <c r="H103" s="20"/>
      <c r="I103" s="21"/>
      <c r="J103" s="20"/>
      <c r="K103" s="21"/>
      <c r="L103" s="20"/>
      <c r="M103" s="21"/>
      <c r="N103" s="20"/>
      <c r="O103" s="21"/>
      <c r="P103" s="20"/>
      <c r="Q103" s="21"/>
      <c r="R103" s="20"/>
      <c r="S103" s="21"/>
      <c r="T103" s="20"/>
      <c r="U103" s="21"/>
      <c r="V103" s="20"/>
      <c r="W103" s="21"/>
      <c r="X103" s="20"/>
      <c r="Y103" s="21"/>
      <c r="Z103" s="20"/>
      <c r="AA103" s="98"/>
      <c r="AB103" s="20"/>
    </row>
    <row r="104" spans="1:28">
      <c r="A104" s="18" t="s">
        <v>5120</v>
      </c>
      <c r="B104" s="3474" t="s">
        <v>123</v>
      </c>
      <c r="C104" s="19"/>
      <c r="D104" s="20"/>
      <c r="E104" s="19"/>
      <c r="F104" s="20"/>
      <c r="G104" s="21"/>
      <c r="H104" s="20"/>
      <c r="I104" s="21"/>
      <c r="J104" s="20"/>
      <c r="K104" s="21"/>
      <c r="L104" s="20"/>
      <c r="M104" s="21"/>
      <c r="N104" s="20"/>
      <c r="O104" s="21"/>
      <c r="P104" s="20"/>
      <c r="Q104" s="21"/>
      <c r="R104" s="20"/>
      <c r="S104" s="21"/>
      <c r="T104" s="20"/>
      <c r="U104" s="21"/>
      <c r="V104" s="20"/>
      <c r="W104" s="21"/>
      <c r="X104" s="20"/>
      <c r="Y104" s="21"/>
      <c r="Z104" s="20"/>
      <c r="AA104" s="98"/>
      <c r="AB104" s="20"/>
    </row>
    <row r="105" spans="1:28">
      <c r="A105" s="18"/>
      <c r="B105" s="3474" t="s">
        <v>4708</v>
      </c>
      <c r="C105" s="19"/>
      <c r="D105" s="20"/>
      <c r="E105" s="19"/>
      <c r="F105" s="20"/>
      <c r="G105" s="21"/>
      <c r="H105" s="20"/>
      <c r="I105" s="21"/>
      <c r="J105" s="20"/>
      <c r="K105" s="21"/>
      <c r="L105" s="20"/>
      <c r="M105" s="21"/>
      <c r="N105" s="20"/>
      <c r="O105" s="21"/>
      <c r="P105" s="20"/>
      <c r="Q105" s="21"/>
      <c r="R105" s="20"/>
      <c r="S105" s="21"/>
      <c r="T105" s="20"/>
      <c r="U105" s="21"/>
      <c r="V105" s="20"/>
      <c r="W105" s="21"/>
      <c r="X105" s="20"/>
      <c r="Y105" s="21"/>
      <c r="Z105" s="20"/>
      <c r="AA105" s="98"/>
      <c r="AB105" s="20"/>
    </row>
    <row r="106" spans="1:28">
      <c r="A106" s="18" t="s">
        <v>5121</v>
      </c>
      <c r="B106" s="3474" t="s">
        <v>276</v>
      </c>
      <c r="C106" s="19"/>
      <c r="D106" s="20"/>
      <c r="E106" s="19"/>
      <c r="F106" s="20"/>
      <c r="G106" s="21"/>
      <c r="H106" s="20"/>
      <c r="I106" s="21"/>
      <c r="J106" s="20"/>
      <c r="K106" s="21"/>
      <c r="L106" s="20"/>
      <c r="M106" s="21"/>
      <c r="N106" s="20"/>
      <c r="O106" s="21"/>
      <c r="P106" s="20"/>
      <c r="Q106" s="21"/>
      <c r="R106" s="20"/>
      <c r="S106" s="21"/>
      <c r="T106" s="20"/>
      <c r="U106" s="21"/>
      <c r="V106" s="20"/>
      <c r="W106" s="21"/>
      <c r="X106" s="20"/>
      <c r="Y106" s="21"/>
      <c r="Z106" s="20"/>
      <c r="AA106" s="98"/>
      <c r="AB106" s="20"/>
    </row>
    <row r="107" spans="1:28">
      <c r="A107" s="18" t="s">
        <v>5122</v>
      </c>
      <c r="B107" s="3474" t="s">
        <v>276</v>
      </c>
      <c r="C107" s="19"/>
      <c r="D107" s="20"/>
      <c r="E107" s="19"/>
      <c r="F107" s="20"/>
      <c r="G107" s="21"/>
      <c r="H107" s="20"/>
      <c r="I107" s="21"/>
      <c r="J107" s="20"/>
      <c r="K107" s="21"/>
      <c r="L107" s="20"/>
      <c r="M107" s="21"/>
      <c r="N107" s="20"/>
      <c r="O107" s="21"/>
      <c r="P107" s="20"/>
      <c r="Q107" s="21"/>
      <c r="R107" s="20"/>
      <c r="S107" s="21"/>
      <c r="T107" s="20"/>
      <c r="U107" s="21"/>
      <c r="V107" s="20"/>
      <c r="W107" s="21"/>
      <c r="X107" s="20"/>
      <c r="Y107" s="21"/>
      <c r="Z107" s="20"/>
      <c r="AA107" s="98"/>
      <c r="AB107" s="20"/>
    </row>
    <row r="108" spans="1:28" ht="45">
      <c r="A108" s="18" t="s">
        <v>5123</v>
      </c>
      <c r="B108" s="26" t="s">
        <v>4734</v>
      </c>
      <c r="C108" s="14"/>
      <c r="D108" s="15"/>
      <c r="E108" s="14"/>
      <c r="F108" s="15"/>
      <c r="G108" s="16"/>
      <c r="H108" s="15"/>
      <c r="I108" s="16"/>
      <c r="J108" s="15"/>
      <c r="K108" s="16"/>
      <c r="L108" s="15"/>
      <c r="M108" s="16"/>
      <c r="N108" s="15"/>
      <c r="O108" s="16"/>
      <c r="P108" s="15"/>
      <c r="Q108" s="16"/>
      <c r="R108" s="15"/>
      <c r="S108" s="16"/>
      <c r="T108" s="15"/>
      <c r="U108" s="16"/>
      <c r="V108" s="15"/>
      <c r="W108" s="16"/>
      <c r="X108" s="15"/>
      <c r="Y108" s="16"/>
      <c r="Z108" s="15"/>
      <c r="AA108" s="30"/>
      <c r="AB108" s="15"/>
    </row>
    <row r="109" spans="1:28">
      <c r="A109" s="39"/>
      <c r="B109" s="26"/>
      <c r="C109" s="14"/>
      <c r="D109" s="15"/>
      <c r="E109" s="14"/>
      <c r="F109" s="15"/>
      <c r="G109" s="16"/>
      <c r="H109" s="15"/>
      <c r="I109" s="16"/>
      <c r="J109" s="15"/>
      <c r="K109" s="16"/>
      <c r="L109" s="15"/>
      <c r="M109" s="16"/>
      <c r="N109" s="15"/>
      <c r="O109" s="16"/>
      <c r="P109" s="15"/>
      <c r="Q109" s="16"/>
      <c r="R109" s="15"/>
      <c r="S109" s="16"/>
      <c r="T109" s="15"/>
      <c r="U109" s="16"/>
      <c r="V109" s="15"/>
      <c r="W109" s="16"/>
      <c r="X109" s="15"/>
      <c r="Y109" s="16"/>
      <c r="Z109" s="15"/>
      <c r="AA109" s="30"/>
      <c r="AB109" s="15"/>
    </row>
    <row r="110" spans="1:28" ht="45">
      <c r="A110" s="18" t="s">
        <v>5124</v>
      </c>
      <c r="B110" s="26" t="s">
        <v>276</v>
      </c>
      <c r="C110" s="14"/>
      <c r="D110" s="15"/>
      <c r="E110" s="14"/>
      <c r="F110" s="15"/>
      <c r="G110" s="16"/>
      <c r="H110" s="15"/>
      <c r="I110" s="16"/>
      <c r="J110" s="15"/>
      <c r="K110" s="16"/>
      <c r="L110" s="15"/>
      <c r="M110" s="16"/>
      <c r="N110" s="15"/>
      <c r="O110" s="16"/>
      <c r="P110" s="15"/>
      <c r="Q110" s="16"/>
      <c r="R110" s="15"/>
      <c r="S110" s="16"/>
      <c r="T110" s="15"/>
      <c r="U110" s="16"/>
      <c r="V110" s="15"/>
      <c r="W110" s="16"/>
      <c r="X110" s="15"/>
      <c r="Y110" s="16"/>
      <c r="Z110" s="15"/>
      <c r="AA110" s="30"/>
      <c r="AB110" s="15"/>
    </row>
    <row r="111" spans="1:28" ht="40.5" thickBot="1">
      <c r="A111" s="34"/>
      <c r="B111" s="3476"/>
      <c r="C111" s="6"/>
      <c r="D111" s="32"/>
      <c r="E111" s="6"/>
      <c r="F111" s="32"/>
      <c r="G111" s="7"/>
      <c r="H111" s="32"/>
      <c r="I111" s="7"/>
      <c r="J111" s="32"/>
      <c r="K111" s="7"/>
      <c r="L111" s="32"/>
      <c r="M111" s="7"/>
      <c r="N111" s="32"/>
      <c r="O111" s="7"/>
      <c r="P111" s="32"/>
      <c r="Q111" s="7"/>
      <c r="R111" s="32"/>
      <c r="S111" s="7"/>
      <c r="T111" s="32"/>
      <c r="U111" s="7"/>
      <c r="V111" s="32"/>
      <c r="W111" s="7"/>
      <c r="X111" s="32"/>
      <c r="Y111" s="7"/>
      <c r="Z111" s="32"/>
      <c r="AA111" s="31"/>
      <c r="AB111" s="32"/>
    </row>
    <row r="112" spans="1:28" ht="40.5">
      <c r="A112" s="3" t="s">
        <v>5063</v>
      </c>
      <c r="B112" s="23"/>
      <c r="C112" s="3"/>
      <c r="D112" s="3"/>
      <c r="E112" s="3"/>
      <c r="F112" s="3"/>
      <c r="G112" s="3"/>
      <c r="H112" s="3"/>
      <c r="I112" s="3"/>
      <c r="J112" s="3"/>
      <c r="K112" s="3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B112" s="4"/>
    </row>
    <row r="113" spans="1:28" ht="40.5" thickBot="1">
      <c r="A113" s="5" t="s">
        <v>5125</v>
      </c>
    </row>
    <row r="114" spans="1:28">
      <c r="A114" s="3544" t="s">
        <v>2</v>
      </c>
      <c r="B114" s="3546" t="s">
        <v>3</v>
      </c>
      <c r="C114" s="3537" t="s">
        <v>5065</v>
      </c>
      <c r="D114" s="3538"/>
      <c r="E114" s="3536" t="s">
        <v>5066</v>
      </c>
      <c r="F114" s="3536"/>
      <c r="G114" s="3537" t="s">
        <v>5067</v>
      </c>
      <c r="H114" s="3538"/>
      <c r="I114" s="3536" t="s">
        <v>5068</v>
      </c>
      <c r="J114" s="3536"/>
      <c r="K114" s="3537" t="s">
        <v>5069</v>
      </c>
      <c r="L114" s="3538"/>
      <c r="M114" s="3536" t="s">
        <v>5070</v>
      </c>
      <c r="N114" s="3536"/>
      <c r="O114" s="3542"/>
      <c r="P114" s="3542"/>
      <c r="Q114" s="3536" t="s">
        <v>5071</v>
      </c>
      <c r="R114" s="3536"/>
      <c r="S114" s="3536" t="s">
        <v>5072</v>
      </c>
      <c r="T114" s="3536"/>
      <c r="U114" s="3472" t="s">
        <v>5073</v>
      </c>
      <c r="V114" s="3473"/>
      <c r="W114" s="3536" t="s">
        <v>5074</v>
      </c>
      <c r="X114" s="3536"/>
      <c r="Y114" s="3472" t="s">
        <v>5075</v>
      </c>
      <c r="Z114" s="3475"/>
      <c r="AA114" s="3537" t="s">
        <v>5076</v>
      </c>
      <c r="AB114" s="3538"/>
    </row>
    <row r="115" spans="1:28" ht="40.5" thickBot="1">
      <c r="A115" s="3545"/>
      <c r="B115" s="3547"/>
      <c r="C115" s="1" t="s">
        <v>5078</v>
      </c>
      <c r="D115" s="35" t="s">
        <v>5079</v>
      </c>
      <c r="E115" s="2" t="s">
        <v>5078</v>
      </c>
      <c r="F115" s="36" t="s">
        <v>5079</v>
      </c>
      <c r="G115" s="1" t="s">
        <v>5078</v>
      </c>
      <c r="H115" s="35" t="s">
        <v>5079</v>
      </c>
      <c r="I115" s="2" t="s">
        <v>5078</v>
      </c>
      <c r="J115" s="36" t="s">
        <v>5079</v>
      </c>
      <c r="K115" s="1" t="s">
        <v>5078</v>
      </c>
      <c r="L115" s="35" t="s">
        <v>5079</v>
      </c>
      <c r="M115" s="2" t="s">
        <v>5078</v>
      </c>
      <c r="N115" s="36" t="s">
        <v>5079</v>
      </c>
      <c r="O115" s="2769"/>
      <c r="P115" s="2820"/>
      <c r="Q115" s="2" t="s">
        <v>5078</v>
      </c>
      <c r="R115" s="36" t="s">
        <v>5079</v>
      </c>
      <c r="S115" s="1" t="s">
        <v>5078</v>
      </c>
      <c r="T115" s="35" t="s">
        <v>5079</v>
      </c>
      <c r="U115" s="2" t="s">
        <v>5078</v>
      </c>
      <c r="V115" s="36" t="s">
        <v>5079</v>
      </c>
      <c r="W115" s="1" t="s">
        <v>5078</v>
      </c>
      <c r="X115" s="35" t="s">
        <v>5079</v>
      </c>
      <c r="Y115" s="2" t="s">
        <v>5078</v>
      </c>
      <c r="Z115" s="36" t="s">
        <v>5079</v>
      </c>
      <c r="AA115" s="1" t="s">
        <v>5078</v>
      </c>
      <c r="AB115" s="35" t="s">
        <v>5079</v>
      </c>
    </row>
    <row r="116" spans="1:28">
      <c r="A116" s="43" t="s">
        <v>5126</v>
      </c>
      <c r="B116" s="207" t="s">
        <v>3295</v>
      </c>
      <c r="C116" s="9"/>
      <c r="D116" s="10"/>
      <c r="E116" s="11"/>
      <c r="F116" s="12"/>
      <c r="G116" s="9"/>
      <c r="H116" s="10"/>
      <c r="I116" s="11"/>
      <c r="J116" s="12"/>
      <c r="K116" s="9"/>
      <c r="L116" s="10"/>
      <c r="M116" s="11"/>
      <c r="N116" s="12"/>
      <c r="O116" s="2833" t="s">
        <v>5126</v>
      </c>
      <c r="P116" s="2830"/>
      <c r="Q116" s="11"/>
      <c r="R116" s="12"/>
      <c r="S116" s="9"/>
      <c r="T116" s="10"/>
      <c r="U116" s="11"/>
      <c r="V116" s="12"/>
      <c r="W116" s="9"/>
      <c r="X116" s="10"/>
      <c r="Y116" s="11"/>
      <c r="Z116" s="12"/>
      <c r="AA116" s="33"/>
      <c r="AB116" s="10"/>
    </row>
    <row r="117" spans="1:28">
      <c r="A117" s="43" t="s">
        <v>3312</v>
      </c>
      <c r="B117" s="207" t="s">
        <v>3313</v>
      </c>
      <c r="C117" s="14"/>
      <c r="D117" s="15"/>
      <c r="E117" s="16"/>
      <c r="F117" s="17"/>
      <c r="G117" s="14"/>
      <c r="H117" s="15"/>
      <c r="I117" s="16"/>
      <c r="J117" s="17"/>
      <c r="K117" s="14"/>
      <c r="L117" s="15"/>
      <c r="M117" s="16"/>
      <c r="N117" s="17"/>
      <c r="O117" s="2833" t="s">
        <v>3312</v>
      </c>
      <c r="P117" s="2830"/>
      <c r="Q117" s="2646"/>
      <c r="R117" s="17"/>
      <c r="S117" s="14"/>
      <c r="T117" s="15"/>
      <c r="U117" s="16"/>
      <c r="V117" s="17"/>
      <c r="W117" s="14"/>
      <c r="X117" s="15"/>
      <c r="Y117" s="16"/>
      <c r="Z117" s="17"/>
      <c r="AA117" s="30"/>
      <c r="AB117" s="15"/>
    </row>
    <row r="118" spans="1:28">
      <c r="A118" s="43" t="s">
        <v>5127</v>
      </c>
      <c r="B118" s="207" t="s">
        <v>4236</v>
      </c>
      <c r="C118" s="14"/>
      <c r="D118" s="15"/>
      <c r="E118" s="16"/>
      <c r="F118" s="17"/>
      <c r="G118" s="14"/>
      <c r="H118" s="15"/>
      <c r="I118" s="16"/>
      <c r="J118" s="17"/>
      <c r="K118" s="14"/>
      <c r="L118" s="15"/>
      <c r="M118" s="16"/>
      <c r="N118" s="17"/>
      <c r="O118" s="2833" t="s">
        <v>5127</v>
      </c>
      <c r="P118" s="2830"/>
      <c r="Q118" s="2646"/>
      <c r="R118" s="17"/>
      <c r="S118" s="14"/>
      <c r="T118" s="15"/>
      <c r="U118" s="16"/>
      <c r="V118" s="17"/>
      <c r="W118" s="14"/>
      <c r="X118" s="15"/>
      <c r="Y118" s="16"/>
      <c r="Z118" s="17"/>
      <c r="AA118" s="30"/>
      <c r="AB118" s="15"/>
    </row>
    <row r="119" spans="1:28">
      <c r="A119" s="43" t="s">
        <v>4241</v>
      </c>
      <c r="B119" s="207" t="s">
        <v>2832</v>
      </c>
      <c r="C119" s="14"/>
      <c r="D119" s="15"/>
      <c r="E119" s="16"/>
      <c r="F119" s="17"/>
      <c r="G119" s="14"/>
      <c r="H119" s="15"/>
      <c r="I119" s="16"/>
      <c r="J119" s="17"/>
      <c r="K119" s="14"/>
      <c r="L119" s="15"/>
      <c r="M119" s="16"/>
      <c r="N119" s="17"/>
      <c r="O119" s="2833" t="s">
        <v>4241</v>
      </c>
      <c r="P119" s="2830"/>
      <c r="Q119" s="2646"/>
      <c r="R119" s="17"/>
      <c r="S119" s="14"/>
      <c r="T119" s="15"/>
      <c r="U119" s="16"/>
      <c r="V119" s="17"/>
      <c r="W119" s="14"/>
      <c r="X119" s="15"/>
      <c r="Y119" s="16"/>
      <c r="Z119" s="17"/>
      <c r="AA119" s="30"/>
      <c r="AB119" s="15"/>
    </row>
    <row r="120" spans="1:28">
      <c r="A120" s="43" t="s">
        <v>4246</v>
      </c>
      <c r="B120" s="207"/>
      <c r="C120" s="14"/>
      <c r="D120" s="15"/>
      <c r="E120" s="16"/>
      <c r="F120" s="17"/>
      <c r="G120" s="14"/>
      <c r="H120" s="15"/>
      <c r="I120" s="16"/>
      <c r="J120" s="17"/>
      <c r="K120" s="14"/>
      <c r="L120" s="15"/>
      <c r="M120" s="16"/>
      <c r="N120" s="17"/>
      <c r="O120" s="2833" t="s">
        <v>4246</v>
      </c>
      <c r="P120" s="2830"/>
      <c r="Q120" s="2646"/>
      <c r="R120" s="17"/>
      <c r="S120" s="14"/>
      <c r="T120" s="15"/>
      <c r="U120" s="16"/>
      <c r="V120" s="17"/>
      <c r="W120" s="14"/>
      <c r="X120" s="15"/>
      <c r="Y120" s="16"/>
      <c r="Z120" s="17"/>
      <c r="AA120" s="30"/>
      <c r="AB120" s="15"/>
    </row>
    <row r="121" spans="1:28">
      <c r="A121" s="43" t="s">
        <v>5128</v>
      </c>
      <c r="B121" s="207"/>
      <c r="C121" s="14"/>
      <c r="D121" s="15"/>
      <c r="E121" s="16"/>
      <c r="F121" s="17"/>
      <c r="G121" s="14"/>
      <c r="H121" s="15"/>
      <c r="I121" s="16"/>
      <c r="J121" s="17"/>
      <c r="K121" s="14"/>
      <c r="L121" s="15"/>
      <c r="M121" s="16"/>
      <c r="N121" s="17"/>
      <c r="O121" s="2833" t="s">
        <v>5128</v>
      </c>
      <c r="P121" s="2830"/>
      <c r="Q121" s="2646"/>
      <c r="R121" s="17"/>
      <c r="S121" s="14"/>
      <c r="T121" s="15"/>
      <c r="U121" s="16"/>
      <c r="V121" s="17"/>
      <c r="W121" s="14"/>
      <c r="X121" s="15"/>
      <c r="Y121" s="16"/>
      <c r="Z121" s="17"/>
      <c r="AA121" s="30"/>
      <c r="AB121" s="15"/>
    </row>
    <row r="122" spans="1:28">
      <c r="A122" s="113" t="s">
        <v>3333</v>
      </c>
      <c r="B122" s="207"/>
      <c r="C122" s="14"/>
      <c r="D122" s="15"/>
      <c r="E122" s="16"/>
      <c r="F122" s="17"/>
      <c r="G122" s="14"/>
      <c r="H122" s="15"/>
      <c r="I122" s="16"/>
      <c r="J122" s="17"/>
      <c r="K122" s="14"/>
      <c r="L122" s="15"/>
      <c r="M122" s="16"/>
      <c r="N122" s="17"/>
      <c r="O122" s="2834" t="s">
        <v>3333</v>
      </c>
      <c r="P122" s="2830"/>
      <c r="Q122" s="2646"/>
      <c r="R122" s="17"/>
      <c r="S122" s="14"/>
      <c r="T122" s="15"/>
      <c r="U122" s="16"/>
      <c r="V122" s="17"/>
      <c r="W122" s="14"/>
      <c r="X122" s="15"/>
      <c r="Y122" s="16"/>
      <c r="Z122" s="17"/>
      <c r="AA122" s="30"/>
      <c r="AB122" s="15"/>
    </row>
    <row r="123" spans="1:28">
      <c r="A123" s="43" t="s">
        <v>5129</v>
      </c>
      <c r="B123" s="207"/>
      <c r="C123" s="14"/>
      <c r="D123" s="15"/>
      <c r="E123" s="16"/>
      <c r="F123" s="17"/>
      <c r="G123" s="14"/>
      <c r="H123" s="15"/>
      <c r="I123" s="16"/>
      <c r="J123" s="17"/>
      <c r="K123" s="14"/>
      <c r="L123" s="15"/>
      <c r="M123" s="16"/>
      <c r="N123" s="17"/>
      <c r="O123" s="2833" t="s">
        <v>5129</v>
      </c>
      <c r="P123" s="2830"/>
      <c r="Q123" s="2646"/>
      <c r="R123" s="17"/>
      <c r="S123" s="14"/>
      <c r="T123" s="15"/>
      <c r="U123" s="16"/>
      <c r="V123" s="17"/>
      <c r="W123" s="14"/>
      <c r="X123" s="15"/>
      <c r="Y123" s="16"/>
      <c r="Z123" s="17"/>
      <c r="AA123" s="30"/>
      <c r="AB123" s="15"/>
    </row>
    <row r="124" spans="1:28">
      <c r="A124" s="43" t="s">
        <v>5130</v>
      </c>
      <c r="B124" s="207" t="s">
        <v>5131</v>
      </c>
      <c r="C124" s="14"/>
      <c r="D124" s="15"/>
      <c r="E124" s="16"/>
      <c r="F124" s="17"/>
      <c r="G124" s="14"/>
      <c r="H124" s="15"/>
      <c r="I124" s="16"/>
      <c r="J124" s="17"/>
      <c r="K124" s="14"/>
      <c r="L124" s="15"/>
      <c r="M124" s="16"/>
      <c r="N124" s="17"/>
      <c r="O124" s="2835" t="s">
        <v>5130</v>
      </c>
      <c r="P124" s="2832"/>
      <c r="Q124" s="2655"/>
      <c r="R124" s="17"/>
      <c r="S124" s="14"/>
      <c r="T124" s="15"/>
      <c r="U124" s="16"/>
      <c r="V124" s="17"/>
      <c r="W124" s="14"/>
      <c r="X124" s="15"/>
      <c r="Y124" s="16"/>
      <c r="Z124" s="17"/>
      <c r="AA124" s="30"/>
      <c r="AB124" s="15"/>
    </row>
    <row r="125" spans="1:28">
      <c r="A125" s="43" t="s">
        <v>5132</v>
      </c>
      <c r="B125" s="207" t="s">
        <v>5133</v>
      </c>
      <c r="C125" s="14"/>
      <c r="D125" s="15"/>
      <c r="E125" s="16"/>
      <c r="F125" s="17"/>
      <c r="G125" s="14"/>
      <c r="H125" s="15"/>
      <c r="I125" s="16"/>
      <c r="J125" s="17"/>
      <c r="K125" s="14"/>
      <c r="L125" s="15"/>
      <c r="M125" s="16"/>
      <c r="N125" s="17"/>
      <c r="O125" s="2835" t="s">
        <v>5132</v>
      </c>
      <c r="P125" s="2832"/>
      <c r="Q125" s="2655"/>
      <c r="R125" s="17"/>
      <c r="S125" s="14"/>
      <c r="T125" s="15"/>
      <c r="U125" s="16"/>
      <c r="V125" s="17"/>
      <c r="W125" s="14"/>
      <c r="X125" s="15"/>
      <c r="Y125" s="16"/>
      <c r="Z125" s="17"/>
      <c r="AA125" s="30"/>
      <c r="AB125" s="15"/>
    </row>
    <row r="126" spans="1:28">
      <c r="A126" s="43" t="s">
        <v>5134</v>
      </c>
      <c r="B126" s="207" t="s">
        <v>5135</v>
      </c>
      <c r="C126" s="14"/>
      <c r="D126" s="15"/>
      <c r="E126" s="16"/>
      <c r="F126" s="17"/>
      <c r="G126" s="14"/>
      <c r="H126" s="15"/>
      <c r="I126" s="16"/>
      <c r="J126" s="17"/>
      <c r="K126" s="14"/>
      <c r="L126" s="15"/>
      <c r="M126" s="16"/>
      <c r="N126" s="17"/>
      <c r="O126" s="2836" t="s">
        <v>5134</v>
      </c>
      <c r="P126" s="2821"/>
      <c r="Q126" s="2049"/>
      <c r="R126" s="17"/>
      <c r="S126" s="14"/>
      <c r="T126" s="15"/>
      <c r="U126" s="16"/>
      <c r="V126" s="17"/>
      <c r="W126" s="14"/>
      <c r="X126" s="15"/>
      <c r="Y126" s="16"/>
      <c r="Z126" s="17"/>
      <c r="AA126" s="30"/>
      <c r="AB126" s="15"/>
    </row>
    <row r="127" spans="1:28">
      <c r="A127" s="43" t="s">
        <v>3359</v>
      </c>
      <c r="B127" s="207" t="s">
        <v>3360</v>
      </c>
      <c r="C127" s="14"/>
      <c r="D127" s="15"/>
      <c r="E127" s="16"/>
      <c r="F127" s="17"/>
      <c r="G127" s="14"/>
      <c r="H127" s="15"/>
      <c r="I127" s="16"/>
      <c r="J127" s="17"/>
      <c r="K127" s="14"/>
      <c r="L127" s="15"/>
      <c r="M127" s="16"/>
      <c r="N127" s="17"/>
      <c r="O127" s="2833" t="s">
        <v>3359</v>
      </c>
      <c r="P127" s="2830"/>
      <c r="Q127" s="2646"/>
      <c r="R127" s="17"/>
      <c r="S127" s="14"/>
      <c r="T127" s="15"/>
      <c r="U127" s="16"/>
      <c r="V127" s="17"/>
      <c r="W127" s="14"/>
      <c r="X127" s="15"/>
      <c r="Y127" s="16"/>
      <c r="Z127" s="17"/>
      <c r="AA127" s="30"/>
      <c r="AB127" s="15"/>
    </row>
    <row r="128" spans="1:28">
      <c r="A128" s="43" t="s">
        <v>5136</v>
      </c>
      <c r="B128" s="207" t="s">
        <v>3360</v>
      </c>
      <c r="C128" s="14"/>
      <c r="D128" s="15"/>
      <c r="E128" s="16"/>
      <c r="F128" s="17"/>
      <c r="G128" s="14"/>
      <c r="H128" s="15"/>
      <c r="I128" s="16"/>
      <c r="J128" s="17"/>
      <c r="K128" s="14"/>
      <c r="L128" s="15"/>
      <c r="M128" s="16"/>
      <c r="N128" s="17"/>
      <c r="O128" s="2836" t="s">
        <v>5136</v>
      </c>
      <c r="P128" s="2821"/>
      <c r="Q128" s="2049"/>
      <c r="R128" s="17"/>
      <c r="S128" s="14"/>
      <c r="T128" s="15"/>
      <c r="U128" s="16"/>
      <c r="V128" s="17"/>
      <c r="W128" s="14"/>
      <c r="X128" s="15"/>
      <c r="Y128" s="16"/>
      <c r="Z128" s="17"/>
      <c r="AA128" s="30"/>
      <c r="AB128" s="15"/>
    </row>
    <row r="129" spans="1:28">
      <c r="A129" s="43" t="s">
        <v>3729</v>
      </c>
      <c r="B129" s="207" t="s">
        <v>5137</v>
      </c>
      <c r="C129" s="14"/>
      <c r="D129" s="15"/>
      <c r="E129" s="16"/>
      <c r="F129" s="17"/>
      <c r="G129" s="14"/>
      <c r="H129" s="15"/>
      <c r="I129" s="16"/>
      <c r="J129" s="17"/>
      <c r="K129" s="14"/>
      <c r="L129" s="15"/>
      <c r="M129" s="16"/>
      <c r="N129" s="17"/>
      <c r="O129" s="2833" t="s">
        <v>3729</v>
      </c>
      <c r="P129" s="2830"/>
      <c r="Q129" s="2646"/>
      <c r="R129" s="17"/>
      <c r="S129" s="14"/>
      <c r="T129" s="15"/>
      <c r="U129" s="16"/>
      <c r="V129" s="17"/>
      <c r="W129" s="14"/>
      <c r="X129" s="15"/>
      <c r="Y129" s="16"/>
      <c r="Z129" s="17"/>
      <c r="AA129" s="30"/>
      <c r="AB129" s="15"/>
    </row>
    <row r="130" spans="1:28">
      <c r="A130" s="43" t="s">
        <v>3377</v>
      </c>
      <c r="B130" s="207" t="s">
        <v>3378</v>
      </c>
      <c r="C130" s="14"/>
      <c r="D130" s="15"/>
      <c r="E130" s="16"/>
      <c r="F130" s="17"/>
      <c r="G130" s="14"/>
      <c r="H130" s="15"/>
      <c r="I130" s="16"/>
      <c r="J130" s="17"/>
      <c r="K130" s="14"/>
      <c r="L130" s="15"/>
      <c r="M130" s="16"/>
      <c r="N130" s="17"/>
      <c r="O130" s="2837" t="s">
        <v>3377</v>
      </c>
      <c r="P130" s="2824"/>
      <c r="Q130" s="2646"/>
      <c r="R130" s="17"/>
      <c r="S130" s="14"/>
      <c r="T130" s="15"/>
      <c r="U130" s="16"/>
      <c r="V130" s="17"/>
      <c r="W130" s="14"/>
      <c r="X130" s="15"/>
      <c r="Y130" s="16"/>
      <c r="Z130" s="17"/>
      <c r="AA130" s="30"/>
      <c r="AB130" s="15"/>
    </row>
    <row r="131" spans="1:28">
      <c r="A131" s="43" t="s">
        <v>3383</v>
      </c>
      <c r="B131" s="207"/>
      <c r="C131" s="14"/>
      <c r="D131" s="15"/>
      <c r="E131" s="16"/>
      <c r="F131" s="17"/>
      <c r="G131" s="14"/>
      <c r="H131" s="15"/>
      <c r="I131" s="16"/>
      <c r="J131" s="17"/>
      <c r="K131" s="14"/>
      <c r="L131" s="15"/>
      <c r="M131" s="16"/>
      <c r="N131" s="17"/>
      <c r="O131" s="2833" t="s">
        <v>3383</v>
      </c>
      <c r="P131" s="2831"/>
      <c r="Q131" s="2645"/>
      <c r="R131" s="1795"/>
      <c r="S131" s="14"/>
      <c r="T131" s="15"/>
      <c r="U131" s="16"/>
      <c r="V131" s="17"/>
      <c r="W131" s="14"/>
      <c r="X131" s="15"/>
      <c r="Y131" s="16"/>
      <c r="Z131" s="17"/>
      <c r="AA131" s="30"/>
      <c r="AB131" s="15"/>
    </row>
    <row r="132" spans="1:28">
      <c r="A132" s="43" t="s">
        <v>3387</v>
      </c>
      <c r="B132" s="207" t="s">
        <v>3388</v>
      </c>
      <c r="C132" s="14"/>
      <c r="D132" s="15"/>
      <c r="E132" s="16"/>
      <c r="F132" s="17"/>
      <c r="G132" s="14"/>
      <c r="H132" s="15"/>
      <c r="I132" s="16"/>
      <c r="J132" s="17"/>
      <c r="K132" s="14"/>
      <c r="L132" s="15"/>
      <c r="M132" s="16"/>
      <c r="N132" s="17"/>
      <c r="O132" s="2833" t="s">
        <v>3387</v>
      </c>
      <c r="P132" s="2831"/>
      <c r="Q132" s="2649"/>
      <c r="R132" s="2650"/>
      <c r="S132" s="2651"/>
      <c r="T132" s="2648"/>
      <c r="U132" s="16"/>
      <c r="V132" s="17"/>
      <c r="W132" s="14"/>
      <c r="X132" s="15"/>
      <c r="Y132" s="16"/>
      <c r="Z132" s="17"/>
      <c r="AA132" s="30"/>
      <c r="AB132" s="15"/>
    </row>
    <row r="133" spans="1:28" ht="40.5" thickBot="1">
      <c r="A133" s="406" t="s">
        <v>3406</v>
      </c>
      <c r="B133" s="341" t="s">
        <v>3354</v>
      </c>
      <c r="C133" s="6"/>
      <c r="D133" s="32"/>
      <c r="E133" s="7"/>
      <c r="F133" s="40"/>
      <c r="G133" s="6"/>
      <c r="H133" s="32"/>
      <c r="I133" s="7"/>
      <c r="J133" s="40"/>
      <c r="K133" s="6"/>
      <c r="L133" s="32"/>
      <c r="M133" s="7"/>
      <c r="N133" s="40"/>
      <c r="O133" s="2833" t="s">
        <v>3406</v>
      </c>
      <c r="P133" s="2830"/>
      <c r="Q133" s="2647"/>
      <c r="R133" s="40"/>
      <c r="S133" s="6"/>
      <c r="T133" s="32"/>
      <c r="U133" s="7"/>
      <c r="V133" s="40"/>
      <c r="W133" s="6"/>
      <c r="X133" s="32"/>
      <c r="Y133" s="7"/>
      <c r="Z133" s="40"/>
      <c r="AA133" s="2630"/>
      <c r="AB133" s="2631"/>
    </row>
    <row r="134" spans="1:28" ht="40.5" thickBot="1">
      <c r="A134" s="406" t="s">
        <v>4149</v>
      </c>
      <c r="B134" s="341" t="s">
        <v>5138</v>
      </c>
      <c r="C134" s="6"/>
      <c r="D134" s="32"/>
      <c r="E134" s="7"/>
      <c r="F134" s="40"/>
      <c r="G134" s="6"/>
      <c r="H134" s="32"/>
      <c r="I134" s="7"/>
      <c r="J134" s="40"/>
      <c r="K134" s="6"/>
      <c r="L134" s="32"/>
      <c r="M134" s="7"/>
      <c r="N134" s="40"/>
      <c r="O134" s="2833" t="s">
        <v>4149</v>
      </c>
      <c r="P134" s="2838"/>
      <c r="Q134" s="7"/>
      <c r="R134" s="40"/>
      <c r="S134" s="6"/>
      <c r="T134" s="32"/>
      <c r="U134" s="7"/>
      <c r="V134" s="40"/>
      <c r="W134" s="6"/>
      <c r="X134" s="32"/>
      <c r="Y134" s="7"/>
      <c r="Z134" s="32"/>
      <c r="AA134" s="31"/>
      <c r="AB134" s="32"/>
    </row>
    <row r="135" spans="1:28" ht="40.5">
      <c r="A135" s="3" t="s">
        <v>5063</v>
      </c>
      <c r="B135" s="23"/>
      <c r="C135" s="3"/>
      <c r="D135" s="3"/>
      <c r="E135" s="3"/>
      <c r="F135" s="3"/>
      <c r="G135" s="3"/>
      <c r="H135" s="3"/>
      <c r="I135" s="3"/>
      <c r="J135" s="3"/>
      <c r="K135" s="3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B135" s="4"/>
    </row>
    <row r="136" spans="1:28" ht="40.5" thickBot="1">
      <c r="A136" s="5" t="s">
        <v>5139</v>
      </c>
    </row>
    <row r="137" spans="1:28">
      <c r="A137" s="3544" t="s">
        <v>2</v>
      </c>
      <c r="B137" s="3546" t="s">
        <v>3</v>
      </c>
      <c r="C137" s="3537" t="s">
        <v>5065</v>
      </c>
      <c r="D137" s="3538"/>
      <c r="E137" s="3536" t="s">
        <v>5066</v>
      </c>
      <c r="F137" s="3536"/>
      <c r="G137" s="3537" t="s">
        <v>5067</v>
      </c>
      <c r="H137" s="3538"/>
      <c r="I137" s="3536" t="s">
        <v>5068</v>
      </c>
      <c r="J137" s="3536"/>
      <c r="K137" s="3537" t="s">
        <v>5069</v>
      </c>
      <c r="L137" s="3538"/>
      <c r="M137" s="3536" t="s">
        <v>5070</v>
      </c>
      <c r="N137" s="3536"/>
      <c r="O137" s="3542"/>
      <c r="P137" s="3542"/>
      <c r="Q137" s="3536" t="s">
        <v>5071</v>
      </c>
      <c r="R137" s="3536"/>
      <c r="S137" s="3536" t="s">
        <v>5072</v>
      </c>
      <c r="T137" s="3536"/>
      <c r="U137" s="3472" t="s">
        <v>5073</v>
      </c>
      <c r="V137" s="3473"/>
      <c r="W137" s="3536" t="s">
        <v>5074</v>
      </c>
      <c r="X137" s="3536"/>
      <c r="Y137" s="3472" t="s">
        <v>5075</v>
      </c>
      <c r="Z137" s="3475"/>
      <c r="AA137" s="3537" t="s">
        <v>5076</v>
      </c>
      <c r="AB137" s="3538"/>
    </row>
    <row r="138" spans="1:28" ht="40.5" thickBot="1">
      <c r="A138" s="3545"/>
      <c r="B138" s="3547"/>
      <c r="C138" s="1" t="s">
        <v>5078</v>
      </c>
      <c r="D138" s="35" t="s">
        <v>5079</v>
      </c>
      <c r="E138" s="2" t="s">
        <v>5078</v>
      </c>
      <c r="F138" s="36" t="s">
        <v>5079</v>
      </c>
      <c r="G138" s="1" t="s">
        <v>5078</v>
      </c>
      <c r="H138" s="35" t="s">
        <v>5079</v>
      </c>
      <c r="I138" s="2" t="s">
        <v>5078</v>
      </c>
      <c r="J138" s="36" t="s">
        <v>5079</v>
      </c>
      <c r="K138" s="1" t="s">
        <v>5078</v>
      </c>
      <c r="L138" s="35" t="s">
        <v>5079</v>
      </c>
      <c r="M138" s="2" t="s">
        <v>5078</v>
      </c>
      <c r="N138" s="36" t="s">
        <v>5079</v>
      </c>
      <c r="O138" s="2769"/>
      <c r="P138" s="2820"/>
      <c r="Q138" s="2" t="s">
        <v>5078</v>
      </c>
      <c r="R138" s="36" t="s">
        <v>5079</v>
      </c>
      <c r="S138" s="1" t="s">
        <v>5078</v>
      </c>
      <c r="T138" s="35" t="s">
        <v>5079</v>
      </c>
      <c r="U138" s="2" t="s">
        <v>5078</v>
      </c>
      <c r="V138" s="36" t="s">
        <v>5079</v>
      </c>
      <c r="W138" s="1" t="s">
        <v>5078</v>
      </c>
      <c r="X138" s="35" t="s">
        <v>5079</v>
      </c>
      <c r="Y138" s="2" t="s">
        <v>5078</v>
      </c>
      <c r="Z138" s="36" t="s">
        <v>5079</v>
      </c>
      <c r="AA138" s="1" t="s">
        <v>5078</v>
      </c>
      <c r="AB138" s="35" t="s">
        <v>5079</v>
      </c>
    </row>
    <row r="139" spans="1:28">
      <c r="A139" s="2705" t="s">
        <v>3417</v>
      </c>
      <c r="B139" s="2781" t="s">
        <v>5140</v>
      </c>
      <c r="C139" s="9"/>
      <c r="D139" s="10"/>
      <c r="E139" s="11"/>
      <c r="F139" s="12"/>
      <c r="G139" s="9"/>
      <c r="H139" s="10"/>
      <c r="I139" s="11"/>
      <c r="J139" s="12"/>
      <c r="K139" s="9"/>
      <c r="L139" s="10"/>
      <c r="M139" s="11"/>
      <c r="N139" s="12"/>
      <c r="O139" s="2833" t="s">
        <v>3417</v>
      </c>
      <c r="P139" s="2839"/>
      <c r="Q139" s="11"/>
      <c r="R139" s="12"/>
      <c r="S139" s="9"/>
      <c r="T139" s="10"/>
      <c r="U139" s="11"/>
      <c r="V139" s="12"/>
      <c r="W139" s="9"/>
      <c r="X139" s="10"/>
      <c r="Y139" s="11"/>
      <c r="Z139" s="12"/>
      <c r="AA139" s="33"/>
      <c r="AB139" s="10"/>
    </row>
    <row r="140" spans="1:28">
      <c r="A140" s="2705" t="s">
        <v>3424</v>
      </c>
      <c r="B140" s="2857" t="s">
        <v>353</v>
      </c>
      <c r="C140" s="14"/>
      <c r="D140" s="15"/>
      <c r="E140" s="16"/>
      <c r="F140" s="17"/>
      <c r="G140" s="14"/>
      <c r="H140" s="15"/>
      <c r="I140" s="16"/>
      <c r="J140" s="17"/>
      <c r="K140" s="14"/>
      <c r="L140" s="15"/>
      <c r="M140" s="16"/>
      <c r="N140" s="17"/>
      <c r="O140" s="2837" t="s">
        <v>3424</v>
      </c>
      <c r="P140" s="2841"/>
      <c r="Q140" s="2646"/>
      <c r="R140" s="17"/>
      <c r="S140" s="14"/>
      <c r="T140" s="15"/>
      <c r="U140" s="16"/>
      <c r="V140" s="17"/>
      <c r="W140" s="14"/>
      <c r="X140" s="15"/>
      <c r="Y140" s="16"/>
      <c r="Z140" s="17"/>
      <c r="AA140" s="30"/>
      <c r="AB140" s="15"/>
    </row>
    <row r="141" spans="1:28">
      <c r="A141" s="2705" t="s">
        <v>3430</v>
      </c>
      <c r="B141" s="2857"/>
      <c r="C141" s="14"/>
      <c r="D141" s="15"/>
      <c r="E141" s="16"/>
      <c r="F141" s="17"/>
      <c r="G141" s="14"/>
      <c r="H141" s="15"/>
      <c r="I141" s="16"/>
      <c r="J141" s="17"/>
      <c r="K141" s="14"/>
      <c r="L141" s="15"/>
      <c r="M141" s="16"/>
      <c r="N141" s="17"/>
      <c r="O141" s="2842" t="s">
        <v>3430</v>
      </c>
      <c r="P141" s="2843"/>
      <c r="Q141" s="2646"/>
      <c r="R141" s="17"/>
      <c r="S141" s="14"/>
      <c r="T141" s="15"/>
      <c r="U141" s="16"/>
      <c r="V141" s="17"/>
      <c r="W141" s="14"/>
      <c r="X141" s="15"/>
      <c r="Y141" s="16"/>
      <c r="Z141" s="17"/>
      <c r="AA141" s="30"/>
      <c r="AB141" s="15"/>
    </row>
    <row r="142" spans="1:28">
      <c r="A142" s="2705" t="s">
        <v>3433</v>
      </c>
      <c r="B142" s="2857" t="s">
        <v>3295</v>
      </c>
      <c r="C142" s="14"/>
      <c r="D142" s="15"/>
      <c r="E142" s="16"/>
      <c r="F142" s="17"/>
      <c r="G142" s="14"/>
      <c r="H142" s="15"/>
      <c r="I142" s="16"/>
      <c r="J142" s="17"/>
      <c r="K142" s="14"/>
      <c r="L142" s="15"/>
      <c r="M142" s="16"/>
      <c r="N142" s="17"/>
      <c r="O142" s="2842" t="s">
        <v>3433</v>
      </c>
      <c r="P142" s="2844"/>
      <c r="Q142" s="2646"/>
      <c r="R142" s="17"/>
      <c r="S142" s="14"/>
      <c r="T142" s="15"/>
      <c r="U142" s="16"/>
      <c r="V142" s="17"/>
      <c r="W142" s="14"/>
      <c r="X142" s="15"/>
      <c r="Y142" s="16"/>
      <c r="Z142" s="17"/>
      <c r="AA142" s="30"/>
      <c r="AB142" s="15"/>
    </row>
    <row r="143" spans="1:28">
      <c r="A143" s="2705" t="s">
        <v>903</v>
      </c>
      <c r="B143" s="2857" t="s">
        <v>3437</v>
      </c>
      <c r="C143" s="14"/>
      <c r="D143" s="15"/>
      <c r="E143" s="16"/>
      <c r="F143" s="17"/>
      <c r="G143" s="14"/>
      <c r="H143" s="15"/>
      <c r="I143" s="16"/>
      <c r="J143" s="17"/>
      <c r="K143" s="14"/>
      <c r="L143" s="15"/>
      <c r="M143" s="16"/>
      <c r="N143" s="17"/>
      <c r="O143" s="2845" t="s">
        <v>903</v>
      </c>
      <c r="P143" s="2846"/>
      <c r="Q143" s="2646"/>
      <c r="R143" s="17"/>
      <c r="S143" s="14"/>
      <c r="T143" s="15"/>
      <c r="U143" s="16"/>
      <c r="V143" s="17"/>
      <c r="W143" s="14"/>
      <c r="X143" s="15"/>
      <c r="Y143" s="16"/>
      <c r="Z143" s="17"/>
      <c r="AA143" s="30"/>
      <c r="AB143" s="15"/>
    </row>
    <row r="144" spans="1:28">
      <c r="A144" s="2705" t="s">
        <v>3443</v>
      </c>
      <c r="B144" s="2857" t="s">
        <v>1119</v>
      </c>
      <c r="C144" s="14"/>
      <c r="D144" s="15"/>
      <c r="E144" s="16"/>
      <c r="F144" s="17"/>
      <c r="G144" s="14"/>
      <c r="H144" s="15"/>
      <c r="I144" s="16"/>
      <c r="J144" s="17"/>
      <c r="K144" s="14"/>
      <c r="L144" s="15"/>
      <c r="M144" s="16"/>
      <c r="N144" s="17"/>
      <c r="O144" s="2835" t="s">
        <v>3443</v>
      </c>
      <c r="P144" s="2847"/>
      <c r="Q144" s="2646"/>
      <c r="R144" s="17"/>
      <c r="S144" s="14"/>
      <c r="T144" s="15"/>
      <c r="U144" s="16"/>
      <c r="V144" s="17"/>
      <c r="W144" s="14"/>
      <c r="X144" s="15"/>
      <c r="Y144" s="16"/>
      <c r="Z144" s="17"/>
      <c r="AA144" s="30"/>
      <c r="AB144" s="15"/>
    </row>
    <row r="145" spans="1:28">
      <c r="A145" s="2705" t="s">
        <v>3455</v>
      </c>
      <c r="B145" s="2857"/>
      <c r="C145" s="14"/>
      <c r="D145" s="15"/>
      <c r="E145" s="16"/>
      <c r="F145" s="17"/>
      <c r="G145" s="14"/>
      <c r="H145" s="15"/>
      <c r="I145" s="16"/>
      <c r="J145" s="17"/>
      <c r="K145" s="14"/>
      <c r="L145" s="15"/>
      <c r="M145" s="16"/>
      <c r="N145" s="17"/>
      <c r="O145" s="2836" t="s">
        <v>3455</v>
      </c>
      <c r="P145" s="2848"/>
      <c r="Q145" s="2646"/>
      <c r="R145" s="17"/>
      <c r="S145" s="14"/>
      <c r="T145" s="15"/>
      <c r="U145" s="16"/>
      <c r="V145" s="17"/>
      <c r="W145" s="14"/>
      <c r="X145" s="15"/>
      <c r="Y145" s="16"/>
      <c r="Z145" s="17"/>
      <c r="AA145" s="30"/>
      <c r="AB145" s="15"/>
    </row>
    <row r="146" spans="1:28">
      <c r="A146" s="2705" t="s">
        <v>3456</v>
      </c>
      <c r="B146" s="2858" t="s">
        <v>1054</v>
      </c>
      <c r="C146" s="14"/>
      <c r="D146" s="15"/>
      <c r="E146" s="16"/>
      <c r="F146" s="17"/>
      <c r="G146" s="14"/>
      <c r="H146" s="15"/>
      <c r="I146" s="16"/>
      <c r="J146" s="17"/>
      <c r="K146" s="14"/>
      <c r="L146" s="15"/>
      <c r="M146" s="16"/>
      <c r="N146" s="17"/>
      <c r="O146" s="2755" t="s">
        <v>3456</v>
      </c>
      <c r="P146" s="2849"/>
      <c r="Q146" s="2646"/>
      <c r="R146" s="17"/>
      <c r="S146" s="14"/>
      <c r="T146" s="15"/>
      <c r="U146" s="16"/>
      <c r="V146" s="17"/>
      <c r="W146" s="14"/>
      <c r="X146" s="15"/>
      <c r="Y146" s="16"/>
      <c r="Z146" s="17"/>
      <c r="AA146" s="30"/>
      <c r="AB146" s="15"/>
    </row>
    <row r="147" spans="1:28">
      <c r="A147" s="2859" t="s">
        <v>3458</v>
      </c>
      <c r="B147" s="2858" t="s">
        <v>1054</v>
      </c>
      <c r="C147" s="14"/>
      <c r="D147" s="15"/>
      <c r="E147" s="16"/>
      <c r="F147" s="17"/>
      <c r="G147" s="14"/>
      <c r="H147" s="15"/>
      <c r="I147" s="16"/>
      <c r="J147" s="17"/>
      <c r="K147" s="14"/>
      <c r="L147" s="15"/>
      <c r="M147" s="16"/>
      <c r="N147" s="17"/>
      <c r="O147" s="2850" t="s">
        <v>3458</v>
      </c>
      <c r="P147" s="2851"/>
      <c r="Q147" s="2646"/>
      <c r="R147" s="17"/>
      <c r="S147" s="14"/>
      <c r="T147" s="15"/>
      <c r="U147" s="16"/>
      <c r="V147" s="17"/>
      <c r="W147" s="14"/>
      <c r="X147" s="15"/>
      <c r="Y147" s="16"/>
      <c r="Z147" s="17"/>
      <c r="AA147" s="30"/>
      <c r="AB147" s="15"/>
    </row>
    <row r="148" spans="1:28">
      <c r="A148" s="406" t="s">
        <v>1606</v>
      </c>
      <c r="B148" s="341" t="s">
        <v>284</v>
      </c>
      <c r="C148" s="14"/>
      <c r="D148" s="15"/>
      <c r="E148" s="16"/>
      <c r="F148" s="17"/>
      <c r="G148" s="14"/>
      <c r="H148" s="15"/>
      <c r="I148" s="16"/>
      <c r="J148" s="17"/>
      <c r="K148" s="14"/>
      <c r="L148" s="15"/>
      <c r="M148" s="16"/>
      <c r="N148" s="17"/>
      <c r="O148" s="2837" t="s">
        <v>1606</v>
      </c>
      <c r="P148" s="2852" t="s">
        <v>284</v>
      </c>
      <c r="Q148" s="2646"/>
      <c r="R148" s="17"/>
      <c r="S148" s="14"/>
      <c r="T148" s="15"/>
      <c r="U148" s="16"/>
      <c r="V148" s="17"/>
      <c r="W148" s="14"/>
      <c r="X148" s="15"/>
      <c r="Y148" s="16"/>
      <c r="Z148" s="17"/>
      <c r="AA148" s="30"/>
      <c r="AB148" s="15"/>
    </row>
    <row r="149" spans="1:28" ht="40.5" thickBot="1">
      <c r="A149" s="1028" t="s">
        <v>1606</v>
      </c>
      <c r="B149" s="1721" t="s">
        <v>1614</v>
      </c>
      <c r="C149" s="14"/>
      <c r="D149" s="15"/>
      <c r="E149" s="16"/>
      <c r="F149" s="17"/>
      <c r="G149" s="14"/>
      <c r="H149" s="15"/>
      <c r="I149" s="16"/>
      <c r="J149" s="17"/>
      <c r="K149" s="14"/>
      <c r="L149" s="15"/>
      <c r="M149" s="16"/>
      <c r="N149" s="17"/>
      <c r="O149" s="2853" t="s">
        <v>1606</v>
      </c>
      <c r="P149" s="2854" t="s">
        <v>1614</v>
      </c>
      <c r="Q149" s="2646"/>
      <c r="R149" s="17"/>
      <c r="S149" s="14"/>
      <c r="T149" s="15"/>
      <c r="U149" s="16"/>
      <c r="V149" s="17"/>
      <c r="W149" s="14"/>
      <c r="X149" s="15"/>
      <c r="Y149" s="16"/>
      <c r="Z149" s="17"/>
      <c r="AA149" s="30"/>
      <c r="AB149" s="15"/>
    </row>
    <row r="150" spans="1:28">
      <c r="A150" s="406" t="s">
        <v>1622</v>
      </c>
      <c r="B150" s="341" t="s">
        <v>26</v>
      </c>
      <c r="C150" s="14"/>
      <c r="D150" s="15"/>
      <c r="E150" s="16"/>
      <c r="F150" s="17"/>
      <c r="G150" s="14"/>
      <c r="H150" s="15"/>
      <c r="I150" s="16"/>
      <c r="J150" s="17"/>
      <c r="K150" s="14"/>
      <c r="L150" s="15"/>
      <c r="M150" s="16"/>
      <c r="N150" s="17"/>
      <c r="O150" s="2837" t="s">
        <v>1622</v>
      </c>
      <c r="P150" s="2852" t="s">
        <v>26</v>
      </c>
      <c r="Q150" s="2646"/>
      <c r="R150" s="17"/>
      <c r="S150" s="14"/>
      <c r="T150" s="15"/>
      <c r="U150" s="16"/>
      <c r="V150" s="17"/>
      <c r="W150" s="14"/>
      <c r="X150" s="15"/>
      <c r="Y150" s="16"/>
      <c r="Z150" s="17"/>
      <c r="AA150" s="30"/>
      <c r="AB150" s="15"/>
    </row>
    <row r="151" spans="1:28">
      <c r="A151" s="406" t="s">
        <v>1622</v>
      </c>
      <c r="B151" s="341" t="s">
        <v>280</v>
      </c>
      <c r="C151" s="14"/>
      <c r="D151" s="15"/>
      <c r="E151" s="16"/>
      <c r="F151" s="17"/>
      <c r="G151" s="14"/>
      <c r="H151" s="15"/>
      <c r="I151" s="16"/>
      <c r="J151" s="17"/>
      <c r="K151" s="14"/>
      <c r="L151" s="15"/>
      <c r="M151" s="16"/>
      <c r="N151" s="17"/>
      <c r="O151" s="2833" t="s">
        <v>1622</v>
      </c>
      <c r="P151" s="2839" t="s">
        <v>280</v>
      </c>
      <c r="Q151" s="2646"/>
      <c r="R151" s="17"/>
      <c r="S151" s="14"/>
      <c r="T151" s="15"/>
      <c r="U151" s="16"/>
      <c r="V151" s="17"/>
      <c r="W151" s="14"/>
      <c r="X151" s="15"/>
      <c r="Y151" s="16"/>
      <c r="Z151" s="17"/>
      <c r="AA151" s="30"/>
      <c r="AB151" s="15"/>
    </row>
    <row r="152" spans="1:28">
      <c r="A152" s="406" t="s">
        <v>1622</v>
      </c>
      <c r="B152" s="341" t="s">
        <v>1635</v>
      </c>
      <c r="C152" s="14"/>
      <c r="D152" s="15"/>
      <c r="E152" s="16"/>
      <c r="F152" s="17"/>
      <c r="G152" s="14"/>
      <c r="H152" s="15"/>
      <c r="I152" s="16"/>
      <c r="J152" s="17"/>
      <c r="K152" s="14"/>
      <c r="L152" s="15"/>
      <c r="M152" s="16"/>
      <c r="N152" s="17"/>
      <c r="O152" s="2837" t="s">
        <v>1622</v>
      </c>
      <c r="P152" s="2852" t="s">
        <v>1635</v>
      </c>
      <c r="Q152" s="2646"/>
      <c r="R152" s="17"/>
      <c r="S152" s="14"/>
      <c r="T152" s="15"/>
      <c r="U152" s="16"/>
      <c r="V152" s="17"/>
      <c r="W152" s="14"/>
      <c r="X152" s="15"/>
      <c r="Y152" s="16"/>
      <c r="Z152" s="17"/>
      <c r="AA152" s="30"/>
      <c r="AB152" s="15"/>
    </row>
    <row r="153" spans="1:28">
      <c r="A153" s="406" t="s">
        <v>1622</v>
      </c>
      <c r="B153" s="341" t="s">
        <v>5141</v>
      </c>
      <c r="C153" s="14"/>
      <c r="D153" s="15"/>
      <c r="E153" s="16"/>
      <c r="F153" s="17"/>
      <c r="G153" s="14"/>
      <c r="H153" s="15"/>
      <c r="I153" s="16"/>
      <c r="J153" s="17"/>
      <c r="K153" s="14"/>
      <c r="L153" s="15"/>
      <c r="M153" s="16"/>
      <c r="N153" s="17"/>
      <c r="O153" s="2833" t="s">
        <v>1622</v>
      </c>
      <c r="P153" s="2839" t="s">
        <v>5141</v>
      </c>
      <c r="Q153" s="2646"/>
      <c r="R153" s="17"/>
      <c r="S153" s="14"/>
      <c r="T153" s="15"/>
      <c r="U153" s="16"/>
      <c r="V153" s="17"/>
      <c r="W153" s="14"/>
      <c r="X153" s="15"/>
      <c r="Y153" s="16"/>
      <c r="Z153" s="17"/>
      <c r="AA153" s="30"/>
      <c r="AB153" s="15"/>
    </row>
    <row r="154" spans="1:28">
      <c r="A154" s="770" t="s">
        <v>1666</v>
      </c>
      <c r="B154" s="523" t="s">
        <v>33</v>
      </c>
      <c r="C154" s="14"/>
      <c r="D154" s="15"/>
      <c r="E154" s="16"/>
      <c r="F154" s="17"/>
      <c r="G154" s="14"/>
      <c r="H154" s="15"/>
      <c r="I154" s="16"/>
      <c r="J154" s="17"/>
      <c r="K154" s="14"/>
      <c r="L154" s="15"/>
      <c r="M154" s="16"/>
      <c r="N154" s="17"/>
      <c r="O154" s="2855" t="s">
        <v>1666</v>
      </c>
      <c r="P154" s="2856" t="s">
        <v>33</v>
      </c>
      <c r="Q154" s="2645"/>
      <c r="R154" s="1795"/>
      <c r="S154" s="14"/>
      <c r="T154" s="15"/>
      <c r="U154" s="16"/>
      <c r="V154" s="17"/>
      <c r="W154" s="14"/>
      <c r="X154" s="15"/>
      <c r="Y154" s="16"/>
      <c r="Z154" s="17"/>
      <c r="AA154" s="30"/>
      <c r="AB154" s="15"/>
    </row>
    <row r="155" spans="1:28">
      <c r="A155" s="406" t="s">
        <v>1682</v>
      </c>
      <c r="B155" s="341" t="s">
        <v>1723</v>
      </c>
      <c r="C155" s="14"/>
      <c r="D155" s="15"/>
      <c r="E155" s="16"/>
      <c r="F155" s="17"/>
      <c r="G155" s="14"/>
      <c r="H155" s="15"/>
      <c r="I155" s="16"/>
      <c r="J155" s="17"/>
      <c r="K155" s="14"/>
      <c r="L155" s="15"/>
      <c r="M155" s="16"/>
      <c r="N155" s="17"/>
      <c r="O155" s="2833" t="s">
        <v>1682</v>
      </c>
      <c r="P155" s="2839" t="s">
        <v>1723</v>
      </c>
      <c r="Q155" s="2649"/>
      <c r="R155" s="2650"/>
      <c r="S155" s="2651"/>
      <c r="T155" s="2648"/>
      <c r="U155" s="16"/>
      <c r="V155" s="17"/>
      <c r="W155" s="14"/>
      <c r="X155" s="15"/>
      <c r="Y155" s="16"/>
      <c r="Z155" s="17"/>
      <c r="AA155" s="30"/>
      <c r="AB155" s="15"/>
    </row>
    <row r="156" spans="1:28" ht="40.5" thickBot="1">
      <c r="A156" s="406" t="s">
        <v>5142</v>
      </c>
      <c r="B156" s="341" t="s">
        <v>3646</v>
      </c>
      <c r="C156" s="6"/>
      <c r="D156" s="32"/>
      <c r="E156" s="7"/>
      <c r="F156" s="40"/>
      <c r="G156" s="6"/>
      <c r="H156" s="32"/>
      <c r="I156" s="7"/>
      <c r="J156" s="40"/>
      <c r="K156" s="6"/>
      <c r="L156" s="32"/>
      <c r="M156" s="7"/>
      <c r="N156" s="40"/>
      <c r="O156" s="2833" t="s">
        <v>5142</v>
      </c>
      <c r="P156" s="2839" t="s">
        <v>3646</v>
      </c>
      <c r="Q156" s="2647"/>
      <c r="R156" s="40"/>
      <c r="S156" s="6"/>
      <c r="T156" s="32"/>
      <c r="U156" s="7"/>
      <c r="V156" s="40"/>
      <c r="W156" s="6"/>
      <c r="X156" s="32"/>
      <c r="Y156" s="7"/>
      <c r="Z156" s="40"/>
      <c r="AA156" s="2630"/>
      <c r="AB156" s="2631"/>
    </row>
    <row r="157" spans="1:28" ht="40.5" thickBot="1">
      <c r="A157" s="406" t="s">
        <v>1701</v>
      </c>
      <c r="B157" s="341" t="s">
        <v>1723</v>
      </c>
      <c r="C157" s="6"/>
      <c r="D157" s="32"/>
      <c r="E157" s="6"/>
      <c r="F157" s="32"/>
      <c r="G157" s="7"/>
      <c r="H157" s="32"/>
      <c r="I157" s="7"/>
      <c r="J157" s="32"/>
      <c r="K157" s="7"/>
      <c r="L157" s="32"/>
      <c r="M157" s="7"/>
      <c r="N157" s="32"/>
      <c r="O157" s="2833" t="s">
        <v>1701</v>
      </c>
      <c r="P157" s="2839" t="s">
        <v>1723</v>
      </c>
      <c r="Q157" s="7"/>
      <c r="R157" s="32"/>
      <c r="S157" s="7"/>
      <c r="T157" s="32"/>
      <c r="U157" s="7"/>
      <c r="V157" s="32"/>
      <c r="W157" s="7"/>
      <c r="X157" s="32"/>
      <c r="Y157" s="7"/>
      <c r="Z157" s="32"/>
      <c r="AA157" s="31"/>
      <c r="AB157" s="32"/>
    </row>
    <row r="158" spans="1:28" ht="40.5">
      <c r="A158" s="3" t="s">
        <v>5063</v>
      </c>
      <c r="B158" s="23"/>
      <c r="C158" s="3"/>
      <c r="D158" s="3"/>
      <c r="E158" s="3"/>
      <c r="F158" s="3"/>
      <c r="G158" s="3"/>
      <c r="H158" s="3"/>
      <c r="I158" s="3"/>
      <c r="J158" s="3"/>
      <c r="K158" s="3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B158" s="4"/>
    </row>
    <row r="159" spans="1:28" ht="40.5" thickBot="1">
      <c r="A159" s="5" t="s">
        <v>5143</v>
      </c>
    </row>
    <row r="160" spans="1:28">
      <c r="A160" s="3540" t="s">
        <v>2</v>
      </c>
      <c r="B160" s="3540" t="s">
        <v>3</v>
      </c>
      <c r="C160" s="3537" t="s">
        <v>5065</v>
      </c>
      <c r="D160" s="3538"/>
      <c r="E160" s="3536" t="s">
        <v>5066</v>
      </c>
      <c r="F160" s="3536"/>
      <c r="G160" s="3537" t="s">
        <v>5067</v>
      </c>
      <c r="H160" s="3538"/>
      <c r="I160" s="3536" t="s">
        <v>5068</v>
      </c>
      <c r="J160" s="3536"/>
      <c r="K160" s="3537" t="s">
        <v>5069</v>
      </c>
      <c r="L160" s="3538"/>
      <c r="M160" s="3536" t="s">
        <v>5070</v>
      </c>
      <c r="N160" s="3536"/>
      <c r="O160" s="3542"/>
      <c r="P160" s="3542"/>
      <c r="Q160" s="3536" t="s">
        <v>5071</v>
      </c>
      <c r="R160" s="3536"/>
      <c r="S160" s="3536" t="s">
        <v>5072</v>
      </c>
      <c r="T160" s="3536"/>
      <c r="U160" s="3472" t="s">
        <v>5073</v>
      </c>
      <c r="V160" s="3473"/>
      <c r="W160" s="3536" t="s">
        <v>5074</v>
      </c>
      <c r="X160" s="3536"/>
      <c r="Y160" s="3472" t="s">
        <v>5075</v>
      </c>
      <c r="Z160" s="3475"/>
      <c r="AA160" s="3537" t="s">
        <v>5076</v>
      </c>
      <c r="AB160" s="3538"/>
    </row>
    <row r="161" spans="1:28" ht="40.5" thickBot="1">
      <c r="A161" s="3541"/>
      <c r="B161" s="3541"/>
      <c r="C161" s="1" t="s">
        <v>5078</v>
      </c>
      <c r="D161" s="35" t="s">
        <v>5079</v>
      </c>
      <c r="E161" s="2" t="s">
        <v>5078</v>
      </c>
      <c r="F161" s="36" t="s">
        <v>5079</v>
      </c>
      <c r="G161" s="1" t="s">
        <v>5078</v>
      </c>
      <c r="H161" s="35" t="s">
        <v>5079</v>
      </c>
      <c r="I161" s="2" t="s">
        <v>5078</v>
      </c>
      <c r="J161" s="36" t="s">
        <v>5079</v>
      </c>
      <c r="K161" s="1" t="s">
        <v>5078</v>
      </c>
      <c r="L161" s="35" t="s">
        <v>5079</v>
      </c>
      <c r="M161" s="2" t="s">
        <v>5078</v>
      </c>
      <c r="N161" s="36" t="s">
        <v>5079</v>
      </c>
      <c r="O161" s="2769"/>
      <c r="P161" s="2820"/>
      <c r="Q161" s="2" t="s">
        <v>5078</v>
      </c>
      <c r="R161" s="36" t="s">
        <v>5079</v>
      </c>
      <c r="S161" s="1" t="s">
        <v>5078</v>
      </c>
      <c r="T161" s="35" t="s">
        <v>5079</v>
      </c>
      <c r="U161" s="2" t="s">
        <v>5078</v>
      </c>
      <c r="V161" s="36" t="s">
        <v>5079</v>
      </c>
      <c r="W161" s="1" t="s">
        <v>5078</v>
      </c>
      <c r="X161" s="35" t="s">
        <v>5079</v>
      </c>
      <c r="Y161" s="2" t="s">
        <v>5078</v>
      </c>
      <c r="Z161" s="36" t="s">
        <v>5079</v>
      </c>
      <c r="AA161" s="1" t="s">
        <v>5078</v>
      </c>
      <c r="AB161" s="35" t="s">
        <v>5079</v>
      </c>
    </row>
    <row r="162" spans="1:28">
      <c r="A162" s="362" t="s">
        <v>1746</v>
      </c>
      <c r="B162" s="1211" t="s">
        <v>1714</v>
      </c>
      <c r="C162" s="9"/>
      <c r="D162" s="10"/>
      <c r="E162" s="11"/>
      <c r="F162" s="12"/>
      <c r="G162" s="9"/>
      <c r="H162" s="10"/>
      <c r="I162" s="11"/>
      <c r="J162" s="12"/>
      <c r="K162" s="9"/>
      <c r="L162" s="10"/>
      <c r="M162" s="11"/>
      <c r="N162" s="12"/>
      <c r="O162" s="2833" t="s">
        <v>1746</v>
      </c>
      <c r="P162" s="2839" t="s">
        <v>1714</v>
      </c>
      <c r="Q162" s="11"/>
      <c r="R162" s="12"/>
      <c r="S162" s="9"/>
      <c r="T162" s="10"/>
      <c r="U162" s="11"/>
      <c r="V162" s="12"/>
      <c r="W162" s="9"/>
      <c r="X162" s="10"/>
      <c r="Y162" s="11"/>
      <c r="Z162" s="12"/>
      <c r="AA162" s="33"/>
      <c r="AB162" s="10"/>
    </row>
    <row r="163" spans="1:28">
      <c r="A163" s="362" t="s">
        <v>1730</v>
      </c>
      <c r="B163" s="1211" t="s">
        <v>1714</v>
      </c>
      <c r="C163" s="14"/>
      <c r="D163" s="15"/>
      <c r="E163" s="16"/>
      <c r="F163" s="17"/>
      <c r="G163" s="14"/>
      <c r="H163" s="15"/>
      <c r="I163" s="16"/>
      <c r="J163" s="17"/>
      <c r="K163" s="14"/>
      <c r="L163" s="15"/>
      <c r="M163" s="16"/>
      <c r="N163" s="17"/>
      <c r="O163" s="2833" t="s">
        <v>1730</v>
      </c>
      <c r="P163" s="2839" t="s">
        <v>1714</v>
      </c>
      <c r="Q163" s="2646"/>
      <c r="R163" s="17"/>
      <c r="S163" s="14"/>
      <c r="T163" s="15"/>
      <c r="U163" s="16"/>
      <c r="V163" s="17"/>
      <c r="W163" s="14"/>
      <c r="X163" s="15"/>
      <c r="Y163" s="16"/>
      <c r="Z163" s="17"/>
      <c r="AA163" s="30"/>
      <c r="AB163" s="15"/>
    </row>
    <row r="164" spans="1:28">
      <c r="A164" s="362" t="s">
        <v>1730</v>
      </c>
      <c r="B164" s="1211" t="s">
        <v>33</v>
      </c>
      <c r="C164" s="14"/>
      <c r="D164" s="15"/>
      <c r="E164" s="16"/>
      <c r="F164" s="17"/>
      <c r="G164" s="14"/>
      <c r="H164" s="15"/>
      <c r="I164" s="16"/>
      <c r="J164" s="17"/>
      <c r="K164" s="14"/>
      <c r="L164" s="15"/>
      <c r="M164" s="16"/>
      <c r="N164" s="17"/>
      <c r="O164" s="2833" t="s">
        <v>1730</v>
      </c>
      <c r="P164" s="2839" t="s">
        <v>33</v>
      </c>
      <c r="Q164" s="2646"/>
      <c r="R164" s="17"/>
      <c r="S164" s="14"/>
      <c r="T164" s="15"/>
      <c r="U164" s="16"/>
      <c r="V164" s="17"/>
      <c r="W164" s="14"/>
      <c r="X164" s="15"/>
      <c r="Y164" s="16"/>
      <c r="Z164" s="17"/>
      <c r="AA164" s="30"/>
      <c r="AB164" s="15"/>
    </row>
    <row r="165" spans="1:28">
      <c r="A165" s="1210" t="s">
        <v>1707</v>
      </c>
      <c r="B165" s="1211" t="s">
        <v>1542</v>
      </c>
      <c r="C165" s="14"/>
      <c r="D165" s="15"/>
      <c r="E165" s="16"/>
      <c r="F165" s="17"/>
      <c r="G165" s="14"/>
      <c r="H165" s="15"/>
      <c r="I165" s="16"/>
      <c r="J165" s="17"/>
      <c r="K165" s="14"/>
      <c r="L165" s="15"/>
      <c r="M165" s="16"/>
      <c r="N165" s="17"/>
      <c r="O165" s="2836" t="s">
        <v>1707</v>
      </c>
      <c r="P165" s="2840" t="s">
        <v>1542</v>
      </c>
      <c r="Q165" s="2049"/>
      <c r="R165" s="17"/>
      <c r="S165" s="14"/>
      <c r="T165" s="15"/>
      <c r="U165" s="16"/>
      <c r="V165" s="17"/>
      <c r="W165" s="14"/>
      <c r="X165" s="15"/>
      <c r="Y165" s="16"/>
      <c r="Z165" s="17"/>
      <c r="AA165" s="30"/>
      <c r="AB165" s="15"/>
    </row>
    <row r="166" spans="1:28">
      <c r="A166" s="1210" t="s">
        <v>1707</v>
      </c>
      <c r="B166" s="1211" t="s">
        <v>1546</v>
      </c>
      <c r="C166" s="14"/>
      <c r="D166" s="15"/>
      <c r="E166" s="16"/>
      <c r="F166" s="17"/>
      <c r="G166" s="14"/>
      <c r="H166" s="15"/>
      <c r="I166" s="16"/>
      <c r="J166" s="17"/>
      <c r="K166" s="14"/>
      <c r="L166" s="15"/>
      <c r="M166" s="16"/>
      <c r="N166" s="2653"/>
      <c r="O166" s="2836" t="s">
        <v>1707</v>
      </c>
      <c r="P166" s="2840" t="s">
        <v>1546</v>
      </c>
      <c r="Q166" s="2646"/>
      <c r="R166" s="17"/>
      <c r="S166" s="14"/>
      <c r="T166" s="15"/>
      <c r="U166" s="16"/>
      <c r="V166" s="17"/>
      <c r="W166" s="14"/>
      <c r="X166" s="15"/>
      <c r="Y166" s="16"/>
      <c r="Z166" s="17"/>
      <c r="AA166" s="30"/>
      <c r="AB166" s="15"/>
    </row>
    <row r="167" spans="1:28">
      <c r="A167" s="1210" t="s">
        <v>1707</v>
      </c>
      <c r="B167" s="1211" t="s">
        <v>451</v>
      </c>
      <c r="C167" s="14"/>
      <c r="D167" s="15"/>
      <c r="E167" s="16"/>
      <c r="F167" s="17"/>
      <c r="G167" s="14"/>
      <c r="H167" s="15"/>
      <c r="I167" s="16"/>
      <c r="J167" s="17"/>
      <c r="K167" s="14"/>
      <c r="L167" s="15"/>
      <c r="M167" s="16"/>
      <c r="N167" s="2255"/>
      <c r="O167" s="2837" t="s">
        <v>1707</v>
      </c>
      <c r="P167" s="2839" t="s">
        <v>451</v>
      </c>
      <c r="Q167" s="791"/>
      <c r="R167" s="17"/>
      <c r="S167" s="14"/>
      <c r="T167" s="15"/>
      <c r="U167" s="16"/>
      <c r="V167" s="17"/>
      <c r="W167" s="14"/>
      <c r="X167" s="15"/>
      <c r="Y167" s="16"/>
      <c r="Z167" s="17"/>
      <c r="AA167" s="30"/>
      <c r="AB167" s="15"/>
    </row>
    <row r="168" spans="1:28">
      <c r="A168" s="362" t="s">
        <v>1722</v>
      </c>
      <c r="B168" s="1211" t="s">
        <v>1542</v>
      </c>
      <c r="C168" s="14"/>
      <c r="D168" s="15"/>
      <c r="E168" s="16"/>
      <c r="F168" s="17"/>
      <c r="G168" s="14"/>
      <c r="H168" s="15"/>
      <c r="I168" s="16"/>
      <c r="J168" s="17"/>
      <c r="K168" s="14"/>
      <c r="L168" s="15"/>
      <c r="M168" s="16"/>
      <c r="N168" s="2255"/>
      <c r="O168" s="2837" t="s">
        <v>1722</v>
      </c>
      <c r="P168" s="2839" t="s">
        <v>1542</v>
      </c>
      <c r="Q168" s="791"/>
      <c r="R168" s="17"/>
      <c r="S168" s="14"/>
      <c r="T168" s="15"/>
      <c r="U168" s="16"/>
      <c r="V168" s="17"/>
      <c r="W168" s="14"/>
      <c r="X168" s="15"/>
      <c r="Y168" s="16"/>
      <c r="Z168" s="17"/>
      <c r="AA168" s="30"/>
      <c r="AB168" s="15"/>
    </row>
    <row r="169" spans="1:28">
      <c r="A169" s="362" t="s">
        <v>1722</v>
      </c>
      <c r="B169" s="1211" t="s">
        <v>1546</v>
      </c>
      <c r="C169" s="14"/>
      <c r="D169" s="15"/>
      <c r="E169" s="16"/>
      <c r="F169" s="17"/>
      <c r="G169" s="14"/>
      <c r="H169" s="15"/>
      <c r="I169" s="16"/>
      <c r="J169" s="17"/>
      <c r="K169" s="14"/>
      <c r="L169" s="15"/>
      <c r="M169" s="16"/>
      <c r="N169" s="2255"/>
      <c r="O169" s="2837" t="s">
        <v>1722</v>
      </c>
      <c r="P169" s="2839" t="s">
        <v>1546</v>
      </c>
      <c r="Q169" s="791"/>
      <c r="R169" s="17"/>
      <c r="S169" s="14"/>
      <c r="T169" s="15"/>
      <c r="U169" s="16"/>
      <c r="V169" s="17"/>
      <c r="W169" s="14"/>
      <c r="X169" s="15"/>
      <c r="Y169" s="16"/>
      <c r="Z169" s="17"/>
      <c r="AA169" s="30"/>
      <c r="AB169" s="15"/>
    </row>
    <row r="170" spans="1:28">
      <c r="A170" s="362" t="s">
        <v>1722</v>
      </c>
      <c r="B170" s="1211" t="s">
        <v>451</v>
      </c>
      <c r="C170" s="14"/>
      <c r="D170" s="15"/>
      <c r="E170" s="16"/>
      <c r="F170" s="17"/>
      <c r="G170" s="14"/>
      <c r="H170" s="15"/>
      <c r="I170" s="16"/>
      <c r="J170" s="17"/>
      <c r="K170" s="14"/>
      <c r="L170" s="15"/>
      <c r="M170" s="16"/>
      <c r="N170" s="2255"/>
      <c r="O170" s="2837" t="s">
        <v>1722</v>
      </c>
      <c r="P170" s="2839" t="s">
        <v>451</v>
      </c>
      <c r="Q170" s="791"/>
      <c r="R170" s="17"/>
      <c r="S170" s="14"/>
      <c r="T170" s="15"/>
      <c r="U170" s="16"/>
      <c r="V170" s="17"/>
      <c r="W170" s="14"/>
      <c r="X170" s="15"/>
      <c r="Y170" s="16"/>
      <c r="Z170" s="17"/>
      <c r="AA170" s="30"/>
      <c r="AB170" s="15"/>
    </row>
    <row r="171" spans="1:28">
      <c r="A171" s="362" t="s">
        <v>3648</v>
      </c>
      <c r="B171" s="1211" t="s">
        <v>1542</v>
      </c>
      <c r="C171" s="14"/>
      <c r="D171" s="15"/>
      <c r="E171" s="16"/>
      <c r="F171" s="17"/>
      <c r="G171" s="14"/>
      <c r="H171" s="15"/>
      <c r="I171" s="16"/>
      <c r="J171" s="17"/>
      <c r="K171" s="14"/>
      <c r="L171" s="15"/>
      <c r="M171" s="16"/>
      <c r="N171" s="2255"/>
      <c r="O171" s="2837" t="s">
        <v>3648</v>
      </c>
      <c r="P171" s="2839" t="s">
        <v>1542</v>
      </c>
      <c r="Q171" s="791"/>
      <c r="R171" s="17"/>
      <c r="S171" s="14"/>
      <c r="T171" s="15"/>
      <c r="U171" s="16"/>
      <c r="V171" s="17"/>
      <c r="W171" s="14"/>
      <c r="X171" s="15"/>
      <c r="Y171" s="16"/>
      <c r="Z171" s="17"/>
      <c r="AA171" s="30"/>
      <c r="AB171" s="15"/>
    </row>
    <row r="172" spans="1:28">
      <c r="A172" s="362" t="s">
        <v>3648</v>
      </c>
      <c r="B172" s="1211" t="s">
        <v>1546</v>
      </c>
      <c r="C172" s="14"/>
      <c r="D172" s="15"/>
      <c r="E172" s="16"/>
      <c r="F172" s="17"/>
      <c r="G172" s="14"/>
      <c r="H172" s="15"/>
      <c r="I172" s="16"/>
      <c r="J172" s="17"/>
      <c r="K172" s="14"/>
      <c r="L172" s="15"/>
      <c r="M172" s="16"/>
      <c r="N172" s="2255"/>
      <c r="O172" s="2836" t="s">
        <v>3648</v>
      </c>
      <c r="P172" s="2840" t="s">
        <v>1546</v>
      </c>
      <c r="Q172" s="791"/>
      <c r="R172" s="17"/>
      <c r="S172" s="14"/>
      <c r="T172" s="15"/>
      <c r="U172" s="16"/>
      <c r="V172" s="17"/>
      <c r="W172" s="14"/>
      <c r="X172" s="15"/>
      <c r="Y172" s="16"/>
      <c r="Z172" s="17"/>
      <c r="AA172" s="30"/>
      <c r="AB172" s="15"/>
    </row>
    <row r="173" spans="1:28">
      <c r="A173" s="43" t="s">
        <v>2150</v>
      </c>
      <c r="B173" s="207" t="s">
        <v>2191</v>
      </c>
      <c r="C173" s="14"/>
      <c r="D173" s="15"/>
      <c r="E173" s="16"/>
      <c r="F173" s="17"/>
      <c r="G173" s="14"/>
      <c r="H173" s="15"/>
      <c r="I173" s="16"/>
      <c r="J173" s="17"/>
      <c r="K173" s="14"/>
      <c r="L173" s="15"/>
      <c r="M173" s="16"/>
      <c r="N173" s="17"/>
      <c r="O173" s="2836" t="s">
        <v>2150</v>
      </c>
      <c r="P173" s="2840" t="s">
        <v>2191</v>
      </c>
      <c r="Q173" s="2646"/>
      <c r="R173" s="17"/>
      <c r="S173" s="14"/>
      <c r="T173" s="15"/>
      <c r="U173" s="16"/>
      <c r="V173" s="17"/>
      <c r="W173" s="14"/>
      <c r="X173" s="15"/>
      <c r="Y173" s="16"/>
      <c r="Z173" s="17"/>
      <c r="AA173" s="30"/>
      <c r="AB173" s="15"/>
    </row>
    <row r="174" spans="1:28">
      <c r="A174" s="43" t="s">
        <v>2156</v>
      </c>
      <c r="B174" s="207" t="s">
        <v>2157</v>
      </c>
      <c r="C174" s="14"/>
      <c r="D174" s="15"/>
      <c r="E174" s="16"/>
      <c r="F174" s="17"/>
      <c r="G174" s="14"/>
      <c r="H174" s="15"/>
      <c r="I174" s="16"/>
      <c r="J174" s="17"/>
      <c r="K174" s="14"/>
      <c r="L174" s="15"/>
      <c r="M174" s="16"/>
      <c r="N174" s="17"/>
      <c r="O174" s="2836" t="s">
        <v>2156</v>
      </c>
      <c r="P174" s="2840" t="s">
        <v>2157</v>
      </c>
      <c r="Q174" s="2646"/>
      <c r="R174" s="17"/>
      <c r="S174" s="14"/>
      <c r="T174" s="15"/>
      <c r="U174" s="16"/>
      <c r="V174" s="17"/>
      <c r="W174" s="14"/>
      <c r="X174" s="15"/>
      <c r="Y174" s="16"/>
      <c r="Z174" s="17"/>
      <c r="AA174" s="30"/>
      <c r="AB174" s="15"/>
    </row>
    <row r="175" spans="1:28">
      <c r="A175" s="43" t="s">
        <v>2156</v>
      </c>
      <c r="B175" s="207" t="s">
        <v>2162</v>
      </c>
      <c r="C175" s="14"/>
      <c r="D175" s="15"/>
      <c r="E175" s="16"/>
      <c r="F175" s="17"/>
      <c r="G175" s="14"/>
      <c r="H175" s="15"/>
      <c r="I175" s="16"/>
      <c r="J175" s="17"/>
      <c r="K175" s="14"/>
      <c r="L175" s="15"/>
      <c r="M175" s="16"/>
      <c r="N175" s="17"/>
      <c r="O175" s="2836" t="s">
        <v>2156</v>
      </c>
      <c r="P175" s="2840" t="s">
        <v>2162</v>
      </c>
      <c r="Q175" s="2646"/>
      <c r="R175" s="17"/>
      <c r="S175" s="14"/>
      <c r="T175" s="15"/>
      <c r="U175" s="16"/>
      <c r="V175" s="17"/>
      <c r="W175" s="14"/>
      <c r="X175" s="15"/>
      <c r="Y175" s="16"/>
      <c r="Z175" s="17"/>
      <c r="AA175" s="30"/>
      <c r="AB175" s="15"/>
    </row>
    <row r="176" spans="1:28">
      <c r="A176" s="43" t="s">
        <v>2156</v>
      </c>
      <c r="B176" s="207" t="s">
        <v>2167</v>
      </c>
      <c r="C176" s="14"/>
      <c r="D176" s="15"/>
      <c r="E176" s="16"/>
      <c r="F176" s="17"/>
      <c r="G176" s="14"/>
      <c r="H176" s="15"/>
      <c r="I176" s="16"/>
      <c r="J176" s="17"/>
      <c r="K176" s="14"/>
      <c r="L176" s="15"/>
      <c r="M176" s="16"/>
      <c r="N176" s="17"/>
      <c r="O176" s="2836" t="s">
        <v>2156</v>
      </c>
      <c r="P176" s="2840" t="s">
        <v>2167</v>
      </c>
      <c r="Q176" s="2646"/>
      <c r="R176" s="17"/>
      <c r="S176" s="14"/>
      <c r="T176" s="15"/>
      <c r="U176" s="16"/>
      <c r="V176" s="17"/>
      <c r="W176" s="14"/>
      <c r="X176" s="15"/>
      <c r="Y176" s="16"/>
      <c r="Z176" s="17"/>
      <c r="AA176" s="30"/>
      <c r="AB176" s="15"/>
    </row>
    <row r="177" spans="1:28">
      <c r="A177" s="43" t="s">
        <v>2171</v>
      </c>
      <c r="B177" s="207" t="s">
        <v>2172</v>
      </c>
      <c r="C177" s="14"/>
      <c r="D177" s="15"/>
      <c r="E177" s="16"/>
      <c r="F177" s="17"/>
      <c r="G177" s="14"/>
      <c r="H177" s="15"/>
      <c r="I177" s="16"/>
      <c r="J177" s="17"/>
      <c r="K177" s="14"/>
      <c r="L177" s="15"/>
      <c r="M177" s="16"/>
      <c r="N177" s="17"/>
      <c r="O177" s="2836" t="s">
        <v>2171</v>
      </c>
      <c r="P177" s="2840" t="s">
        <v>2172</v>
      </c>
      <c r="Q177" s="2645"/>
      <c r="R177" s="1795"/>
      <c r="S177" s="14"/>
      <c r="T177" s="15"/>
      <c r="U177" s="16"/>
      <c r="V177" s="17"/>
      <c r="W177" s="14"/>
      <c r="X177" s="15"/>
      <c r="Y177" s="16"/>
      <c r="Z177" s="17"/>
      <c r="AA177" s="30"/>
      <c r="AB177" s="15"/>
    </row>
    <row r="178" spans="1:28">
      <c r="A178" s="74" t="s">
        <v>2188</v>
      </c>
      <c r="B178" s="207" t="s">
        <v>2024</v>
      </c>
      <c r="C178" s="14"/>
      <c r="D178" s="15"/>
      <c r="E178" s="16"/>
      <c r="F178" s="17"/>
      <c r="G178" s="14"/>
      <c r="H178" s="15"/>
      <c r="I178" s="16"/>
      <c r="J178" s="17"/>
      <c r="K178" s="14"/>
      <c r="L178" s="15"/>
      <c r="M178" s="16"/>
      <c r="N178" s="17"/>
      <c r="O178" s="2821" t="s">
        <v>2188</v>
      </c>
      <c r="P178" s="2840" t="s">
        <v>2024</v>
      </c>
      <c r="Q178" s="2649"/>
      <c r="R178" s="2650"/>
      <c r="S178" s="2651"/>
      <c r="T178" s="2648"/>
      <c r="U178" s="16"/>
      <c r="V178" s="17"/>
      <c r="W178" s="14"/>
      <c r="X178" s="15"/>
      <c r="Y178" s="16"/>
      <c r="Z178" s="17"/>
      <c r="AA178" s="30"/>
      <c r="AB178" s="15"/>
    </row>
    <row r="179" spans="1:28" ht="40.5" thickBot="1">
      <c r="A179" s="74" t="s">
        <v>2188</v>
      </c>
      <c r="B179" s="207" t="s">
        <v>2191</v>
      </c>
      <c r="C179" s="6"/>
      <c r="D179" s="32"/>
      <c r="E179" s="7"/>
      <c r="F179" s="40"/>
      <c r="G179" s="6"/>
      <c r="H179" s="32"/>
      <c r="I179" s="7"/>
      <c r="J179" s="40"/>
      <c r="K179" s="6"/>
      <c r="L179" s="32"/>
      <c r="M179" s="7"/>
      <c r="N179" s="40"/>
      <c r="O179" s="2821" t="s">
        <v>2188</v>
      </c>
      <c r="P179" s="2840" t="s">
        <v>2191</v>
      </c>
      <c r="Q179" s="2647"/>
      <c r="R179" s="40"/>
      <c r="S179" s="6"/>
      <c r="T179" s="32"/>
      <c r="U179" s="7"/>
      <c r="V179" s="40"/>
      <c r="W179" s="6"/>
      <c r="X179" s="32"/>
      <c r="Y179" s="7"/>
      <c r="Z179" s="40"/>
      <c r="AA179" s="2630"/>
      <c r="AB179" s="2631"/>
    </row>
    <row r="180" spans="1:28" ht="40.5" thickBot="1">
      <c r="A180" s="74" t="s">
        <v>5144</v>
      </c>
      <c r="B180" s="207" t="s">
        <v>5145</v>
      </c>
      <c r="C180" s="6"/>
      <c r="D180" s="32"/>
      <c r="E180" s="6"/>
      <c r="F180" s="32"/>
      <c r="G180" s="7"/>
      <c r="H180" s="32"/>
      <c r="I180" s="7"/>
      <c r="J180" s="32"/>
      <c r="K180" s="7"/>
      <c r="L180" s="32"/>
      <c r="M180" s="7"/>
      <c r="N180" s="32"/>
      <c r="O180" s="2821" t="s">
        <v>5144</v>
      </c>
      <c r="P180" s="2840" t="s">
        <v>5145</v>
      </c>
      <c r="Q180" s="7"/>
      <c r="R180" s="32"/>
      <c r="S180" s="7"/>
      <c r="T180" s="32"/>
      <c r="U180" s="7"/>
      <c r="V180" s="32"/>
      <c r="W180" s="7"/>
      <c r="X180" s="32"/>
      <c r="Y180" s="7"/>
      <c r="Z180" s="32"/>
      <c r="AA180" s="31"/>
      <c r="AB180" s="32"/>
    </row>
    <row r="182" spans="1:28" ht="40.5">
      <c r="A182" s="3" t="s">
        <v>5063</v>
      </c>
      <c r="B182" s="23"/>
      <c r="C182" s="3"/>
      <c r="D182" s="3"/>
      <c r="E182" s="3"/>
      <c r="F182" s="3"/>
      <c r="G182" s="3"/>
      <c r="H182" s="3"/>
      <c r="I182" s="3"/>
      <c r="J182" s="3"/>
      <c r="K182" s="3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B182" s="4"/>
    </row>
    <row r="183" spans="1:28" ht="40.5" thickBot="1">
      <c r="A183" s="5" t="s">
        <v>5146</v>
      </c>
    </row>
    <row r="184" spans="1:28">
      <c r="A184" s="3544" t="s">
        <v>2</v>
      </c>
      <c r="B184" s="3546" t="s">
        <v>3</v>
      </c>
      <c r="C184" s="3537" t="s">
        <v>5065</v>
      </c>
      <c r="D184" s="3538"/>
      <c r="E184" s="3536" t="s">
        <v>5066</v>
      </c>
      <c r="F184" s="3536"/>
      <c r="G184" s="3537" t="s">
        <v>5067</v>
      </c>
      <c r="H184" s="3538"/>
      <c r="I184" s="3536" t="s">
        <v>5068</v>
      </c>
      <c r="J184" s="3536"/>
      <c r="K184" s="3537" t="s">
        <v>5069</v>
      </c>
      <c r="L184" s="3538"/>
      <c r="M184" s="3536" t="s">
        <v>5070</v>
      </c>
      <c r="N184" s="3536"/>
      <c r="O184" s="3542"/>
      <c r="P184" s="3542"/>
      <c r="Q184" s="3536" t="s">
        <v>5071</v>
      </c>
      <c r="R184" s="3536"/>
      <c r="S184" s="3536" t="s">
        <v>5072</v>
      </c>
      <c r="T184" s="3536"/>
      <c r="U184" s="3472" t="s">
        <v>5073</v>
      </c>
      <c r="V184" s="3473"/>
      <c r="W184" s="3536" t="s">
        <v>5074</v>
      </c>
      <c r="X184" s="3536"/>
      <c r="Y184" s="3472" t="s">
        <v>5075</v>
      </c>
      <c r="Z184" s="3475"/>
      <c r="AA184" s="3537" t="s">
        <v>5076</v>
      </c>
      <c r="AB184" s="3538"/>
    </row>
    <row r="185" spans="1:28" ht="40.5" thickBot="1">
      <c r="A185" s="3545"/>
      <c r="B185" s="3547"/>
      <c r="C185" s="1" t="s">
        <v>5078</v>
      </c>
      <c r="D185" s="35" t="s">
        <v>5079</v>
      </c>
      <c r="E185" s="2" t="s">
        <v>5078</v>
      </c>
      <c r="F185" s="36" t="s">
        <v>5079</v>
      </c>
      <c r="G185" s="1" t="s">
        <v>5078</v>
      </c>
      <c r="H185" s="35" t="s">
        <v>5079</v>
      </c>
      <c r="I185" s="2" t="s">
        <v>5078</v>
      </c>
      <c r="J185" s="36" t="s">
        <v>5079</v>
      </c>
      <c r="K185" s="1" t="s">
        <v>5078</v>
      </c>
      <c r="L185" s="35" t="s">
        <v>5079</v>
      </c>
      <c r="M185" s="2" t="s">
        <v>5078</v>
      </c>
      <c r="N185" s="36" t="s">
        <v>5079</v>
      </c>
      <c r="O185" s="2769"/>
      <c r="P185" s="2820"/>
      <c r="Q185" s="2" t="s">
        <v>5078</v>
      </c>
      <c r="R185" s="36" t="s">
        <v>5079</v>
      </c>
      <c r="S185" s="1" t="s">
        <v>5078</v>
      </c>
      <c r="T185" s="35" t="s">
        <v>5079</v>
      </c>
      <c r="U185" s="2" t="s">
        <v>5078</v>
      </c>
      <c r="V185" s="36" t="s">
        <v>5079</v>
      </c>
      <c r="W185" s="1" t="s">
        <v>5078</v>
      </c>
      <c r="X185" s="35" t="s">
        <v>5079</v>
      </c>
      <c r="Y185" s="2" t="s">
        <v>5078</v>
      </c>
      <c r="Z185" s="36" t="s">
        <v>5079</v>
      </c>
      <c r="AA185" s="1" t="s">
        <v>5078</v>
      </c>
      <c r="AB185" s="35" t="s">
        <v>5079</v>
      </c>
    </row>
    <row r="186" spans="1:28">
      <c r="A186" s="1336" t="s">
        <v>2201</v>
      </c>
      <c r="B186" s="26"/>
      <c r="C186" s="9"/>
      <c r="D186" s="10"/>
      <c r="E186" s="11"/>
      <c r="F186" s="12"/>
      <c r="G186" s="9"/>
      <c r="H186" s="10"/>
      <c r="I186" s="11"/>
      <c r="J186" s="12"/>
      <c r="K186" s="9"/>
      <c r="L186" s="10"/>
      <c r="M186" s="11"/>
      <c r="N186" s="12"/>
      <c r="O186" s="2837"/>
      <c r="P186" s="2864"/>
      <c r="Q186" s="2861"/>
      <c r="R186" s="12"/>
      <c r="S186" s="9"/>
      <c r="T186" s="10"/>
      <c r="U186" s="11"/>
      <c r="V186" s="12"/>
      <c r="W186" s="9"/>
      <c r="X186" s="10"/>
      <c r="Y186" s="11"/>
      <c r="Z186" s="12"/>
      <c r="AA186" s="33"/>
      <c r="AB186" s="10"/>
    </row>
    <row r="187" spans="1:28">
      <c r="A187" s="406" t="s">
        <v>2203</v>
      </c>
      <c r="B187" s="26"/>
      <c r="C187" s="14"/>
      <c r="D187" s="15"/>
      <c r="E187" s="16"/>
      <c r="F187" s="17"/>
      <c r="G187" s="14"/>
      <c r="H187" s="15"/>
      <c r="I187" s="16"/>
      <c r="J187" s="17"/>
      <c r="K187" s="14"/>
      <c r="L187" s="15"/>
      <c r="M187" s="16"/>
      <c r="N187" s="17"/>
      <c r="O187" s="2837" t="s">
        <v>2203</v>
      </c>
      <c r="P187" s="2864"/>
      <c r="Q187" s="2645"/>
      <c r="R187" s="17"/>
      <c r="S187" s="14"/>
      <c r="T187" s="15"/>
      <c r="U187" s="16"/>
      <c r="V187" s="17"/>
      <c r="W187" s="14"/>
      <c r="X187" s="15"/>
      <c r="Y187" s="16"/>
      <c r="Z187" s="17"/>
      <c r="AA187" s="30"/>
      <c r="AB187" s="15"/>
    </row>
    <row r="188" spans="1:28" ht="40.5" thickBot="1">
      <c r="A188" s="406" t="s">
        <v>2205</v>
      </c>
      <c r="B188" s="3474"/>
      <c r="C188" s="14"/>
      <c r="D188" s="15"/>
      <c r="E188" s="16"/>
      <c r="F188" s="17"/>
      <c r="G188" s="14"/>
      <c r="H188" s="15"/>
      <c r="I188" s="16"/>
      <c r="J188" s="17"/>
      <c r="K188" s="14"/>
      <c r="L188" s="15"/>
      <c r="M188" s="16"/>
      <c r="N188" s="17"/>
      <c r="O188" s="2837" t="s">
        <v>2205</v>
      </c>
      <c r="P188" s="2865"/>
      <c r="Q188" s="2645"/>
      <c r="R188" s="17"/>
      <c r="S188" s="14"/>
      <c r="T188" s="15"/>
      <c r="U188" s="16"/>
      <c r="V188" s="17"/>
      <c r="W188" s="14"/>
      <c r="X188" s="15"/>
      <c r="Y188" s="16"/>
      <c r="Z188" s="17"/>
      <c r="AA188" s="30"/>
      <c r="AB188" s="15"/>
    </row>
    <row r="189" spans="1:28">
      <c r="A189" s="1589" t="s">
        <v>3521</v>
      </c>
      <c r="B189" s="1590"/>
      <c r="C189" s="14"/>
      <c r="D189" s="15"/>
      <c r="E189" s="16"/>
      <c r="F189" s="17"/>
      <c r="G189" s="14"/>
      <c r="H189" s="15"/>
      <c r="I189" s="16"/>
      <c r="J189" s="17"/>
      <c r="K189" s="14"/>
      <c r="L189" s="15"/>
      <c r="M189" s="16"/>
      <c r="N189" s="17"/>
      <c r="O189" s="2866" t="s">
        <v>3521</v>
      </c>
      <c r="P189" s="2867"/>
      <c r="Q189" s="2645"/>
      <c r="R189" s="17"/>
      <c r="S189" s="14"/>
      <c r="T189" s="15"/>
      <c r="U189" s="16"/>
      <c r="V189" s="17"/>
      <c r="W189" s="14"/>
      <c r="X189" s="15"/>
      <c r="Y189" s="16"/>
      <c r="Z189" s="17"/>
      <c r="AA189" s="30"/>
      <c r="AB189" s="15"/>
    </row>
    <row r="190" spans="1:28" ht="40.5" thickBot="1">
      <c r="A190" s="1336" t="s">
        <v>3527</v>
      </c>
      <c r="B190" s="341" t="s">
        <v>353</v>
      </c>
      <c r="C190" s="14"/>
      <c r="D190" s="15"/>
      <c r="E190" s="16"/>
      <c r="F190" s="17"/>
      <c r="G190" s="14"/>
      <c r="H190" s="15"/>
      <c r="I190" s="16"/>
      <c r="J190" s="17"/>
      <c r="K190" s="14"/>
      <c r="L190" s="15"/>
      <c r="M190" s="16"/>
      <c r="N190" s="17"/>
      <c r="O190" s="2837" t="s">
        <v>3527</v>
      </c>
      <c r="P190" s="2852" t="s">
        <v>353</v>
      </c>
      <c r="Q190" s="2645"/>
      <c r="R190" s="17"/>
      <c r="S190" s="14"/>
      <c r="T190" s="15"/>
      <c r="U190" s="16"/>
      <c r="V190" s="17"/>
      <c r="W190" s="14"/>
      <c r="X190" s="15"/>
      <c r="Y190" s="16"/>
      <c r="Z190" s="17"/>
      <c r="AA190" s="30"/>
      <c r="AB190" s="15"/>
    </row>
    <row r="191" spans="1:28" ht="40.5" thickBot="1">
      <c r="A191" s="1589" t="s">
        <v>5147</v>
      </c>
      <c r="B191" s="1590"/>
      <c r="C191" s="14"/>
      <c r="D191" s="15"/>
      <c r="E191" s="16"/>
      <c r="F191" s="17"/>
      <c r="G191" s="14"/>
      <c r="H191" s="15"/>
      <c r="I191" s="16"/>
      <c r="J191" s="17"/>
      <c r="K191" s="14"/>
      <c r="L191" s="15"/>
      <c r="M191" s="16"/>
      <c r="N191" s="17"/>
      <c r="O191" s="2866" t="s">
        <v>5147</v>
      </c>
      <c r="P191" s="2867"/>
      <c r="Q191" s="2645"/>
      <c r="R191" s="17"/>
      <c r="S191" s="14"/>
      <c r="T191" s="15"/>
      <c r="U191" s="16"/>
      <c r="V191" s="17"/>
      <c r="W191" s="14"/>
      <c r="X191" s="15"/>
      <c r="Y191" s="16"/>
      <c r="Z191" s="17"/>
      <c r="AA191" s="30"/>
      <c r="AB191" s="15"/>
    </row>
    <row r="192" spans="1:28">
      <c r="A192" s="1589" t="s">
        <v>3521</v>
      </c>
      <c r="B192" s="1590"/>
      <c r="C192" s="14"/>
      <c r="D192" s="15"/>
      <c r="E192" s="16"/>
      <c r="F192" s="17"/>
      <c r="G192" s="14"/>
      <c r="H192" s="15"/>
      <c r="I192" s="16"/>
      <c r="J192" s="17"/>
      <c r="K192" s="14"/>
      <c r="L192" s="15"/>
      <c r="M192" s="16"/>
      <c r="N192" s="17"/>
      <c r="O192" s="2866" t="s">
        <v>3521</v>
      </c>
      <c r="P192" s="2867"/>
      <c r="Q192" s="2645"/>
      <c r="R192" s="17"/>
      <c r="S192" s="14"/>
      <c r="T192" s="15"/>
      <c r="U192" s="16"/>
      <c r="V192" s="17"/>
      <c r="W192" s="14"/>
      <c r="X192" s="15"/>
      <c r="Y192" s="16"/>
      <c r="Z192" s="17"/>
      <c r="AA192" s="30"/>
      <c r="AB192" s="15"/>
    </row>
    <row r="193" spans="1:28">
      <c r="A193" s="1336" t="s">
        <v>3527</v>
      </c>
      <c r="B193" s="341" t="s">
        <v>353</v>
      </c>
      <c r="C193" s="14"/>
      <c r="D193" s="15"/>
      <c r="E193" s="16"/>
      <c r="F193" s="17"/>
      <c r="G193" s="14"/>
      <c r="H193" s="15"/>
      <c r="I193" s="16"/>
      <c r="J193" s="17"/>
      <c r="K193" s="14"/>
      <c r="L193" s="15"/>
      <c r="M193" s="16"/>
      <c r="N193" s="17"/>
      <c r="O193" s="2837" t="s">
        <v>3527</v>
      </c>
      <c r="P193" s="2852" t="s">
        <v>353</v>
      </c>
      <c r="Q193" s="2645"/>
      <c r="R193" s="17"/>
      <c r="S193" s="14"/>
      <c r="T193" s="15"/>
      <c r="U193" s="16"/>
      <c r="V193" s="17"/>
      <c r="W193" s="14"/>
      <c r="X193" s="15"/>
      <c r="Y193" s="16"/>
      <c r="Z193" s="17"/>
      <c r="AA193" s="30"/>
      <c r="AB193" s="15"/>
    </row>
    <row r="194" spans="1:28">
      <c r="A194" s="406" t="s">
        <v>3535</v>
      </c>
      <c r="B194" s="1459" t="s">
        <v>3536</v>
      </c>
      <c r="C194" s="14"/>
      <c r="D194" s="15"/>
      <c r="E194" s="16"/>
      <c r="F194" s="17"/>
      <c r="G194" s="14"/>
      <c r="H194" s="15"/>
      <c r="I194" s="16"/>
      <c r="J194" s="17"/>
      <c r="K194" s="14"/>
      <c r="L194" s="15"/>
      <c r="M194" s="16"/>
      <c r="N194" s="17"/>
      <c r="O194" s="2837" t="s">
        <v>3535</v>
      </c>
      <c r="P194" s="2841" t="s">
        <v>3536</v>
      </c>
      <c r="Q194" s="2645"/>
      <c r="R194" s="17"/>
      <c r="S194" s="14"/>
      <c r="T194" s="15"/>
      <c r="U194" s="16"/>
      <c r="V194" s="17"/>
      <c r="W194" s="14"/>
      <c r="X194" s="15"/>
      <c r="Y194" s="16"/>
      <c r="Z194" s="17"/>
      <c r="AA194" s="30"/>
      <c r="AB194" s="15"/>
    </row>
    <row r="195" spans="1:28">
      <c r="A195" s="406" t="s">
        <v>3535</v>
      </c>
      <c r="B195" s="1459" t="s">
        <v>3541</v>
      </c>
      <c r="C195" s="14"/>
      <c r="D195" s="15"/>
      <c r="E195" s="16"/>
      <c r="F195" s="17"/>
      <c r="G195" s="14"/>
      <c r="H195" s="15"/>
      <c r="I195" s="16"/>
      <c r="J195" s="17"/>
      <c r="K195" s="14"/>
      <c r="L195" s="15"/>
      <c r="M195" s="16"/>
      <c r="N195" s="17"/>
      <c r="O195" s="2837" t="s">
        <v>3535</v>
      </c>
      <c r="P195" s="2841" t="s">
        <v>3541</v>
      </c>
      <c r="Q195" s="2645"/>
      <c r="R195" s="17"/>
      <c r="S195" s="14"/>
      <c r="T195" s="15"/>
      <c r="U195" s="16"/>
      <c r="V195" s="17"/>
      <c r="W195" s="14"/>
      <c r="X195" s="15"/>
      <c r="Y195" s="16"/>
      <c r="Z195" s="17"/>
      <c r="AA195" s="30"/>
      <c r="AB195" s="15"/>
    </row>
    <row r="196" spans="1:28">
      <c r="A196" s="406" t="s">
        <v>3535</v>
      </c>
      <c r="B196" s="1459" t="s">
        <v>3536</v>
      </c>
      <c r="C196" s="14"/>
      <c r="D196" s="15"/>
      <c r="E196" s="16"/>
      <c r="F196" s="17"/>
      <c r="G196" s="14"/>
      <c r="H196" s="15"/>
      <c r="I196" s="16"/>
      <c r="J196" s="17"/>
      <c r="K196" s="14"/>
      <c r="L196" s="15"/>
      <c r="M196" s="16"/>
      <c r="N196" s="17"/>
      <c r="O196" s="2837" t="s">
        <v>3535</v>
      </c>
      <c r="P196" s="2841" t="s">
        <v>3536</v>
      </c>
      <c r="Q196" s="2645"/>
      <c r="R196" s="17"/>
      <c r="S196" s="14"/>
      <c r="T196" s="15"/>
      <c r="U196" s="16"/>
      <c r="V196" s="17"/>
      <c r="W196" s="14"/>
      <c r="X196" s="15"/>
      <c r="Y196" s="16"/>
      <c r="Z196" s="17"/>
      <c r="AA196" s="30"/>
      <c r="AB196" s="15"/>
    </row>
    <row r="197" spans="1:28">
      <c r="A197" s="406" t="s">
        <v>3535</v>
      </c>
      <c r="B197" s="1459" t="s">
        <v>3541</v>
      </c>
      <c r="C197" s="14"/>
      <c r="D197" s="15"/>
      <c r="E197" s="16"/>
      <c r="F197" s="17"/>
      <c r="G197" s="14"/>
      <c r="H197" s="15"/>
      <c r="I197" s="16"/>
      <c r="J197" s="17"/>
      <c r="K197" s="14"/>
      <c r="L197" s="15"/>
      <c r="M197" s="16"/>
      <c r="N197" s="17"/>
      <c r="O197" s="2837" t="s">
        <v>3535</v>
      </c>
      <c r="P197" s="2841" t="s">
        <v>3541</v>
      </c>
      <c r="Q197" s="2645"/>
      <c r="R197" s="17"/>
      <c r="S197" s="14"/>
      <c r="T197" s="15"/>
      <c r="U197" s="16"/>
      <c r="V197" s="17"/>
      <c r="W197" s="14"/>
      <c r="X197" s="15"/>
      <c r="Y197" s="16"/>
      <c r="Z197" s="17"/>
      <c r="AA197" s="30"/>
      <c r="AB197" s="15"/>
    </row>
    <row r="198" spans="1:28">
      <c r="A198" s="406" t="s">
        <v>3542</v>
      </c>
      <c r="B198" s="1459" t="s">
        <v>3543</v>
      </c>
      <c r="C198" s="14"/>
      <c r="D198" s="15"/>
      <c r="E198" s="16"/>
      <c r="F198" s="17"/>
      <c r="G198" s="14"/>
      <c r="H198" s="15"/>
      <c r="I198" s="16"/>
      <c r="J198" s="17"/>
      <c r="K198" s="14"/>
      <c r="L198" s="15"/>
      <c r="M198" s="16"/>
      <c r="N198" s="17"/>
      <c r="O198" s="2837" t="s">
        <v>3542</v>
      </c>
      <c r="P198" s="2841" t="s">
        <v>3543</v>
      </c>
      <c r="Q198" s="2645"/>
      <c r="R198" s="17"/>
      <c r="S198" s="14"/>
      <c r="T198" s="15"/>
      <c r="U198" s="16"/>
      <c r="V198" s="17"/>
      <c r="W198" s="14"/>
      <c r="X198" s="15"/>
      <c r="Y198" s="16"/>
      <c r="Z198" s="17"/>
      <c r="AA198" s="30"/>
      <c r="AB198" s="15"/>
    </row>
    <row r="199" spans="1:28">
      <c r="A199" s="406" t="s">
        <v>3547</v>
      </c>
      <c r="B199" s="1459" t="s">
        <v>3543</v>
      </c>
      <c r="C199" s="14"/>
      <c r="D199" s="15"/>
      <c r="E199" s="16"/>
      <c r="F199" s="17"/>
      <c r="G199" s="14"/>
      <c r="H199" s="15"/>
      <c r="I199" s="16"/>
      <c r="J199" s="17"/>
      <c r="K199" s="14"/>
      <c r="L199" s="15"/>
      <c r="M199" s="16"/>
      <c r="N199" s="17"/>
      <c r="O199" s="2837" t="s">
        <v>3547</v>
      </c>
      <c r="P199" s="2841" t="s">
        <v>3543</v>
      </c>
      <c r="Q199" s="2645"/>
      <c r="R199" s="17"/>
      <c r="S199" s="14"/>
      <c r="T199" s="15"/>
      <c r="U199" s="16"/>
      <c r="V199" s="17"/>
      <c r="W199" s="14"/>
      <c r="X199" s="15"/>
      <c r="Y199" s="16"/>
      <c r="Z199" s="17"/>
      <c r="AA199" s="30"/>
      <c r="AB199" s="15"/>
    </row>
    <row r="200" spans="1:28">
      <c r="A200" s="406" t="s">
        <v>3548</v>
      </c>
      <c r="B200" s="1459" t="s">
        <v>3543</v>
      </c>
      <c r="C200" s="14"/>
      <c r="D200" s="15"/>
      <c r="E200" s="16"/>
      <c r="F200" s="17"/>
      <c r="G200" s="14"/>
      <c r="H200" s="15"/>
      <c r="I200" s="16"/>
      <c r="J200" s="17"/>
      <c r="K200" s="14"/>
      <c r="L200" s="15"/>
      <c r="M200" s="16"/>
      <c r="N200" s="17"/>
      <c r="O200" s="2837" t="s">
        <v>3548</v>
      </c>
      <c r="P200" s="2841" t="s">
        <v>3543</v>
      </c>
      <c r="Q200" s="2645"/>
      <c r="R200" s="17"/>
      <c r="S200" s="14"/>
      <c r="T200" s="15"/>
      <c r="U200" s="16"/>
      <c r="V200" s="17"/>
      <c r="W200" s="14"/>
      <c r="X200" s="15"/>
      <c r="Y200" s="16"/>
      <c r="Z200" s="17"/>
      <c r="AA200" s="30"/>
      <c r="AB200" s="15"/>
    </row>
    <row r="201" spans="1:28">
      <c r="A201" s="406" t="s">
        <v>3549</v>
      </c>
      <c r="B201" s="1459" t="s">
        <v>3550</v>
      </c>
      <c r="C201" s="14"/>
      <c r="D201" s="15"/>
      <c r="E201" s="16"/>
      <c r="F201" s="17"/>
      <c r="G201" s="14"/>
      <c r="H201" s="15"/>
      <c r="I201" s="16"/>
      <c r="J201" s="17"/>
      <c r="K201" s="14"/>
      <c r="L201" s="15"/>
      <c r="M201" s="16"/>
      <c r="N201" s="17"/>
      <c r="O201" s="2837" t="s">
        <v>3549</v>
      </c>
      <c r="P201" s="2841" t="s">
        <v>3550</v>
      </c>
      <c r="Q201" s="2645"/>
      <c r="R201" s="1795"/>
      <c r="S201" s="14"/>
      <c r="T201" s="15"/>
      <c r="U201" s="16"/>
      <c r="V201" s="17"/>
      <c r="W201" s="14"/>
      <c r="X201" s="15"/>
      <c r="Y201" s="16"/>
      <c r="Z201" s="17"/>
      <c r="AA201" s="30"/>
      <c r="AB201" s="15"/>
    </row>
    <row r="202" spans="1:28">
      <c r="A202" s="1727" t="s">
        <v>3555</v>
      </c>
      <c r="B202" s="341"/>
      <c r="C202" s="14"/>
      <c r="D202" s="15"/>
      <c r="E202" s="16"/>
      <c r="F202" s="17"/>
      <c r="G202" s="14"/>
      <c r="H202" s="15"/>
      <c r="I202" s="16"/>
      <c r="J202" s="17"/>
      <c r="K202" s="14"/>
      <c r="L202" s="15"/>
      <c r="M202" s="16"/>
      <c r="N202" s="17"/>
      <c r="O202" s="2868" t="s">
        <v>3555</v>
      </c>
      <c r="P202" s="2852"/>
      <c r="Q202" s="2645"/>
      <c r="R202" s="2650"/>
      <c r="S202" s="2651"/>
      <c r="T202" s="2648"/>
      <c r="U202" s="16"/>
      <c r="V202" s="17"/>
      <c r="W202" s="14"/>
      <c r="X202" s="15"/>
      <c r="Y202" s="16"/>
      <c r="Z202" s="17"/>
      <c r="AA202" s="30"/>
      <c r="AB202" s="15"/>
    </row>
    <row r="203" spans="1:28" ht="40.5" thickBot="1">
      <c r="A203" s="770" t="s">
        <v>3558</v>
      </c>
      <c r="B203" s="1517"/>
      <c r="C203" s="6"/>
      <c r="D203" s="32"/>
      <c r="E203" s="7"/>
      <c r="F203" s="40"/>
      <c r="G203" s="6"/>
      <c r="H203" s="32"/>
      <c r="I203" s="7"/>
      <c r="J203" s="40"/>
      <c r="K203" s="6"/>
      <c r="L203" s="32"/>
      <c r="M203" s="7"/>
      <c r="N203" s="40"/>
      <c r="O203" s="2869" t="s">
        <v>3558</v>
      </c>
      <c r="P203" s="2870"/>
      <c r="Q203" s="2862"/>
      <c r="R203" s="40"/>
      <c r="S203" s="6"/>
      <c r="T203" s="32"/>
      <c r="U203" s="7"/>
      <c r="V203" s="40"/>
      <c r="W203" s="6"/>
      <c r="X203" s="32"/>
      <c r="Y203" s="7"/>
      <c r="Z203" s="40"/>
      <c r="AA203" s="2630"/>
      <c r="AB203" s="2631"/>
    </row>
    <row r="204" spans="1:28">
      <c r="A204" s="1516" t="s">
        <v>3510</v>
      </c>
      <c r="B204" s="1517" t="s">
        <v>1809</v>
      </c>
      <c r="C204" s="19"/>
      <c r="D204" s="20"/>
      <c r="E204" s="19"/>
      <c r="F204" s="20"/>
      <c r="G204" s="21"/>
      <c r="H204" s="20"/>
      <c r="I204" s="21"/>
      <c r="J204" s="20"/>
      <c r="K204" s="21"/>
      <c r="L204" s="20"/>
      <c r="M204" s="21"/>
      <c r="N204" s="20"/>
      <c r="O204" s="2871" t="s">
        <v>3510</v>
      </c>
      <c r="P204" s="2870" t="s">
        <v>1809</v>
      </c>
      <c r="Q204" s="2863"/>
      <c r="R204" s="20"/>
      <c r="S204" s="21"/>
      <c r="T204" s="20"/>
      <c r="U204" s="21"/>
      <c r="V204" s="20"/>
      <c r="W204" s="21"/>
      <c r="X204" s="20"/>
      <c r="Y204" s="21"/>
      <c r="Z204" s="20"/>
      <c r="AA204" s="98"/>
      <c r="AB204" s="20"/>
    </row>
    <row r="205" spans="1:28">
      <c r="A205" s="406" t="s">
        <v>3516</v>
      </c>
      <c r="B205" s="1459" t="s">
        <v>1809</v>
      </c>
      <c r="C205" s="19"/>
      <c r="D205" s="20"/>
      <c r="E205" s="19"/>
      <c r="F205" s="20"/>
      <c r="G205" s="21"/>
      <c r="H205" s="20"/>
      <c r="I205" s="21"/>
      <c r="J205" s="20"/>
      <c r="K205" s="21"/>
      <c r="L205" s="20"/>
      <c r="M205" s="21"/>
      <c r="N205" s="20"/>
      <c r="O205" s="2837" t="s">
        <v>3516</v>
      </c>
      <c r="P205" s="2841" t="s">
        <v>1809</v>
      </c>
      <c r="Q205" s="2863"/>
      <c r="R205" s="20"/>
      <c r="S205" s="21"/>
      <c r="T205" s="20"/>
      <c r="U205" s="21"/>
      <c r="V205" s="20"/>
      <c r="W205" s="21"/>
      <c r="X205" s="20"/>
      <c r="Y205" s="21"/>
      <c r="Z205" s="20"/>
      <c r="AA205" s="98"/>
      <c r="AB205" s="20"/>
    </row>
    <row r="206" spans="1:28">
      <c r="A206" s="43" t="s">
        <v>3574</v>
      </c>
      <c r="B206" s="207" t="s">
        <v>284</v>
      </c>
      <c r="C206" s="19"/>
      <c r="D206" s="20"/>
      <c r="E206" s="19"/>
      <c r="F206" s="20"/>
      <c r="G206" s="21"/>
      <c r="H206" s="20"/>
      <c r="I206" s="21"/>
      <c r="J206" s="20"/>
      <c r="K206" s="21"/>
      <c r="L206" s="20"/>
      <c r="M206" s="21"/>
      <c r="N206" s="20"/>
      <c r="O206" s="2837" t="s">
        <v>5148</v>
      </c>
      <c r="P206" s="2852" t="s">
        <v>3438</v>
      </c>
      <c r="Q206" s="2863"/>
      <c r="R206" s="20"/>
      <c r="S206" s="21"/>
      <c r="T206" s="20"/>
      <c r="U206" s="21"/>
      <c r="V206" s="20"/>
      <c r="W206" s="21"/>
      <c r="X206" s="20"/>
      <c r="Y206" s="21"/>
      <c r="Z206" s="20"/>
      <c r="AA206" s="98"/>
      <c r="AB206" s="20"/>
    </row>
    <row r="207" spans="1:28">
      <c r="A207" s="43" t="s">
        <v>3581</v>
      </c>
      <c r="B207" s="207" t="s">
        <v>284</v>
      </c>
      <c r="C207" s="19"/>
      <c r="D207" s="20"/>
      <c r="E207" s="19"/>
      <c r="F207" s="20"/>
      <c r="G207" s="21"/>
      <c r="H207" s="20"/>
      <c r="I207" s="21"/>
      <c r="J207" s="20"/>
      <c r="K207" s="21"/>
      <c r="L207" s="20"/>
      <c r="M207" s="21"/>
      <c r="N207" s="20"/>
      <c r="O207" s="2837" t="s">
        <v>3581</v>
      </c>
      <c r="P207" s="2852" t="s">
        <v>284</v>
      </c>
      <c r="Q207" s="2863"/>
      <c r="R207" s="20"/>
      <c r="S207" s="21"/>
      <c r="T207" s="20"/>
      <c r="U207" s="21"/>
      <c r="V207" s="20"/>
      <c r="W207" s="21"/>
      <c r="X207" s="20"/>
      <c r="Y207" s="21"/>
      <c r="Z207" s="20"/>
      <c r="AA207" s="98"/>
      <c r="AB207" s="20"/>
    </row>
    <row r="208" spans="1:28">
      <c r="A208" s="43" t="s">
        <v>3582</v>
      </c>
      <c r="B208" s="207" t="s">
        <v>284</v>
      </c>
      <c r="C208" s="19"/>
      <c r="D208" s="20"/>
      <c r="E208" s="19"/>
      <c r="F208" s="20"/>
      <c r="G208" s="21"/>
      <c r="H208" s="20"/>
      <c r="I208" s="21"/>
      <c r="J208" s="20"/>
      <c r="K208" s="21"/>
      <c r="L208" s="20"/>
      <c r="M208" s="21"/>
      <c r="N208" s="20"/>
      <c r="O208" s="2835" t="s">
        <v>3582</v>
      </c>
      <c r="P208" s="2877" t="s">
        <v>284</v>
      </c>
      <c r="Q208" s="2872"/>
      <c r="R208" s="2873"/>
      <c r="S208" s="2872"/>
      <c r="T208" s="20"/>
      <c r="U208" s="21"/>
      <c r="V208" s="20"/>
      <c r="W208" s="21"/>
      <c r="X208" s="20"/>
      <c r="Y208" s="21"/>
      <c r="Z208" s="20"/>
      <c r="AA208" s="98"/>
      <c r="AB208" s="20"/>
    </row>
    <row r="209" spans="1:28">
      <c r="A209" s="3767" t="s">
        <v>3610</v>
      </c>
      <c r="B209" s="3768"/>
      <c r="C209" s="19"/>
      <c r="D209" s="20"/>
      <c r="E209" s="19"/>
      <c r="F209" s="20"/>
      <c r="G209" s="21"/>
      <c r="H209" s="20"/>
      <c r="I209" s="21"/>
      <c r="J209" s="20"/>
      <c r="K209" s="21"/>
      <c r="L209" s="20"/>
      <c r="M209" s="21"/>
      <c r="N209" s="20"/>
      <c r="O209" s="2878" t="s">
        <v>3610</v>
      </c>
      <c r="P209" s="2879"/>
      <c r="Q209" s="2872"/>
      <c r="R209" s="2873"/>
      <c r="S209" s="2872"/>
      <c r="T209" s="20"/>
      <c r="U209" s="21"/>
      <c r="V209" s="20"/>
      <c r="W209" s="21"/>
      <c r="X209" s="20"/>
      <c r="Y209" s="21"/>
      <c r="Z209" s="20"/>
      <c r="AA209" s="98"/>
      <c r="AB209" s="20"/>
    </row>
    <row r="210" spans="1:28">
      <c r="A210" s="3767" t="s">
        <v>3595</v>
      </c>
      <c r="B210" s="3768"/>
      <c r="C210" s="19"/>
      <c r="D210" s="20"/>
      <c r="E210" s="19"/>
      <c r="F210" s="20"/>
      <c r="G210" s="21"/>
      <c r="H210" s="20"/>
      <c r="I210" s="21"/>
      <c r="J210" s="20"/>
      <c r="K210" s="21"/>
      <c r="L210" s="20"/>
      <c r="M210" s="21"/>
      <c r="N210" s="20"/>
      <c r="O210" s="2878" t="s">
        <v>3595</v>
      </c>
      <c r="P210" s="2879"/>
      <c r="Q210" s="2872"/>
      <c r="R210" s="2873"/>
      <c r="S210" s="2872"/>
      <c r="T210" s="20"/>
      <c r="U210" s="21"/>
      <c r="V210" s="20"/>
      <c r="W210" s="21"/>
      <c r="X210" s="20"/>
      <c r="Y210" s="21"/>
      <c r="Z210" s="20"/>
      <c r="AA210" s="98"/>
      <c r="AB210" s="20"/>
    </row>
    <row r="211" spans="1:28">
      <c r="A211" s="3767" t="s">
        <v>3597</v>
      </c>
      <c r="B211" s="3768" t="s">
        <v>3598</v>
      </c>
      <c r="C211" s="19"/>
      <c r="D211" s="20"/>
      <c r="E211" s="19"/>
      <c r="F211" s="20"/>
      <c r="G211" s="21"/>
      <c r="H211" s="20"/>
      <c r="I211" s="21"/>
      <c r="J211" s="20"/>
      <c r="K211" s="21"/>
      <c r="L211" s="20"/>
      <c r="M211" s="21"/>
      <c r="N211" s="20"/>
      <c r="O211" s="2878" t="s">
        <v>3597</v>
      </c>
      <c r="P211" s="2879" t="s">
        <v>3598</v>
      </c>
      <c r="Q211" s="2872"/>
      <c r="R211" s="2873"/>
      <c r="S211" s="2872"/>
      <c r="T211" s="20"/>
      <c r="U211" s="21"/>
      <c r="V211" s="20"/>
      <c r="W211" s="21"/>
      <c r="X211" s="20"/>
      <c r="Y211" s="21"/>
      <c r="Z211" s="20"/>
      <c r="AA211" s="98"/>
      <c r="AB211" s="20"/>
    </row>
    <row r="212" spans="1:28">
      <c r="A212" s="3767" t="s">
        <v>3603</v>
      </c>
      <c r="B212" s="3768"/>
      <c r="C212" s="19"/>
      <c r="D212" s="20"/>
      <c r="E212" s="19"/>
      <c r="F212" s="20"/>
      <c r="G212" s="21"/>
      <c r="H212" s="20"/>
      <c r="I212" s="21"/>
      <c r="J212" s="20"/>
      <c r="K212" s="21"/>
      <c r="L212" s="20"/>
      <c r="M212" s="21"/>
      <c r="N212" s="20"/>
      <c r="O212" s="2878" t="s">
        <v>3603</v>
      </c>
      <c r="P212" s="2879"/>
      <c r="Q212" s="2872"/>
      <c r="R212" s="2873"/>
      <c r="S212" s="2872"/>
      <c r="T212" s="20"/>
      <c r="U212" s="21"/>
      <c r="V212" s="20"/>
      <c r="W212" s="21"/>
      <c r="X212" s="20"/>
      <c r="Y212" s="21"/>
      <c r="Z212" s="20"/>
      <c r="AA212" s="98"/>
      <c r="AB212" s="20"/>
    </row>
    <row r="213" spans="1:28">
      <c r="A213" s="3767" t="s">
        <v>3604</v>
      </c>
      <c r="B213" s="3768" t="s">
        <v>3605</v>
      </c>
      <c r="C213" s="19"/>
      <c r="D213" s="20"/>
      <c r="E213" s="19"/>
      <c r="F213" s="20"/>
      <c r="G213" s="21"/>
      <c r="H213" s="20"/>
      <c r="I213" s="21"/>
      <c r="J213" s="20"/>
      <c r="K213" s="21"/>
      <c r="L213" s="20"/>
      <c r="M213" s="21"/>
      <c r="N213" s="20"/>
      <c r="O213" s="2878" t="s">
        <v>3604</v>
      </c>
      <c r="P213" s="2879" t="s">
        <v>3605</v>
      </c>
      <c r="Q213" s="2872"/>
      <c r="R213" s="2873"/>
      <c r="S213" s="2872"/>
      <c r="T213" s="20"/>
      <c r="U213" s="21"/>
      <c r="V213" s="20"/>
      <c r="W213" s="21"/>
      <c r="X213" s="20"/>
      <c r="Y213" s="21"/>
      <c r="Z213" s="20"/>
      <c r="AA213" s="98"/>
      <c r="AB213" s="20"/>
    </row>
    <row r="214" spans="1:28">
      <c r="A214" s="3767" t="s">
        <v>3609</v>
      </c>
      <c r="B214" s="3768"/>
      <c r="C214" s="19"/>
      <c r="D214" s="20"/>
      <c r="E214" s="19"/>
      <c r="F214" s="20"/>
      <c r="G214" s="21"/>
      <c r="H214" s="20"/>
      <c r="I214" s="21"/>
      <c r="J214" s="20"/>
      <c r="K214" s="21"/>
      <c r="L214" s="20"/>
      <c r="M214" s="21"/>
      <c r="N214" s="20"/>
      <c r="O214" s="2878" t="s">
        <v>3609</v>
      </c>
      <c r="P214" s="2879"/>
      <c r="Q214" s="2872"/>
      <c r="R214" s="2873"/>
      <c r="S214" s="2872"/>
      <c r="T214" s="20"/>
      <c r="U214" s="21"/>
      <c r="V214" s="20"/>
      <c r="W214" s="21"/>
      <c r="X214" s="20"/>
      <c r="Y214" s="21"/>
      <c r="Z214" s="20"/>
      <c r="AA214" s="98"/>
      <c r="AB214" s="20"/>
    </row>
    <row r="215" spans="1:28">
      <c r="A215" s="985" t="s">
        <v>5149</v>
      </c>
      <c r="B215" s="692"/>
      <c r="C215" s="19"/>
      <c r="D215" s="20"/>
      <c r="E215" s="19"/>
      <c r="F215" s="20"/>
      <c r="G215" s="21"/>
      <c r="H215" s="20"/>
      <c r="I215" s="21"/>
      <c r="J215" s="20"/>
      <c r="K215" s="21"/>
      <c r="L215" s="20"/>
      <c r="M215" s="21"/>
      <c r="N215" s="20"/>
      <c r="O215" s="2880" t="s">
        <v>5149</v>
      </c>
      <c r="P215" s="2881"/>
      <c r="Q215" s="2872"/>
      <c r="R215" s="2873"/>
      <c r="S215" s="2872"/>
      <c r="T215" s="20"/>
      <c r="U215" s="21"/>
      <c r="V215" s="20"/>
      <c r="W215" s="21"/>
      <c r="X215" s="20"/>
      <c r="Y215" s="21"/>
      <c r="Z215" s="20"/>
      <c r="AA215" s="98"/>
      <c r="AB215" s="20"/>
    </row>
    <row r="216" spans="1:28">
      <c r="A216" s="383" t="s">
        <v>3980</v>
      </c>
      <c r="B216" s="207" t="s">
        <v>3712</v>
      </c>
      <c r="C216" s="19"/>
      <c r="D216" s="20"/>
      <c r="E216" s="19"/>
      <c r="F216" s="20"/>
      <c r="G216" s="21"/>
      <c r="H216" s="20"/>
      <c r="I216" s="21"/>
      <c r="J216" s="20"/>
      <c r="K216" s="21"/>
      <c r="L216" s="20"/>
      <c r="M216" s="21"/>
      <c r="N216" s="20"/>
      <c r="O216" s="2835" t="s">
        <v>3980</v>
      </c>
      <c r="P216" s="2877" t="s">
        <v>3712</v>
      </c>
      <c r="Q216" s="2872"/>
      <c r="R216" s="2873"/>
      <c r="S216" s="2872"/>
      <c r="T216" s="20"/>
      <c r="U216" s="21"/>
      <c r="V216" s="20"/>
      <c r="W216" s="21"/>
      <c r="X216" s="20"/>
      <c r="Y216" s="21"/>
      <c r="Z216" s="20"/>
      <c r="AA216" s="98"/>
      <c r="AB216" s="20"/>
    </row>
    <row r="217" spans="1:28">
      <c r="A217" s="362" t="s">
        <v>3742</v>
      </c>
      <c r="B217" s="207" t="s">
        <v>3712</v>
      </c>
      <c r="C217" s="19"/>
      <c r="D217" s="20"/>
      <c r="E217" s="19"/>
      <c r="F217" s="20"/>
      <c r="G217" s="21"/>
      <c r="H217" s="20"/>
      <c r="I217" s="21"/>
      <c r="J217" s="20"/>
      <c r="K217" s="21"/>
      <c r="L217" s="20"/>
      <c r="M217" s="21"/>
      <c r="N217" s="20"/>
      <c r="O217" s="2835" t="s">
        <v>3742</v>
      </c>
      <c r="P217" s="2877" t="s">
        <v>3712</v>
      </c>
      <c r="Q217" s="2872"/>
      <c r="R217" s="2873"/>
      <c r="S217" s="2872"/>
      <c r="T217" s="20"/>
      <c r="U217" s="21"/>
      <c r="V217" s="20"/>
      <c r="W217" s="21"/>
      <c r="X217" s="20"/>
      <c r="Y217" s="21"/>
      <c r="Z217" s="20"/>
      <c r="AA217" s="98"/>
      <c r="AB217" s="20"/>
    </row>
    <row r="218" spans="1:28">
      <c r="A218" s="362" t="s">
        <v>3746</v>
      </c>
      <c r="B218" s="207" t="s">
        <v>3712</v>
      </c>
      <c r="C218" s="19"/>
      <c r="D218" s="20"/>
      <c r="E218" s="19"/>
      <c r="F218" s="20"/>
      <c r="G218" s="21"/>
      <c r="H218" s="20"/>
      <c r="I218" s="21"/>
      <c r="J218" s="20"/>
      <c r="K218" s="21"/>
      <c r="L218" s="20"/>
      <c r="M218" s="21"/>
      <c r="N218" s="20"/>
      <c r="O218" s="2835" t="s">
        <v>3746</v>
      </c>
      <c r="P218" s="2877" t="s">
        <v>3712</v>
      </c>
      <c r="Q218" s="2872"/>
      <c r="R218" s="2873"/>
      <c r="S218" s="2872"/>
      <c r="T218" s="20"/>
      <c r="U218" s="21"/>
      <c r="V218" s="20"/>
      <c r="W218" s="21"/>
      <c r="X218" s="20"/>
      <c r="Y218" s="21"/>
      <c r="Z218" s="20"/>
      <c r="AA218" s="98"/>
      <c r="AB218" s="20"/>
    </row>
    <row r="219" spans="1:28">
      <c r="A219" s="43" t="s">
        <v>3747</v>
      </c>
      <c r="B219" s="207" t="s">
        <v>3748</v>
      </c>
      <c r="C219" s="14"/>
      <c r="D219" s="15"/>
      <c r="E219" s="14"/>
      <c r="F219" s="15"/>
      <c r="G219" s="16"/>
      <c r="H219" s="15"/>
      <c r="I219" s="16"/>
      <c r="J219" s="15"/>
      <c r="K219" s="16"/>
      <c r="L219" s="15"/>
      <c r="M219" s="16"/>
      <c r="N219" s="15"/>
      <c r="O219" s="2835" t="s">
        <v>3747</v>
      </c>
      <c r="P219" s="2877" t="s">
        <v>3748</v>
      </c>
      <c r="Q219" s="2655"/>
      <c r="R219" s="2654"/>
      <c r="S219" s="2655"/>
      <c r="T219" s="15"/>
      <c r="U219" s="16"/>
      <c r="V219" s="15"/>
      <c r="W219" s="16"/>
      <c r="X219" s="15"/>
      <c r="Y219" s="16"/>
      <c r="Z219" s="15"/>
      <c r="AA219" s="30"/>
      <c r="AB219" s="15"/>
    </row>
    <row r="220" spans="1:28">
      <c r="A220" s="43" t="s">
        <v>3752</v>
      </c>
      <c r="B220" s="207"/>
      <c r="C220" s="14"/>
      <c r="D220" s="15"/>
      <c r="E220" s="14"/>
      <c r="F220" s="15"/>
      <c r="G220" s="16"/>
      <c r="H220" s="15"/>
      <c r="I220" s="16"/>
      <c r="J220" s="15"/>
      <c r="K220" s="16"/>
      <c r="L220" s="15"/>
      <c r="M220" s="16"/>
      <c r="N220" s="15"/>
      <c r="O220" s="2835" t="s">
        <v>3752</v>
      </c>
      <c r="P220" s="2877"/>
      <c r="Q220" s="2655"/>
      <c r="R220" s="2654"/>
      <c r="S220" s="2655"/>
      <c r="T220" s="15"/>
      <c r="U220" s="16"/>
      <c r="V220" s="15"/>
      <c r="W220" s="16"/>
      <c r="X220" s="15"/>
      <c r="Y220" s="16"/>
      <c r="Z220" s="15"/>
      <c r="AA220" s="30"/>
      <c r="AB220" s="15"/>
    </row>
    <row r="221" spans="1:28">
      <c r="A221" s="43" t="s">
        <v>3753</v>
      </c>
      <c r="B221" s="207"/>
      <c r="C221" s="14"/>
      <c r="D221" s="15"/>
      <c r="E221" s="14"/>
      <c r="F221" s="15"/>
      <c r="G221" s="16"/>
      <c r="H221" s="15"/>
      <c r="I221" s="16"/>
      <c r="J221" s="15"/>
      <c r="K221" s="16"/>
      <c r="L221" s="15"/>
      <c r="M221" s="16"/>
      <c r="N221" s="15"/>
      <c r="O221" s="2835" t="s">
        <v>3753</v>
      </c>
      <c r="P221" s="2877"/>
      <c r="Q221" s="2655"/>
      <c r="R221" s="2654"/>
      <c r="S221" s="2655"/>
      <c r="T221" s="15"/>
      <c r="U221" s="16"/>
      <c r="V221" s="15"/>
      <c r="W221" s="16"/>
      <c r="X221" s="15"/>
      <c r="Y221" s="16"/>
      <c r="Z221" s="15"/>
      <c r="AA221" s="30"/>
      <c r="AB221" s="15"/>
    </row>
    <row r="222" spans="1:28" ht="40.5" thickBot="1">
      <c r="A222" s="43" t="s">
        <v>3754</v>
      </c>
      <c r="B222" s="207" t="s">
        <v>3438</v>
      </c>
      <c r="C222" s="6"/>
      <c r="D222" s="32"/>
      <c r="E222" s="6"/>
      <c r="F222" s="32"/>
      <c r="G222" s="7"/>
      <c r="H222" s="32"/>
      <c r="I222" s="7"/>
      <c r="J222" s="32"/>
      <c r="K222" s="7"/>
      <c r="L222" s="32"/>
      <c r="M222" s="7"/>
      <c r="N222" s="32"/>
      <c r="O222" s="2835" t="s">
        <v>3754</v>
      </c>
      <c r="P222" s="2877" t="s">
        <v>3438</v>
      </c>
      <c r="Q222" s="2875"/>
      <c r="R222" s="2876"/>
      <c r="S222" s="2875"/>
      <c r="T222" s="32"/>
      <c r="U222" s="7"/>
      <c r="V222" s="32"/>
      <c r="W222" s="7"/>
      <c r="X222" s="32"/>
      <c r="Y222" s="7"/>
      <c r="Z222" s="32"/>
      <c r="AA222" s="31"/>
      <c r="AB222" s="32"/>
    </row>
    <row r="223" spans="1:28" ht="40.5">
      <c r="A223" s="3" t="s">
        <v>5063</v>
      </c>
      <c r="B223" s="23"/>
      <c r="C223" s="3"/>
      <c r="D223" s="3"/>
      <c r="E223" s="3"/>
      <c r="F223" s="3"/>
      <c r="G223" s="3"/>
      <c r="H223" s="3"/>
      <c r="I223" s="3"/>
      <c r="J223" s="3"/>
      <c r="K223" s="3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B223" s="4"/>
    </row>
    <row r="224" spans="1:28" ht="40.5" thickBot="1">
      <c r="A224" s="5" t="s">
        <v>5064</v>
      </c>
    </row>
    <row r="225" spans="1:28">
      <c r="A225" s="3544" t="s">
        <v>2</v>
      </c>
      <c r="B225" s="3546" t="s">
        <v>3</v>
      </c>
      <c r="C225" s="3537" t="s">
        <v>5065</v>
      </c>
      <c r="D225" s="3538"/>
      <c r="E225" s="3536" t="s">
        <v>5066</v>
      </c>
      <c r="F225" s="3536"/>
      <c r="G225" s="3537" t="s">
        <v>5067</v>
      </c>
      <c r="H225" s="3538"/>
      <c r="I225" s="3536" t="s">
        <v>5068</v>
      </c>
      <c r="J225" s="3536"/>
      <c r="K225" s="3537" t="s">
        <v>5069</v>
      </c>
      <c r="L225" s="3538"/>
      <c r="M225" s="3537" t="s">
        <v>5070</v>
      </c>
      <c r="N225" s="3538"/>
      <c r="O225" s="3548"/>
      <c r="P225" s="3549"/>
      <c r="Q225" s="3537" t="s">
        <v>5071</v>
      </c>
      <c r="R225" s="3538"/>
      <c r="S225" s="3536" t="s">
        <v>5072</v>
      </c>
      <c r="T225" s="3536"/>
      <c r="U225" s="3472" t="s">
        <v>5073</v>
      </c>
      <c r="V225" s="3473"/>
      <c r="W225" s="3536" t="s">
        <v>5074</v>
      </c>
      <c r="X225" s="3536"/>
      <c r="Y225" s="3472" t="s">
        <v>5075</v>
      </c>
      <c r="Z225" s="3475"/>
      <c r="AA225" s="3537" t="s">
        <v>5076</v>
      </c>
      <c r="AB225" s="3538"/>
    </row>
    <row r="226" spans="1:28" ht="40.5" thickBot="1">
      <c r="A226" s="3545"/>
      <c r="B226" s="3547"/>
      <c r="C226" s="1" t="s">
        <v>5078</v>
      </c>
      <c r="D226" s="35" t="s">
        <v>5079</v>
      </c>
      <c r="E226" s="2" t="s">
        <v>5078</v>
      </c>
      <c r="F226" s="36" t="s">
        <v>5079</v>
      </c>
      <c r="G226" s="1" t="s">
        <v>5078</v>
      </c>
      <c r="H226" s="35" t="s">
        <v>5079</v>
      </c>
      <c r="I226" s="2" t="s">
        <v>5078</v>
      </c>
      <c r="J226" s="36" t="s">
        <v>5079</v>
      </c>
      <c r="K226" s="1" t="s">
        <v>5078</v>
      </c>
      <c r="L226" s="35" t="s">
        <v>5079</v>
      </c>
      <c r="M226" s="1" t="s">
        <v>5078</v>
      </c>
      <c r="N226" s="35" t="s">
        <v>5079</v>
      </c>
      <c r="O226" s="2842"/>
      <c r="P226" s="2882"/>
      <c r="Q226" s="1" t="s">
        <v>5078</v>
      </c>
      <c r="R226" s="35" t="s">
        <v>5079</v>
      </c>
      <c r="S226" s="2" t="s">
        <v>5078</v>
      </c>
      <c r="T226" s="35" t="s">
        <v>5079</v>
      </c>
      <c r="U226" s="2" t="s">
        <v>5078</v>
      </c>
      <c r="V226" s="36" t="s">
        <v>5079</v>
      </c>
      <c r="W226" s="1" t="s">
        <v>5078</v>
      </c>
      <c r="X226" s="35" t="s">
        <v>5079</v>
      </c>
      <c r="Y226" s="2" t="s">
        <v>5078</v>
      </c>
      <c r="Z226" s="36" t="s">
        <v>5079</v>
      </c>
      <c r="AA226" s="1" t="s">
        <v>5078</v>
      </c>
      <c r="AB226" s="35" t="s">
        <v>5079</v>
      </c>
    </row>
    <row r="227" spans="1:28">
      <c r="A227" s="770" t="s">
        <v>5150</v>
      </c>
      <c r="B227" s="320" t="s">
        <v>1155</v>
      </c>
      <c r="C227" s="9"/>
      <c r="D227" s="10"/>
      <c r="E227" s="11"/>
      <c r="F227" s="12"/>
      <c r="G227" s="9"/>
      <c r="H227" s="10"/>
      <c r="I227" s="11"/>
      <c r="J227" s="12"/>
      <c r="K227" s="9"/>
      <c r="L227" s="10"/>
      <c r="M227" s="9"/>
      <c r="N227" s="10"/>
      <c r="O227" s="2887" t="s">
        <v>5150</v>
      </c>
      <c r="P227" s="2888" t="s">
        <v>1155</v>
      </c>
      <c r="Q227" s="9"/>
      <c r="R227" s="10"/>
      <c r="S227" s="11"/>
      <c r="T227" s="10"/>
      <c r="U227" s="11"/>
      <c r="V227" s="12"/>
      <c r="W227" s="9"/>
      <c r="X227" s="10"/>
      <c r="Y227" s="11"/>
      <c r="Z227" s="12"/>
      <c r="AA227" s="33"/>
      <c r="AB227" s="10"/>
    </row>
    <row r="228" spans="1:28">
      <c r="A228" s="770" t="s">
        <v>5151</v>
      </c>
      <c r="B228" s="320" t="s">
        <v>1155</v>
      </c>
      <c r="C228" s="14"/>
      <c r="D228" s="15"/>
      <c r="E228" s="16"/>
      <c r="F228" s="17"/>
      <c r="G228" s="14"/>
      <c r="H228" s="15"/>
      <c r="I228" s="16"/>
      <c r="J228" s="17"/>
      <c r="K228" s="14"/>
      <c r="L228" s="15"/>
      <c r="M228" s="14"/>
      <c r="N228" s="15"/>
      <c r="O228" s="2889" t="s">
        <v>5151</v>
      </c>
      <c r="P228" s="2888" t="s">
        <v>1155</v>
      </c>
      <c r="Q228" s="2883"/>
      <c r="R228" s="15"/>
      <c r="S228" s="16"/>
      <c r="T228" s="15"/>
      <c r="U228" s="16"/>
      <c r="V228" s="17"/>
      <c r="W228" s="14"/>
      <c r="X228" s="15"/>
      <c r="Y228" s="16"/>
      <c r="Z228" s="17"/>
      <c r="AA228" s="30"/>
      <c r="AB228" s="15"/>
    </row>
    <row r="229" spans="1:28">
      <c r="A229" s="770" t="s">
        <v>5152</v>
      </c>
      <c r="B229" s="320" t="s">
        <v>1155</v>
      </c>
      <c r="C229" s="14"/>
      <c r="D229" s="15"/>
      <c r="E229" s="16"/>
      <c r="F229" s="17"/>
      <c r="G229" s="14"/>
      <c r="H229" s="15"/>
      <c r="I229" s="16"/>
      <c r="J229" s="17"/>
      <c r="K229" s="14"/>
      <c r="L229" s="15"/>
      <c r="M229" s="14"/>
      <c r="N229" s="15"/>
      <c r="O229" s="2889" t="s">
        <v>5152</v>
      </c>
      <c r="P229" s="2888" t="s">
        <v>1155</v>
      </c>
      <c r="Q229" s="2883"/>
      <c r="R229" s="15"/>
      <c r="S229" s="16"/>
      <c r="T229" s="15"/>
      <c r="U229" s="16"/>
      <c r="V229" s="17"/>
      <c r="W229" s="14"/>
      <c r="X229" s="15"/>
      <c r="Y229" s="16"/>
      <c r="Z229" s="17"/>
      <c r="AA229" s="30"/>
      <c r="AB229" s="15"/>
    </row>
    <row r="230" spans="1:28">
      <c r="A230" s="770" t="s">
        <v>5153</v>
      </c>
      <c r="B230" s="320" t="s">
        <v>1155</v>
      </c>
      <c r="C230" s="14"/>
      <c r="D230" s="15"/>
      <c r="E230" s="16"/>
      <c r="F230" s="17"/>
      <c r="G230" s="14"/>
      <c r="H230" s="15"/>
      <c r="I230" s="16"/>
      <c r="J230" s="17"/>
      <c r="K230" s="14"/>
      <c r="L230" s="15"/>
      <c r="M230" s="14"/>
      <c r="N230" s="15"/>
      <c r="O230" s="2889" t="s">
        <v>5153</v>
      </c>
      <c r="P230" s="2888" t="s">
        <v>1155</v>
      </c>
      <c r="Q230" s="2883"/>
      <c r="R230" s="15"/>
      <c r="S230" s="16"/>
      <c r="T230" s="15"/>
      <c r="U230" s="16"/>
      <c r="V230" s="17"/>
      <c r="W230" s="14"/>
      <c r="X230" s="15"/>
      <c r="Y230" s="16"/>
      <c r="Z230" s="17"/>
      <c r="AA230" s="30"/>
      <c r="AB230" s="15"/>
    </row>
    <row r="231" spans="1:28">
      <c r="A231" s="770" t="s">
        <v>5154</v>
      </c>
      <c r="B231" s="320" t="s">
        <v>1155</v>
      </c>
      <c r="C231" s="14"/>
      <c r="D231" s="15"/>
      <c r="E231" s="16"/>
      <c r="F231" s="17"/>
      <c r="G231" s="14"/>
      <c r="H231" s="15"/>
      <c r="I231" s="16"/>
      <c r="J231" s="17"/>
      <c r="K231" s="14"/>
      <c r="L231" s="15"/>
      <c r="M231" s="14"/>
      <c r="N231" s="15"/>
      <c r="O231" s="2889" t="s">
        <v>5154</v>
      </c>
      <c r="P231" s="2888" t="s">
        <v>1155</v>
      </c>
      <c r="Q231" s="2883"/>
      <c r="R231" s="15"/>
      <c r="S231" s="16"/>
      <c r="T231" s="15"/>
      <c r="U231" s="16"/>
      <c r="V231" s="17"/>
      <c r="W231" s="14"/>
      <c r="X231" s="15"/>
      <c r="Y231" s="16"/>
      <c r="Z231" s="17"/>
      <c r="AA231" s="30"/>
      <c r="AB231" s="15"/>
    </row>
    <row r="232" spans="1:28">
      <c r="A232" s="770" t="s">
        <v>5155</v>
      </c>
      <c r="B232" s="320" t="s">
        <v>1155</v>
      </c>
      <c r="C232" s="14"/>
      <c r="D232" s="15"/>
      <c r="E232" s="16"/>
      <c r="F232" s="17"/>
      <c r="G232" s="14"/>
      <c r="H232" s="15"/>
      <c r="I232" s="16"/>
      <c r="J232" s="17"/>
      <c r="K232" s="14"/>
      <c r="L232" s="15"/>
      <c r="M232" s="14"/>
      <c r="N232" s="15"/>
      <c r="O232" s="2889" t="s">
        <v>5155</v>
      </c>
      <c r="P232" s="2888" t="s">
        <v>1155</v>
      </c>
      <c r="Q232" s="2883"/>
      <c r="R232" s="15"/>
      <c r="S232" s="16"/>
      <c r="T232" s="15"/>
      <c r="U232" s="16"/>
      <c r="V232" s="17"/>
      <c r="W232" s="14"/>
      <c r="X232" s="15"/>
      <c r="Y232" s="16"/>
      <c r="Z232" s="17"/>
      <c r="AA232" s="30"/>
      <c r="AB232" s="15"/>
    </row>
    <row r="233" spans="1:28">
      <c r="A233" s="770" t="s">
        <v>5156</v>
      </c>
      <c r="B233" s="320" t="s">
        <v>1155</v>
      </c>
      <c r="C233" s="14"/>
      <c r="D233" s="15"/>
      <c r="E233" s="16"/>
      <c r="F233" s="17"/>
      <c r="G233" s="14"/>
      <c r="H233" s="15"/>
      <c r="I233" s="16"/>
      <c r="J233" s="17"/>
      <c r="K233" s="14"/>
      <c r="L233" s="15"/>
      <c r="M233" s="14"/>
      <c r="N233" s="15"/>
      <c r="O233" s="2889" t="s">
        <v>5156</v>
      </c>
      <c r="P233" s="2888" t="s">
        <v>1155</v>
      </c>
      <c r="Q233" s="2883"/>
      <c r="R233" s="15"/>
      <c r="S233" s="16"/>
      <c r="T233" s="15"/>
      <c r="U233" s="16"/>
      <c r="V233" s="17"/>
      <c r="W233" s="14"/>
      <c r="X233" s="15"/>
      <c r="Y233" s="16"/>
      <c r="Z233" s="17"/>
      <c r="AA233" s="30"/>
      <c r="AB233" s="15"/>
    </row>
    <row r="234" spans="1:28">
      <c r="A234" s="770" t="s">
        <v>5150</v>
      </c>
      <c r="B234" s="320" t="s">
        <v>192</v>
      </c>
      <c r="C234" s="14"/>
      <c r="D234" s="15"/>
      <c r="E234" s="16"/>
      <c r="F234" s="17"/>
      <c r="G234" s="14"/>
      <c r="H234" s="15"/>
      <c r="I234" s="16"/>
      <c r="J234" s="17"/>
      <c r="K234" s="14"/>
      <c r="L234" s="15"/>
      <c r="M234" s="14"/>
      <c r="N234" s="15"/>
      <c r="O234" s="2889" t="s">
        <v>5150</v>
      </c>
      <c r="P234" s="2888" t="s">
        <v>192</v>
      </c>
      <c r="Q234" s="2883"/>
      <c r="R234" s="15"/>
      <c r="S234" s="16"/>
      <c r="T234" s="15"/>
      <c r="U234" s="16"/>
      <c r="V234" s="17"/>
      <c r="W234" s="14"/>
      <c r="X234" s="15"/>
      <c r="Y234" s="16"/>
      <c r="Z234" s="17"/>
      <c r="AA234" s="30"/>
      <c r="AB234" s="15"/>
    </row>
    <row r="235" spans="1:28">
      <c r="A235" s="770" t="s">
        <v>5151</v>
      </c>
      <c r="B235" s="320" t="s">
        <v>192</v>
      </c>
      <c r="C235" s="14"/>
      <c r="D235" s="15"/>
      <c r="E235" s="16"/>
      <c r="F235" s="17"/>
      <c r="G235" s="14"/>
      <c r="H235" s="15"/>
      <c r="I235" s="16"/>
      <c r="J235" s="17"/>
      <c r="K235" s="14"/>
      <c r="L235" s="15"/>
      <c r="M235" s="14"/>
      <c r="N235" s="15"/>
      <c r="O235" s="2889" t="s">
        <v>5151</v>
      </c>
      <c r="P235" s="2888" t="s">
        <v>192</v>
      </c>
      <c r="Q235" s="2883"/>
      <c r="R235" s="15"/>
      <c r="S235" s="16"/>
      <c r="T235" s="15"/>
      <c r="U235" s="16"/>
      <c r="V235" s="17"/>
      <c r="W235" s="14"/>
      <c r="X235" s="15"/>
      <c r="Y235" s="16"/>
      <c r="Z235" s="17"/>
      <c r="AA235" s="30"/>
      <c r="AB235" s="15"/>
    </row>
    <row r="236" spans="1:28">
      <c r="A236" s="770" t="s">
        <v>5152</v>
      </c>
      <c r="B236" s="320" t="s">
        <v>192</v>
      </c>
      <c r="C236" s="14"/>
      <c r="D236" s="15"/>
      <c r="E236" s="16"/>
      <c r="F236" s="17"/>
      <c r="G236" s="14"/>
      <c r="H236" s="15"/>
      <c r="I236" s="16"/>
      <c r="J236" s="17"/>
      <c r="K236" s="14"/>
      <c r="L236" s="15"/>
      <c r="M236" s="14"/>
      <c r="N236" s="15"/>
      <c r="O236" s="2889" t="s">
        <v>5152</v>
      </c>
      <c r="P236" s="2888" t="s">
        <v>192</v>
      </c>
      <c r="Q236" s="2883"/>
      <c r="R236" s="15"/>
      <c r="S236" s="16"/>
      <c r="T236" s="15"/>
      <c r="U236" s="16"/>
      <c r="V236" s="17"/>
      <c r="W236" s="14"/>
      <c r="X236" s="15"/>
      <c r="Y236" s="16"/>
      <c r="Z236" s="17"/>
      <c r="AA236" s="30"/>
      <c r="AB236" s="15"/>
    </row>
    <row r="237" spans="1:28">
      <c r="A237" s="770" t="s">
        <v>5153</v>
      </c>
      <c r="B237" s="320" t="s">
        <v>192</v>
      </c>
      <c r="C237" s="14"/>
      <c r="D237" s="15"/>
      <c r="E237" s="16"/>
      <c r="F237" s="17"/>
      <c r="G237" s="14"/>
      <c r="H237" s="15"/>
      <c r="I237" s="16"/>
      <c r="J237" s="17"/>
      <c r="K237" s="14"/>
      <c r="L237" s="15"/>
      <c r="M237" s="14"/>
      <c r="N237" s="15"/>
      <c r="O237" s="2889" t="s">
        <v>5153</v>
      </c>
      <c r="P237" s="2888" t="s">
        <v>192</v>
      </c>
      <c r="Q237" s="2883"/>
      <c r="R237" s="15"/>
      <c r="S237" s="16"/>
      <c r="T237" s="15"/>
      <c r="U237" s="16"/>
      <c r="V237" s="17"/>
      <c r="W237" s="14"/>
      <c r="X237" s="15"/>
      <c r="Y237" s="16"/>
      <c r="Z237" s="17"/>
      <c r="AA237" s="30"/>
      <c r="AB237" s="15"/>
    </row>
    <row r="238" spans="1:28">
      <c r="A238" s="770" t="s">
        <v>5154</v>
      </c>
      <c r="B238" s="320" t="s">
        <v>192</v>
      </c>
      <c r="C238" s="14"/>
      <c r="D238" s="15"/>
      <c r="E238" s="16"/>
      <c r="F238" s="17"/>
      <c r="G238" s="14"/>
      <c r="H238" s="15"/>
      <c r="I238" s="16"/>
      <c r="J238" s="17"/>
      <c r="K238" s="14"/>
      <c r="L238" s="15"/>
      <c r="M238" s="14"/>
      <c r="N238" s="15"/>
      <c r="O238" s="2889" t="s">
        <v>5154</v>
      </c>
      <c r="P238" s="2888" t="s">
        <v>192</v>
      </c>
      <c r="Q238" s="2883"/>
      <c r="R238" s="15"/>
      <c r="S238" s="16"/>
      <c r="T238" s="15"/>
      <c r="U238" s="16"/>
      <c r="V238" s="17"/>
      <c r="W238" s="14"/>
      <c r="X238" s="15"/>
      <c r="Y238" s="16"/>
      <c r="Z238" s="17"/>
      <c r="AA238" s="30"/>
      <c r="AB238" s="15"/>
    </row>
    <row r="239" spans="1:28">
      <c r="A239" s="770" t="s">
        <v>5155</v>
      </c>
      <c r="B239" s="320" t="s">
        <v>192</v>
      </c>
      <c r="C239" s="14"/>
      <c r="D239" s="15"/>
      <c r="E239" s="16"/>
      <c r="F239" s="17"/>
      <c r="G239" s="14"/>
      <c r="H239" s="15"/>
      <c r="I239" s="16"/>
      <c r="J239" s="17"/>
      <c r="K239" s="14"/>
      <c r="L239" s="15"/>
      <c r="M239" s="14"/>
      <c r="N239" s="15"/>
      <c r="O239" s="2889" t="s">
        <v>5155</v>
      </c>
      <c r="P239" s="2888" t="s">
        <v>192</v>
      </c>
      <c r="Q239" s="2883"/>
      <c r="R239" s="15"/>
      <c r="S239" s="16"/>
      <c r="T239" s="15"/>
      <c r="U239" s="16"/>
      <c r="V239" s="17"/>
      <c r="W239" s="14"/>
      <c r="X239" s="15"/>
      <c r="Y239" s="16"/>
      <c r="Z239" s="17"/>
      <c r="AA239" s="30"/>
      <c r="AB239" s="15"/>
    </row>
    <row r="240" spans="1:28">
      <c r="A240" s="770" t="s">
        <v>5156</v>
      </c>
      <c r="B240" s="320" t="s">
        <v>192</v>
      </c>
      <c r="C240" s="14"/>
      <c r="D240" s="15"/>
      <c r="E240" s="16"/>
      <c r="F240" s="17"/>
      <c r="G240" s="14"/>
      <c r="H240" s="15"/>
      <c r="I240" s="16"/>
      <c r="J240" s="17"/>
      <c r="K240" s="14"/>
      <c r="L240" s="15"/>
      <c r="M240" s="14"/>
      <c r="N240" s="15"/>
      <c r="O240" s="2889" t="s">
        <v>5156</v>
      </c>
      <c r="P240" s="2888" t="s">
        <v>192</v>
      </c>
      <c r="Q240" s="2883"/>
      <c r="R240" s="15"/>
      <c r="S240" s="16"/>
      <c r="T240" s="15"/>
      <c r="U240" s="16"/>
      <c r="V240" s="17"/>
      <c r="W240" s="14"/>
      <c r="X240" s="15"/>
      <c r="Y240" s="16"/>
      <c r="Z240" s="17"/>
      <c r="AA240" s="30"/>
      <c r="AB240" s="15"/>
    </row>
    <row r="241" spans="1:28">
      <c r="A241" s="8" t="s">
        <v>5157</v>
      </c>
      <c r="B241" s="25" t="s">
        <v>1119</v>
      </c>
      <c r="C241" s="14"/>
      <c r="D241" s="15"/>
      <c r="E241" s="16"/>
      <c r="F241" s="17"/>
      <c r="G241" s="14"/>
      <c r="H241" s="15"/>
      <c r="I241" s="16"/>
      <c r="J241" s="17"/>
      <c r="K241" s="14"/>
      <c r="L241" s="15"/>
      <c r="M241" s="14"/>
      <c r="N241" s="15"/>
      <c r="O241" s="2890" t="s">
        <v>5157</v>
      </c>
      <c r="P241" s="2891" t="s">
        <v>1119</v>
      </c>
      <c r="Q241" s="2883"/>
      <c r="R241" s="15"/>
      <c r="S241" s="16"/>
      <c r="T241" s="15"/>
      <c r="U241" s="16"/>
      <c r="V241" s="17"/>
      <c r="W241" s="14"/>
      <c r="X241" s="15"/>
      <c r="Y241" s="16"/>
      <c r="Z241" s="17"/>
      <c r="AA241" s="30"/>
      <c r="AB241" s="15"/>
    </row>
    <row r="242" spans="1:28">
      <c r="A242" s="8" t="s">
        <v>5158</v>
      </c>
      <c r="B242" s="25" t="s">
        <v>1119</v>
      </c>
      <c r="C242" s="14"/>
      <c r="D242" s="15"/>
      <c r="E242" s="16"/>
      <c r="F242" s="17"/>
      <c r="G242" s="14"/>
      <c r="H242" s="15"/>
      <c r="I242" s="16"/>
      <c r="J242" s="17"/>
      <c r="K242" s="14"/>
      <c r="L242" s="15"/>
      <c r="M242" s="14"/>
      <c r="N242" s="15"/>
      <c r="O242" s="2890" t="s">
        <v>5158</v>
      </c>
      <c r="P242" s="2891" t="s">
        <v>1119</v>
      </c>
      <c r="Q242" s="2884"/>
      <c r="R242" s="2662"/>
      <c r="S242" s="16"/>
      <c r="T242" s="15"/>
      <c r="U242" s="16"/>
      <c r="V242" s="17"/>
      <c r="W242" s="14"/>
      <c r="X242" s="15"/>
      <c r="Y242" s="16"/>
      <c r="Z242" s="17"/>
      <c r="AA242" s="30"/>
      <c r="AB242" s="15"/>
    </row>
    <row r="243" spans="1:28">
      <c r="A243" s="13" t="s">
        <v>5159</v>
      </c>
      <c r="B243" s="25" t="s">
        <v>1119</v>
      </c>
      <c r="C243" s="14"/>
      <c r="D243" s="15"/>
      <c r="E243" s="16"/>
      <c r="F243" s="17"/>
      <c r="G243" s="14"/>
      <c r="H243" s="15"/>
      <c r="I243" s="16"/>
      <c r="J243" s="17"/>
      <c r="K243" s="14"/>
      <c r="L243" s="15"/>
      <c r="M243" s="14"/>
      <c r="N243" s="15"/>
      <c r="O243" s="2892" t="s">
        <v>5159</v>
      </c>
      <c r="P243" s="2891" t="s">
        <v>1119</v>
      </c>
      <c r="Q243" s="2651"/>
      <c r="R243" s="2648"/>
      <c r="S243" s="2649"/>
      <c r="T243" s="2648"/>
      <c r="U243" s="16"/>
      <c r="V243" s="17"/>
      <c r="W243" s="14"/>
      <c r="X243" s="15"/>
      <c r="Y243" s="16"/>
      <c r="Z243" s="17"/>
      <c r="AA243" s="30"/>
      <c r="AB243" s="15"/>
    </row>
    <row r="244" spans="1:28" ht="40.5" thickBot="1">
      <c r="A244" s="8" t="s">
        <v>5160</v>
      </c>
      <c r="B244" s="25" t="s">
        <v>192</v>
      </c>
      <c r="C244" s="6"/>
      <c r="D244" s="32"/>
      <c r="E244" s="7"/>
      <c r="F244" s="40"/>
      <c r="G244" s="6"/>
      <c r="H244" s="32"/>
      <c r="I244" s="7"/>
      <c r="J244" s="40"/>
      <c r="K244" s="6"/>
      <c r="L244" s="32"/>
      <c r="M244" s="6"/>
      <c r="N244" s="32"/>
      <c r="O244" s="2890" t="s">
        <v>5160</v>
      </c>
      <c r="P244" s="2891" t="s">
        <v>192</v>
      </c>
      <c r="Q244" s="2885"/>
      <c r="R244" s="32"/>
      <c r="S244" s="7"/>
      <c r="T244" s="32"/>
      <c r="U244" s="7"/>
      <c r="V244" s="40"/>
      <c r="W244" s="6"/>
      <c r="X244" s="32"/>
      <c r="Y244" s="7"/>
      <c r="Z244" s="40"/>
      <c r="AA244" s="2630"/>
      <c r="AB244" s="2631"/>
    </row>
    <row r="245" spans="1:28" ht="40.5" thickBot="1">
      <c r="A245" s="34" t="s">
        <v>5161</v>
      </c>
      <c r="B245" s="41" t="s">
        <v>1119</v>
      </c>
      <c r="C245" s="6"/>
      <c r="D245" s="32"/>
      <c r="E245" s="7"/>
      <c r="F245" s="40"/>
      <c r="G245" s="6"/>
      <c r="H245" s="32"/>
      <c r="I245" s="7"/>
      <c r="J245" s="40"/>
      <c r="K245" s="6"/>
      <c r="L245" s="32"/>
      <c r="M245" s="6"/>
      <c r="N245" s="32"/>
      <c r="O245" s="2893" t="s">
        <v>5161</v>
      </c>
      <c r="P245" s="2894" t="s">
        <v>1119</v>
      </c>
      <c r="Q245" s="6"/>
      <c r="R245" s="32"/>
      <c r="S245" s="7"/>
      <c r="T245" s="32"/>
      <c r="U245" s="7"/>
      <c r="V245" s="40"/>
      <c r="W245" s="6"/>
      <c r="X245" s="32"/>
      <c r="Y245" s="7"/>
      <c r="Z245" s="32"/>
      <c r="AA245" s="31"/>
      <c r="AB245" s="32"/>
    </row>
    <row r="246" spans="1:28" ht="40.5">
      <c r="A246" s="3" t="s">
        <v>5063</v>
      </c>
      <c r="B246" s="23"/>
      <c r="C246" s="3"/>
      <c r="D246" s="3"/>
      <c r="E246" s="3"/>
      <c r="F246" s="3"/>
      <c r="G246" s="3"/>
      <c r="H246" s="3"/>
      <c r="I246" s="3"/>
      <c r="J246" s="3"/>
      <c r="K246" s="3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B246" s="4"/>
    </row>
    <row r="247" spans="1:28" ht="40.5" thickBot="1">
      <c r="A247" s="5" t="s">
        <v>5095</v>
      </c>
    </row>
    <row r="248" spans="1:28">
      <c r="A248" s="3544" t="s">
        <v>2</v>
      </c>
      <c r="B248" s="3546" t="s">
        <v>3</v>
      </c>
      <c r="C248" s="3537" t="s">
        <v>5065</v>
      </c>
      <c r="D248" s="3538"/>
      <c r="E248" s="3536" t="s">
        <v>5066</v>
      </c>
      <c r="F248" s="3536"/>
      <c r="G248" s="3537" t="s">
        <v>5067</v>
      </c>
      <c r="H248" s="3538"/>
      <c r="I248" s="3536" t="s">
        <v>5068</v>
      </c>
      <c r="J248" s="3536"/>
      <c r="K248" s="3537" t="s">
        <v>5069</v>
      </c>
      <c r="L248" s="3538"/>
      <c r="M248" s="3536" t="s">
        <v>5070</v>
      </c>
      <c r="N248" s="3536"/>
      <c r="O248" s="3542"/>
      <c r="P248" s="3542"/>
      <c r="Q248" s="3536" t="s">
        <v>5071</v>
      </c>
      <c r="R248" s="3536"/>
      <c r="S248" s="3536" t="s">
        <v>5072</v>
      </c>
      <c r="T248" s="3536"/>
      <c r="U248" s="3472" t="s">
        <v>5073</v>
      </c>
      <c r="V248" s="3473"/>
      <c r="W248" s="3536" t="s">
        <v>5074</v>
      </c>
      <c r="X248" s="3536"/>
      <c r="Y248" s="3472" t="s">
        <v>5075</v>
      </c>
      <c r="Z248" s="3475"/>
      <c r="AA248" s="3537" t="s">
        <v>5076</v>
      </c>
      <c r="AB248" s="3538"/>
    </row>
    <row r="249" spans="1:28" ht="40.5" thickBot="1">
      <c r="A249" s="3545"/>
      <c r="B249" s="3547"/>
      <c r="C249" s="1" t="s">
        <v>5078</v>
      </c>
      <c r="D249" s="35" t="s">
        <v>5079</v>
      </c>
      <c r="E249" s="2" t="s">
        <v>5078</v>
      </c>
      <c r="F249" s="36" t="s">
        <v>5079</v>
      </c>
      <c r="G249" s="1" t="s">
        <v>5078</v>
      </c>
      <c r="H249" s="35" t="s">
        <v>5079</v>
      </c>
      <c r="I249" s="2" t="s">
        <v>5078</v>
      </c>
      <c r="J249" s="36" t="s">
        <v>5079</v>
      </c>
      <c r="K249" s="1" t="s">
        <v>5078</v>
      </c>
      <c r="L249" s="35" t="s">
        <v>5079</v>
      </c>
      <c r="M249" s="2" t="s">
        <v>5078</v>
      </c>
      <c r="N249" s="36" t="s">
        <v>5079</v>
      </c>
      <c r="O249" s="2769"/>
      <c r="P249" s="2820"/>
      <c r="Q249" s="2" t="s">
        <v>5078</v>
      </c>
      <c r="R249" s="36" t="s">
        <v>5079</v>
      </c>
      <c r="S249" s="1" t="s">
        <v>5078</v>
      </c>
      <c r="T249" s="35" t="s">
        <v>5079</v>
      </c>
      <c r="U249" s="2" t="s">
        <v>5078</v>
      </c>
      <c r="V249" s="36" t="s">
        <v>5079</v>
      </c>
      <c r="W249" s="1" t="s">
        <v>5078</v>
      </c>
      <c r="X249" s="35" t="s">
        <v>5079</v>
      </c>
      <c r="Y249" s="2" t="s">
        <v>5078</v>
      </c>
      <c r="Z249" s="36" t="s">
        <v>5079</v>
      </c>
      <c r="AA249" s="1" t="s">
        <v>5078</v>
      </c>
      <c r="AB249" s="35" t="s">
        <v>5079</v>
      </c>
    </row>
    <row r="250" spans="1:28">
      <c r="A250" s="1994" t="s">
        <v>1898</v>
      </c>
      <c r="B250" s="103"/>
      <c r="C250" s="9"/>
      <c r="D250" s="10"/>
      <c r="E250" s="11"/>
      <c r="F250" s="12"/>
      <c r="G250" s="9"/>
      <c r="H250" s="10"/>
      <c r="I250" s="11"/>
      <c r="J250" s="12"/>
      <c r="K250" s="9"/>
      <c r="L250" s="10"/>
      <c r="M250" s="11"/>
      <c r="N250" s="12"/>
      <c r="O250" s="2821"/>
      <c r="P250" s="2822"/>
      <c r="Q250" s="11"/>
      <c r="R250" s="12"/>
      <c r="S250" s="9"/>
      <c r="T250" s="10"/>
      <c r="U250" s="11"/>
      <c r="V250" s="12"/>
      <c r="W250" s="9"/>
      <c r="X250" s="10"/>
      <c r="Y250" s="11"/>
      <c r="Z250" s="12"/>
      <c r="AA250" s="33"/>
      <c r="AB250" s="10"/>
    </row>
    <row r="251" spans="1:28">
      <c r="A251" s="55" t="s">
        <v>1902</v>
      </c>
      <c r="B251" s="103" t="s">
        <v>284</v>
      </c>
      <c r="C251" s="14"/>
      <c r="D251" s="15"/>
      <c r="E251" s="16"/>
      <c r="F251" s="17"/>
      <c r="G251" s="14"/>
      <c r="H251" s="15"/>
      <c r="I251" s="16"/>
      <c r="J251" s="17"/>
      <c r="K251" s="14"/>
      <c r="L251" s="15"/>
      <c r="M251" s="16"/>
      <c r="N251" s="17"/>
      <c r="O251" s="2886" t="s">
        <v>1902</v>
      </c>
      <c r="P251" s="2895" t="s">
        <v>284</v>
      </c>
      <c r="Q251" s="2646"/>
      <c r="R251" s="17"/>
      <c r="S251" s="14"/>
      <c r="T251" s="15"/>
      <c r="U251" s="16"/>
      <c r="V251" s="17"/>
      <c r="W251" s="14"/>
      <c r="X251" s="15"/>
      <c r="Y251" s="16"/>
      <c r="Z251" s="17"/>
      <c r="AA251" s="30"/>
      <c r="AB251" s="15"/>
    </row>
    <row r="252" spans="1:28">
      <c r="A252" s="55" t="s">
        <v>1904</v>
      </c>
      <c r="B252" s="103" t="s">
        <v>1905</v>
      </c>
      <c r="C252" s="14"/>
      <c r="D252" s="15"/>
      <c r="E252" s="16"/>
      <c r="F252" s="17"/>
      <c r="G252" s="14"/>
      <c r="H252" s="15"/>
      <c r="I252" s="16"/>
      <c r="J252" s="17"/>
      <c r="K252" s="14"/>
      <c r="L252" s="15"/>
      <c r="M252" s="16"/>
      <c r="N252" s="17"/>
      <c r="O252" s="2886" t="s">
        <v>1904</v>
      </c>
      <c r="P252" s="2895" t="s">
        <v>1905</v>
      </c>
      <c r="Q252" s="2646"/>
      <c r="R252" s="17"/>
      <c r="S252" s="14"/>
      <c r="T252" s="15"/>
      <c r="U252" s="16"/>
      <c r="V252" s="17"/>
      <c r="W252" s="14"/>
      <c r="X252" s="15"/>
      <c r="Y252" s="16"/>
      <c r="Z252" s="17"/>
      <c r="AA252" s="30"/>
      <c r="AB252" s="15"/>
    </row>
    <row r="253" spans="1:28">
      <c r="A253" s="81" t="s">
        <v>1907</v>
      </c>
      <c r="B253" s="101" t="s">
        <v>1119</v>
      </c>
      <c r="C253" s="14"/>
      <c r="D253" s="15"/>
      <c r="E253" s="16"/>
      <c r="F253" s="17"/>
      <c r="G253" s="14"/>
      <c r="H253" s="15"/>
      <c r="I253" s="16"/>
      <c r="J253" s="17"/>
      <c r="K253" s="14"/>
      <c r="L253" s="15"/>
      <c r="M253" s="16"/>
      <c r="N253" s="17"/>
      <c r="O253" s="2886" t="s">
        <v>1907</v>
      </c>
      <c r="P253" s="2840" t="s">
        <v>1119</v>
      </c>
      <c r="Q253" s="2646"/>
      <c r="R253" s="17"/>
      <c r="S253" s="14"/>
      <c r="T253" s="15"/>
      <c r="U253" s="16"/>
      <c r="V253" s="17"/>
      <c r="W253" s="14"/>
      <c r="X253" s="15"/>
      <c r="Y253" s="16"/>
      <c r="Z253" s="17"/>
      <c r="AA253" s="30"/>
      <c r="AB253" s="15"/>
    </row>
    <row r="254" spans="1:28">
      <c r="A254" s="81" t="s">
        <v>1923</v>
      </c>
      <c r="B254" s="103" t="s">
        <v>284</v>
      </c>
      <c r="C254" s="14"/>
      <c r="D254" s="15"/>
      <c r="E254" s="16"/>
      <c r="F254" s="17"/>
      <c r="G254" s="14"/>
      <c r="H254" s="15"/>
      <c r="I254" s="16"/>
      <c r="J254" s="17"/>
      <c r="K254" s="14"/>
      <c r="L254" s="15"/>
      <c r="M254" s="16"/>
      <c r="N254" s="17"/>
      <c r="O254" s="2886" t="s">
        <v>1923</v>
      </c>
      <c r="P254" s="2895" t="s">
        <v>284</v>
      </c>
      <c r="Q254" s="2646"/>
      <c r="R254" s="17"/>
      <c r="S254" s="14"/>
      <c r="T254" s="15"/>
      <c r="U254" s="16"/>
      <c r="V254" s="17"/>
      <c r="W254" s="14"/>
      <c r="X254" s="15"/>
      <c r="Y254" s="16"/>
      <c r="Z254" s="17"/>
      <c r="AA254" s="30"/>
      <c r="AB254" s="15"/>
    </row>
    <row r="255" spans="1:28">
      <c r="A255" s="81" t="s">
        <v>1910</v>
      </c>
      <c r="B255" s="101" t="s">
        <v>352</v>
      </c>
      <c r="C255" s="14"/>
      <c r="D255" s="15"/>
      <c r="E255" s="16"/>
      <c r="F255" s="17"/>
      <c r="G255" s="14"/>
      <c r="H255" s="15"/>
      <c r="I255" s="16"/>
      <c r="J255" s="17"/>
      <c r="K255" s="14"/>
      <c r="L255" s="15"/>
      <c r="M255" s="16"/>
      <c r="N255" s="17"/>
      <c r="O255" s="2886" t="s">
        <v>1910</v>
      </c>
      <c r="P255" s="2840" t="s">
        <v>352</v>
      </c>
      <c r="Q255" s="2646"/>
      <c r="R255" s="17"/>
      <c r="S255" s="14"/>
      <c r="T255" s="15"/>
      <c r="U255" s="16"/>
      <c r="V255" s="17"/>
      <c r="W255" s="14"/>
      <c r="X255" s="15"/>
      <c r="Y255" s="16"/>
      <c r="Z255" s="17"/>
      <c r="AA255" s="30"/>
      <c r="AB255" s="15"/>
    </row>
    <row r="256" spans="1:28">
      <c r="A256" s="43" t="s">
        <v>1930</v>
      </c>
      <c r="B256" s="101" t="s">
        <v>352</v>
      </c>
      <c r="C256" s="14"/>
      <c r="D256" s="15"/>
      <c r="E256" s="16"/>
      <c r="F256" s="17"/>
      <c r="G256" s="14"/>
      <c r="H256" s="15"/>
      <c r="I256" s="16"/>
      <c r="J256" s="17"/>
      <c r="K256" s="14"/>
      <c r="L256" s="15"/>
      <c r="M256" s="16"/>
      <c r="N256" s="17"/>
      <c r="O256" s="2836" t="s">
        <v>1930</v>
      </c>
      <c r="P256" s="2840" t="s">
        <v>352</v>
      </c>
      <c r="Q256" s="2646"/>
      <c r="R256" s="17"/>
      <c r="S256" s="14"/>
      <c r="T256" s="15"/>
      <c r="U256" s="16"/>
      <c r="V256" s="17"/>
      <c r="W256" s="14"/>
      <c r="X256" s="15"/>
      <c r="Y256" s="16"/>
      <c r="Z256" s="17"/>
      <c r="AA256" s="30"/>
      <c r="AB256" s="15"/>
    </row>
    <row r="257" spans="1:28">
      <c r="A257" s="43" t="s">
        <v>5162</v>
      </c>
      <c r="B257" s="101" t="s">
        <v>284</v>
      </c>
      <c r="C257" s="14"/>
      <c r="D257" s="15"/>
      <c r="E257" s="16"/>
      <c r="F257" s="17"/>
      <c r="G257" s="14"/>
      <c r="H257" s="15"/>
      <c r="I257" s="16"/>
      <c r="J257" s="17"/>
      <c r="K257" s="14"/>
      <c r="L257" s="15"/>
      <c r="M257" s="16"/>
      <c r="N257" s="17"/>
      <c r="O257" s="2836" t="s">
        <v>5162</v>
      </c>
      <c r="P257" s="2840" t="s">
        <v>284</v>
      </c>
      <c r="Q257" s="2646"/>
      <c r="R257" s="17"/>
      <c r="S257" s="14"/>
      <c r="T257" s="15"/>
      <c r="U257" s="16"/>
      <c r="V257" s="17"/>
      <c r="W257" s="14"/>
      <c r="X257" s="15"/>
      <c r="Y257" s="16"/>
      <c r="Z257" s="17"/>
      <c r="AA257" s="30"/>
      <c r="AB257" s="15"/>
    </row>
    <row r="258" spans="1:28">
      <c r="A258" s="43" t="s">
        <v>1918</v>
      </c>
      <c r="B258" s="101" t="s">
        <v>565</v>
      </c>
      <c r="C258" s="14"/>
      <c r="D258" s="15"/>
      <c r="E258" s="16"/>
      <c r="F258" s="17"/>
      <c r="G258" s="14"/>
      <c r="H258" s="15"/>
      <c r="I258" s="16"/>
      <c r="J258" s="17"/>
      <c r="K258" s="14"/>
      <c r="L258" s="15"/>
      <c r="M258" s="16"/>
      <c r="N258" s="17"/>
      <c r="O258" s="2836" t="s">
        <v>1918</v>
      </c>
      <c r="P258" s="2840" t="s">
        <v>565</v>
      </c>
      <c r="Q258" s="2646"/>
      <c r="R258" s="17"/>
      <c r="S258" s="14"/>
      <c r="T258" s="15"/>
      <c r="U258" s="16"/>
      <c r="V258" s="17"/>
      <c r="W258" s="14"/>
      <c r="X258" s="15"/>
      <c r="Y258" s="16"/>
      <c r="Z258" s="17"/>
      <c r="AA258" s="30"/>
      <c r="AB258" s="15"/>
    </row>
    <row r="259" spans="1:28">
      <c r="A259" s="81" t="s">
        <v>1923</v>
      </c>
      <c r="B259" s="101" t="s">
        <v>352</v>
      </c>
      <c r="C259" s="14"/>
      <c r="D259" s="15"/>
      <c r="E259" s="16"/>
      <c r="F259" s="17"/>
      <c r="G259" s="14"/>
      <c r="H259" s="15"/>
      <c r="I259" s="16"/>
      <c r="J259" s="17"/>
      <c r="K259" s="14"/>
      <c r="L259" s="15"/>
      <c r="M259" s="16"/>
      <c r="N259" s="17"/>
      <c r="O259" s="2886" t="s">
        <v>1923</v>
      </c>
      <c r="P259" s="2840" t="s">
        <v>352</v>
      </c>
      <c r="Q259" s="2646"/>
      <c r="R259" s="17"/>
      <c r="S259" s="14"/>
      <c r="T259" s="15"/>
      <c r="U259" s="16"/>
      <c r="V259" s="17"/>
      <c r="W259" s="14"/>
      <c r="X259" s="15"/>
      <c r="Y259" s="16"/>
      <c r="Z259" s="17"/>
      <c r="AA259" s="30"/>
      <c r="AB259" s="15"/>
    </row>
    <row r="260" spans="1:28" ht="40.5" thickBot="1">
      <c r="A260" s="1922" t="s">
        <v>5163</v>
      </c>
      <c r="B260" s="1906" t="s">
        <v>284</v>
      </c>
      <c r="C260" s="2430"/>
      <c r="D260" s="2431"/>
      <c r="E260" s="2432"/>
      <c r="F260" s="2566"/>
      <c r="G260" s="2430"/>
      <c r="H260" s="2431"/>
      <c r="I260" s="2432"/>
      <c r="J260" s="2566"/>
      <c r="K260" s="2430"/>
      <c r="L260" s="2431"/>
      <c r="M260" s="2432"/>
      <c r="N260" s="2566"/>
      <c r="O260" s="2896" t="s">
        <v>5163</v>
      </c>
      <c r="P260" s="2897" t="s">
        <v>284</v>
      </c>
      <c r="Q260" s="2902"/>
      <c r="R260" s="2566"/>
      <c r="S260" s="2430"/>
      <c r="T260" s="2431"/>
      <c r="U260" s="2432"/>
      <c r="V260" s="2566"/>
      <c r="W260" s="2430"/>
      <c r="X260" s="2431"/>
      <c r="Y260" s="2432"/>
      <c r="Z260" s="2566"/>
      <c r="AA260" s="2433"/>
      <c r="AB260" s="2431"/>
    </row>
    <row r="261" spans="1:28" ht="40.5" thickTop="1">
      <c r="A261" s="81" t="s">
        <v>5164</v>
      </c>
      <c r="B261" s="103" t="s">
        <v>100</v>
      </c>
      <c r="C261" s="9"/>
      <c r="D261" s="10"/>
      <c r="E261" s="11"/>
      <c r="F261" s="12"/>
      <c r="G261" s="9"/>
      <c r="H261" s="10"/>
      <c r="I261" s="11"/>
      <c r="J261" s="12"/>
      <c r="K261" s="9"/>
      <c r="L261" s="10"/>
      <c r="M261" s="11"/>
      <c r="N261" s="12"/>
      <c r="O261" s="2886" t="s">
        <v>5164</v>
      </c>
      <c r="P261" s="2895" t="s">
        <v>100</v>
      </c>
      <c r="Q261" s="2901"/>
      <c r="R261" s="12"/>
      <c r="S261" s="9"/>
      <c r="T261" s="10"/>
      <c r="U261" s="11"/>
      <c r="V261" s="12"/>
      <c r="W261" s="9"/>
      <c r="X261" s="10"/>
      <c r="Y261" s="11"/>
      <c r="Z261" s="12"/>
      <c r="AA261" s="33"/>
      <c r="AB261" s="10"/>
    </row>
    <row r="262" spans="1:28" ht="40.5" thickBot="1">
      <c r="A262" s="1922" t="s">
        <v>5165</v>
      </c>
      <c r="B262" s="1906" t="s">
        <v>100</v>
      </c>
      <c r="C262" s="2430"/>
      <c r="D262" s="2431"/>
      <c r="E262" s="2432"/>
      <c r="F262" s="2566"/>
      <c r="G262" s="2430"/>
      <c r="H262" s="2431"/>
      <c r="I262" s="2432"/>
      <c r="J262" s="2566"/>
      <c r="K262" s="2430"/>
      <c r="L262" s="2431"/>
      <c r="M262" s="2432"/>
      <c r="N262" s="2566"/>
      <c r="O262" s="2896" t="s">
        <v>5165</v>
      </c>
      <c r="P262" s="2897" t="s">
        <v>100</v>
      </c>
      <c r="Q262" s="2902"/>
      <c r="R262" s="2566"/>
      <c r="S262" s="2430"/>
      <c r="T262" s="2431"/>
      <c r="U262" s="2432"/>
      <c r="V262" s="2566"/>
      <c r="W262" s="2430"/>
      <c r="X262" s="2431"/>
      <c r="Y262" s="2432"/>
      <c r="Z262" s="2566"/>
      <c r="AA262" s="2433"/>
      <c r="AB262" s="2431"/>
    </row>
    <row r="263" spans="1:28" ht="40.5" thickTop="1">
      <c r="A263" s="81" t="s">
        <v>5166</v>
      </c>
      <c r="B263" s="103" t="s">
        <v>5167</v>
      </c>
      <c r="C263" s="9"/>
      <c r="D263" s="10"/>
      <c r="E263" s="11"/>
      <c r="F263" s="12"/>
      <c r="G263" s="9"/>
      <c r="H263" s="10"/>
      <c r="I263" s="11"/>
      <c r="J263" s="12"/>
      <c r="K263" s="9"/>
      <c r="L263" s="10"/>
      <c r="M263" s="11"/>
      <c r="N263" s="12"/>
      <c r="O263" s="2886" t="s">
        <v>5166</v>
      </c>
      <c r="P263" s="2895" t="s">
        <v>5167</v>
      </c>
      <c r="Q263" s="2901"/>
      <c r="R263" s="12"/>
      <c r="S263" s="9"/>
      <c r="T263" s="10"/>
      <c r="U263" s="11"/>
      <c r="V263" s="12"/>
      <c r="W263" s="9"/>
      <c r="X263" s="10"/>
      <c r="Y263" s="11"/>
      <c r="Z263" s="12"/>
      <c r="AA263" s="33"/>
      <c r="AB263" s="10"/>
    </row>
    <row r="264" spans="1:28">
      <c r="A264" s="81" t="s">
        <v>5168</v>
      </c>
      <c r="B264" s="103" t="s">
        <v>5167</v>
      </c>
      <c r="C264" s="14"/>
      <c r="D264" s="15"/>
      <c r="E264" s="16"/>
      <c r="F264" s="17"/>
      <c r="G264" s="14"/>
      <c r="H264" s="15"/>
      <c r="I264" s="16"/>
      <c r="J264" s="17"/>
      <c r="K264" s="14"/>
      <c r="L264" s="15"/>
      <c r="M264" s="16"/>
      <c r="N264" s="17"/>
      <c r="O264" s="2886" t="s">
        <v>5168</v>
      </c>
      <c r="P264" s="2895" t="s">
        <v>5167</v>
      </c>
      <c r="Q264" s="2646"/>
      <c r="R264" s="17"/>
      <c r="S264" s="14"/>
      <c r="T264" s="15"/>
      <c r="U264" s="16"/>
      <c r="V264" s="17"/>
      <c r="W264" s="14"/>
      <c r="X264" s="15"/>
      <c r="Y264" s="16"/>
      <c r="Z264" s="17"/>
      <c r="AA264" s="30"/>
      <c r="AB264" s="15"/>
    </row>
    <row r="265" spans="1:28">
      <c r="A265" s="43" t="s">
        <v>5169</v>
      </c>
      <c r="B265" s="101" t="s">
        <v>5167</v>
      </c>
      <c r="C265" s="14"/>
      <c r="D265" s="15"/>
      <c r="E265" s="16"/>
      <c r="F265" s="17"/>
      <c r="G265" s="14"/>
      <c r="H265" s="15"/>
      <c r="I265" s="16"/>
      <c r="J265" s="17"/>
      <c r="K265" s="14"/>
      <c r="L265" s="15"/>
      <c r="M265" s="16"/>
      <c r="N265" s="17"/>
      <c r="O265" s="2898" t="s">
        <v>5169</v>
      </c>
      <c r="P265" s="2899" t="s">
        <v>5167</v>
      </c>
      <c r="Q265" s="2645"/>
      <c r="R265" s="1795"/>
      <c r="S265" s="14"/>
      <c r="T265" s="15"/>
      <c r="U265" s="16"/>
      <c r="V265" s="17"/>
      <c r="W265" s="14"/>
      <c r="X265" s="15"/>
      <c r="Y265" s="16"/>
      <c r="Z265" s="17"/>
      <c r="AA265" s="30"/>
      <c r="AB265" s="15"/>
    </row>
    <row r="266" spans="1:28">
      <c r="A266" s="43" t="s">
        <v>5166</v>
      </c>
      <c r="B266" s="101" t="s">
        <v>192</v>
      </c>
      <c r="C266" s="14"/>
      <c r="D266" s="15"/>
      <c r="E266" s="16"/>
      <c r="F266" s="17"/>
      <c r="G266" s="14"/>
      <c r="H266" s="15"/>
      <c r="I266" s="16"/>
      <c r="J266" s="17"/>
      <c r="K266" s="14"/>
      <c r="L266" s="15"/>
      <c r="M266" s="16"/>
      <c r="N266" s="17"/>
      <c r="O266" s="2836" t="s">
        <v>5166</v>
      </c>
      <c r="P266" s="2840" t="s">
        <v>192</v>
      </c>
      <c r="Q266" s="2649"/>
      <c r="R266" s="2650"/>
      <c r="S266" s="2651"/>
      <c r="T266" s="2648"/>
      <c r="U266" s="16"/>
      <c r="V266" s="17"/>
      <c r="W266" s="14"/>
      <c r="X266" s="15"/>
      <c r="Y266" s="16"/>
      <c r="Z266" s="17"/>
      <c r="AA266" s="30"/>
      <c r="AB266" s="15"/>
    </row>
    <row r="267" spans="1:28" ht="40.5" thickBot="1">
      <c r="A267" s="81" t="s">
        <v>5168</v>
      </c>
      <c r="B267" s="101" t="s">
        <v>192</v>
      </c>
      <c r="C267" s="6"/>
      <c r="D267" s="32"/>
      <c r="E267" s="7"/>
      <c r="F267" s="40"/>
      <c r="G267" s="6"/>
      <c r="H267" s="32"/>
      <c r="I267" s="7"/>
      <c r="J267" s="40"/>
      <c r="K267" s="6"/>
      <c r="L267" s="32"/>
      <c r="M267" s="7"/>
      <c r="N267" s="40"/>
      <c r="O267" s="2886" t="s">
        <v>5168</v>
      </c>
      <c r="P267" s="2840" t="s">
        <v>192</v>
      </c>
      <c r="Q267" s="2647"/>
      <c r="R267" s="40"/>
      <c r="S267" s="6"/>
      <c r="T267" s="32"/>
      <c r="U267" s="7"/>
      <c r="V267" s="40"/>
      <c r="W267" s="6"/>
      <c r="X267" s="32"/>
      <c r="Y267" s="7"/>
      <c r="Z267" s="40"/>
      <c r="AA267" s="2630"/>
      <c r="AB267" s="2631"/>
    </row>
    <row r="268" spans="1:28" ht="40.5" thickBot="1">
      <c r="A268" s="43" t="s">
        <v>5169</v>
      </c>
      <c r="B268" s="103" t="s">
        <v>192</v>
      </c>
      <c r="C268" s="6"/>
      <c r="D268" s="32"/>
      <c r="E268" s="6"/>
      <c r="F268" s="32"/>
      <c r="G268" s="7"/>
      <c r="H268" s="32"/>
      <c r="I268" s="7"/>
      <c r="J268" s="32"/>
      <c r="K268" s="7"/>
      <c r="L268" s="32"/>
      <c r="M268" s="7"/>
      <c r="N268" s="32"/>
      <c r="O268" s="2898" t="s">
        <v>5169</v>
      </c>
      <c r="P268" s="2900" t="s">
        <v>192</v>
      </c>
      <c r="Q268" s="7"/>
      <c r="R268" s="32"/>
      <c r="S268" s="7"/>
      <c r="T268" s="32"/>
      <c r="U268" s="7"/>
      <c r="V268" s="32"/>
      <c r="W268" s="7"/>
      <c r="X268" s="32"/>
      <c r="Y268" s="7"/>
      <c r="Z268" s="32"/>
      <c r="AA268" s="31"/>
      <c r="AB268" s="32"/>
    </row>
    <row r="269" spans="1:28" ht="40.5">
      <c r="A269" s="3444"/>
      <c r="B269" s="104"/>
      <c r="C269" s="2281"/>
      <c r="D269" s="3"/>
      <c r="E269" s="3"/>
      <c r="F269" s="3"/>
      <c r="G269" s="3"/>
      <c r="H269" s="3"/>
      <c r="I269" s="3"/>
      <c r="J269" s="3"/>
      <c r="K269" s="3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B269" s="4"/>
    </row>
    <row r="270" spans="1:28" ht="40.5" thickBot="1">
      <c r="A270" s="5" t="s">
        <v>5109</v>
      </c>
    </row>
    <row r="271" spans="1:28">
      <c r="A271" s="3544" t="s">
        <v>2</v>
      </c>
      <c r="B271" s="3546" t="s">
        <v>3</v>
      </c>
      <c r="C271" s="3537" t="s">
        <v>5065</v>
      </c>
      <c r="D271" s="3538"/>
      <c r="E271" s="3536" t="s">
        <v>5066</v>
      </c>
      <c r="F271" s="3536"/>
      <c r="G271" s="3537" t="s">
        <v>5067</v>
      </c>
      <c r="H271" s="3538"/>
      <c r="I271" s="3536" t="s">
        <v>5068</v>
      </c>
      <c r="J271" s="3536"/>
      <c r="K271" s="3537" t="s">
        <v>5069</v>
      </c>
      <c r="L271" s="3538"/>
      <c r="M271" s="3536" t="s">
        <v>5070</v>
      </c>
      <c r="N271" s="3536"/>
      <c r="O271" s="3542"/>
      <c r="P271" s="3542"/>
      <c r="Q271" s="3536" t="s">
        <v>5071</v>
      </c>
      <c r="R271" s="3536"/>
      <c r="S271" s="3536" t="s">
        <v>5072</v>
      </c>
      <c r="T271" s="3536"/>
      <c r="U271" s="3472" t="s">
        <v>5073</v>
      </c>
      <c r="V271" s="3473"/>
      <c r="W271" s="3536" t="s">
        <v>5074</v>
      </c>
      <c r="X271" s="3536"/>
      <c r="Y271" s="3472" t="s">
        <v>5075</v>
      </c>
      <c r="Z271" s="3475"/>
      <c r="AA271" s="3537" t="s">
        <v>5076</v>
      </c>
      <c r="AB271" s="3538"/>
    </row>
    <row r="272" spans="1:28" ht="40.5" thickBot="1">
      <c r="A272" s="3545"/>
      <c r="B272" s="3547"/>
      <c r="C272" s="1" t="s">
        <v>5078</v>
      </c>
      <c r="D272" s="35" t="s">
        <v>5079</v>
      </c>
      <c r="E272" s="2" t="s">
        <v>5078</v>
      </c>
      <c r="F272" s="36" t="s">
        <v>5079</v>
      </c>
      <c r="G272" s="1" t="s">
        <v>5078</v>
      </c>
      <c r="H272" s="35" t="s">
        <v>5079</v>
      </c>
      <c r="I272" s="2" t="s">
        <v>5078</v>
      </c>
      <c r="J272" s="36" t="s">
        <v>5079</v>
      </c>
      <c r="K272" s="1" t="s">
        <v>5078</v>
      </c>
      <c r="L272" s="35" t="s">
        <v>5079</v>
      </c>
      <c r="M272" s="2" t="s">
        <v>5078</v>
      </c>
      <c r="N272" s="36" t="s">
        <v>5079</v>
      </c>
      <c r="O272" s="2769"/>
      <c r="P272" s="2820"/>
      <c r="Q272" s="2" t="s">
        <v>5078</v>
      </c>
      <c r="R272" s="36" t="s">
        <v>5079</v>
      </c>
      <c r="S272" s="1" t="s">
        <v>5078</v>
      </c>
      <c r="T272" s="35" t="s">
        <v>5079</v>
      </c>
      <c r="U272" s="2" t="s">
        <v>5078</v>
      </c>
      <c r="V272" s="36" t="s">
        <v>5079</v>
      </c>
      <c r="W272" s="1" t="s">
        <v>5078</v>
      </c>
      <c r="X272" s="35" t="s">
        <v>5079</v>
      </c>
      <c r="Y272" s="2" t="s">
        <v>5078</v>
      </c>
      <c r="Z272" s="36" t="s">
        <v>5079</v>
      </c>
      <c r="AA272" s="1" t="s">
        <v>5078</v>
      </c>
      <c r="AB272" s="35" t="s">
        <v>5079</v>
      </c>
    </row>
    <row r="273" spans="1:28">
      <c r="A273" s="224" t="s">
        <v>5170</v>
      </c>
      <c r="B273" s="101" t="s">
        <v>5171</v>
      </c>
      <c r="C273" s="9"/>
      <c r="D273" s="10"/>
      <c r="E273" s="11"/>
      <c r="F273" s="12"/>
      <c r="G273" s="9"/>
      <c r="H273" s="10"/>
      <c r="I273" s="11"/>
      <c r="J273" s="12"/>
      <c r="K273" s="9"/>
      <c r="L273" s="10"/>
      <c r="M273" s="11"/>
      <c r="N273" s="12"/>
      <c r="O273" s="2827" t="s">
        <v>5172</v>
      </c>
      <c r="P273" s="2827"/>
      <c r="Q273" s="2642"/>
      <c r="R273" s="2903"/>
      <c r="S273" s="9"/>
      <c r="T273" s="10"/>
      <c r="U273" s="11"/>
      <c r="V273" s="12"/>
      <c r="W273" s="9"/>
      <c r="X273" s="10"/>
      <c r="Y273" s="11"/>
      <c r="Z273" s="12"/>
      <c r="AA273" s="33"/>
      <c r="AB273" s="10"/>
    </row>
    <row r="274" spans="1:28">
      <c r="A274" s="224" t="s">
        <v>5173</v>
      </c>
      <c r="B274" s="101" t="s">
        <v>5171</v>
      </c>
      <c r="C274" s="14"/>
      <c r="D274" s="15"/>
      <c r="E274" s="16"/>
      <c r="F274" s="17"/>
      <c r="G274" s="14"/>
      <c r="H274" s="15"/>
      <c r="I274" s="16"/>
      <c r="J274" s="17"/>
      <c r="K274" s="14"/>
      <c r="L274" s="15"/>
      <c r="M274" s="16"/>
      <c r="N274" s="17"/>
      <c r="O274" s="2827" t="s">
        <v>5174</v>
      </c>
      <c r="P274" s="2827"/>
      <c r="Q274" s="2646"/>
      <c r="R274" s="17"/>
      <c r="S274" s="14"/>
      <c r="T274" s="15"/>
      <c r="U274" s="16"/>
      <c r="V274" s="17"/>
      <c r="W274" s="14"/>
      <c r="X274" s="15"/>
      <c r="Y274" s="16"/>
      <c r="Z274" s="17"/>
      <c r="AA274" s="30"/>
      <c r="AB274" s="15"/>
    </row>
    <row r="275" spans="1:28">
      <c r="A275" s="224" t="s">
        <v>5175</v>
      </c>
      <c r="B275" s="101" t="s">
        <v>5171</v>
      </c>
      <c r="C275" s="14"/>
      <c r="D275" s="15"/>
      <c r="E275" s="16"/>
      <c r="F275" s="17"/>
      <c r="G275" s="14"/>
      <c r="H275" s="15"/>
      <c r="I275" s="16"/>
      <c r="J275" s="17"/>
      <c r="K275" s="14"/>
      <c r="L275" s="15"/>
      <c r="M275" s="16"/>
      <c r="N275" s="17"/>
      <c r="O275" s="2827" t="s">
        <v>5176</v>
      </c>
      <c r="P275" s="2827"/>
      <c r="Q275" s="2646"/>
      <c r="R275" s="17"/>
      <c r="S275" s="14"/>
      <c r="T275" s="15"/>
      <c r="U275" s="16"/>
      <c r="V275" s="17"/>
      <c r="W275" s="14"/>
      <c r="X275" s="15"/>
      <c r="Y275" s="16"/>
      <c r="Z275" s="17"/>
      <c r="AA275" s="30"/>
      <c r="AB275" s="15"/>
    </row>
    <row r="276" spans="1:28">
      <c r="A276" s="224" t="s">
        <v>5177</v>
      </c>
      <c r="B276" s="101" t="s">
        <v>5171</v>
      </c>
      <c r="C276" s="14"/>
      <c r="D276" s="15"/>
      <c r="E276" s="16"/>
      <c r="F276" s="17"/>
      <c r="G276" s="14"/>
      <c r="H276" s="15"/>
      <c r="I276" s="16"/>
      <c r="J276" s="17"/>
      <c r="K276" s="14"/>
      <c r="L276" s="15"/>
      <c r="M276" s="16"/>
      <c r="N276" s="17"/>
      <c r="O276" s="2827" t="s">
        <v>5178</v>
      </c>
      <c r="P276" s="2827"/>
      <c r="Q276" s="2646"/>
      <c r="R276" s="17"/>
      <c r="S276" s="14"/>
      <c r="T276" s="15"/>
      <c r="U276" s="16"/>
      <c r="V276" s="17"/>
      <c r="W276" s="14"/>
      <c r="X276" s="15"/>
      <c r="Y276" s="16"/>
      <c r="Z276" s="17"/>
      <c r="AA276" s="30"/>
      <c r="AB276" s="15"/>
    </row>
    <row r="277" spans="1:28">
      <c r="A277" s="224" t="s">
        <v>5179</v>
      </c>
      <c r="B277" s="101" t="s">
        <v>5171</v>
      </c>
      <c r="C277" s="14"/>
      <c r="D277" s="15"/>
      <c r="E277" s="16"/>
      <c r="F277" s="17"/>
      <c r="G277" s="14"/>
      <c r="H277" s="15"/>
      <c r="I277" s="16"/>
      <c r="J277" s="17"/>
      <c r="K277" s="14"/>
      <c r="L277" s="15"/>
      <c r="M277" s="16"/>
      <c r="N277" s="17"/>
      <c r="O277" s="2827" t="s">
        <v>5180</v>
      </c>
      <c r="P277" s="2827"/>
      <c r="Q277" s="2646"/>
      <c r="R277" s="17"/>
      <c r="S277" s="14"/>
      <c r="T277" s="15"/>
      <c r="U277" s="16"/>
      <c r="V277" s="17"/>
      <c r="W277" s="14"/>
      <c r="X277" s="15"/>
      <c r="Y277" s="16"/>
      <c r="Z277" s="17"/>
      <c r="AA277" s="30"/>
      <c r="AB277" s="15"/>
    </row>
    <row r="278" spans="1:28">
      <c r="A278" s="224" t="s">
        <v>5181</v>
      </c>
      <c r="B278" s="101" t="s">
        <v>5171</v>
      </c>
      <c r="C278" s="14"/>
      <c r="D278" s="15"/>
      <c r="E278" s="16"/>
      <c r="F278" s="17"/>
      <c r="G278" s="14"/>
      <c r="H278" s="15"/>
      <c r="I278" s="16"/>
      <c r="J278" s="17"/>
      <c r="K278" s="14"/>
      <c r="L278" s="15"/>
      <c r="M278" s="16"/>
      <c r="N278" s="17"/>
      <c r="O278" s="2827" t="s">
        <v>5182</v>
      </c>
      <c r="P278" s="2827"/>
      <c r="Q278" s="2646"/>
      <c r="R278" s="17"/>
      <c r="S278" s="14"/>
      <c r="T278" s="15"/>
      <c r="U278" s="16"/>
      <c r="V278" s="17"/>
      <c r="W278" s="14"/>
      <c r="X278" s="15"/>
      <c r="Y278" s="16"/>
      <c r="Z278" s="17"/>
      <c r="AA278" s="30"/>
      <c r="AB278" s="15"/>
    </row>
    <row r="279" spans="1:28">
      <c r="A279" s="224" t="s">
        <v>5183</v>
      </c>
      <c r="B279" s="101" t="s">
        <v>5171</v>
      </c>
      <c r="C279" s="14"/>
      <c r="D279" s="15"/>
      <c r="E279" s="16"/>
      <c r="F279" s="17"/>
      <c r="G279" s="14"/>
      <c r="H279" s="15"/>
      <c r="I279" s="16"/>
      <c r="J279" s="17"/>
      <c r="K279" s="14"/>
      <c r="L279" s="15"/>
      <c r="M279" s="16"/>
      <c r="N279" s="17"/>
      <c r="O279" s="2827" t="s">
        <v>5184</v>
      </c>
      <c r="P279" s="2827"/>
      <c r="Q279" s="2646"/>
      <c r="R279" s="17"/>
      <c r="S279" s="14"/>
      <c r="T279" s="15"/>
      <c r="U279" s="16"/>
      <c r="V279" s="17"/>
      <c r="W279" s="14"/>
      <c r="X279" s="15"/>
      <c r="Y279" s="16"/>
      <c r="Z279" s="17"/>
      <c r="AA279" s="30"/>
      <c r="AB279" s="15"/>
    </row>
    <row r="280" spans="1:28">
      <c r="A280" s="224" t="s">
        <v>5185</v>
      </c>
      <c r="B280" s="101" t="s">
        <v>5171</v>
      </c>
      <c r="C280" s="14"/>
      <c r="D280" s="15"/>
      <c r="E280" s="16"/>
      <c r="F280" s="17"/>
      <c r="G280" s="14"/>
      <c r="H280" s="15"/>
      <c r="I280" s="16"/>
      <c r="J280" s="17"/>
      <c r="K280" s="14"/>
      <c r="L280" s="15"/>
      <c r="M280" s="16"/>
      <c r="N280" s="17"/>
      <c r="O280" s="2827" t="s">
        <v>5186</v>
      </c>
      <c r="P280" s="2827"/>
      <c r="Q280" s="2646"/>
      <c r="R280" s="17"/>
      <c r="S280" s="14"/>
      <c r="T280" s="15"/>
      <c r="U280" s="16"/>
      <c r="V280" s="17"/>
      <c r="W280" s="14"/>
      <c r="X280" s="15"/>
      <c r="Y280" s="16"/>
      <c r="Z280" s="17"/>
      <c r="AA280" s="30"/>
      <c r="AB280" s="15"/>
    </row>
    <row r="281" spans="1:28">
      <c r="A281" s="224" t="s">
        <v>5187</v>
      </c>
      <c r="B281" s="101" t="s">
        <v>5171</v>
      </c>
      <c r="C281" s="14"/>
      <c r="D281" s="15"/>
      <c r="E281" s="16"/>
      <c r="F281" s="17"/>
      <c r="G281" s="14"/>
      <c r="H281" s="15"/>
      <c r="I281" s="16"/>
      <c r="J281" s="17"/>
      <c r="K281" s="14"/>
      <c r="L281" s="15"/>
      <c r="M281" s="16"/>
      <c r="N281" s="17"/>
      <c r="O281" s="2827" t="s">
        <v>5188</v>
      </c>
      <c r="P281" s="2827"/>
      <c r="Q281" s="2646"/>
      <c r="R281" s="17"/>
      <c r="S281" s="14"/>
      <c r="T281" s="15"/>
      <c r="U281" s="16"/>
      <c r="V281" s="17"/>
      <c r="W281" s="14"/>
      <c r="X281" s="15"/>
      <c r="Y281" s="16"/>
      <c r="Z281" s="17"/>
      <c r="AA281" s="30"/>
      <c r="AB281" s="15"/>
    </row>
    <row r="282" spans="1:28">
      <c r="A282" s="224" t="s">
        <v>5189</v>
      </c>
      <c r="B282" s="101" t="s">
        <v>5171</v>
      </c>
      <c r="C282" s="14"/>
      <c r="D282" s="15"/>
      <c r="E282" s="16"/>
      <c r="F282" s="17"/>
      <c r="G282" s="14"/>
      <c r="H282" s="15"/>
      <c r="I282" s="16"/>
      <c r="J282" s="17"/>
      <c r="K282" s="14"/>
      <c r="L282" s="15"/>
      <c r="M282" s="16"/>
      <c r="N282" s="17"/>
      <c r="O282" s="2827" t="s">
        <v>5190</v>
      </c>
      <c r="P282" s="2827"/>
      <c r="Q282" s="2646"/>
      <c r="R282" s="17"/>
      <c r="S282" s="14"/>
      <c r="T282" s="15"/>
      <c r="U282" s="16"/>
      <c r="V282" s="17"/>
      <c r="W282" s="14"/>
      <c r="X282" s="15"/>
      <c r="Y282" s="16"/>
      <c r="Z282" s="17"/>
      <c r="AA282" s="30"/>
      <c r="AB282" s="15"/>
    </row>
    <row r="283" spans="1:28">
      <c r="A283" s="224" t="s">
        <v>5191</v>
      </c>
      <c r="B283" s="101" t="s">
        <v>5171</v>
      </c>
      <c r="C283" s="14"/>
      <c r="D283" s="15"/>
      <c r="E283" s="16"/>
      <c r="F283" s="17"/>
      <c r="G283" s="14"/>
      <c r="H283" s="15"/>
      <c r="I283" s="16"/>
      <c r="J283" s="17"/>
      <c r="K283" s="14"/>
      <c r="L283" s="15"/>
      <c r="M283" s="16"/>
      <c r="N283" s="17"/>
      <c r="O283" s="2827" t="s">
        <v>5192</v>
      </c>
      <c r="P283" s="2827"/>
      <c r="Q283" s="2646"/>
      <c r="R283" s="17"/>
      <c r="S283" s="14"/>
      <c r="T283" s="15"/>
      <c r="U283" s="16"/>
      <c r="V283" s="17"/>
      <c r="W283" s="14"/>
      <c r="X283" s="15"/>
      <c r="Y283" s="16"/>
      <c r="Z283" s="17"/>
      <c r="AA283" s="30"/>
      <c r="AB283" s="15"/>
    </row>
    <row r="284" spans="1:28">
      <c r="A284" s="224" t="s">
        <v>5193</v>
      </c>
      <c r="B284" s="101" t="s">
        <v>5171</v>
      </c>
      <c r="C284" s="14"/>
      <c r="D284" s="15"/>
      <c r="E284" s="16"/>
      <c r="F284" s="17"/>
      <c r="G284" s="14"/>
      <c r="H284" s="15"/>
      <c r="I284" s="16"/>
      <c r="J284" s="17"/>
      <c r="K284" s="14"/>
      <c r="L284" s="15"/>
      <c r="M284" s="16"/>
      <c r="N284" s="17"/>
      <c r="O284" s="2827" t="s">
        <v>5194</v>
      </c>
      <c r="P284" s="2827"/>
      <c r="Q284" s="2646"/>
      <c r="R284" s="17"/>
      <c r="S284" s="14"/>
      <c r="T284" s="15"/>
      <c r="U284" s="16"/>
      <c r="V284" s="17"/>
      <c r="W284" s="14"/>
      <c r="X284" s="15"/>
      <c r="Y284" s="16"/>
      <c r="Z284" s="17"/>
      <c r="AA284" s="30"/>
      <c r="AB284" s="15"/>
    </row>
    <row r="285" spans="1:28">
      <c r="A285" s="224" t="s">
        <v>5195</v>
      </c>
      <c r="B285" s="101" t="s">
        <v>5171</v>
      </c>
      <c r="C285" s="14"/>
      <c r="D285" s="15"/>
      <c r="E285" s="16"/>
      <c r="F285" s="17"/>
      <c r="G285" s="14"/>
      <c r="H285" s="15"/>
      <c r="I285" s="16"/>
      <c r="J285" s="17"/>
      <c r="K285" s="14"/>
      <c r="L285" s="15"/>
      <c r="M285" s="16"/>
      <c r="N285" s="17"/>
      <c r="O285" s="2827" t="s">
        <v>5196</v>
      </c>
      <c r="P285" s="2827"/>
      <c r="Q285" s="2646"/>
      <c r="R285" s="17"/>
      <c r="S285" s="14"/>
      <c r="T285" s="15"/>
      <c r="U285" s="16"/>
      <c r="V285" s="17"/>
      <c r="W285" s="14"/>
      <c r="X285" s="15"/>
      <c r="Y285" s="16"/>
      <c r="Z285" s="17"/>
      <c r="AA285" s="30"/>
      <c r="AB285" s="15"/>
    </row>
    <row r="286" spans="1:28">
      <c r="A286" s="224" t="s">
        <v>5197</v>
      </c>
      <c r="B286" s="101" t="s">
        <v>5171</v>
      </c>
      <c r="C286" s="14"/>
      <c r="D286" s="15"/>
      <c r="E286" s="16"/>
      <c r="F286" s="17"/>
      <c r="G286" s="14"/>
      <c r="H286" s="15"/>
      <c r="I286" s="16"/>
      <c r="J286" s="17"/>
      <c r="K286" s="14"/>
      <c r="L286" s="15"/>
      <c r="M286" s="16"/>
      <c r="N286" s="17"/>
      <c r="O286" s="2827" t="s">
        <v>5198</v>
      </c>
      <c r="P286" s="2827"/>
      <c r="Q286" s="2646"/>
      <c r="R286" s="17"/>
      <c r="S286" s="14"/>
      <c r="T286" s="15"/>
      <c r="U286" s="16"/>
      <c r="V286" s="17"/>
      <c r="W286" s="14"/>
      <c r="X286" s="15"/>
      <c r="Y286" s="16"/>
      <c r="Z286" s="17"/>
      <c r="AA286" s="30"/>
      <c r="AB286" s="15"/>
    </row>
    <row r="287" spans="1:28">
      <c r="A287" s="224" t="s">
        <v>5199</v>
      </c>
      <c r="B287" s="101" t="s">
        <v>5171</v>
      </c>
      <c r="C287" s="14"/>
      <c r="D287" s="15"/>
      <c r="E287" s="16"/>
      <c r="F287" s="17"/>
      <c r="G287" s="14"/>
      <c r="H287" s="15"/>
      <c r="I287" s="16"/>
      <c r="J287" s="17"/>
      <c r="K287" s="14"/>
      <c r="L287" s="15"/>
      <c r="M287" s="16"/>
      <c r="N287" s="17"/>
      <c r="O287" s="2827" t="s">
        <v>5200</v>
      </c>
      <c r="P287" s="2827"/>
      <c r="Q287" s="2646"/>
      <c r="R287" s="17"/>
      <c r="S287" s="14"/>
      <c r="T287" s="15"/>
      <c r="U287" s="16"/>
      <c r="V287" s="17"/>
      <c r="W287" s="14"/>
      <c r="X287" s="15"/>
      <c r="Y287" s="16"/>
      <c r="Z287" s="17"/>
      <c r="AA287" s="30"/>
      <c r="AB287" s="15"/>
    </row>
    <row r="288" spans="1:28">
      <c r="A288" s="224" t="s">
        <v>5185</v>
      </c>
      <c r="B288" s="101" t="s">
        <v>5171</v>
      </c>
      <c r="C288" s="14"/>
      <c r="D288" s="15"/>
      <c r="E288" s="16"/>
      <c r="F288" s="17"/>
      <c r="G288" s="14"/>
      <c r="H288" s="15"/>
      <c r="I288" s="16"/>
      <c r="J288" s="17"/>
      <c r="K288" s="14"/>
      <c r="L288" s="15"/>
      <c r="M288" s="16"/>
      <c r="N288" s="17"/>
      <c r="O288" s="2827" t="s">
        <v>5186</v>
      </c>
      <c r="P288" s="2828"/>
      <c r="Q288" s="2645"/>
      <c r="R288" s="1795"/>
      <c r="S288" s="14"/>
      <c r="T288" s="15"/>
      <c r="U288" s="16"/>
      <c r="V288" s="17"/>
      <c r="W288" s="14"/>
      <c r="X288" s="15"/>
      <c r="Y288" s="16"/>
      <c r="Z288" s="17"/>
      <c r="AA288" s="30"/>
      <c r="AB288" s="15"/>
    </row>
    <row r="289" spans="1:28">
      <c r="A289" s="224" t="s">
        <v>5181</v>
      </c>
      <c r="B289" s="101" t="s">
        <v>5201</v>
      </c>
      <c r="C289" s="14"/>
      <c r="D289" s="15"/>
      <c r="E289" s="16"/>
      <c r="F289" s="17"/>
      <c r="G289" s="14"/>
      <c r="H289" s="15"/>
      <c r="I289" s="16"/>
      <c r="J289" s="17"/>
      <c r="K289" s="14"/>
      <c r="L289" s="15"/>
      <c r="M289" s="16"/>
      <c r="N289" s="17"/>
      <c r="O289" s="2827" t="s">
        <v>5202</v>
      </c>
      <c r="P289" s="2828"/>
      <c r="Q289" s="2649"/>
      <c r="R289" s="2650"/>
      <c r="S289" s="2651"/>
      <c r="T289" s="2648"/>
      <c r="U289" s="16"/>
      <c r="V289" s="17"/>
      <c r="W289" s="14"/>
      <c r="X289" s="15"/>
      <c r="Y289" s="16"/>
      <c r="Z289" s="17"/>
      <c r="AA289" s="30"/>
      <c r="AB289" s="15"/>
    </row>
    <row r="290" spans="1:28" ht="40.5" thickBot="1">
      <c r="A290" s="13"/>
      <c r="B290" s="26"/>
      <c r="C290" s="6"/>
      <c r="D290" s="32"/>
      <c r="E290" s="7"/>
      <c r="F290" s="40"/>
      <c r="G290" s="6"/>
      <c r="H290" s="32"/>
      <c r="I290" s="7"/>
      <c r="J290" s="40"/>
      <c r="K290" s="6"/>
      <c r="L290" s="32"/>
      <c r="M290" s="7"/>
      <c r="N290" s="40"/>
      <c r="O290" s="2827"/>
      <c r="P290" s="2827"/>
      <c r="Q290" s="2647"/>
      <c r="R290" s="40"/>
      <c r="S290" s="6"/>
      <c r="T290" s="32"/>
      <c r="U290" s="7"/>
      <c r="V290" s="40"/>
      <c r="W290" s="6"/>
      <c r="X290" s="32"/>
      <c r="Y290" s="7"/>
      <c r="Z290" s="40"/>
      <c r="AA290" s="2630"/>
      <c r="AB290" s="2631"/>
    </row>
    <row r="291" spans="1:28" ht="40.5" thickBot="1">
      <c r="A291" s="34"/>
      <c r="B291" s="3476"/>
      <c r="C291" s="6"/>
      <c r="D291" s="32"/>
      <c r="E291" s="6"/>
      <c r="F291" s="32"/>
      <c r="G291" s="7"/>
      <c r="H291" s="32"/>
      <c r="I291" s="7"/>
      <c r="J291" s="32"/>
      <c r="K291" s="7"/>
      <c r="L291" s="32"/>
      <c r="M291" s="7"/>
      <c r="N291" s="32"/>
      <c r="O291" s="2905"/>
      <c r="P291" s="2906"/>
      <c r="Q291" s="7"/>
      <c r="R291" s="32"/>
      <c r="S291" s="7"/>
      <c r="T291" s="32"/>
      <c r="U291" s="7"/>
      <c r="V291" s="32"/>
      <c r="W291" s="7"/>
      <c r="X291" s="32"/>
      <c r="Y291" s="7"/>
      <c r="Z291" s="32"/>
      <c r="AA291" s="31"/>
      <c r="AB291" s="32"/>
    </row>
    <row r="293" spans="1:28" ht="40.5">
      <c r="A293" s="3" t="s">
        <v>5063</v>
      </c>
      <c r="B293" s="23"/>
      <c r="C293" s="3"/>
      <c r="D293" s="3"/>
      <c r="E293" s="3"/>
      <c r="F293" s="3"/>
      <c r="G293" s="3"/>
      <c r="H293" s="3"/>
      <c r="I293" s="3"/>
      <c r="J293" s="3"/>
      <c r="K293" s="3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B293" s="4"/>
    </row>
    <row r="294" spans="1:28" ht="40.5" thickBot="1">
      <c r="A294" s="5" t="s">
        <v>5111</v>
      </c>
    </row>
    <row r="295" spans="1:28">
      <c r="A295" s="3540" t="s">
        <v>2</v>
      </c>
      <c r="B295" s="3540" t="s">
        <v>3</v>
      </c>
      <c r="C295" s="3537" t="s">
        <v>5065</v>
      </c>
      <c r="D295" s="3538"/>
      <c r="E295" s="3536" t="s">
        <v>5066</v>
      </c>
      <c r="F295" s="3536"/>
      <c r="G295" s="3537" t="s">
        <v>5067</v>
      </c>
      <c r="H295" s="3538"/>
      <c r="I295" s="3536" t="s">
        <v>5068</v>
      </c>
      <c r="J295" s="3536"/>
      <c r="K295" s="3537" t="s">
        <v>5069</v>
      </c>
      <c r="L295" s="3538"/>
      <c r="M295" s="3536" t="s">
        <v>5070</v>
      </c>
      <c r="N295" s="3536"/>
      <c r="O295" s="3542"/>
      <c r="P295" s="3542"/>
      <c r="Q295" s="3536" t="s">
        <v>5071</v>
      </c>
      <c r="R295" s="3536"/>
      <c r="S295" s="3536" t="s">
        <v>5072</v>
      </c>
      <c r="T295" s="3536"/>
      <c r="U295" s="3472" t="s">
        <v>5073</v>
      </c>
      <c r="V295" s="3473"/>
      <c r="W295" s="3536" t="s">
        <v>5074</v>
      </c>
      <c r="X295" s="3536"/>
      <c r="Y295" s="3472" t="s">
        <v>5075</v>
      </c>
      <c r="Z295" s="3475"/>
      <c r="AA295" s="3537" t="s">
        <v>5076</v>
      </c>
      <c r="AB295" s="3538"/>
    </row>
    <row r="296" spans="1:28" ht="40.5" thickBot="1">
      <c r="A296" s="3541"/>
      <c r="B296" s="3541"/>
      <c r="C296" s="1" t="s">
        <v>5078</v>
      </c>
      <c r="D296" s="35" t="s">
        <v>5079</v>
      </c>
      <c r="E296" s="2" t="s">
        <v>5078</v>
      </c>
      <c r="F296" s="36" t="s">
        <v>5079</v>
      </c>
      <c r="G296" s="1" t="s">
        <v>5078</v>
      </c>
      <c r="H296" s="35" t="s">
        <v>5079</v>
      </c>
      <c r="I296" s="2" t="s">
        <v>5078</v>
      </c>
      <c r="J296" s="36" t="s">
        <v>5079</v>
      </c>
      <c r="K296" s="1" t="s">
        <v>5078</v>
      </c>
      <c r="L296" s="35" t="s">
        <v>5079</v>
      </c>
      <c r="M296" s="2" t="s">
        <v>5078</v>
      </c>
      <c r="N296" s="36" t="s">
        <v>5079</v>
      </c>
      <c r="O296" s="2769"/>
      <c r="P296" s="2820"/>
      <c r="Q296" s="2" t="s">
        <v>5078</v>
      </c>
      <c r="R296" s="36" t="s">
        <v>5079</v>
      </c>
      <c r="S296" s="1" t="s">
        <v>5078</v>
      </c>
      <c r="T296" s="35" t="s">
        <v>5079</v>
      </c>
      <c r="U296" s="2" t="s">
        <v>5078</v>
      </c>
      <c r="V296" s="36" t="s">
        <v>5079</v>
      </c>
      <c r="W296" s="1" t="s">
        <v>5078</v>
      </c>
      <c r="X296" s="35" t="s">
        <v>5079</v>
      </c>
      <c r="Y296" s="2" t="s">
        <v>5078</v>
      </c>
      <c r="Z296" s="36" t="s">
        <v>5079</v>
      </c>
      <c r="AA296" s="1" t="s">
        <v>5078</v>
      </c>
      <c r="AB296" s="35" t="s">
        <v>5079</v>
      </c>
    </row>
    <row r="297" spans="1:28">
      <c r="A297" s="224" t="s">
        <v>5203</v>
      </c>
      <c r="B297" s="101" t="s">
        <v>5201</v>
      </c>
      <c r="C297" s="9"/>
      <c r="D297" s="10"/>
      <c r="E297" s="11"/>
      <c r="F297" s="12"/>
      <c r="G297" s="9"/>
      <c r="H297" s="10"/>
      <c r="I297" s="11"/>
      <c r="J297" s="12"/>
      <c r="K297" s="9"/>
      <c r="L297" s="10"/>
      <c r="M297" s="11"/>
      <c r="N297" s="12"/>
      <c r="O297" s="2768" t="s">
        <v>5204</v>
      </c>
      <c r="P297" s="2822"/>
      <c r="Q297" s="11"/>
      <c r="R297" s="12"/>
      <c r="S297" s="9"/>
      <c r="T297" s="10"/>
      <c r="U297" s="11"/>
      <c r="V297" s="12"/>
      <c r="W297" s="9"/>
      <c r="X297" s="10"/>
      <c r="Y297" s="11"/>
      <c r="Z297" s="12"/>
      <c r="AA297" s="33"/>
      <c r="AB297" s="10"/>
    </row>
    <row r="298" spans="1:28">
      <c r="A298" s="224" t="s">
        <v>5205</v>
      </c>
      <c r="B298" s="101" t="s">
        <v>5201</v>
      </c>
      <c r="C298" s="14"/>
      <c r="D298" s="15"/>
      <c r="E298" s="16"/>
      <c r="F298" s="17"/>
      <c r="G298" s="14"/>
      <c r="H298" s="15"/>
      <c r="I298" s="16"/>
      <c r="J298" s="17"/>
      <c r="K298" s="14"/>
      <c r="L298" s="15"/>
      <c r="M298" s="16"/>
      <c r="N298" s="17"/>
      <c r="O298" s="2768" t="s">
        <v>5206</v>
      </c>
      <c r="P298" s="2823"/>
      <c r="Q298" s="2646"/>
      <c r="R298" s="17"/>
      <c r="S298" s="14"/>
      <c r="T298" s="15"/>
      <c r="U298" s="16"/>
      <c r="V298" s="17"/>
      <c r="W298" s="14"/>
      <c r="X298" s="15"/>
      <c r="Y298" s="16"/>
      <c r="Z298" s="17"/>
      <c r="AA298" s="30"/>
      <c r="AB298" s="15"/>
    </row>
    <row r="299" spans="1:28">
      <c r="A299" s="224" t="s">
        <v>5207</v>
      </c>
      <c r="B299" s="101" t="s">
        <v>5208</v>
      </c>
      <c r="C299" s="14"/>
      <c r="D299" s="15"/>
      <c r="E299" s="16"/>
      <c r="F299" s="17"/>
      <c r="G299" s="14"/>
      <c r="H299" s="15"/>
      <c r="I299" s="16"/>
      <c r="J299" s="17"/>
      <c r="K299" s="14"/>
      <c r="L299" s="15"/>
      <c r="M299" s="16"/>
      <c r="N299" s="17"/>
      <c r="O299" s="2768" t="s">
        <v>5209</v>
      </c>
      <c r="P299" s="2823"/>
      <c r="Q299" s="2646"/>
      <c r="R299" s="17"/>
      <c r="S299" s="14"/>
      <c r="T299" s="15"/>
      <c r="U299" s="16"/>
      <c r="V299" s="17"/>
      <c r="W299" s="14"/>
      <c r="X299" s="15"/>
      <c r="Y299" s="16"/>
      <c r="Z299" s="17"/>
      <c r="AA299" s="30"/>
      <c r="AB299" s="15"/>
    </row>
    <row r="300" spans="1:28">
      <c r="A300" s="224" t="s">
        <v>5210</v>
      </c>
      <c r="B300" s="101" t="s">
        <v>5208</v>
      </c>
      <c r="C300" s="14"/>
      <c r="D300" s="15"/>
      <c r="E300" s="16"/>
      <c r="F300" s="17"/>
      <c r="G300" s="14"/>
      <c r="H300" s="15"/>
      <c r="I300" s="16"/>
      <c r="J300" s="17"/>
      <c r="K300" s="14"/>
      <c r="L300" s="15"/>
      <c r="M300" s="16"/>
      <c r="N300" s="17"/>
      <c r="O300" s="2768" t="s">
        <v>5211</v>
      </c>
      <c r="P300" s="2912"/>
      <c r="Q300" s="2646"/>
      <c r="R300" s="2819"/>
      <c r="S300" s="14"/>
      <c r="T300" s="15"/>
      <c r="U300" s="16"/>
      <c r="V300" s="17"/>
      <c r="W300" s="14"/>
      <c r="X300" s="15"/>
      <c r="Y300" s="16"/>
      <c r="Z300" s="17"/>
      <c r="AA300" s="30"/>
      <c r="AB300" s="15"/>
    </row>
    <row r="301" spans="1:28">
      <c r="A301" s="224" t="s">
        <v>5212</v>
      </c>
      <c r="B301" s="101" t="s">
        <v>5208</v>
      </c>
      <c r="C301" s="14"/>
      <c r="D301" s="15"/>
      <c r="E301" s="16"/>
      <c r="F301" s="17"/>
      <c r="G301" s="14"/>
      <c r="H301" s="15"/>
      <c r="I301" s="16"/>
      <c r="J301" s="17"/>
      <c r="K301" s="14"/>
      <c r="L301" s="15"/>
      <c r="M301" s="16"/>
      <c r="N301" s="17"/>
      <c r="O301" s="2768" t="s">
        <v>5213</v>
      </c>
      <c r="P301" s="2823"/>
      <c r="Q301" s="2646"/>
      <c r="R301" s="17"/>
      <c r="S301" s="14"/>
      <c r="T301" s="15"/>
      <c r="U301" s="16"/>
      <c r="V301" s="17"/>
      <c r="W301" s="14"/>
      <c r="X301" s="15"/>
      <c r="Y301" s="16"/>
      <c r="Z301" s="17"/>
      <c r="AA301" s="30"/>
      <c r="AB301" s="15"/>
    </row>
    <row r="302" spans="1:28">
      <c r="A302" s="224" t="s">
        <v>5214</v>
      </c>
      <c r="B302" s="101" t="s">
        <v>5208</v>
      </c>
      <c r="C302" s="14"/>
      <c r="D302" s="15"/>
      <c r="E302" s="16"/>
      <c r="F302" s="17"/>
      <c r="G302" s="14"/>
      <c r="H302" s="15"/>
      <c r="I302" s="16"/>
      <c r="J302" s="17"/>
      <c r="K302" s="14"/>
      <c r="L302" s="15"/>
      <c r="M302" s="16"/>
      <c r="N302" s="17"/>
      <c r="O302" s="2769" t="s">
        <v>5215</v>
      </c>
      <c r="P302" s="2769"/>
      <c r="Q302" s="383"/>
      <c r="R302" s="17"/>
      <c r="S302" s="14"/>
      <c r="T302" s="15"/>
      <c r="U302" s="16"/>
      <c r="V302" s="17"/>
      <c r="W302" s="14"/>
      <c r="X302" s="15"/>
      <c r="Y302" s="16"/>
      <c r="Z302" s="17"/>
      <c r="AA302" s="30"/>
      <c r="AB302" s="15"/>
    </row>
    <row r="303" spans="1:28">
      <c r="A303" s="224" t="s">
        <v>5216</v>
      </c>
      <c r="B303" s="101" t="s">
        <v>5208</v>
      </c>
      <c r="C303" s="14"/>
      <c r="D303" s="15"/>
      <c r="E303" s="16"/>
      <c r="F303" s="17"/>
      <c r="G303" s="14"/>
      <c r="H303" s="15"/>
      <c r="I303" s="16"/>
      <c r="J303" s="17"/>
      <c r="K303" s="14"/>
      <c r="L303" s="15"/>
      <c r="M303" s="16"/>
      <c r="N303" s="17"/>
      <c r="O303" s="2768" t="s">
        <v>5217</v>
      </c>
      <c r="P303" s="2823"/>
      <c r="Q303" s="2646"/>
      <c r="R303" s="17"/>
      <c r="S303" s="14"/>
      <c r="T303" s="15"/>
      <c r="U303" s="16"/>
      <c r="V303" s="17"/>
      <c r="W303" s="14"/>
      <c r="X303" s="15"/>
      <c r="Y303" s="16"/>
      <c r="Z303" s="17"/>
      <c r="AA303" s="30"/>
      <c r="AB303" s="15"/>
    </row>
    <row r="304" spans="1:28">
      <c r="A304" s="224" t="s">
        <v>5218</v>
      </c>
      <c r="B304" s="101" t="s">
        <v>5208</v>
      </c>
      <c r="C304" s="14"/>
      <c r="D304" s="15"/>
      <c r="E304" s="16"/>
      <c r="F304" s="17"/>
      <c r="G304" s="14"/>
      <c r="H304" s="15"/>
      <c r="I304" s="16"/>
      <c r="J304" s="17"/>
      <c r="K304" s="14"/>
      <c r="L304" s="15"/>
      <c r="M304" s="16"/>
      <c r="N304" s="17"/>
      <c r="O304" s="2769" t="s">
        <v>5219</v>
      </c>
      <c r="P304" s="2769"/>
      <c r="Q304" s="383"/>
      <c r="R304" s="17"/>
      <c r="S304" s="14"/>
      <c r="T304" s="15"/>
      <c r="U304" s="16"/>
      <c r="V304" s="17"/>
      <c r="W304" s="14"/>
      <c r="X304" s="15"/>
      <c r="Y304" s="16"/>
      <c r="Z304" s="17"/>
      <c r="AA304" s="30"/>
      <c r="AB304" s="15"/>
    </row>
    <row r="305" spans="1:28">
      <c r="A305" s="971" t="s">
        <v>5220</v>
      </c>
      <c r="B305" s="992" t="s">
        <v>5208</v>
      </c>
      <c r="C305" s="19"/>
      <c r="D305" s="20"/>
      <c r="E305" s="21"/>
      <c r="F305" s="22"/>
      <c r="G305" s="19"/>
      <c r="H305" s="20"/>
      <c r="I305" s="21"/>
      <c r="J305" s="22"/>
      <c r="K305" s="19"/>
      <c r="L305" s="20"/>
      <c r="M305" s="21"/>
      <c r="N305" s="22"/>
      <c r="O305" s="2762" t="s">
        <v>5221</v>
      </c>
      <c r="P305" s="2907"/>
      <c r="Q305" s="2908"/>
      <c r="R305" s="22"/>
      <c r="S305" s="19"/>
      <c r="T305" s="20"/>
      <c r="U305" s="21"/>
      <c r="V305" s="22"/>
      <c r="W305" s="19"/>
      <c r="X305" s="20"/>
      <c r="Y305" s="21"/>
      <c r="Z305" s="22"/>
      <c r="AA305" s="98"/>
      <c r="AB305" s="20"/>
    </row>
    <row r="306" spans="1:28" ht="40.5" thickBot="1">
      <c r="A306" s="2910" t="s">
        <v>5222</v>
      </c>
      <c r="B306" s="2527" t="s">
        <v>5223</v>
      </c>
      <c r="C306" s="2430"/>
      <c r="D306" s="2431"/>
      <c r="E306" s="2432"/>
      <c r="F306" s="2566"/>
      <c r="G306" s="2430"/>
      <c r="H306" s="2431"/>
      <c r="I306" s="2432"/>
      <c r="J306" s="2566"/>
      <c r="K306" s="2430"/>
      <c r="L306" s="2431"/>
      <c r="M306" s="2432"/>
      <c r="N306" s="2566"/>
      <c r="O306" s="2913" t="s">
        <v>5224</v>
      </c>
      <c r="P306" s="2911"/>
      <c r="Q306" s="2902"/>
      <c r="R306" s="2566"/>
      <c r="S306" s="2430"/>
      <c r="T306" s="2431"/>
      <c r="U306" s="2432"/>
      <c r="V306" s="2566"/>
      <c r="W306" s="2430"/>
      <c r="X306" s="2431"/>
      <c r="Y306" s="2432"/>
      <c r="Z306" s="2566"/>
      <c r="AA306" s="2433"/>
      <c r="AB306" s="2431"/>
    </row>
    <row r="307" spans="1:28" ht="40.5" thickTop="1">
      <c r="A307" s="2572" t="s">
        <v>5225</v>
      </c>
      <c r="B307" s="3769" t="s">
        <v>5208</v>
      </c>
      <c r="C307" s="9"/>
      <c r="D307" s="10"/>
      <c r="E307" s="11"/>
      <c r="F307" s="12"/>
      <c r="G307" s="9"/>
      <c r="H307" s="10"/>
      <c r="I307" s="11"/>
      <c r="J307" s="12"/>
      <c r="K307" s="9"/>
      <c r="L307" s="10"/>
      <c r="M307" s="11"/>
      <c r="N307" s="12"/>
      <c r="O307" s="2914" t="s">
        <v>5226</v>
      </c>
      <c r="P307" s="2909"/>
      <c r="Q307" s="2901"/>
      <c r="R307" s="12"/>
      <c r="S307" s="9"/>
      <c r="T307" s="10"/>
      <c r="U307" s="11"/>
      <c r="V307" s="12"/>
      <c r="W307" s="9"/>
      <c r="X307" s="10"/>
      <c r="Y307" s="11"/>
      <c r="Z307" s="12"/>
      <c r="AA307" s="33"/>
      <c r="AB307" s="10"/>
    </row>
    <row r="308" spans="1:28">
      <c r="A308" s="2572" t="s">
        <v>5227</v>
      </c>
      <c r="B308" s="341" t="s">
        <v>5223</v>
      </c>
      <c r="C308" s="14"/>
      <c r="D308" s="15"/>
      <c r="E308" s="16"/>
      <c r="F308" s="17"/>
      <c r="G308" s="14"/>
      <c r="H308" s="15"/>
      <c r="I308" s="16"/>
      <c r="J308" s="17"/>
      <c r="K308" s="14"/>
      <c r="L308" s="15"/>
      <c r="M308" s="16"/>
      <c r="N308" s="17"/>
      <c r="O308" s="2914" t="s">
        <v>5228</v>
      </c>
      <c r="P308" s="2823"/>
      <c r="Q308" s="2646"/>
      <c r="R308" s="17"/>
      <c r="S308" s="14"/>
      <c r="T308" s="15"/>
      <c r="U308" s="16"/>
      <c r="V308" s="17"/>
      <c r="W308" s="14"/>
      <c r="X308" s="15"/>
      <c r="Y308" s="16"/>
      <c r="Z308" s="17"/>
      <c r="AA308" s="30"/>
      <c r="AB308" s="15"/>
    </row>
    <row r="309" spans="1:28">
      <c r="A309" s="2572" t="s">
        <v>5229</v>
      </c>
      <c r="B309" s="101" t="s">
        <v>5208</v>
      </c>
      <c r="C309" s="14"/>
      <c r="D309" s="15"/>
      <c r="E309" s="16"/>
      <c r="F309" s="17"/>
      <c r="G309" s="14"/>
      <c r="H309" s="15"/>
      <c r="I309" s="16"/>
      <c r="J309" s="17"/>
      <c r="K309" s="14"/>
      <c r="L309" s="15"/>
      <c r="M309" s="16"/>
      <c r="N309" s="17"/>
      <c r="O309" s="2914" t="s">
        <v>5230</v>
      </c>
      <c r="P309" s="2823"/>
      <c r="Q309" s="2646"/>
      <c r="R309" s="17"/>
      <c r="S309" s="14"/>
      <c r="T309" s="15"/>
      <c r="U309" s="16"/>
      <c r="V309" s="17"/>
      <c r="W309" s="14"/>
      <c r="X309" s="15"/>
      <c r="Y309" s="16"/>
      <c r="Z309" s="17"/>
      <c r="AA309" s="30"/>
      <c r="AB309" s="15"/>
    </row>
    <row r="310" spans="1:28">
      <c r="A310" s="2572" t="s">
        <v>5231</v>
      </c>
      <c r="B310" s="3769" t="s">
        <v>5208</v>
      </c>
      <c r="C310" s="14"/>
      <c r="D310" s="15"/>
      <c r="E310" s="16"/>
      <c r="F310" s="17"/>
      <c r="G310" s="14"/>
      <c r="H310" s="15"/>
      <c r="I310" s="16"/>
      <c r="J310" s="17"/>
      <c r="K310" s="14"/>
      <c r="L310" s="15"/>
      <c r="M310" s="16"/>
      <c r="N310" s="17"/>
      <c r="O310" s="2914" t="s">
        <v>5232</v>
      </c>
      <c r="P310" s="2823"/>
      <c r="Q310" s="2646"/>
      <c r="R310" s="17"/>
      <c r="S310" s="14"/>
      <c r="T310" s="15"/>
      <c r="U310" s="16"/>
      <c r="V310" s="17"/>
      <c r="W310" s="14"/>
      <c r="X310" s="15"/>
      <c r="Y310" s="16"/>
      <c r="Z310" s="17"/>
      <c r="AA310" s="30"/>
      <c r="AB310" s="15"/>
    </row>
    <row r="311" spans="1:28">
      <c r="A311" s="2293" t="s">
        <v>5233</v>
      </c>
      <c r="B311" s="2290" t="s">
        <v>5223</v>
      </c>
      <c r="C311" s="14"/>
      <c r="D311" s="15"/>
      <c r="E311" s="16"/>
      <c r="F311" s="17"/>
      <c r="G311" s="14"/>
      <c r="H311" s="15"/>
      <c r="I311" s="16"/>
      <c r="J311" s="17"/>
      <c r="K311" s="14"/>
      <c r="L311" s="15"/>
      <c r="M311" s="16"/>
      <c r="N311" s="17"/>
      <c r="O311" s="2917" t="s">
        <v>5233</v>
      </c>
      <c r="P311" s="2904"/>
      <c r="Q311" s="2918"/>
      <c r="R311" s="2919"/>
      <c r="S311" s="14"/>
      <c r="T311" s="15"/>
      <c r="U311" s="16"/>
      <c r="V311" s="17"/>
      <c r="W311" s="14"/>
      <c r="X311" s="15"/>
      <c r="Y311" s="16"/>
      <c r="Z311" s="17"/>
      <c r="AA311" s="30"/>
      <c r="AB311" s="15"/>
    </row>
    <row r="312" spans="1:28">
      <c r="A312" s="2293" t="s">
        <v>5234</v>
      </c>
      <c r="B312" s="2290" t="s">
        <v>5223</v>
      </c>
      <c r="C312" s="14"/>
      <c r="D312" s="15"/>
      <c r="E312" s="16"/>
      <c r="F312" s="17"/>
      <c r="G312" s="14"/>
      <c r="H312" s="15"/>
      <c r="I312" s="16"/>
      <c r="J312" s="17"/>
      <c r="K312" s="14"/>
      <c r="L312" s="15"/>
      <c r="M312" s="16"/>
      <c r="N312" s="17"/>
      <c r="O312" s="2914" t="s">
        <v>5235</v>
      </c>
      <c r="P312" s="2823"/>
      <c r="Q312" s="2646"/>
      <c r="R312" s="1795"/>
      <c r="S312" s="14"/>
      <c r="T312" s="15"/>
      <c r="U312" s="16"/>
      <c r="V312" s="17"/>
      <c r="W312" s="14"/>
      <c r="X312" s="15"/>
      <c r="Y312" s="16"/>
      <c r="Z312" s="17"/>
      <c r="AA312" s="30"/>
      <c r="AB312" s="15"/>
    </row>
    <row r="313" spans="1:28">
      <c r="A313" s="139" t="s">
        <v>5236</v>
      </c>
      <c r="B313" s="101" t="s">
        <v>5237</v>
      </c>
      <c r="C313" s="14"/>
      <c r="D313" s="15"/>
      <c r="E313" s="16"/>
      <c r="F313" s="17"/>
      <c r="G313" s="14"/>
      <c r="H313" s="15"/>
      <c r="I313" s="16"/>
      <c r="J313" s="17"/>
      <c r="K313" s="14"/>
      <c r="L313" s="15"/>
      <c r="M313" s="16"/>
      <c r="N313" s="17"/>
      <c r="O313" s="2823" t="s">
        <v>5236</v>
      </c>
      <c r="P313" s="2823"/>
      <c r="Q313" s="2646"/>
      <c r="R313" s="17"/>
      <c r="S313" s="14"/>
      <c r="T313" s="15"/>
      <c r="U313" s="16"/>
      <c r="V313" s="17"/>
      <c r="W313" s="14"/>
      <c r="X313" s="15"/>
      <c r="Y313" s="16"/>
      <c r="Z313" s="17"/>
      <c r="AA313" s="30"/>
      <c r="AB313" s="15"/>
    </row>
    <row r="314" spans="1:28">
      <c r="A314" s="139" t="s">
        <v>5238</v>
      </c>
      <c r="B314" s="101" t="s">
        <v>5239</v>
      </c>
      <c r="C314" s="14"/>
      <c r="D314" s="15"/>
      <c r="E314" s="16"/>
      <c r="F314" s="17"/>
      <c r="G314" s="14"/>
      <c r="H314" s="15"/>
      <c r="I314" s="16"/>
      <c r="J314" s="17"/>
      <c r="K314" s="14"/>
      <c r="L314" s="15"/>
      <c r="M314" s="16"/>
      <c r="N314" s="17"/>
      <c r="O314" s="2824" t="s">
        <v>5238</v>
      </c>
      <c r="P314" s="2824"/>
      <c r="Q314" s="2645"/>
      <c r="R314" s="1795"/>
      <c r="S314" s="14"/>
      <c r="T314" s="15"/>
      <c r="U314" s="16"/>
      <c r="V314" s="17"/>
      <c r="W314" s="14"/>
      <c r="X314" s="15"/>
      <c r="Y314" s="16"/>
      <c r="Z314" s="17"/>
      <c r="AA314" s="30"/>
      <c r="AB314" s="15"/>
    </row>
    <row r="315" spans="1:28">
      <c r="A315" s="139" t="s">
        <v>5240</v>
      </c>
      <c r="B315" s="101" t="s">
        <v>5241</v>
      </c>
      <c r="C315" s="14"/>
      <c r="D315" s="15"/>
      <c r="E315" s="16"/>
      <c r="F315" s="17"/>
      <c r="G315" s="14"/>
      <c r="H315" s="15"/>
      <c r="I315" s="16"/>
      <c r="J315" s="17"/>
      <c r="K315" s="14"/>
      <c r="L315" s="15"/>
      <c r="M315" s="16"/>
      <c r="N315" s="17"/>
      <c r="O315" s="2924" t="s">
        <v>5242</v>
      </c>
      <c r="P315" s="2826"/>
      <c r="Q315" s="2649"/>
      <c r="R315" s="2650"/>
      <c r="S315" s="2651"/>
      <c r="T315" s="2648"/>
      <c r="U315" s="16"/>
      <c r="V315" s="17"/>
      <c r="W315" s="14"/>
      <c r="X315" s="15"/>
      <c r="Y315" s="16"/>
      <c r="Z315" s="17"/>
      <c r="AA315" s="30"/>
      <c r="AB315" s="15"/>
    </row>
    <row r="316" spans="1:28">
      <c r="A316" s="139"/>
      <c r="B316" s="1211"/>
      <c r="C316" s="19"/>
      <c r="D316" s="20"/>
      <c r="E316" s="19"/>
      <c r="F316" s="20"/>
      <c r="G316" s="21"/>
      <c r="H316" s="20"/>
      <c r="I316" s="21"/>
      <c r="J316" s="20"/>
      <c r="K316" s="21"/>
      <c r="L316" s="20"/>
      <c r="M316" s="21"/>
      <c r="N316" s="20"/>
      <c r="O316" s="2915"/>
      <c r="P316" s="2916"/>
      <c r="Q316" s="21"/>
      <c r="R316" s="20"/>
      <c r="S316" s="21"/>
      <c r="T316" s="20"/>
      <c r="U316" s="21"/>
      <c r="V316" s="20"/>
      <c r="W316" s="21"/>
      <c r="X316" s="20"/>
      <c r="Y316" s="21"/>
      <c r="Z316" s="20"/>
      <c r="AA316" s="98"/>
      <c r="AB316" s="20"/>
    </row>
    <row r="317" spans="1:28" ht="40.5">
      <c r="A317" s="3" t="s">
        <v>5063</v>
      </c>
      <c r="B317" s="23"/>
      <c r="C317" s="3"/>
      <c r="D317" s="3"/>
      <c r="E317" s="3"/>
      <c r="F317" s="3"/>
      <c r="G317" s="3"/>
      <c r="H317" s="3"/>
      <c r="I317" s="3"/>
      <c r="J317" s="3"/>
      <c r="K317" s="3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B317" s="4"/>
    </row>
    <row r="318" spans="1:28" ht="40.5" thickBot="1">
      <c r="A318" s="5" t="s">
        <v>5111</v>
      </c>
    </row>
    <row r="319" spans="1:28">
      <c r="A319" s="3540" t="s">
        <v>2</v>
      </c>
      <c r="B319" s="3540" t="s">
        <v>3</v>
      </c>
      <c r="C319" s="3537" t="s">
        <v>5065</v>
      </c>
      <c r="D319" s="3538"/>
      <c r="E319" s="3536" t="s">
        <v>5066</v>
      </c>
      <c r="F319" s="3536"/>
      <c r="G319" s="3537" t="s">
        <v>5067</v>
      </c>
      <c r="H319" s="3538"/>
      <c r="I319" s="3536" t="s">
        <v>5068</v>
      </c>
      <c r="J319" s="3536"/>
      <c r="K319" s="3537" t="s">
        <v>5069</v>
      </c>
      <c r="L319" s="3538"/>
      <c r="M319" s="3536" t="s">
        <v>5070</v>
      </c>
      <c r="N319" s="3536"/>
      <c r="O319" s="3542"/>
      <c r="P319" s="3542"/>
      <c r="Q319" s="3536" t="s">
        <v>5071</v>
      </c>
      <c r="R319" s="3536"/>
      <c r="S319" s="3536" t="s">
        <v>5072</v>
      </c>
      <c r="T319" s="3536"/>
      <c r="U319" s="3472" t="s">
        <v>5073</v>
      </c>
      <c r="V319" s="3473"/>
      <c r="W319" s="3536" t="s">
        <v>5074</v>
      </c>
      <c r="X319" s="3536"/>
      <c r="Y319" s="3472" t="s">
        <v>5075</v>
      </c>
      <c r="Z319" s="3475"/>
      <c r="AA319" s="3537" t="s">
        <v>5076</v>
      </c>
      <c r="AB319" s="3538"/>
    </row>
    <row r="320" spans="1:28" ht="40.5" thickBot="1">
      <c r="A320" s="3541"/>
      <c r="B320" s="3541"/>
      <c r="C320" s="1" t="s">
        <v>5078</v>
      </c>
      <c r="D320" s="35" t="s">
        <v>5079</v>
      </c>
      <c r="E320" s="2" t="s">
        <v>5078</v>
      </c>
      <c r="F320" s="36" t="s">
        <v>5079</v>
      </c>
      <c r="G320" s="1" t="s">
        <v>5078</v>
      </c>
      <c r="H320" s="35" t="s">
        <v>5079</v>
      </c>
      <c r="I320" s="2" t="s">
        <v>5078</v>
      </c>
      <c r="J320" s="36" t="s">
        <v>5079</v>
      </c>
      <c r="K320" s="1" t="s">
        <v>5078</v>
      </c>
      <c r="L320" s="35" t="s">
        <v>5079</v>
      </c>
      <c r="M320" s="2" t="s">
        <v>5078</v>
      </c>
      <c r="N320" s="36" t="s">
        <v>5079</v>
      </c>
      <c r="O320" s="2769"/>
      <c r="P320" s="2820"/>
      <c r="Q320" s="2" t="s">
        <v>5078</v>
      </c>
      <c r="R320" s="36" t="s">
        <v>5079</v>
      </c>
      <c r="S320" s="1" t="s">
        <v>5078</v>
      </c>
      <c r="T320" s="35" t="s">
        <v>5079</v>
      </c>
      <c r="U320" s="2" t="s">
        <v>5078</v>
      </c>
      <c r="V320" s="36" t="s">
        <v>5079</v>
      </c>
      <c r="W320" s="1" t="s">
        <v>5078</v>
      </c>
      <c r="X320" s="35" t="s">
        <v>5079</v>
      </c>
      <c r="Y320" s="2" t="s">
        <v>5078</v>
      </c>
      <c r="Z320" s="36" t="s">
        <v>5079</v>
      </c>
      <c r="AA320" s="1" t="s">
        <v>5078</v>
      </c>
      <c r="AB320" s="35" t="s">
        <v>5079</v>
      </c>
    </row>
    <row r="321" spans="1:28">
      <c r="A321" s="1868" t="s">
        <v>5243</v>
      </c>
      <c r="B321" s="2434" t="s">
        <v>5201</v>
      </c>
      <c r="C321" s="9"/>
      <c r="D321" s="10"/>
      <c r="E321" s="11"/>
      <c r="F321" s="12"/>
      <c r="G321" s="9"/>
      <c r="H321" s="10"/>
      <c r="I321" s="11"/>
      <c r="J321" s="12"/>
      <c r="K321" s="9"/>
      <c r="L321" s="10"/>
      <c r="M321" s="11"/>
      <c r="N321" s="12"/>
      <c r="O321" s="2769" t="s">
        <v>5244</v>
      </c>
      <c r="P321" s="2769"/>
      <c r="Q321" s="11"/>
      <c r="R321" s="12"/>
      <c r="S321" s="9"/>
      <c r="T321" s="10"/>
      <c r="U321" s="11"/>
      <c r="V321" s="12"/>
      <c r="W321" s="9"/>
      <c r="X321" s="10"/>
      <c r="Y321" s="11"/>
      <c r="Z321" s="12"/>
      <c r="AA321" s="33"/>
      <c r="AB321" s="10"/>
    </row>
    <row r="322" spans="1:28">
      <c r="A322" s="1868" t="s">
        <v>5245</v>
      </c>
      <c r="B322" s="3770" t="s">
        <v>5223</v>
      </c>
      <c r="C322" s="14"/>
      <c r="D322" s="15"/>
      <c r="E322" s="16"/>
      <c r="F322" s="17"/>
      <c r="G322" s="14"/>
      <c r="H322" s="15"/>
      <c r="I322" s="16"/>
      <c r="J322" s="17"/>
      <c r="K322" s="14"/>
      <c r="L322" s="15"/>
      <c r="M322" s="16"/>
      <c r="N322" s="17"/>
      <c r="O322" s="2769" t="s">
        <v>5246</v>
      </c>
      <c r="P322" s="2823"/>
      <c r="Q322" s="2646"/>
      <c r="R322" s="17"/>
      <c r="S322" s="14"/>
      <c r="T322" s="15"/>
      <c r="U322" s="16"/>
      <c r="V322" s="17"/>
      <c r="W322" s="14"/>
      <c r="X322" s="15"/>
      <c r="Y322" s="16"/>
      <c r="Z322" s="17"/>
      <c r="AA322" s="30"/>
      <c r="AB322" s="15"/>
    </row>
    <row r="323" spans="1:28">
      <c r="A323" s="1868" t="s">
        <v>5247</v>
      </c>
      <c r="B323" s="3770" t="s">
        <v>5223</v>
      </c>
      <c r="C323" s="14"/>
      <c r="D323" s="15"/>
      <c r="E323" s="16"/>
      <c r="F323" s="17"/>
      <c r="G323" s="14"/>
      <c r="H323" s="15"/>
      <c r="I323" s="16"/>
      <c r="J323" s="17"/>
      <c r="K323" s="14"/>
      <c r="L323" s="15"/>
      <c r="M323" s="16"/>
      <c r="N323" s="17"/>
      <c r="O323" s="2769" t="s">
        <v>5248</v>
      </c>
      <c r="P323" s="2823"/>
      <c r="Q323" s="2646"/>
      <c r="R323" s="17"/>
      <c r="S323" s="14"/>
      <c r="T323" s="15"/>
      <c r="U323" s="16"/>
      <c r="V323" s="17"/>
      <c r="W323" s="14"/>
      <c r="X323" s="15"/>
      <c r="Y323" s="16"/>
      <c r="Z323" s="17"/>
      <c r="AA323" s="30"/>
      <c r="AB323" s="15"/>
    </row>
    <row r="324" spans="1:28">
      <c r="A324" s="1868" t="s">
        <v>5249</v>
      </c>
      <c r="B324" s="3770" t="s">
        <v>5223</v>
      </c>
      <c r="C324" s="14"/>
      <c r="D324" s="15"/>
      <c r="E324" s="16"/>
      <c r="F324" s="17"/>
      <c r="G324" s="14"/>
      <c r="H324" s="15"/>
      <c r="I324" s="16"/>
      <c r="J324" s="17"/>
      <c r="K324" s="14"/>
      <c r="L324" s="15"/>
      <c r="M324" s="16"/>
      <c r="N324" s="17"/>
      <c r="O324" s="2823" t="s">
        <v>5250</v>
      </c>
      <c r="P324" s="2823"/>
      <c r="Q324" s="2646"/>
      <c r="R324" s="17"/>
      <c r="S324" s="14"/>
      <c r="T324" s="15"/>
      <c r="U324" s="16"/>
      <c r="V324" s="17"/>
      <c r="W324" s="14"/>
      <c r="X324" s="15"/>
      <c r="Y324" s="16"/>
      <c r="Z324" s="17"/>
      <c r="AA324" s="30"/>
      <c r="AB324" s="15"/>
    </row>
    <row r="325" spans="1:28">
      <c r="A325" s="1868" t="s">
        <v>5247</v>
      </c>
      <c r="B325" s="3770" t="s">
        <v>5223</v>
      </c>
      <c r="C325" s="14"/>
      <c r="D325" s="15"/>
      <c r="E325" s="16"/>
      <c r="F325" s="17"/>
      <c r="G325" s="14"/>
      <c r="H325" s="15"/>
      <c r="I325" s="16"/>
      <c r="J325" s="17"/>
      <c r="K325" s="14"/>
      <c r="L325" s="15"/>
      <c r="M325" s="16"/>
      <c r="N325" s="17"/>
      <c r="O325" s="2823"/>
      <c r="P325" s="2823"/>
      <c r="Q325" s="2646"/>
      <c r="R325" s="17"/>
      <c r="S325" s="14"/>
      <c r="T325" s="15"/>
      <c r="U325" s="16"/>
      <c r="V325" s="17"/>
      <c r="W325" s="14"/>
      <c r="X325" s="15"/>
      <c r="Y325" s="16"/>
      <c r="Z325" s="17"/>
      <c r="AA325" s="30"/>
      <c r="AB325" s="15"/>
    </row>
    <row r="326" spans="1:28">
      <c r="A326" s="1868" t="s">
        <v>5251</v>
      </c>
      <c r="B326" s="3770" t="s">
        <v>5223</v>
      </c>
      <c r="C326" s="14"/>
      <c r="D326" s="15"/>
      <c r="E326" s="16"/>
      <c r="F326" s="17"/>
      <c r="G326" s="14"/>
      <c r="H326" s="15"/>
      <c r="I326" s="16"/>
      <c r="J326" s="17"/>
      <c r="K326" s="14"/>
      <c r="L326" s="15"/>
      <c r="M326" s="16"/>
      <c r="N326" s="17"/>
      <c r="O326" s="2823"/>
      <c r="P326" s="2823"/>
      <c r="Q326" s="2646"/>
      <c r="R326" s="17"/>
      <c r="S326" s="14"/>
      <c r="T326" s="15"/>
      <c r="U326" s="16"/>
      <c r="V326" s="17"/>
      <c r="W326" s="14"/>
      <c r="X326" s="15"/>
      <c r="Y326" s="16"/>
      <c r="Z326" s="17"/>
      <c r="AA326" s="30"/>
      <c r="AB326" s="15"/>
    </row>
    <row r="327" spans="1:28">
      <c r="A327" s="139" t="s">
        <v>5252</v>
      </c>
      <c r="B327" s="1211" t="s">
        <v>5171</v>
      </c>
      <c r="C327" s="14"/>
      <c r="D327" s="15"/>
      <c r="E327" s="16"/>
      <c r="F327" s="17"/>
      <c r="G327" s="14"/>
      <c r="H327" s="15"/>
      <c r="I327" s="16"/>
      <c r="J327" s="17"/>
      <c r="K327" s="14"/>
      <c r="L327" s="15"/>
      <c r="M327" s="16"/>
      <c r="N327" s="17"/>
      <c r="O327" s="2823"/>
      <c r="P327" s="2823"/>
      <c r="Q327" s="2646"/>
      <c r="R327" s="17"/>
      <c r="S327" s="14"/>
      <c r="T327" s="15"/>
      <c r="U327" s="16"/>
      <c r="V327" s="17"/>
      <c r="W327" s="14"/>
      <c r="X327" s="15"/>
      <c r="Y327" s="16"/>
      <c r="Z327" s="17"/>
      <c r="AA327" s="30"/>
      <c r="AB327" s="15"/>
    </row>
    <row r="328" spans="1:28">
      <c r="A328" s="139" t="s">
        <v>5253</v>
      </c>
      <c r="B328" s="1211" t="s">
        <v>5171</v>
      </c>
      <c r="C328" s="14"/>
      <c r="D328" s="15"/>
      <c r="E328" s="16"/>
      <c r="F328" s="17"/>
      <c r="G328" s="14"/>
      <c r="H328" s="15"/>
      <c r="I328" s="16"/>
      <c r="J328" s="17"/>
      <c r="K328" s="14"/>
      <c r="L328" s="15"/>
      <c r="M328" s="16"/>
      <c r="N328" s="17"/>
      <c r="O328" s="2823"/>
      <c r="P328" s="2823"/>
      <c r="Q328" s="2646"/>
      <c r="R328" s="17"/>
      <c r="S328" s="14"/>
      <c r="T328" s="15"/>
      <c r="U328" s="16"/>
      <c r="V328" s="17"/>
      <c r="W328" s="14"/>
      <c r="X328" s="15"/>
      <c r="Y328" s="16"/>
      <c r="Z328" s="17"/>
      <c r="AA328" s="30"/>
      <c r="AB328" s="15"/>
    </row>
    <row r="329" spans="1:28">
      <c r="A329" s="139" t="s">
        <v>5254</v>
      </c>
      <c r="B329" s="1211" t="s">
        <v>5171</v>
      </c>
      <c r="C329" s="14"/>
      <c r="D329" s="15"/>
      <c r="E329" s="16"/>
      <c r="F329" s="17"/>
      <c r="G329" s="14"/>
      <c r="H329" s="15"/>
      <c r="I329" s="16"/>
      <c r="J329" s="17"/>
      <c r="K329" s="14"/>
      <c r="L329" s="15"/>
      <c r="M329" s="16"/>
      <c r="N329" s="17"/>
      <c r="O329" s="2823"/>
      <c r="P329" s="2823"/>
      <c r="Q329" s="2646"/>
      <c r="R329" s="17"/>
      <c r="S329" s="14"/>
      <c r="T329" s="15"/>
      <c r="U329" s="16"/>
      <c r="V329" s="17"/>
      <c r="W329" s="14"/>
      <c r="X329" s="15"/>
      <c r="Y329" s="16"/>
      <c r="Z329" s="17"/>
      <c r="AA329" s="30"/>
      <c r="AB329" s="15"/>
    </row>
    <row r="330" spans="1:28">
      <c r="A330" s="139" t="s">
        <v>5255</v>
      </c>
      <c r="B330" s="1211" t="s">
        <v>5171</v>
      </c>
      <c r="C330" s="14"/>
      <c r="D330" s="15"/>
      <c r="E330" s="16"/>
      <c r="F330" s="17"/>
      <c r="G330" s="14"/>
      <c r="H330" s="15"/>
      <c r="I330" s="16"/>
      <c r="J330" s="17"/>
      <c r="K330" s="14"/>
      <c r="L330" s="15"/>
      <c r="M330" s="16"/>
      <c r="N330" s="17"/>
      <c r="O330" s="2823"/>
      <c r="P330" s="2823"/>
      <c r="Q330" s="2646"/>
      <c r="R330" s="17"/>
      <c r="S330" s="14"/>
      <c r="T330" s="15"/>
      <c r="U330" s="16"/>
      <c r="V330" s="17"/>
      <c r="W330" s="14"/>
      <c r="X330" s="15"/>
      <c r="Y330" s="16"/>
      <c r="Z330" s="17"/>
      <c r="AA330" s="30"/>
      <c r="AB330" s="15"/>
    </row>
    <row r="331" spans="1:28">
      <c r="A331" s="139" t="s">
        <v>5256</v>
      </c>
      <c r="B331" s="1211" t="s">
        <v>5171</v>
      </c>
      <c r="C331" s="14"/>
      <c r="D331" s="15"/>
      <c r="E331" s="16"/>
      <c r="F331" s="17"/>
      <c r="G331" s="14"/>
      <c r="H331" s="15"/>
      <c r="I331" s="16"/>
      <c r="J331" s="17"/>
      <c r="K331" s="14"/>
      <c r="L331" s="15"/>
      <c r="M331" s="16"/>
      <c r="N331" s="17"/>
      <c r="O331" s="2823"/>
      <c r="P331" s="2823"/>
      <c r="Q331" s="2646"/>
      <c r="R331" s="17"/>
      <c r="S331" s="14"/>
      <c r="T331" s="15"/>
      <c r="U331" s="16"/>
      <c r="V331" s="17"/>
      <c r="W331" s="14"/>
      <c r="X331" s="15"/>
      <c r="Y331" s="16"/>
      <c r="Z331" s="17"/>
      <c r="AA331" s="30"/>
      <c r="AB331" s="15"/>
    </row>
    <row r="332" spans="1:28">
      <c r="A332" s="224" t="s">
        <v>5257</v>
      </c>
      <c r="B332" s="1220" t="s">
        <v>5171</v>
      </c>
      <c r="C332" s="14"/>
      <c r="D332" s="15"/>
      <c r="E332" s="16"/>
      <c r="F332" s="17"/>
      <c r="G332" s="14"/>
      <c r="H332" s="15"/>
      <c r="I332" s="16"/>
      <c r="J332" s="17"/>
      <c r="K332" s="14"/>
      <c r="L332" s="15"/>
      <c r="M332" s="16"/>
      <c r="N332" s="17"/>
      <c r="O332" s="2823"/>
      <c r="P332" s="2823"/>
      <c r="Q332" s="2646"/>
      <c r="R332" s="17"/>
      <c r="S332" s="14"/>
      <c r="T332" s="15"/>
      <c r="U332" s="16"/>
      <c r="V332" s="17"/>
      <c r="W332" s="14"/>
      <c r="X332" s="15"/>
      <c r="Y332" s="16"/>
      <c r="Z332" s="17"/>
      <c r="AA332" s="30"/>
      <c r="AB332" s="15"/>
    </row>
    <row r="333" spans="1:28">
      <c r="A333" s="224" t="s">
        <v>5258</v>
      </c>
      <c r="B333" s="1220" t="s">
        <v>5171</v>
      </c>
      <c r="C333" s="14"/>
      <c r="D333" s="15"/>
      <c r="E333" s="16"/>
      <c r="F333" s="17"/>
      <c r="G333" s="14"/>
      <c r="H333" s="15"/>
      <c r="I333" s="16"/>
      <c r="J333" s="17"/>
      <c r="K333" s="14"/>
      <c r="L333" s="15"/>
      <c r="M333" s="16"/>
      <c r="N333" s="17"/>
      <c r="O333" s="2823"/>
      <c r="P333" s="2823"/>
      <c r="Q333" s="2646"/>
      <c r="R333" s="17"/>
      <c r="S333" s="14"/>
      <c r="T333" s="15"/>
      <c r="U333" s="16"/>
      <c r="V333" s="17"/>
      <c r="W333" s="14"/>
      <c r="X333" s="15"/>
      <c r="Y333" s="16"/>
      <c r="Z333" s="17"/>
      <c r="AA333" s="30"/>
      <c r="AB333" s="15"/>
    </row>
    <row r="334" spans="1:28" ht="40.5">
      <c r="A334" s="3" t="s">
        <v>5063</v>
      </c>
      <c r="B334" s="23"/>
      <c r="C334" s="14"/>
      <c r="D334" s="15"/>
      <c r="E334" s="16"/>
      <c r="F334" s="17"/>
      <c r="G334" s="14"/>
      <c r="H334" s="15"/>
      <c r="I334" s="16"/>
      <c r="J334" s="17"/>
      <c r="K334" s="14"/>
      <c r="L334" s="15"/>
      <c r="M334" s="16"/>
      <c r="N334" s="17"/>
      <c r="O334" s="2823"/>
      <c r="P334" s="2823"/>
      <c r="Q334" s="2646"/>
      <c r="R334" s="17"/>
      <c r="S334" s="14"/>
      <c r="T334" s="15"/>
      <c r="U334" s="16"/>
      <c r="V334" s="17"/>
      <c r="W334" s="14"/>
      <c r="X334" s="15"/>
      <c r="Y334" s="16"/>
      <c r="Z334" s="17"/>
      <c r="AA334" s="30"/>
      <c r="AB334" s="15"/>
    </row>
    <row r="335" spans="1:28" ht="40.5" thickBot="1">
      <c r="A335" s="5" t="s">
        <v>5064</v>
      </c>
      <c r="C335" s="14"/>
      <c r="D335" s="15"/>
      <c r="E335" s="16"/>
      <c r="F335" s="17"/>
      <c r="G335" s="14"/>
      <c r="H335" s="15"/>
      <c r="I335" s="16"/>
      <c r="J335" s="17"/>
      <c r="K335" s="14"/>
      <c r="L335" s="15"/>
      <c r="M335" s="16"/>
      <c r="N335" s="17"/>
      <c r="O335" s="2824"/>
      <c r="P335" s="2824"/>
      <c r="Q335" s="2646"/>
      <c r="R335" s="17"/>
      <c r="S335" s="14"/>
      <c r="T335" s="15"/>
      <c r="U335" s="16"/>
      <c r="V335" s="17"/>
      <c r="W335" s="14"/>
      <c r="X335" s="15"/>
      <c r="Y335" s="16"/>
      <c r="Z335" s="17"/>
      <c r="AA335" s="30"/>
      <c r="AB335" s="15"/>
    </row>
    <row r="336" spans="1:28">
      <c r="A336" s="3544" t="s">
        <v>2</v>
      </c>
      <c r="B336" s="3546" t="s">
        <v>3</v>
      </c>
      <c r="C336" s="14"/>
      <c r="D336" s="15"/>
      <c r="E336" s="16"/>
      <c r="F336" s="17"/>
      <c r="G336" s="14"/>
      <c r="H336" s="15"/>
      <c r="I336" s="16"/>
      <c r="J336" s="17"/>
      <c r="K336" s="14"/>
      <c r="L336" s="15"/>
      <c r="M336" s="16"/>
      <c r="N336" s="17"/>
      <c r="O336" s="2825"/>
      <c r="P336" s="2826"/>
      <c r="Q336" s="2645"/>
      <c r="R336" s="1795"/>
      <c r="S336" s="14"/>
      <c r="T336" s="15"/>
      <c r="U336" s="16"/>
      <c r="V336" s="17"/>
      <c r="W336" s="14"/>
      <c r="X336" s="15"/>
      <c r="Y336" s="16"/>
      <c r="Z336" s="17"/>
      <c r="AA336" s="30"/>
      <c r="AB336" s="15"/>
    </row>
    <row r="337" spans="1:28" ht="40.5" thickBot="1">
      <c r="A337" s="3545"/>
      <c r="B337" s="3547"/>
      <c r="C337" s="14"/>
      <c r="D337" s="15"/>
      <c r="E337" s="16"/>
      <c r="F337" s="17"/>
      <c r="G337" s="14"/>
      <c r="H337" s="15"/>
      <c r="I337" s="16"/>
      <c r="J337" s="17"/>
      <c r="K337" s="14"/>
      <c r="L337" s="15"/>
      <c r="M337" s="16"/>
      <c r="N337" s="17"/>
      <c r="O337" s="2825"/>
      <c r="P337" s="2826"/>
      <c r="Q337" s="2649"/>
      <c r="R337" s="2650"/>
      <c r="S337" s="2651"/>
      <c r="T337" s="2648"/>
      <c r="U337" s="16"/>
      <c r="V337" s="17"/>
      <c r="W337" s="14"/>
      <c r="X337" s="15"/>
      <c r="Y337" s="16"/>
      <c r="Z337" s="17"/>
      <c r="AA337" s="30"/>
      <c r="AB337" s="15"/>
    </row>
    <row r="338" spans="1:28" ht="40.5" thickBot="1">
      <c r="A338" s="2283" t="s">
        <v>5259</v>
      </c>
      <c r="B338" s="2284"/>
      <c r="C338" s="6"/>
      <c r="D338" s="32"/>
      <c r="E338" s="7"/>
      <c r="F338" s="40"/>
      <c r="G338" s="6"/>
      <c r="H338" s="32"/>
      <c r="I338" s="7"/>
      <c r="J338" s="40"/>
      <c r="K338" s="6"/>
      <c r="L338" s="32"/>
      <c r="M338" s="7"/>
      <c r="N338" s="40"/>
      <c r="O338" s="2823"/>
      <c r="P338" s="2823"/>
      <c r="Q338" s="2647"/>
      <c r="R338" s="40"/>
      <c r="S338" s="6"/>
      <c r="T338" s="32"/>
      <c r="U338" s="7"/>
      <c r="V338" s="40"/>
      <c r="W338" s="6"/>
      <c r="X338" s="32"/>
      <c r="Y338" s="7"/>
      <c r="Z338" s="40"/>
      <c r="AA338" s="2630"/>
      <c r="AB338" s="2631"/>
    </row>
    <row r="339" spans="1:28">
      <c r="A339" s="2285" t="s">
        <v>5260</v>
      </c>
      <c r="B339" s="2286" t="s">
        <v>5261</v>
      </c>
      <c r="C339" s="14"/>
      <c r="D339" s="15"/>
      <c r="E339" s="16"/>
      <c r="F339" s="17"/>
      <c r="G339" s="14"/>
      <c r="H339" s="15"/>
      <c r="I339" s="16"/>
      <c r="J339" s="17"/>
      <c r="K339" s="14"/>
      <c r="L339" s="15"/>
      <c r="M339" s="16"/>
      <c r="N339" s="17"/>
      <c r="O339" s="2823" t="s">
        <v>5262</v>
      </c>
      <c r="P339" s="2823"/>
      <c r="Q339" s="2646"/>
      <c r="R339" s="17"/>
      <c r="S339" s="14"/>
      <c r="T339" s="15"/>
      <c r="U339" s="16"/>
      <c r="V339" s="17"/>
      <c r="W339" s="14"/>
      <c r="X339" s="15"/>
      <c r="Y339" s="16"/>
      <c r="Z339" s="17"/>
      <c r="AA339" s="30"/>
      <c r="AB339" s="15"/>
    </row>
    <row r="340" spans="1:28">
      <c r="A340" s="2298" t="s">
        <v>5263</v>
      </c>
      <c r="B340" s="2286" t="s">
        <v>5261</v>
      </c>
      <c r="C340" s="14"/>
      <c r="D340" s="15"/>
      <c r="E340" s="16"/>
      <c r="F340" s="17"/>
      <c r="G340" s="14"/>
      <c r="H340" s="15"/>
      <c r="I340" s="16"/>
      <c r="J340" s="17"/>
      <c r="K340" s="14"/>
      <c r="L340" s="15"/>
      <c r="M340" s="16"/>
      <c r="N340" s="17"/>
      <c r="O340" s="2823" t="s">
        <v>5264</v>
      </c>
      <c r="P340" s="2823"/>
      <c r="Q340" s="2646"/>
      <c r="R340" s="17"/>
      <c r="S340" s="14"/>
      <c r="T340" s="15"/>
      <c r="U340" s="16"/>
      <c r="V340" s="17"/>
      <c r="W340" s="14"/>
      <c r="X340" s="15"/>
      <c r="Y340" s="16"/>
      <c r="Z340" s="17"/>
      <c r="AA340" s="30"/>
      <c r="AB340" s="15"/>
    </row>
    <row r="341" spans="1:28">
      <c r="A341" s="2291" t="s">
        <v>5265</v>
      </c>
      <c r="B341" s="341" t="s">
        <v>5266</v>
      </c>
      <c r="C341" s="14"/>
      <c r="D341" s="15"/>
      <c r="E341" s="16"/>
      <c r="F341" s="17"/>
      <c r="G341" s="14"/>
      <c r="H341" s="15"/>
      <c r="I341" s="16"/>
      <c r="J341" s="17"/>
      <c r="K341" s="14"/>
      <c r="L341" s="15"/>
      <c r="M341" s="16"/>
      <c r="N341" s="17"/>
      <c r="O341" s="2839" t="s">
        <v>5266</v>
      </c>
      <c r="P341" s="2830"/>
      <c r="Q341" s="2646"/>
      <c r="R341" s="17"/>
      <c r="S341" s="14"/>
      <c r="T341" s="15"/>
      <c r="U341" s="16"/>
      <c r="V341" s="17"/>
      <c r="W341" s="14"/>
      <c r="X341" s="15"/>
      <c r="Y341" s="16"/>
      <c r="Z341" s="17"/>
      <c r="AA341" s="30"/>
      <c r="AB341" s="15"/>
    </row>
    <row r="342" spans="1:28">
      <c r="A342" s="2287" t="s">
        <v>5267</v>
      </c>
      <c r="B342" s="1372" t="s">
        <v>5268</v>
      </c>
      <c r="C342" s="14"/>
      <c r="D342" s="15"/>
      <c r="E342" s="16"/>
      <c r="F342" s="17"/>
      <c r="G342" s="14"/>
      <c r="H342" s="15"/>
      <c r="I342" s="16"/>
      <c r="J342" s="17"/>
      <c r="K342" s="14"/>
      <c r="L342" s="15"/>
      <c r="M342" s="16"/>
      <c r="N342" s="17"/>
      <c r="O342" s="2823" t="s">
        <v>5269</v>
      </c>
      <c r="P342" s="2823"/>
      <c r="Q342" s="2646"/>
      <c r="R342" s="17"/>
      <c r="S342" s="14"/>
      <c r="T342" s="15"/>
      <c r="U342" s="16"/>
      <c r="V342" s="17"/>
      <c r="W342" s="14"/>
      <c r="X342" s="15"/>
      <c r="Y342" s="16"/>
      <c r="Z342" s="17"/>
      <c r="AA342" s="30"/>
      <c r="AB342" s="15"/>
    </row>
    <row r="343" spans="1:28">
      <c r="A343" s="2287" t="s">
        <v>5270</v>
      </c>
      <c r="B343" s="1372" t="s">
        <v>5271</v>
      </c>
      <c r="C343" s="14"/>
      <c r="D343" s="15"/>
      <c r="E343" s="16"/>
      <c r="F343" s="17"/>
      <c r="G343" s="14"/>
      <c r="H343" s="15"/>
      <c r="I343" s="16"/>
      <c r="J343" s="17"/>
      <c r="K343" s="14"/>
      <c r="L343" s="15"/>
      <c r="M343" s="16"/>
      <c r="N343" s="17"/>
      <c r="O343" s="2823" t="s">
        <v>1905</v>
      </c>
      <c r="P343" s="2823"/>
      <c r="Q343" s="2646"/>
      <c r="R343" s="17"/>
      <c r="S343" s="14"/>
      <c r="T343" s="15"/>
      <c r="U343" s="16"/>
      <c r="V343" s="17"/>
      <c r="W343" s="14"/>
      <c r="X343" s="15"/>
      <c r="Y343" s="16"/>
      <c r="Z343" s="17"/>
      <c r="AA343" s="30"/>
      <c r="AB343" s="15"/>
    </row>
    <row r="344" spans="1:28">
      <c r="A344" s="2285" t="s">
        <v>5272</v>
      </c>
      <c r="B344" s="3771" t="s">
        <v>5273</v>
      </c>
      <c r="C344" s="14"/>
      <c r="D344" s="15"/>
      <c r="E344" s="16"/>
      <c r="F344" s="17"/>
      <c r="G344" s="14"/>
      <c r="H344" s="15"/>
      <c r="I344" s="16"/>
      <c r="J344" s="17"/>
      <c r="K344" s="14"/>
      <c r="L344" s="15"/>
      <c r="M344" s="16"/>
      <c r="N344" s="17"/>
      <c r="O344" s="2823" t="s">
        <v>5274</v>
      </c>
      <c r="P344" s="2823"/>
      <c r="Q344" s="2646"/>
      <c r="R344" s="17"/>
      <c r="S344" s="14"/>
      <c r="T344" s="15"/>
      <c r="U344" s="16"/>
      <c r="V344" s="17"/>
      <c r="W344" s="14"/>
      <c r="X344" s="15"/>
      <c r="Y344" s="16"/>
      <c r="Z344" s="17"/>
      <c r="AA344" s="30"/>
      <c r="AB344" s="15"/>
    </row>
    <row r="345" spans="1:28">
      <c r="A345" s="2285" t="s">
        <v>5272</v>
      </c>
      <c r="B345" s="342" t="s">
        <v>5275</v>
      </c>
      <c r="C345" s="14"/>
      <c r="D345" s="15"/>
      <c r="E345" s="16"/>
      <c r="F345" s="17"/>
      <c r="G345" s="14"/>
      <c r="H345" s="15"/>
      <c r="I345" s="16"/>
      <c r="J345" s="17"/>
      <c r="K345" s="14"/>
      <c r="L345" s="15"/>
      <c r="M345" s="16"/>
      <c r="N345" s="17"/>
      <c r="O345" s="2823" t="s">
        <v>5276</v>
      </c>
      <c r="P345" s="2823"/>
      <c r="Q345" s="2646"/>
      <c r="R345" s="17"/>
      <c r="S345" s="14"/>
      <c r="T345" s="15"/>
      <c r="U345" s="16"/>
      <c r="V345" s="17"/>
      <c r="W345" s="14"/>
      <c r="X345" s="15"/>
      <c r="Y345" s="16"/>
      <c r="Z345" s="17"/>
      <c r="AA345" s="30"/>
      <c r="AB345" s="15"/>
    </row>
    <row r="346" spans="1:28">
      <c r="A346" s="2287" t="s">
        <v>5277</v>
      </c>
      <c r="B346" s="2289" t="s">
        <v>5278</v>
      </c>
      <c r="C346" s="14"/>
      <c r="D346" s="15"/>
      <c r="E346" s="16"/>
      <c r="F346" s="17"/>
      <c r="G346" s="14"/>
      <c r="H346" s="15"/>
      <c r="I346" s="16"/>
      <c r="J346" s="17"/>
      <c r="K346" s="14"/>
      <c r="L346" s="15"/>
      <c r="M346" s="16"/>
      <c r="N346" s="17"/>
      <c r="O346" s="2823" t="s">
        <v>5279</v>
      </c>
      <c r="P346" s="2823"/>
      <c r="Q346" s="2646"/>
      <c r="R346" s="17"/>
      <c r="S346" s="14"/>
      <c r="T346" s="15"/>
      <c r="U346" s="16"/>
      <c r="V346" s="17"/>
      <c r="W346" s="14"/>
      <c r="X346" s="15"/>
      <c r="Y346" s="16"/>
      <c r="Z346" s="17"/>
      <c r="AA346" s="30"/>
      <c r="AB346" s="15"/>
    </row>
    <row r="347" spans="1:28">
      <c r="A347" s="2287" t="s">
        <v>5280</v>
      </c>
      <c r="B347" s="1372" t="s">
        <v>5275</v>
      </c>
      <c r="C347" s="14"/>
      <c r="D347" s="15"/>
      <c r="E347" s="16"/>
      <c r="F347" s="17"/>
      <c r="G347" s="14"/>
      <c r="H347" s="15"/>
      <c r="I347" s="16"/>
      <c r="J347" s="17"/>
      <c r="K347" s="14"/>
      <c r="L347" s="15"/>
      <c r="M347" s="16"/>
      <c r="N347" s="17"/>
      <c r="O347" s="2823" t="s">
        <v>5276</v>
      </c>
      <c r="P347" s="2823"/>
      <c r="Q347" s="2646"/>
      <c r="R347" s="17"/>
      <c r="S347" s="14"/>
      <c r="T347" s="15"/>
      <c r="U347" s="16"/>
      <c r="V347" s="17"/>
      <c r="W347" s="14"/>
      <c r="X347" s="15"/>
      <c r="Y347" s="16"/>
      <c r="Z347" s="17"/>
      <c r="AA347" s="30"/>
      <c r="AB347" s="15"/>
    </row>
    <row r="348" spans="1:28">
      <c r="A348" s="2292" t="s">
        <v>5281</v>
      </c>
      <c r="B348" s="341" t="s">
        <v>5282</v>
      </c>
      <c r="C348" s="14"/>
      <c r="D348" s="15"/>
      <c r="E348" s="16"/>
      <c r="F348" s="17"/>
      <c r="G348" s="14"/>
      <c r="H348" s="15"/>
      <c r="I348" s="16"/>
      <c r="J348" s="17"/>
      <c r="K348" s="14"/>
      <c r="L348" s="15"/>
      <c r="M348" s="16"/>
      <c r="N348" s="17"/>
      <c r="O348" s="2922" t="s">
        <v>5282</v>
      </c>
      <c r="P348" s="2823"/>
      <c r="Q348" s="2646"/>
      <c r="R348" s="17"/>
      <c r="S348" s="14"/>
      <c r="T348" s="15"/>
      <c r="U348" s="16"/>
      <c r="V348" s="17"/>
      <c r="W348" s="14"/>
      <c r="X348" s="15"/>
      <c r="Y348" s="16"/>
      <c r="Z348" s="17"/>
      <c r="AA348" s="30"/>
      <c r="AB348" s="15"/>
    </row>
    <row r="349" spans="1:28">
      <c r="A349" s="2293" t="s">
        <v>5283</v>
      </c>
      <c r="B349" s="2288" t="s">
        <v>5284</v>
      </c>
      <c r="C349" s="14"/>
      <c r="D349" s="15"/>
      <c r="E349" s="16"/>
      <c r="F349" s="17"/>
      <c r="G349" s="14"/>
      <c r="H349" s="15"/>
      <c r="I349" s="16"/>
      <c r="J349" s="17"/>
      <c r="K349" s="14"/>
      <c r="L349" s="15"/>
      <c r="M349" s="16"/>
      <c r="N349" s="17"/>
      <c r="O349" s="2823" t="s">
        <v>5285</v>
      </c>
      <c r="P349" s="2823"/>
      <c r="Q349" s="2646"/>
      <c r="R349" s="17"/>
      <c r="S349" s="14"/>
      <c r="T349" s="15"/>
      <c r="U349" s="16"/>
      <c r="V349" s="17"/>
      <c r="W349" s="14"/>
      <c r="X349" s="15"/>
      <c r="Y349" s="16"/>
      <c r="Z349" s="17"/>
      <c r="AA349" s="30"/>
      <c r="AB349" s="15"/>
    </row>
    <row r="350" spans="1:28">
      <c r="A350" s="2293" t="s">
        <v>5286</v>
      </c>
      <c r="B350" s="2288" t="s">
        <v>5284</v>
      </c>
      <c r="C350" s="14"/>
      <c r="D350" s="15"/>
      <c r="E350" s="16"/>
      <c r="F350" s="17"/>
      <c r="G350" s="14"/>
      <c r="H350" s="15"/>
      <c r="I350" s="16"/>
      <c r="J350" s="17"/>
      <c r="K350" s="14"/>
      <c r="L350" s="15"/>
      <c r="M350" s="16"/>
      <c r="N350" s="17"/>
      <c r="O350" s="2823" t="s">
        <v>5287</v>
      </c>
      <c r="P350" s="2823"/>
      <c r="Q350" s="2646"/>
      <c r="R350" s="17"/>
      <c r="S350" s="14"/>
      <c r="T350" s="15"/>
      <c r="U350" s="16"/>
      <c r="V350" s="17"/>
      <c r="W350" s="14"/>
      <c r="X350" s="15"/>
      <c r="Y350" s="16"/>
      <c r="Z350" s="17"/>
      <c r="AA350" s="30"/>
      <c r="AB350" s="15"/>
    </row>
    <row r="351" spans="1:28">
      <c r="A351" s="2293" t="s">
        <v>5288</v>
      </c>
      <c r="B351" s="2288" t="s">
        <v>5284</v>
      </c>
      <c r="C351" s="14"/>
      <c r="D351" s="15"/>
      <c r="E351" s="16"/>
      <c r="F351" s="17"/>
      <c r="G351" s="14"/>
      <c r="H351" s="15"/>
      <c r="I351" s="16"/>
      <c r="J351" s="17"/>
      <c r="K351" s="14"/>
      <c r="L351" s="15"/>
      <c r="M351" s="16"/>
      <c r="N351" s="17"/>
      <c r="O351" s="2823" t="s">
        <v>5289</v>
      </c>
      <c r="P351" s="2823"/>
      <c r="Q351" s="2646"/>
      <c r="R351" s="17"/>
      <c r="S351" s="14"/>
      <c r="T351" s="15"/>
      <c r="U351" s="16"/>
      <c r="V351" s="17"/>
      <c r="W351" s="14"/>
      <c r="X351" s="15"/>
      <c r="Y351" s="16"/>
      <c r="Z351" s="17"/>
      <c r="AA351" s="30"/>
      <c r="AB351" s="15"/>
    </row>
    <row r="352" spans="1:28" ht="40.5" thickBot="1">
      <c r="A352" s="2293" t="s">
        <v>5290</v>
      </c>
      <c r="B352" s="2288" t="s">
        <v>5284</v>
      </c>
      <c r="C352" s="14"/>
      <c r="D352" s="15"/>
      <c r="E352" s="16"/>
      <c r="F352" s="17"/>
      <c r="G352" s="14"/>
      <c r="H352" s="15"/>
      <c r="I352" s="16"/>
      <c r="J352" s="17"/>
      <c r="K352" s="14"/>
      <c r="L352" s="15"/>
      <c r="M352" s="16"/>
      <c r="N352" s="17"/>
      <c r="O352" s="2823" t="s">
        <v>5291</v>
      </c>
      <c r="P352" s="2823"/>
      <c r="Q352" s="2646"/>
      <c r="R352" s="17"/>
      <c r="S352" s="14"/>
      <c r="T352" s="15"/>
      <c r="U352" s="16"/>
      <c r="V352" s="17"/>
      <c r="W352" s="14"/>
      <c r="X352" s="15"/>
      <c r="Y352" s="16"/>
      <c r="Z352" s="17"/>
      <c r="AA352" s="30"/>
      <c r="AB352" s="15"/>
    </row>
    <row r="353" spans="1:28">
      <c r="A353" s="2294" t="s">
        <v>5292</v>
      </c>
      <c r="B353" s="2295" t="s">
        <v>5293</v>
      </c>
      <c r="C353" s="14"/>
      <c r="D353" s="15"/>
      <c r="E353" s="16"/>
      <c r="F353" s="17"/>
      <c r="G353" s="14"/>
      <c r="H353" s="15"/>
      <c r="I353" s="16"/>
      <c r="J353" s="17"/>
      <c r="K353" s="14"/>
      <c r="L353" s="15"/>
      <c r="M353" s="16"/>
      <c r="N353" s="17"/>
      <c r="O353" s="2920" t="s">
        <v>5294</v>
      </c>
      <c r="P353" s="2921"/>
      <c r="Q353" s="2645"/>
      <c r="R353" s="1795"/>
      <c r="S353" s="14"/>
      <c r="T353" s="15"/>
      <c r="U353" s="16"/>
      <c r="V353" s="17"/>
      <c r="W353" s="14"/>
      <c r="X353" s="15"/>
      <c r="Y353" s="16"/>
      <c r="Z353" s="17"/>
      <c r="AA353" s="30"/>
      <c r="AB353" s="15"/>
    </row>
    <row r="354" spans="1:28">
      <c r="A354" s="925" t="s">
        <v>5295</v>
      </c>
      <c r="B354" s="341" t="s">
        <v>5296</v>
      </c>
      <c r="C354" s="14"/>
      <c r="D354" s="15"/>
      <c r="E354" s="16"/>
      <c r="F354" s="17"/>
      <c r="G354" s="14"/>
      <c r="H354" s="15"/>
      <c r="I354" s="16"/>
      <c r="J354" s="17"/>
      <c r="K354" s="14"/>
      <c r="L354" s="15"/>
      <c r="M354" s="16"/>
      <c r="N354" s="17"/>
      <c r="O354" s="2922" t="s">
        <v>5296</v>
      </c>
      <c r="P354" s="2826"/>
      <c r="Q354" s="2649"/>
      <c r="R354" s="2650"/>
      <c r="S354" s="2651"/>
      <c r="T354" s="2648"/>
      <c r="U354" s="16"/>
      <c r="V354" s="17"/>
      <c r="W354" s="14"/>
      <c r="X354" s="15"/>
      <c r="Y354" s="16"/>
      <c r="Z354" s="17"/>
      <c r="AA354" s="30"/>
      <c r="AB354" s="15"/>
    </row>
    <row r="355" spans="1:28" ht="40.5" thickBot="1">
      <c r="A355" s="925" t="s">
        <v>5297</v>
      </c>
      <c r="B355" s="341" t="s">
        <v>5296</v>
      </c>
      <c r="C355" s="6"/>
      <c r="D355" s="32"/>
      <c r="E355" s="7"/>
      <c r="F355" s="40"/>
      <c r="G355" s="6"/>
      <c r="H355" s="32"/>
      <c r="I355" s="7"/>
      <c r="J355" s="40"/>
      <c r="K355" s="6"/>
      <c r="L355" s="32"/>
      <c r="M355" s="7"/>
      <c r="N355" s="40"/>
      <c r="O355" s="2922" t="s">
        <v>5296</v>
      </c>
      <c r="P355" s="2823"/>
      <c r="Q355" s="2647"/>
      <c r="R355" s="40"/>
      <c r="S355" s="6"/>
      <c r="T355" s="32"/>
      <c r="U355" s="7"/>
      <c r="V355" s="40"/>
      <c r="W355" s="6"/>
      <c r="X355" s="32"/>
      <c r="Y355" s="7"/>
      <c r="Z355" s="40"/>
      <c r="AA355" s="2630"/>
      <c r="AB355" s="2631"/>
    </row>
    <row r="356" spans="1:28" ht="40.5" thickBot="1">
      <c r="A356" s="925" t="s">
        <v>5298</v>
      </c>
      <c r="B356" s="341" t="s">
        <v>5299</v>
      </c>
      <c r="C356" s="6"/>
      <c r="D356" s="32"/>
      <c r="E356" s="7"/>
      <c r="F356" s="40"/>
      <c r="G356" s="6"/>
      <c r="H356" s="32"/>
      <c r="I356" s="7"/>
      <c r="J356" s="40"/>
      <c r="K356" s="6"/>
      <c r="L356" s="32"/>
      <c r="M356" s="7"/>
      <c r="N356" s="40"/>
      <c r="O356" s="2922" t="s">
        <v>5299</v>
      </c>
      <c r="P356" s="2906"/>
      <c r="Q356" s="7"/>
      <c r="R356" s="40"/>
      <c r="S356" s="6"/>
      <c r="T356" s="32"/>
      <c r="U356" s="7"/>
      <c r="V356" s="40"/>
      <c r="W356" s="6"/>
      <c r="X356" s="32"/>
      <c r="Y356" s="7"/>
      <c r="Z356" s="32"/>
      <c r="AA356" s="31"/>
      <c r="AB356" s="32"/>
    </row>
    <row r="357" spans="1:28" ht="40.5">
      <c r="A357" s="3" t="s">
        <v>5063</v>
      </c>
      <c r="B357" s="23"/>
      <c r="C357" s="3"/>
      <c r="D357" s="3"/>
      <c r="E357" s="3"/>
      <c r="F357" s="3"/>
      <c r="G357" s="3"/>
      <c r="H357" s="3"/>
      <c r="I357" s="3"/>
      <c r="J357" s="3"/>
      <c r="K357" s="3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B357" s="4"/>
    </row>
    <row r="358" spans="1:28" ht="40.5" thickBot="1">
      <c r="A358" s="5" t="s">
        <v>5064</v>
      </c>
    </row>
    <row r="359" spans="1:28">
      <c r="A359" s="3544" t="s">
        <v>2</v>
      </c>
      <c r="B359" s="3546" t="s">
        <v>3</v>
      </c>
      <c r="C359" s="3537" t="s">
        <v>5065</v>
      </c>
      <c r="D359" s="3538"/>
      <c r="E359" s="3536" t="s">
        <v>5066</v>
      </c>
      <c r="F359" s="3536"/>
      <c r="G359" s="3537" t="s">
        <v>5067</v>
      </c>
      <c r="H359" s="3538"/>
      <c r="I359" s="3536" t="s">
        <v>5068</v>
      </c>
      <c r="J359" s="3536"/>
      <c r="K359" s="3537" t="s">
        <v>5069</v>
      </c>
      <c r="L359" s="3538"/>
      <c r="M359" s="3536" t="s">
        <v>5070</v>
      </c>
      <c r="N359" s="3536"/>
      <c r="O359" s="3542"/>
      <c r="P359" s="3542"/>
      <c r="Q359" s="3536" t="s">
        <v>5071</v>
      </c>
      <c r="R359" s="3536"/>
      <c r="S359" s="3536" t="s">
        <v>5072</v>
      </c>
      <c r="T359" s="3536"/>
      <c r="U359" s="3472" t="s">
        <v>5073</v>
      </c>
      <c r="V359" s="3473"/>
      <c r="W359" s="3536" t="s">
        <v>5074</v>
      </c>
      <c r="X359" s="3536"/>
      <c r="Y359" s="3472" t="s">
        <v>5075</v>
      </c>
      <c r="Z359" s="3475"/>
      <c r="AA359" s="3537" t="s">
        <v>5076</v>
      </c>
      <c r="AB359" s="3538"/>
    </row>
    <row r="360" spans="1:28" ht="40.5" thickBot="1">
      <c r="A360" s="3545"/>
      <c r="B360" s="3547"/>
      <c r="C360" s="1" t="s">
        <v>5078</v>
      </c>
      <c r="D360" s="35" t="s">
        <v>5079</v>
      </c>
      <c r="E360" s="2" t="s">
        <v>5078</v>
      </c>
      <c r="F360" s="36" t="s">
        <v>5079</v>
      </c>
      <c r="G360" s="1" t="s">
        <v>5078</v>
      </c>
      <c r="H360" s="35" t="s">
        <v>5079</v>
      </c>
      <c r="I360" s="2" t="s">
        <v>5078</v>
      </c>
      <c r="J360" s="36" t="s">
        <v>5079</v>
      </c>
      <c r="K360" s="1" t="s">
        <v>5078</v>
      </c>
      <c r="L360" s="35" t="s">
        <v>5079</v>
      </c>
      <c r="M360" s="2" t="s">
        <v>5078</v>
      </c>
      <c r="N360" s="36" t="s">
        <v>5079</v>
      </c>
      <c r="O360" s="2769"/>
      <c r="P360" s="2820"/>
      <c r="Q360" s="2" t="s">
        <v>5078</v>
      </c>
      <c r="R360" s="36" t="s">
        <v>5079</v>
      </c>
      <c r="S360" s="1" t="s">
        <v>5078</v>
      </c>
      <c r="T360" s="35" t="s">
        <v>5079</v>
      </c>
      <c r="U360" s="2" t="s">
        <v>5078</v>
      </c>
      <c r="V360" s="36" t="s">
        <v>5079</v>
      </c>
      <c r="W360" s="1" t="s">
        <v>5078</v>
      </c>
      <c r="X360" s="35" t="s">
        <v>5079</v>
      </c>
      <c r="Y360" s="2" t="s">
        <v>5078</v>
      </c>
      <c r="Z360" s="36" t="s">
        <v>5079</v>
      </c>
      <c r="AA360" s="1" t="s">
        <v>5078</v>
      </c>
      <c r="AB360" s="35" t="s">
        <v>5079</v>
      </c>
    </row>
    <row r="361" spans="1:28">
      <c r="A361" s="253" t="s">
        <v>5300</v>
      </c>
      <c r="B361" s="222"/>
      <c r="C361" s="9"/>
      <c r="D361" s="10"/>
      <c r="E361" s="11"/>
      <c r="F361" s="12"/>
      <c r="G361" s="9"/>
      <c r="H361" s="10"/>
      <c r="I361" s="11"/>
      <c r="J361" s="12"/>
      <c r="K361" s="9"/>
      <c r="L361" s="10"/>
      <c r="M361" s="11"/>
      <c r="N361" s="12"/>
      <c r="O361" s="2769" t="s">
        <v>5301</v>
      </c>
      <c r="P361" s="2822"/>
      <c r="Q361" s="11"/>
      <c r="R361" s="12"/>
      <c r="S361" s="9"/>
      <c r="T361" s="10"/>
      <c r="U361" s="11"/>
      <c r="V361" s="12"/>
      <c r="W361" s="9"/>
      <c r="X361" s="10"/>
      <c r="Y361" s="11"/>
      <c r="Z361" s="12"/>
      <c r="AA361" s="33"/>
      <c r="AB361" s="10"/>
    </row>
    <row r="362" spans="1:28">
      <c r="A362" s="253" t="s">
        <v>5302</v>
      </c>
      <c r="B362" s="222"/>
      <c r="C362" s="14"/>
      <c r="D362" s="15"/>
      <c r="E362" s="16"/>
      <c r="F362" s="17"/>
      <c r="G362" s="14"/>
      <c r="H362" s="15"/>
      <c r="I362" s="16"/>
      <c r="J362" s="17"/>
      <c r="K362" s="14"/>
      <c r="L362" s="15"/>
      <c r="M362" s="16"/>
      <c r="N362" s="17"/>
      <c r="O362" s="2823"/>
      <c r="P362" s="2823"/>
      <c r="Q362" s="2646"/>
      <c r="R362" s="17"/>
      <c r="S362" s="14"/>
      <c r="T362" s="15"/>
      <c r="U362" s="16"/>
      <c r="V362" s="17"/>
      <c r="W362" s="14"/>
      <c r="X362" s="15"/>
      <c r="Y362" s="16"/>
      <c r="Z362" s="17"/>
      <c r="AA362" s="30"/>
      <c r="AB362" s="15"/>
    </row>
    <row r="363" spans="1:28">
      <c r="A363" s="253" t="s">
        <v>5302</v>
      </c>
      <c r="B363" s="2296" t="s">
        <v>5303</v>
      </c>
      <c r="C363" s="14"/>
      <c r="D363" s="15"/>
      <c r="E363" s="16"/>
      <c r="F363" s="17"/>
      <c r="G363" s="14"/>
      <c r="H363" s="15"/>
      <c r="I363" s="16"/>
      <c r="J363" s="17"/>
      <c r="K363" s="14"/>
      <c r="L363" s="15"/>
      <c r="M363" s="16"/>
      <c r="N363" s="17"/>
      <c r="O363" s="2923" t="s">
        <v>5304</v>
      </c>
      <c r="P363" s="2823"/>
      <c r="Q363" s="2646"/>
      <c r="R363" s="17"/>
      <c r="S363" s="14"/>
      <c r="T363" s="15"/>
      <c r="U363" s="16"/>
      <c r="V363" s="17"/>
      <c r="W363" s="14"/>
      <c r="X363" s="15"/>
      <c r="Y363" s="16"/>
      <c r="Z363" s="17"/>
      <c r="AA363" s="30"/>
      <c r="AB363" s="15"/>
    </row>
    <row r="364" spans="1:28">
      <c r="A364" s="224" t="s">
        <v>5305</v>
      </c>
      <c r="B364" s="320" t="s">
        <v>5306</v>
      </c>
      <c r="C364" s="14"/>
      <c r="D364" s="15"/>
      <c r="E364" s="16"/>
      <c r="F364" s="17"/>
      <c r="G364" s="14"/>
      <c r="H364" s="15"/>
      <c r="I364" s="16"/>
      <c r="J364" s="17"/>
      <c r="K364" s="14"/>
      <c r="L364" s="15"/>
      <c r="M364" s="16"/>
      <c r="N364" s="17"/>
      <c r="O364" s="2756" t="s">
        <v>5306</v>
      </c>
      <c r="P364" s="2823"/>
      <c r="Q364" s="2646"/>
      <c r="R364" s="17"/>
      <c r="S364" s="14"/>
      <c r="T364" s="15"/>
      <c r="U364" s="16"/>
      <c r="V364" s="17"/>
      <c r="W364" s="14"/>
      <c r="X364" s="15"/>
      <c r="Y364" s="16"/>
      <c r="Z364" s="17"/>
      <c r="AA364" s="30"/>
      <c r="AB364" s="15"/>
    </row>
    <row r="365" spans="1:28">
      <c r="A365" s="224" t="s">
        <v>5307</v>
      </c>
      <c r="B365" s="320" t="s">
        <v>5308</v>
      </c>
      <c r="C365" s="14"/>
      <c r="D365" s="15"/>
      <c r="E365" s="16"/>
      <c r="F365" s="17"/>
      <c r="G365" s="14"/>
      <c r="H365" s="15"/>
      <c r="I365" s="16"/>
      <c r="J365" s="17"/>
      <c r="K365" s="14"/>
      <c r="L365" s="15"/>
      <c r="M365" s="16"/>
      <c r="N365" s="17"/>
      <c r="O365" s="2756" t="s">
        <v>5308</v>
      </c>
      <c r="P365" s="2823"/>
      <c r="Q365" s="2646"/>
      <c r="R365" s="17"/>
      <c r="S365" s="14"/>
      <c r="T365" s="15"/>
      <c r="U365" s="16"/>
      <c r="V365" s="17"/>
      <c r="W365" s="14"/>
      <c r="X365" s="15"/>
      <c r="Y365" s="16"/>
      <c r="Z365" s="17"/>
      <c r="AA365" s="30"/>
      <c r="AB365" s="15"/>
    </row>
    <row r="366" spans="1:28">
      <c r="A366" s="224" t="s">
        <v>5307</v>
      </c>
      <c r="B366" s="320" t="s">
        <v>5309</v>
      </c>
      <c r="C366" s="14"/>
      <c r="D366" s="15"/>
      <c r="E366" s="16"/>
      <c r="F366" s="17"/>
      <c r="G366" s="14"/>
      <c r="H366" s="15"/>
      <c r="I366" s="16"/>
      <c r="J366" s="17"/>
      <c r="K366" s="14"/>
      <c r="L366" s="15"/>
      <c r="M366" s="16"/>
      <c r="N366" s="17"/>
      <c r="O366" s="2756" t="s">
        <v>5309</v>
      </c>
      <c r="P366" s="2823"/>
      <c r="Q366" s="2646"/>
      <c r="R366" s="17"/>
      <c r="S366" s="14"/>
      <c r="T366" s="15"/>
      <c r="U366" s="16"/>
      <c r="V366" s="17"/>
      <c r="W366" s="14"/>
      <c r="X366" s="15"/>
      <c r="Y366" s="16"/>
      <c r="Z366" s="17"/>
      <c r="AA366" s="30"/>
      <c r="AB366" s="15"/>
    </row>
    <row r="367" spans="1:28">
      <c r="A367" s="224" t="s">
        <v>5307</v>
      </c>
      <c r="B367" s="320" t="s">
        <v>5310</v>
      </c>
      <c r="C367" s="14"/>
      <c r="D367" s="15"/>
      <c r="E367" s="16"/>
      <c r="F367" s="17"/>
      <c r="G367" s="14"/>
      <c r="H367" s="15"/>
      <c r="I367" s="16"/>
      <c r="J367" s="17"/>
      <c r="K367" s="14"/>
      <c r="L367" s="15"/>
      <c r="M367" s="16"/>
      <c r="N367" s="17"/>
      <c r="O367" s="2756" t="s">
        <v>5310</v>
      </c>
      <c r="P367" s="2823"/>
      <c r="Q367" s="2646"/>
      <c r="R367" s="17"/>
      <c r="S367" s="14"/>
      <c r="T367" s="15"/>
      <c r="U367" s="16"/>
      <c r="V367" s="17"/>
      <c r="W367" s="14"/>
      <c r="X367" s="15"/>
      <c r="Y367" s="16"/>
      <c r="Z367" s="17"/>
      <c r="AA367" s="30"/>
      <c r="AB367" s="15"/>
    </row>
    <row r="368" spans="1:28">
      <c r="A368" s="224" t="s">
        <v>5307</v>
      </c>
      <c r="B368" s="320" t="s">
        <v>5311</v>
      </c>
      <c r="C368" s="14"/>
      <c r="D368" s="15"/>
      <c r="E368" s="16"/>
      <c r="F368" s="17"/>
      <c r="G368" s="14"/>
      <c r="H368" s="15"/>
      <c r="I368" s="16"/>
      <c r="J368" s="17"/>
      <c r="K368" s="14"/>
      <c r="L368" s="15"/>
      <c r="M368" s="16"/>
      <c r="N368" s="17"/>
      <c r="O368" s="2756" t="s">
        <v>5311</v>
      </c>
      <c r="P368" s="2823"/>
      <c r="Q368" s="2646"/>
      <c r="R368" s="17"/>
      <c r="S368" s="14"/>
      <c r="T368" s="15"/>
      <c r="U368" s="16"/>
      <c r="V368" s="17"/>
      <c r="W368" s="14"/>
      <c r="X368" s="15"/>
      <c r="Y368" s="16"/>
      <c r="Z368" s="17"/>
      <c r="AA368" s="30"/>
      <c r="AB368" s="15"/>
    </row>
    <row r="369" spans="1:28">
      <c r="A369" s="224" t="s">
        <v>5307</v>
      </c>
      <c r="B369" s="320" t="s">
        <v>5312</v>
      </c>
      <c r="C369" s="14"/>
      <c r="D369" s="15"/>
      <c r="E369" s="16"/>
      <c r="F369" s="17"/>
      <c r="G369" s="14"/>
      <c r="H369" s="15"/>
      <c r="I369" s="16"/>
      <c r="J369" s="17"/>
      <c r="K369" s="14"/>
      <c r="L369" s="15"/>
      <c r="M369" s="16"/>
      <c r="N369" s="17"/>
      <c r="O369" s="2756" t="s">
        <v>5312</v>
      </c>
      <c r="P369" s="2823"/>
      <c r="Q369" s="2646"/>
      <c r="R369" s="17"/>
      <c r="S369" s="14"/>
      <c r="T369" s="15"/>
      <c r="U369" s="16"/>
      <c r="V369" s="17"/>
      <c r="W369" s="14"/>
      <c r="X369" s="15"/>
      <c r="Y369" s="16"/>
      <c r="Z369" s="17"/>
      <c r="AA369" s="30"/>
      <c r="AB369" s="15"/>
    </row>
    <row r="370" spans="1:28">
      <c r="A370" s="224" t="s">
        <v>5307</v>
      </c>
      <c r="B370" s="320" t="s">
        <v>5313</v>
      </c>
      <c r="C370" s="14"/>
      <c r="D370" s="15"/>
      <c r="E370" s="16"/>
      <c r="F370" s="17"/>
      <c r="G370" s="14"/>
      <c r="H370" s="15"/>
      <c r="I370" s="16"/>
      <c r="J370" s="17"/>
      <c r="K370" s="14"/>
      <c r="L370" s="15"/>
      <c r="M370" s="16"/>
      <c r="N370" s="17"/>
      <c r="O370" s="2756" t="s">
        <v>5313</v>
      </c>
      <c r="P370" s="2823"/>
      <c r="Q370" s="2646"/>
      <c r="R370" s="17"/>
      <c r="S370" s="14"/>
      <c r="T370" s="15"/>
      <c r="U370" s="16"/>
      <c r="V370" s="17"/>
      <c r="W370" s="14"/>
      <c r="X370" s="15"/>
      <c r="Y370" s="16"/>
      <c r="Z370" s="17"/>
      <c r="AA370" s="30"/>
      <c r="AB370" s="15"/>
    </row>
    <row r="371" spans="1:28">
      <c r="A371" s="224" t="s">
        <v>5307</v>
      </c>
      <c r="B371" s="320" t="s">
        <v>5314</v>
      </c>
      <c r="C371" s="14"/>
      <c r="D371" s="15"/>
      <c r="E371" s="16"/>
      <c r="F371" s="17"/>
      <c r="G371" s="14"/>
      <c r="H371" s="15"/>
      <c r="I371" s="16"/>
      <c r="J371" s="17"/>
      <c r="K371" s="14"/>
      <c r="L371" s="15"/>
      <c r="M371" s="16"/>
      <c r="N371" s="17"/>
      <c r="O371" s="2756" t="s">
        <v>5315</v>
      </c>
      <c r="P371" s="2823"/>
      <c r="Q371" s="2646"/>
      <c r="R371" s="17"/>
      <c r="S371" s="14"/>
      <c r="T371" s="15"/>
      <c r="U371" s="16"/>
      <c r="V371" s="17"/>
      <c r="W371" s="14"/>
      <c r="X371" s="15"/>
      <c r="Y371" s="16"/>
      <c r="Z371" s="17"/>
      <c r="AA371" s="30"/>
      <c r="AB371" s="15"/>
    </row>
    <row r="372" spans="1:28">
      <c r="A372" s="224" t="s">
        <v>5307</v>
      </c>
      <c r="B372" s="320" t="s">
        <v>5316</v>
      </c>
      <c r="C372" s="14"/>
      <c r="D372" s="15"/>
      <c r="E372" s="16"/>
      <c r="F372" s="17"/>
      <c r="G372" s="14"/>
      <c r="H372" s="15"/>
      <c r="I372" s="16"/>
      <c r="J372" s="17"/>
      <c r="K372" s="14"/>
      <c r="L372" s="15"/>
      <c r="M372" s="16"/>
      <c r="N372" s="17"/>
      <c r="O372" s="2756" t="s">
        <v>5316</v>
      </c>
      <c r="P372" s="2823"/>
      <c r="Q372" s="2646"/>
      <c r="R372" s="17"/>
      <c r="S372" s="14"/>
      <c r="T372" s="15"/>
      <c r="U372" s="16"/>
      <c r="V372" s="17"/>
      <c r="W372" s="14"/>
      <c r="X372" s="15"/>
      <c r="Y372" s="16"/>
      <c r="Z372" s="17"/>
      <c r="AA372" s="30"/>
      <c r="AB372" s="15"/>
    </row>
    <row r="373" spans="1:28">
      <c r="A373" s="224" t="s">
        <v>5307</v>
      </c>
      <c r="B373" s="320" t="s">
        <v>5317</v>
      </c>
      <c r="C373" s="14"/>
      <c r="D373" s="15"/>
      <c r="E373" s="16"/>
      <c r="F373" s="17"/>
      <c r="G373" s="14"/>
      <c r="H373" s="15"/>
      <c r="I373" s="16"/>
      <c r="J373" s="17"/>
      <c r="K373" s="14"/>
      <c r="L373" s="15"/>
      <c r="M373" s="16"/>
      <c r="N373" s="17"/>
      <c r="O373" s="2756" t="s">
        <v>5317</v>
      </c>
      <c r="P373" s="2823"/>
      <c r="Q373" s="2646"/>
      <c r="R373" s="17"/>
      <c r="S373" s="14"/>
      <c r="T373" s="15"/>
      <c r="U373" s="16"/>
      <c r="V373" s="17"/>
      <c r="W373" s="14"/>
      <c r="X373" s="15"/>
      <c r="Y373" s="16"/>
      <c r="Z373" s="17"/>
      <c r="AA373" s="30"/>
      <c r="AB373" s="15"/>
    </row>
    <row r="374" spans="1:28">
      <c r="A374" s="43" t="s">
        <v>5318</v>
      </c>
      <c r="B374" s="320" t="s">
        <v>5319</v>
      </c>
      <c r="C374" s="14"/>
      <c r="D374" s="15"/>
      <c r="E374" s="16"/>
      <c r="F374" s="17"/>
      <c r="G374" s="14"/>
      <c r="H374" s="15"/>
      <c r="I374" s="16"/>
      <c r="J374" s="17"/>
      <c r="K374" s="14"/>
      <c r="L374" s="15"/>
      <c r="M374" s="16"/>
      <c r="N374" s="17"/>
      <c r="O374" s="2839" t="s">
        <v>5320</v>
      </c>
      <c r="P374" s="2756" t="s">
        <v>5319</v>
      </c>
      <c r="Q374" s="2646"/>
      <c r="R374" s="17"/>
      <c r="S374" s="14"/>
      <c r="T374" s="15"/>
      <c r="U374" s="16"/>
      <c r="V374" s="17"/>
      <c r="W374" s="14"/>
      <c r="X374" s="15"/>
      <c r="Y374" s="16"/>
      <c r="Z374" s="17"/>
      <c r="AA374" s="30"/>
      <c r="AB374" s="15"/>
    </row>
    <row r="375" spans="1:28">
      <c r="A375" s="224" t="s">
        <v>5307</v>
      </c>
      <c r="B375" s="320" t="s">
        <v>5321</v>
      </c>
      <c r="C375" s="14"/>
      <c r="D375" s="15"/>
      <c r="E375" s="16"/>
      <c r="F375" s="17"/>
      <c r="G375" s="14"/>
      <c r="H375" s="15"/>
      <c r="I375" s="16"/>
      <c r="J375" s="17"/>
      <c r="K375" s="14"/>
      <c r="L375" s="15"/>
      <c r="M375" s="16"/>
      <c r="N375" s="17"/>
      <c r="O375" s="2756" t="s">
        <v>5321</v>
      </c>
      <c r="P375" s="2823"/>
      <c r="Q375" s="2646"/>
      <c r="R375" s="17"/>
      <c r="S375" s="14"/>
      <c r="T375" s="15"/>
      <c r="U375" s="16"/>
      <c r="V375" s="17"/>
      <c r="W375" s="14"/>
      <c r="X375" s="15"/>
      <c r="Y375" s="16"/>
      <c r="Z375" s="17"/>
      <c r="AA375" s="30"/>
      <c r="AB375" s="15"/>
    </row>
    <row r="376" spans="1:28">
      <c r="A376" s="224" t="s">
        <v>5307</v>
      </c>
      <c r="B376" s="320" t="s">
        <v>5322</v>
      </c>
      <c r="C376" s="14"/>
      <c r="D376" s="15"/>
      <c r="E376" s="16"/>
      <c r="F376" s="17"/>
      <c r="G376" s="14"/>
      <c r="H376" s="15"/>
      <c r="I376" s="16"/>
      <c r="J376" s="17"/>
      <c r="K376" s="14"/>
      <c r="L376" s="15"/>
      <c r="M376" s="16"/>
      <c r="N376" s="17"/>
      <c r="O376" s="2756" t="s">
        <v>5322</v>
      </c>
      <c r="P376" s="2823"/>
      <c r="Q376" s="2645"/>
      <c r="R376" s="1795"/>
      <c r="S376" s="14"/>
      <c r="T376" s="15"/>
      <c r="U376" s="16"/>
      <c r="V376" s="17"/>
      <c r="W376" s="14"/>
      <c r="X376" s="15"/>
      <c r="Y376" s="16"/>
      <c r="Z376" s="17"/>
      <c r="AA376" s="30"/>
      <c r="AB376" s="15"/>
    </row>
    <row r="377" spans="1:28">
      <c r="A377" s="224" t="s">
        <v>5307</v>
      </c>
      <c r="B377" s="320" t="s">
        <v>5323</v>
      </c>
      <c r="C377" s="14"/>
      <c r="D377" s="15"/>
      <c r="E377" s="16"/>
      <c r="F377" s="17"/>
      <c r="G377" s="14"/>
      <c r="H377" s="15"/>
      <c r="I377" s="16"/>
      <c r="J377" s="17"/>
      <c r="K377" s="14"/>
      <c r="L377" s="15"/>
      <c r="M377" s="16"/>
      <c r="N377" s="17"/>
      <c r="O377" s="2756" t="s">
        <v>5323</v>
      </c>
      <c r="P377" s="2823"/>
      <c r="Q377" s="2649"/>
      <c r="R377" s="2650"/>
      <c r="S377" s="2651"/>
      <c r="T377" s="2648"/>
      <c r="U377" s="16"/>
      <c r="V377" s="17"/>
      <c r="W377" s="14"/>
      <c r="X377" s="15"/>
      <c r="Y377" s="16"/>
      <c r="Z377" s="17"/>
      <c r="AA377" s="30"/>
      <c r="AB377" s="15"/>
    </row>
    <row r="378" spans="1:28" ht="40.5" thickBot="1">
      <c r="A378" s="43" t="s">
        <v>5324</v>
      </c>
      <c r="B378" s="101" t="s">
        <v>1876</v>
      </c>
      <c r="C378" s="14"/>
      <c r="D378" s="15"/>
      <c r="E378" s="16"/>
      <c r="F378" s="17"/>
      <c r="G378" s="14"/>
      <c r="H378" s="15"/>
      <c r="I378" s="16"/>
      <c r="J378" s="17"/>
      <c r="K378" s="14"/>
      <c r="L378" s="15"/>
      <c r="M378" s="16"/>
      <c r="N378" s="17"/>
      <c r="O378" s="2823" t="s">
        <v>5325</v>
      </c>
      <c r="P378" s="2823"/>
      <c r="Q378" s="2647"/>
      <c r="R378" s="40"/>
      <c r="S378" s="6"/>
      <c r="T378" s="32"/>
      <c r="U378" s="7"/>
      <c r="V378" s="40"/>
      <c r="W378" s="6"/>
      <c r="X378" s="32"/>
      <c r="Y378" s="7"/>
      <c r="Z378" s="40"/>
      <c r="AA378" s="2630"/>
      <c r="AB378" s="2631"/>
    </row>
    <row r="379" spans="1:28" ht="40.5" thickBot="1">
      <c r="A379" s="43" t="s">
        <v>5326</v>
      </c>
      <c r="B379" s="101" t="s">
        <v>1876</v>
      </c>
      <c r="C379" s="14"/>
      <c r="D379" s="15"/>
      <c r="E379" s="16"/>
      <c r="F379" s="17"/>
      <c r="G379" s="14"/>
      <c r="H379" s="15"/>
      <c r="I379" s="16"/>
      <c r="J379" s="17"/>
      <c r="K379" s="14"/>
      <c r="L379" s="15"/>
      <c r="M379" s="16"/>
      <c r="N379" s="17"/>
      <c r="O379" s="2823" t="s">
        <v>5327</v>
      </c>
      <c r="P379" s="2823"/>
      <c r="Q379" s="7"/>
      <c r="R379" s="40"/>
      <c r="S379" s="6"/>
      <c r="T379" s="32"/>
      <c r="U379" s="7"/>
      <c r="V379" s="40"/>
      <c r="W379" s="6"/>
      <c r="X379" s="32"/>
      <c r="Y379" s="7"/>
      <c r="Z379" s="32"/>
      <c r="AA379" s="31"/>
      <c r="AB379" s="32"/>
    </row>
    <row r="380" spans="1:28" ht="40.5">
      <c r="A380" s="3" t="s">
        <v>5063</v>
      </c>
      <c r="B380" s="23"/>
      <c r="C380" s="3"/>
      <c r="D380" s="3"/>
      <c r="E380" s="3"/>
      <c r="F380" s="3"/>
      <c r="G380" s="3"/>
      <c r="H380" s="3"/>
      <c r="I380" s="3"/>
      <c r="J380" s="3"/>
      <c r="K380" s="3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B380" s="4"/>
    </row>
    <row r="381" spans="1:28" ht="40.5" thickBot="1">
      <c r="A381" s="5" t="s">
        <v>5328</v>
      </c>
    </row>
    <row r="382" spans="1:28">
      <c r="A382" s="3544" t="s">
        <v>2</v>
      </c>
      <c r="B382" s="3546" t="s">
        <v>3</v>
      </c>
      <c r="C382" s="3537" t="s">
        <v>5065</v>
      </c>
      <c r="D382" s="3538"/>
      <c r="E382" s="3536" t="s">
        <v>5066</v>
      </c>
      <c r="F382" s="3536"/>
      <c r="G382" s="3537" t="s">
        <v>5067</v>
      </c>
      <c r="H382" s="3538"/>
      <c r="I382" s="3536" t="s">
        <v>5068</v>
      </c>
      <c r="J382" s="3536"/>
      <c r="K382" s="3537" t="s">
        <v>5069</v>
      </c>
      <c r="L382" s="3538"/>
      <c r="M382" s="3537" t="s">
        <v>5070</v>
      </c>
      <c r="N382" s="3538"/>
      <c r="O382" s="3548"/>
      <c r="P382" s="3549"/>
      <c r="Q382" s="3537" t="s">
        <v>5071</v>
      </c>
      <c r="R382" s="3538"/>
      <c r="S382" s="3536" t="s">
        <v>5072</v>
      </c>
      <c r="T382" s="3536"/>
      <c r="U382" s="3472" t="s">
        <v>5073</v>
      </c>
      <c r="V382" s="3473"/>
      <c r="W382" s="3536" t="s">
        <v>5074</v>
      </c>
      <c r="X382" s="3536"/>
      <c r="Y382" s="3472" t="s">
        <v>5075</v>
      </c>
      <c r="Z382" s="3475"/>
      <c r="AA382" s="3537" t="s">
        <v>5076</v>
      </c>
      <c r="AB382" s="3538"/>
    </row>
    <row r="383" spans="1:28" ht="40.5" thickBot="1">
      <c r="A383" s="3545"/>
      <c r="B383" s="3547"/>
      <c r="C383" s="1" t="s">
        <v>5078</v>
      </c>
      <c r="D383" s="35" t="s">
        <v>5079</v>
      </c>
      <c r="E383" s="2" t="s">
        <v>5078</v>
      </c>
      <c r="F383" s="36" t="s">
        <v>5079</v>
      </c>
      <c r="G383" s="1" t="s">
        <v>5078</v>
      </c>
      <c r="H383" s="35" t="s">
        <v>5079</v>
      </c>
      <c r="I383" s="2" t="s">
        <v>5078</v>
      </c>
      <c r="J383" s="36" t="s">
        <v>5079</v>
      </c>
      <c r="K383" s="1" t="s">
        <v>5078</v>
      </c>
      <c r="L383" s="35" t="s">
        <v>5079</v>
      </c>
      <c r="M383" s="1" t="s">
        <v>5078</v>
      </c>
      <c r="N383" s="35" t="s">
        <v>5079</v>
      </c>
      <c r="O383" s="2842"/>
      <c r="P383" s="2882"/>
      <c r="Q383" s="1" t="s">
        <v>5078</v>
      </c>
      <c r="R383" s="35" t="s">
        <v>5079</v>
      </c>
      <c r="S383" s="2" t="s">
        <v>5078</v>
      </c>
      <c r="T383" s="35" t="s">
        <v>5079</v>
      </c>
      <c r="U383" s="2" t="s">
        <v>5078</v>
      </c>
      <c r="V383" s="36" t="s">
        <v>5079</v>
      </c>
      <c r="W383" s="1" t="s">
        <v>5078</v>
      </c>
      <c r="X383" s="35" t="s">
        <v>5079</v>
      </c>
      <c r="Y383" s="2" t="s">
        <v>5078</v>
      </c>
      <c r="Z383" s="36" t="s">
        <v>5079</v>
      </c>
      <c r="AA383" s="1" t="s">
        <v>5078</v>
      </c>
      <c r="AB383" s="35" t="s">
        <v>5079</v>
      </c>
    </row>
    <row r="384" spans="1:28">
      <c r="A384" s="3468" t="s">
        <v>5329</v>
      </c>
      <c r="B384" s="320" t="s">
        <v>5330</v>
      </c>
      <c r="C384" s="9"/>
      <c r="D384" s="10"/>
      <c r="E384" s="11"/>
      <c r="F384" s="12"/>
      <c r="G384" s="9"/>
      <c r="H384" s="10"/>
      <c r="I384" s="11"/>
      <c r="J384" s="12"/>
      <c r="K384" s="9"/>
      <c r="L384" s="10"/>
      <c r="M384" s="9"/>
      <c r="N384" s="10"/>
      <c r="O384" s="2931" t="s">
        <v>5330</v>
      </c>
      <c r="P384" s="2933"/>
      <c r="Q384" s="9"/>
      <c r="R384" s="10"/>
      <c r="S384" s="11"/>
      <c r="T384" s="10"/>
      <c r="U384" s="11"/>
      <c r="V384" s="12"/>
      <c r="W384" s="9"/>
      <c r="X384" s="10"/>
      <c r="Y384" s="11"/>
      <c r="Z384" s="12"/>
      <c r="AA384" s="33"/>
      <c r="AB384" s="10"/>
    </row>
    <row r="385" spans="1:28">
      <c r="A385" s="3468" t="s">
        <v>5329</v>
      </c>
      <c r="B385" s="320" t="s">
        <v>5331</v>
      </c>
      <c r="C385" s="14"/>
      <c r="D385" s="15"/>
      <c r="E385" s="16"/>
      <c r="F385" s="17"/>
      <c r="G385" s="14"/>
      <c r="H385" s="15"/>
      <c r="I385" s="16"/>
      <c r="J385" s="17"/>
      <c r="K385" s="14"/>
      <c r="L385" s="15"/>
      <c r="M385" s="14"/>
      <c r="N385" s="15"/>
      <c r="O385" s="2931" t="s">
        <v>5331</v>
      </c>
      <c r="P385" s="2934"/>
      <c r="Q385" s="2883"/>
      <c r="R385" s="15"/>
      <c r="S385" s="16"/>
      <c r="T385" s="15"/>
      <c r="U385" s="16"/>
      <c r="V385" s="17"/>
      <c r="W385" s="14"/>
      <c r="X385" s="15"/>
      <c r="Y385" s="16"/>
      <c r="Z385" s="17"/>
      <c r="AA385" s="30"/>
      <c r="AB385" s="15"/>
    </row>
    <row r="386" spans="1:28">
      <c r="A386" s="2106" t="s">
        <v>5332</v>
      </c>
      <c r="B386" s="320" t="s">
        <v>5333</v>
      </c>
      <c r="C386" s="14"/>
      <c r="D386" s="15"/>
      <c r="E386" s="16"/>
      <c r="F386" s="17"/>
      <c r="G386" s="14"/>
      <c r="H386" s="15"/>
      <c r="I386" s="16"/>
      <c r="J386" s="17"/>
      <c r="K386" s="14"/>
      <c r="L386" s="15"/>
      <c r="M386" s="14"/>
      <c r="N386" s="15"/>
      <c r="O386" s="2931" t="s">
        <v>5333</v>
      </c>
      <c r="P386" s="2934"/>
      <c r="Q386" s="2883"/>
      <c r="R386" s="15"/>
      <c r="S386" s="16"/>
      <c r="T386" s="15"/>
      <c r="U386" s="16"/>
      <c r="V386" s="17"/>
      <c r="W386" s="14"/>
      <c r="X386" s="15"/>
      <c r="Y386" s="16"/>
      <c r="Z386" s="17"/>
      <c r="AA386" s="30"/>
      <c r="AB386" s="15"/>
    </row>
    <row r="387" spans="1:28">
      <c r="A387" s="2106" t="s">
        <v>5334</v>
      </c>
      <c r="B387" s="320" t="s">
        <v>5335</v>
      </c>
      <c r="C387" s="14"/>
      <c r="D387" s="15"/>
      <c r="E387" s="16"/>
      <c r="F387" s="17"/>
      <c r="G387" s="14"/>
      <c r="H387" s="15"/>
      <c r="I387" s="16"/>
      <c r="J387" s="17"/>
      <c r="K387" s="14"/>
      <c r="L387" s="15"/>
      <c r="M387" s="14"/>
      <c r="N387" s="15"/>
      <c r="O387" s="2931" t="s">
        <v>5335</v>
      </c>
      <c r="P387" s="2934"/>
      <c r="Q387" s="2883"/>
      <c r="R387" s="15"/>
      <c r="S387" s="16"/>
      <c r="T387" s="15"/>
      <c r="U387" s="16"/>
      <c r="V387" s="17"/>
      <c r="W387" s="14"/>
      <c r="X387" s="15"/>
      <c r="Y387" s="16"/>
      <c r="Z387" s="17"/>
      <c r="AA387" s="30"/>
      <c r="AB387" s="15"/>
    </row>
    <row r="388" spans="1:28">
      <c r="A388" s="2925" t="s">
        <v>5334</v>
      </c>
      <c r="B388" s="2927" t="s">
        <v>5336</v>
      </c>
      <c r="C388" s="14"/>
      <c r="D388" s="15"/>
      <c r="E388" s="16"/>
      <c r="F388" s="17"/>
      <c r="G388" s="14"/>
      <c r="H388" s="15"/>
      <c r="I388" s="16"/>
      <c r="J388" s="17"/>
      <c r="K388" s="14"/>
      <c r="L388" s="15"/>
      <c r="M388" s="14"/>
      <c r="N388" s="15"/>
      <c r="O388" s="2932" t="s">
        <v>5336</v>
      </c>
      <c r="P388" s="2934"/>
      <c r="Q388" s="2883"/>
      <c r="R388" s="15"/>
      <c r="S388" s="16"/>
      <c r="T388" s="15"/>
      <c r="U388" s="16"/>
      <c r="V388" s="17"/>
      <c r="W388" s="14"/>
      <c r="X388" s="15"/>
      <c r="Y388" s="16"/>
      <c r="Z388" s="17"/>
      <c r="AA388" s="30"/>
      <c r="AB388" s="15"/>
    </row>
    <row r="389" spans="1:28">
      <c r="A389" s="2106" t="s">
        <v>5334</v>
      </c>
      <c r="B389" s="101" t="s">
        <v>5337</v>
      </c>
      <c r="C389" s="14"/>
      <c r="D389" s="15"/>
      <c r="E389" s="16"/>
      <c r="F389" s="17"/>
      <c r="G389" s="14"/>
      <c r="H389" s="15"/>
      <c r="I389" s="16"/>
      <c r="J389" s="17"/>
      <c r="K389" s="14"/>
      <c r="L389" s="15"/>
      <c r="M389" s="14"/>
      <c r="N389" s="15"/>
      <c r="O389" s="2931" t="s">
        <v>5337</v>
      </c>
      <c r="P389" s="2934"/>
      <c r="Q389" s="2883"/>
      <c r="R389" s="15"/>
      <c r="S389" s="16"/>
      <c r="T389" s="15"/>
      <c r="U389" s="16"/>
      <c r="V389" s="17"/>
      <c r="W389" s="14"/>
      <c r="X389" s="15"/>
      <c r="Y389" s="16"/>
      <c r="Z389" s="17"/>
      <c r="AA389" s="30"/>
      <c r="AB389" s="15"/>
    </row>
    <row r="390" spans="1:28">
      <c r="A390" s="2106" t="s">
        <v>5334</v>
      </c>
      <c r="B390" s="101" t="s">
        <v>5338</v>
      </c>
      <c r="C390" s="14"/>
      <c r="D390" s="15"/>
      <c r="E390" s="16"/>
      <c r="F390" s="17"/>
      <c r="G390" s="14"/>
      <c r="H390" s="15"/>
      <c r="I390" s="16"/>
      <c r="J390" s="17"/>
      <c r="K390" s="14"/>
      <c r="L390" s="15"/>
      <c r="M390" s="14"/>
      <c r="N390" s="15"/>
      <c r="O390" s="2931" t="s">
        <v>5338</v>
      </c>
      <c r="P390" s="2934"/>
      <c r="Q390" s="2883"/>
      <c r="R390" s="15"/>
      <c r="S390" s="16"/>
      <c r="T390" s="15"/>
      <c r="U390" s="16"/>
      <c r="V390" s="17"/>
      <c r="W390" s="14"/>
      <c r="X390" s="15"/>
      <c r="Y390" s="16"/>
      <c r="Z390" s="17"/>
      <c r="AA390" s="30"/>
      <c r="AB390" s="15"/>
    </row>
    <row r="391" spans="1:28">
      <c r="A391" s="2106" t="s">
        <v>5334</v>
      </c>
      <c r="B391" s="101" t="s">
        <v>5339</v>
      </c>
      <c r="C391" s="14"/>
      <c r="D391" s="15"/>
      <c r="E391" s="16"/>
      <c r="F391" s="17"/>
      <c r="G391" s="14"/>
      <c r="H391" s="15"/>
      <c r="I391" s="16"/>
      <c r="J391" s="17"/>
      <c r="K391" s="14"/>
      <c r="L391" s="15"/>
      <c r="M391" s="14"/>
      <c r="N391" s="15"/>
      <c r="O391" s="2931" t="s">
        <v>5339</v>
      </c>
      <c r="P391" s="2934"/>
      <c r="Q391" s="2883"/>
      <c r="R391" s="15"/>
      <c r="S391" s="16"/>
      <c r="T391" s="15"/>
      <c r="U391" s="16"/>
      <c r="V391" s="17"/>
      <c r="W391" s="14"/>
      <c r="X391" s="15"/>
      <c r="Y391" s="16"/>
      <c r="Z391" s="17"/>
      <c r="AA391" s="30"/>
      <c r="AB391" s="15"/>
    </row>
    <row r="392" spans="1:28">
      <c r="A392" s="2106" t="s">
        <v>5334</v>
      </c>
      <c r="B392" s="101" t="s">
        <v>5340</v>
      </c>
      <c r="C392" s="14"/>
      <c r="D392" s="15"/>
      <c r="E392" s="16"/>
      <c r="F392" s="17"/>
      <c r="G392" s="14"/>
      <c r="H392" s="15"/>
      <c r="I392" s="16"/>
      <c r="J392" s="17"/>
      <c r="K392" s="14"/>
      <c r="L392" s="15"/>
      <c r="M392" s="14"/>
      <c r="N392" s="15"/>
      <c r="O392" s="2931" t="s">
        <v>5340</v>
      </c>
      <c r="P392" s="2934"/>
      <c r="Q392" s="2883"/>
      <c r="R392" s="15"/>
      <c r="S392" s="16"/>
      <c r="T392" s="15"/>
      <c r="U392" s="16"/>
      <c r="V392" s="17"/>
      <c r="W392" s="14"/>
      <c r="X392" s="15"/>
      <c r="Y392" s="16"/>
      <c r="Z392" s="17"/>
      <c r="AA392" s="30"/>
      <c r="AB392" s="15"/>
    </row>
    <row r="393" spans="1:28">
      <c r="A393" s="2925" t="s">
        <v>5334</v>
      </c>
      <c r="B393" s="2926" t="s">
        <v>5341</v>
      </c>
      <c r="C393" s="14"/>
      <c r="D393" s="15"/>
      <c r="E393" s="16"/>
      <c r="F393" s="17"/>
      <c r="G393" s="14"/>
      <c r="H393" s="15"/>
      <c r="I393" s="16"/>
      <c r="J393" s="17"/>
      <c r="K393" s="14"/>
      <c r="L393" s="15"/>
      <c r="M393" s="14"/>
      <c r="N393" s="15"/>
      <c r="O393" s="2932" t="s">
        <v>5341</v>
      </c>
      <c r="P393" s="2934"/>
      <c r="Q393" s="2883"/>
      <c r="R393" s="15"/>
      <c r="S393" s="16"/>
      <c r="T393" s="15"/>
      <c r="U393" s="16"/>
      <c r="V393" s="17"/>
      <c r="W393" s="14"/>
      <c r="X393" s="15"/>
      <c r="Y393" s="16"/>
      <c r="Z393" s="17"/>
      <c r="AA393" s="30"/>
      <c r="AB393" s="15"/>
    </row>
    <row r="394" spans="1:28">
      <c r="A394" s="2106" t="s">
        <v>5334</v>
      </c>
      <c r="B394" s="101" t="s">
        <v>5342</v>
      </c>
      <c r="C394" s="14"/>
      <c r="D394" s="15"/>
      <c r="E394" s="16"/>
      <c r="F394" s="17"/>
      <c r="G394" s="14"/>
      <c r="H394" s="15"/>
      <c r="I394" s="16"/>
      <c r="J394" s="17"/>
      <c r="K394" s="14"/>
      <c r="L394" s="15"/>
      <c r="M394" s="14"/>
      <c r="N394" s="15"/>
      <c r="O394" s="2931" t="s">
        <v>5342</v>
      </c>
      <c r="P394" s="2934"/>
      <c r="Q394" s="2883"/>
      <c r="R394" s="15"/>
      <c r="S394" s="16"/>
      <c r="T394" s="15"/>
      <c r="U394" s="16"/>
      <c r="V394" s="17"/>
      <c r="W394" s="14"/>
      <c r="X394" s="15"/>
      <c r="Y394" s="16"/>
      <c r="Z394" s="17"/>
      <c r="AA394" s="30"/>
      <c r="AB394" s="15"/>
    </row>
    <row r="395" spans="1:28">
      <c r="A395" s="2106" t="s">
        <v>5334</v>
      </c>
      <c r="B395" s="101" t="s">
        <v>5343</v>
      </c>
      <c r="C395" s="14"/>
      <c r="D395" s="15"/>
      <c r="E395" s="16"/>
      <c r="F395" s="17"/>
      <c r="G395" s="14"/>
      <c r="H395" s="15"/>
      <c r="I395" s="16"/>
      <c r="J395" s="17"/>
      <c r="K395" s="14"/>
      <c r="L395" s="15"/>
      <c r="M395" s="14"/>
      <c r="N395" s="15"/>
      <c r="O395" s="2931" t="s">
        <v>5343</v>
      </c>
      <c r="P395" s="2934"/>
      <c r="Q395" s="2883"/>
      <c r="R395" s="15"/>
      <c r="S395" s="16"/>
      <c r="T395" s="15"/>
      <c r="U395" s="16"/>
      <c r="V395" s="17"/>
      <c r="W395" s="14"/>
      <c r="X395" s="15"/>
      <c r="Y395" s="16"/>
      <c r="Z395" s="17"/>
      <c r="AA395" s="30"/>
      <c r="AB395" s="15"/>
    </row>
    <row r="396" spans="1:28">
      <c r="A396" s="2106" t="s">
        <v>5334</v>
      </c>
      <c r="B396" s="101" t="s">
        <v>5344</v>
      </c>
      <c r="C396" s="14"/>
      <c r="D396" s="15"/>
      <c r="E396" s="16"/>
      <c r="F396" s="17"/>
      <c r="G396" s="14"/>
      <c r="H396" s="15"/>
      <c r="I396" s="16"/>
      <c r="J396" s="17"/>
      <c r="K396" s="14"/>
      <c r="L396" s="15"/>
      <c r="M396" s="14"/>
      <c r="N396" s="15"/>
      <c r="O396" s="2931" t="s">
        <v>5344</v>
      </c>
      <c r="P396" s="2934"/>
      <c r="Q396" s="2883"/>
      <c r="R396" s="15"/>
      <c r="S396" s="16"/>
      <c r="T396" s="15"/>
      <c r="U396" s="16"/>
      <c r="V396" s="17"/>
      <c r="W396" s="14"/>
      <c r="X396" s="15"/>
      <c r="Y396" s="16"/>
      <c r="Z396" s="17"/>
      <c r="AA396" s="30"/>
      <c r="AB396" s="15"/>
    </row>
    <row r="397" spans="1:28">
      <c r="A397" s="2106" t="s">
        <v>5345</v>
      </c>
      <c r="B397" s="101" t="s">
        <v>5346</v>
      </c>
      <c r="C397" s="14"/>
      <c r="D397" s="15"/>
      <c r="E397" s="16"/>
      <c r="F397" s="17"/>
      <c r="G397" s="14"/>
      <c r="H397" s="15"/>
      <c r="I397" s="16"/>
      <c r="J397" s="17"/>
      <c r="K397" s="14"/>
      <c r="L397" s="15"/>
      <c r="M397" s="14"/>
      <c r="N397" s="15"/>
      <c r="O397" s="2931" t="s">
        <v>5346</v>
      </c>
      <c r="P397" s="2934"/>
      <c r="Q397" s="2883"/>
      <c r="R397" s="15"/>
      <c r="S397" s="16"/>
      <c r="T397" s="15"/>
      <c r="U397" s="16"/>
      <c r="V397" s="17"/>
      <c r="W397" s="14"/>
      <c r="X397" s="15"/>
      <c r="Y397" s="16"/>
      <c r="Z397" s="17"/>
      <c r="AA397" s="30"/>
      <c r="AB397" s="15"/>
    </row>
    <row r="398" spans="1:28">
      <c r="A398" s="2106" t="s">
        <v>5345</v>
      </c>
      <c r="B398" s="101" t="s">
        <v>5347</v>
      </c>
      <c r="C398" s="14"/>
      <c r="D398" s="15"/>
      <c r="E398" s="16"/>
      <c r="F398" s="17"/>
      <c r="G398" s="14"/>
      <c r="H398" s="15"/>
      <c r="I398" s="16"/>
      <c r="J398" s="17"/>
      <c r="K398" s="14"/>
      <c r="L398" s="15"/>
      <c r="M398" s="14"/>
      <c r="N398" s="15"/>
      <c r="O398" s="2931" t="s">
        <v>5347</v>
      </c>
      <c r="P398" s="2935"/>
      <c r="Q398" s="2883"/>
      <c r="R398" s="15"/>
      <c r="S398" s="16"/>
      <c r="T398" s="15"/>
      <c r="U398" s="16"/>
      <c r="V398" s="17"/>
      <c r="W398" s="14"/>
      <c r="X398" s="15"/>
      <c r="Y398" s="16"/>
      <c r="Z398" s="17"/>
      <c r="AA398" s="30"/>
      <c r="AB398" s="15"/>
    </row>
    <row r="399" spans="1:28">
      <c r="A399" s="2106" t="s">
        <v>5345</v>
      </c>
      <c r="B399" s="101" t="s">
        <v>5348</v>
      </c>
      <c r="C399" s="14"/>
      <c r="D399" s="15"/>
      <c r="E399" s="16"/>
      <c r="F399" s="17"/>
      <c r="G399" s="14"/>
      <c r="H399" s="15"/>
      <c r="I399" s="16"/>
      <c r="J399" s="17"/>
      <c r="K399" s="14"/>
      <c r="L399" s="15"/>
      <c r="M399" s="14"/>
      <c r="N399" s="15"/>
      <c r="O399" s="2931" t="s">
        <v>5348</v>
      </c>
      <c r="P399" s="2936"/>
      <c r="Q399" s="2884"/>
      <c r="R399" s="2662"/>
      <c r="S399" s="16"/>
      <c r="T399" s="15"/>
      <c r="U399" s="16"/>
      <c r="V399" s="17"/>
      <c r="W399" s="14"/>
      <c r="X399" s="15"/>
      <c r="Y399" s="16"/>
      <c r="Z399" s="17"/>
      <c r="AA399" s="30"/>
      <c r="AB399" s="15"/>
    </row>
    <row r="400" spans="1:28">
      <c r="A400" s="2106" t="s">
        <v>5345</v>
      </c>
      <c r="B400" s="101" t="s">
        <v>5349</v>
      </c>
      <c r="C400" s="14"/>
      <c r="D400" s="15"/>
      <c r="E400" s="16"/>
      <c r="F400" s="17"/>
      <c r="G400" s="14"/>
      <c r="H400" s="15"/>
      <c r="I400" s="16"/>
      <c r="J400" s="17"/>
      <c r="K400" s="14"/>
      <c r="L400" s="15"/>
      <c r="M400" s="14"/>
      <c r="N400" s="15"/>
      <c r="O400" s="2931" t="s">
        <v>5349</v>
      </c>
      <c r="P400" s="2936"/>
      <c r="Q400" s="2651"/>
      <c r="R400" s="2648"/>
      <c r="S400" s="2649"/>
      <c r="T400" s="2648"/>
      <c r="U400" s="16"/>
      <c r="V400" s="17"/>
      <c r="W400" s="14"/>
      <c r="X400" s="15"/>
      <c r="Y400" s="16"/>
      <c r="Z400" s="17"/>
      <c r="AA400" s="30"/>
      <c r="AB400" s="15"/>
    </row>
    <row r="401" spans="1:28" ht="40.5" thickBot="1">
      <c r="A401" s="2106" t="s">
        <v>5345</v>
      </c>
      <c r="B401" s="101" t="s">
        <v>5350</v>
      </c>
      <c r="C401" s="6"/>
      <c r="D401" s="32"/>
      <c r="E401" s="7"/>
      <c r="F401" s="40"/>
      <c r="G401" s="6"/>
      <c r="H401" s="32"/>
      <c r="I401" s="7"/>
      <c r="J401" s="40"/>
      <c r="K401" s="6"/>
      <c r="L401" s="32"/>
      <c r="M401" s="6"/>
      <c r="N401" s="32"/>
      <c r="O401" s="2931" t="s">
        <v>5350</v>
      </c>
      <c r="P401" s="2934"/>
      <c r="Q401" s="2885"/>
      <c r="R401" s="32"/>
      <c r="S401" s="7"/>
      <c r="T401" s="32"/>
      <c r="U401" s="7"/>
      <c r="V401" s="40"/>
      <c r="W401" s="6"/>
      <c r="X401" s="32"/>
      <c r="Y401" s="7"/>
      <c r="Z401" s="40"/>
      <c r="AA401" s="2630"/>
      <c r="AB401" s="2631"/>
    </row>
    <row r="402" spans="1:28" ht="40.5" thickBot="1">
      <c r="A402" s="2106" t="s">
        <v>5345</v>
      </c>
      <c r="B402" s="101" t="s">
        <v>5351</v>
      </c>
      <c r="C402" s="6"/>
      <c r="D402" s="32"/>
      <c r="E402" s="7"/>
      <c r="F402" s="40"/>
      <c r="G402" s="6"/>
      <c r="H402" s="32"/>
      <c r="I402" s="7"/>
      <c r="J402" s="40"/>
      <c r="K402" s="6"/>
      <c r="L402" s="32"/>
      <c r="M402" s="6"/>
      <c r="N402" s="32"/>
      <c r="O402" s="2931" t="s">
        <v>5351</v>
      </c>
      <c r="P402" s="2937"/>
      <c r="Q402" s="6"/>
      <c r="R402" s="32"/>
      <c r="S402" s="7"/>
      <c r="T402" s="32"/>
      <c r="U402" s="7"/>
      <c r="V402" s="40"/>
      <c r="W402" s="6"/>
      <c r="X402" s="32"/>
      <c r="Y402" s="7"/>
      <c r="Z402" s="32"/>
      <c r="AA402" s="31"/>
      <c r="AB402" s="32"/>
    </row>
    <row r="403" spans="1:28" ht="40.5">
      <c r="A403" s="3" t="s">
        <v>5063</v>
      </c>
      <c r="B403" s="23"/>
      <c r="C403" s="3"/>
      <c r="D403" s="3"/>
      <c r="E403" s="3"/>
      <c r="F403" s="3"/>
      <c r="G403" s="3"/>
      <c r="H403" s="3"/>
      <c r="I403" s="3"/>
      <c r="J403" s="3"/>
      <c r="K403" s="3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B403" s="4"/>
    </row>
    <row r="404" spans="1:28" ht="40.5" thickBot="1">
      <c r="A404" s="5" t="s">
        <v>5064</v>
      </c>
    </row>
    <row r="405" spans="1:28">
      <c r="A405" s="3544" t="s">
        <v>2</v>
      </c>
      <c r="B405" s="3546" t="s">
        <v>3</v>
      </c>
      <c r="C405" s="3537" t="s">
        <v>5065</v>
      </c>
      <c r="D405" s="3538"/>
      <c r="E405" s="3536" t="s">
        <v>5066</v>
      </c>
      <c r="F405" s="3536"/>
      <c r="G405" s="3537" t="s">
        <v>5067</v>
      </c>
      <c r="H405" s="3538"/>
      <c r="I405" s="3536" t="s">
        <v>5068</v>
      </c>
      <c r="J405" s="3536"/>
      <c r="K405" s="3537" t="s">
        <v>5069</v>
      </c>
      <c r="L405" s="3538"/>
      <c r="M405" s="3536" t="s">
        <v>5070</v>
      </c>
      <c r="N405" s="3536"/>
      <c r="O405" s="3542"/>
      <c r="P405" s="3542"/>
      <c r="Q405" s="3536" t="s">
        <v>5071</v>
      </c>
      <c r="R405" s="3536"/>
      <c r="S405" s="3536" t="s">
        <v>5072</v>
      </c>
      <c r="T405" s="3536"/>
      <c r="U405" s="3472" t="s">
        <v>5073</v>
      </c>
      <c r="V405" s="3473"/>
      <c r="W405" s="3536" t="s">
        <v>5074</v>
      </c>
      <c r="X405" s="3536"/>
      <c r="Y405" s="3472" t="s">
        <v>5075</v>
      </c>
      <c r="Z405" s="3475"/>
      <c r="AA405" s="3537" t="s">
        <v>5076</v>
      </c>
      <c r="AB405" s="3538"/>
    </row>
    <row r="406" spans="1:28" ht="40.5" thickBot="1">
      <c r="A406" s="3545"/>
      <c r="B406" s="3547"/>
      <c r="C406" s="1" t="s">
        <v>5078</v>
      </c>
      <c r="D406" s="35" t="s">
        <v>5079</v>
      </c>
      <c r="E406" s="2" t="s">
        <v>5078</v>
      </c>
      <c r="F406" s="36" t="s">
        <v>5079</v>
      </c>
      <c r="G406" s="1" t="s">
        <v>5078</v>
      </c>
      <c r="H406" s="35" t="s">
        <v>5079</v>
      </c>
      <c r="I406" s="2" t="s">
        <v>5078</v>
      </c>
      <c r="J406" s="36" t="s">
        <v>5079</v>
      </c>
      <c r="K406" s="1" t="s">
        <v>5078</v>
      </c>
      <c r="L406" s="35" t="s">
        <v>5079</v>
      </c>
      <c r="M406" s="2" t="s">
        <v>5078</v>
      </c>
      <c r="N406" s="36" t="s">
        <v>5079</v>
      </c>
      <c r="O406" s="2769"/>
      <c r="P406" s="2820"/>
      <c r="Q406" s="2" t="s">
        <v>5078</v>
      </c>
      <c r="R406" s="36" t="s">
        <v>5079</v>
      </c>
      <c r="S406" s="1" t="s">
        <v>5078</v>
      </c>
      <c r="T406" s="35" t="s">
        <v>5079</v>
      </c>
      <c r="U406" s="2" t="s">
        <v>5078</v>
      </c>
      <c r="V406" s="36" t="s">
        <v>5079</v>
      </c>
      <c r="W406" s="1" t="s">
        <v>5078</v>
      </c>
      <c r="X406" s="35" t="s">
        <v>5079</v>
      </c>
      <c r="Y406" s="2" t="s">
        <v>5078</v>
      </c>
      <c r="Z406" s="36" t="s">
        <v>5079</v>
      </c>
      <c r="AA406" s="1" t="s">
        <v>5078</v>
      </c>
      <c r="AB406" s="35" t="s">
        <v>5079</v>
      </c>
    </row>
    <row r="407" spans="1:28">
      <c r="A407" s="2449" t="s">
        <v>5352</v>
      </c>
      <c r="B407" s="117" t="s">
        <v>5353</v>
      </c>
      <c r="C407" s="9"/>
      <c r="D407" s="10"/>
      <c r="E407" s="11"/>
      <c r="F407" s="12"/>
      <c r="G407" s="9"/>
      <c r="H407" s="10"/>
      <c r="I407" s="11"/>
      <c r="J407" s="12"/>
      <c r="K407" s="9"/>
      <c r="L407" s="10"/>
      <c r="M407" s="11"/>
      <c r="N407" s="12"/>
      <c r="O407" s="2821"/>
      <c r="P407" s="117" t="s">
        <v>5354</v>
      </c>
      <c r="Q407" s="11"/>
      <c r="R407" s="12"/>
      <c r="S407" s="9"/>
      <c r="T407" s="10"/>
      <c r="U407" s="11"/>
      <c r="V407" s="12"/>
      <c r="W407" s="9"/>
      <c r="X407" s="10"/>
      <c r="Y407" s="11"/>
      <c r="Z407" s="12"/>
      <c r="AA407" s="33"/>
      <c r="AB407" s="10"/>
    </row>
    <row r="408" spans="1:28">
      <c r="A408" s="2449" t="s">
        <v>5352</v>
      </c>
      <c r="B408" s="117" t="s">
        <v>5355</v>
      </c>
      <c r="C408" s="14"/>
      <c r="D408" s="15"/>
      <c r="E408" s="16"/>
      <c r="F408" s="17"/>
      <c r="G408" s="14"/>
      <c r="H408" s="15"/>
      <c r="I408" s="16"/>
      <c r="J408" s="17"/>
      <c r="K408" s="14"/>
      <c r="L408" s="15"/>
      <c r="M408" s="16"/>
      <c r="N408" s="17"/>
      <c r="O408" s="2823"/>
      <c r="P408" s="117" t="s">
        <v>5356</v>
      </c>
      <c r="Q408" s="2646"/>
      <c r="R408" s="17"/>
      <c r="S408" s="14"/>
      <c r="T408" s="15"/>
      <c r="U408" s="16"/>
      <c r="V408" s="17"/>
      <c r="W408" s="14"/>
      <c r="X408" s="15"/>
      <c r="Y408" s="16"/>
      <c r="Z408" s="17"/>
      <c r="AA408" s="30"/>
      <c r="AB408" s="15"/>
    </row>
    <row r="409" spans="1:28">
      <c r="A409" s="2449" t="s">
        <v>5352</v>
      </c>
      <c r="B409" s="117" t="s">
        <v>5357</v>
      </c>
      <c r="C409" s="14"/>
      <c r="D409" s="15"/>
      <c r="E409" s="16"/>
      <c r="F409" s="17"/>
      <c r="G409" s="14"/>
      <c r="H409" s="15"/>
      <c r="I409" s="16"/>
      <c r="J409" s="17"/>
      <c r="K409" s="14"/>
      <c r="L409" s="15"/>
      <c r="M409" s="16"/>
      <c r="N409" s="17"/>
      <c r="O409" s="2823"/>
      <c r="P409" s="117" t="s">
        <v>5358</v>
      </c>
      <c r="Q409" s="2646"/>
      <c r="R409" s="17"/>
      <c r="S409" s="14"/>
      <c r="T409" s="15"/>
      <c r="U409" s="16"/>
      <c r="V409" s="17"/>
      <c r="W409" s="14"/>
      <c r="X409" s="15"/>
      <c r="Y409" s="16"/>
      <c r="Z409" s="17"/>
      <c r="AA409" s="30"/>
      <c r="AB409" s="15"/>
    </row>
    <row r="410" spans="1:28">
      <c r="A410" s="2449" t="s">
        <v>5352</v>
      </c>
      <c r="B410" s="117" t="s">
        <v>5359</v>
      </c>
      <c r="C410" s="14"/>
      <c r="D410" s="15"/>
      <c r="E410" s="16"/>
      <c r="F410" s="17"/>
      <c r="G410" s="14"/>
      <c r="H410" s="15"/>
      <c r="I410" s="16"/>
      <c r="J410" s="17"/>
      <c r="K410" s="14"/>
      <c r="L410" s="15"/>
      <c r="M410" s="16"/>
      <c r="N410" s="17"/>
      <c r="O410" s="2823"/>
      <c r="P410" s="117" t="s">
        <v>5360</v>
      </c>
      <c r="Q410" s="2646"/>
      <c r="R410" s="17"/>
      <c r="S410" s="14"/>
      <c r="T410" s="15"/>
      <c r="U410" s="16"/>
      <c r="V410" s="17"/>
      <c r="W410" s="14"/>
      <c r="X410" s="15"/>
      <c r="Y410" s="16"/>
      <c r="Z410" s="17"/>
      <c r="AA410" s="30"/>
      <c r="AB410" s="15"/>
    </row>
    <row r="411" spans="1:28">
      <c r="A411" s="2450" t="s">
        <v>5361</v>
      </c>
      <c r="B411" s="117" t="s">
        <v>5362</v>
      </c>
      <c r="C411" s="14"/>
      <c r="D411" s="15"/>
      <c r="E411" s="16"/>
      <c r="F411" s="17"/>
      <c r="G411" s="14"/>
      <c r="H411" s="15"/>
      <c r="I411" s="16"/>
      <c r="J411" s="17"/>
      <c r="K411" s="14"/>
      <c r="L411" s="15"/>
      <c r="M411" s="16"/>
      <c r="N411" s="17"/>
      <c r="O411" s="2823"/>
      <c r="P411" s="117" t="s">
        <v>5363</v>
      </c>
      <c r="Q411" s="2646"/>
      <c r="R411" s="17"/>
      <c r="S411" s="14"/>
      <c r="T411" s="15"/>
      <c r="U411" s="16"/>
      <c r="V411" s="17"/>
      <c r="W411" s="14"/>
      <c r="X411" s="15"/>
      <c r="Y411" s="16"/>
      <c r="Z411" s="17"/>
      <c r="AA411" s="30"/>
      <c r="AB411" s="15"/>
    </row>
    <row r="412" spans="1:28">
      <c r="A412" s="2449" t="s">
        <v>5364</v>
      </c>
      <c r="B412" s="117" t="s">
        <v>5365</v>
      </c>
      <c r="C412" s="14"/>
      <c r="D412" s="15"/>
      <c r="E412" s="16"/>
      <c r="F412" s="17"/>
      <c r="G412" s="14"/>
      <c r="H412" s="15"/>
      <c r="I412" s="16"/>
      <c r="J412" s="17"/>
      <c r="K412" s="14"/>
      <c r="L412" s="15"/>
      <c r="M412" s="16"/>
      <c r="N412" s="17"/>
      <c r="O412" s="2823"/>
      <c r="P412" s="117" t="s">
        <v>5366</v>
      </c>
      <c r="Q412" s="2646"/>
      <c r="R412" s="17"/>
      <c r="S412" s="14"/>
      <c r="T412" s="15"/>
      <c r="U412" s="16"/>
      <c r="V412" s="17"/>
      <c r="W412" s="14"/>
      <c r="X412" s="15"/>
      <c r="Y412" s="16"/>
      <c r="Z412" s="17"/>
      <c r="AA412" s="30"/>
      <c r="AB412" s="15"/>
    </row>
    <row r="413" spans="1:28">
      <c r="A413" s="2449" t="s">
        <v>5364</v>
      </c>
      <c r="B413" s="117" t="s">
        <v>5362</v>
      </c>
      <c r="C413" s="14"/>
      <c r="D413" s="15"/>
      <c r="E413" s="16"/>
      <c r="F413" s="17"/>
      <c r="G413" s="14"/>
      <c r="H413" s="15"/>
      <c r="I413" s="16"/>
      <c r="J413" s="17"/>
      <c r="K413" s="14"/>
      <c r="L413" s="15"/>
      <c r="M413" s="16"/>
      <c r="N413" s="17"/>
      <c r="O413" s="2823"/>
      <c r="P413" s="117" t="s">
        <v>5367</v>
      </c>
      <c r="Q413" s="2646"/>
      <c r="R413" s="17"/>
      <c r="S413" s="14"/>
      <c r="T413" s="15"/>
      <c r="U413" s="16"/>
      <c r="V413" s="17"/>
      <c r="W413" s="14"/>
      <c r="X413" s="15"/>
      <c r="Y413" s="16"/>
      <c r="Z413" s="17"/>
      <c r="AA413" s="30"/>
      <c r="AB413" s="15"/>
    </row>
    <row r="414" spans="1:28">
      <c r="A414" s="2449" t="s">
        <v>5368</v>
      </c>
      <c r="B414" s="117" t="s">
        <v>5362</v>
      </c>
      <c r="C414" s="14"/>
      <c r="D414" s="15"/>
      <c r="E414" s="16"/>
      <c r="F414" s="17"/>
      <c r="G414" s="14"/>
      <c r="H414" s="15"/>
      <c r="I414" s="16"/>
      <c r="J414" s="17"/>
      <c r="K414" s="14"/>
      <c r="L414" s="15"/>
      <c r="M414" s="16"/>
      <c r="N414" s="17"/>
      <c r="O414" s="2823"/>
      <c r="P414" s="117" t="s">
        <v>5369</v>
      </c>
      <c r="Q414" s="2646"/>
      <c r="R414" s="17"/>
      <c r="S414" s="14"/>
      <c r="T414" s="15"/>
      <c r="U414" s="16"/>
      <c r="V414" s="17"/>
      <c r="W414" s="14"/>
      <c r="X414" s="15"/>
      <c r="Y414" s="16"/>
      <c r="Z414" s="17"/>
      <c r="AA414" s="30"/>
      <c r="AB414" s="15"/>
    </row>
    <row r="415" spans="1:28">
      <c r="A415" s="2449" t="s">
        <v>5368</v>
      </c>
      <c r="B415" s="117" t="s">
        <v>5370</v>
      </c>
      <c r="C415" s="14"/>
      <c r="D415" s="15"/>
      <c r="E415" s="16"/>
      <c r="F415" s="17"/>
      <c r="G415" s="14"/>
      <c r="H415" s="15"/>
      <c r="I415" s="16"/>
      <c r="J415" s="17"/>
      <c r="K415" s="14"/>
      <c r="L415" s="15"/>
      <c r="M415" s="16"/>
      <c r="N415" s="17"/>
      <c r="O415" s="2823"/>
      <c r="P415" s="117" t="s">
        <v>5371</v>
      </c>
      <c r="Q415" s="2646"/>
      <c r="R415" s="17"/>
      <c r="S415" s="14"/>
      <c r="T415" s="15"/>
      <c r="U415" s="16"/>
      <c r="V415" s="17"/>
      <c r="W415" s="14"/>
      <c r="X415" s="15"/>
      <c r="Y415" s="16"/>
      <c r="Z415" s="17"/>
      <c r="AA415" s="30"/>
      <c r="AB415" s="15"/>
    </row>
    <row r="416" spans="1:28">
      <c r="A416" s="2449" t="s">
        <v>5368</v>
      </c>
      <c r="B416" s="117" t="s">
        <v>5372</v>
      </c>
      <c r="C416" s="14"/>
      <c r="D416" s="15"/>
      <c r="E416" s="16"/>
      <c r="F416" s="17"/>
      <c r="G416" s="14"/>
      <c r="H416" s="15"/>
      <c r="I416" s="16"/>
      <c r="J416" s="17"/>
      <c r="K416" s="14"/>
      <c r="L416" s="15"/>
      <c r="M416" s="16"/>
      <c r="N416" s="17"/>
      <c r="O416" s="2823"/>
      <c r="P416" s="117" t="s">
        <v>5373</v>
      </c>
      <c r="Q416" s="2646"/>
      <c r="R416" s="17"/>
      <c r="S416" s="14"/>
      <c r="T416" s="15"/>
      <c r="U416" s="16"/>
      <c r="V416" s="17"/>
      <c r="W416" s="14"/>
      <c r="X416" s="15"/>
      <c r="Y416" s="16"/>
      <c r="Z416" s="17"/>
      <c r="AA416" s="30"/>
      <c r="AB416" s="15"/>
    </row>
    <row r="417" spans="1:28">
      <c r="A417" s="2449" t="s">
        <v>5374</v>
      </c>
      <c r="B417" s="117" t="s">
        <v>5375</v>
      </c>
      <c r="C417" s="14"/>
      <c r="D417" s="15"/>
      <c r="E417" s="16"/>
      <c r="F417" s="17"/>
      <c r="G417" s="14"/>
      <c r="H417" s="15"/>
      <c r="I417" s="16"/>
      <c r="J417" s="17"/>
      <c r="K417" s="14"/>
      <c r="L417" s="15"/>
      <c r="M417" s="16"/>
      <c r="N417" s="17"/>
      <c r="O417" s="2823"/>
      <c r="P417" s="117" t="s">
        <v>5376</v>
      </c>
      <c r="Q417" s="2646"/>
      <c r="R417" s="17"/>
      <c r="S417" s="14"/>
      <c r="T417" s="15"/>
      <c r="U417" s="16"/>
      <c r="V417" s="17"/>
      <c r="W417" s="14"/>
      <c r="X417" s="15"/>
      <c r="Y417" s="16"/>
      <c r="Z417" s="17"/>
      <c r="AA417" s="30"/>
      <c r="AB417" s="15"/>
    </row>
    <row r="418" spans="1:28">
      <c r="A418" s="2450" t="s">
        <v>5377</v>
      </c>
      <c r="B418" s="101" t="s">
        <v>5378</v>
      </c>
      <c r="C418" s="14"/>
      <c r="D418" s="15"/>
      <c r="E418" s="16"/>
      <c r="F418" s="17"/>
      <c r="G418" s="14"/>
      <c r="H418" s="15"/>
      <c r="I418" s="16"/>
      <c r="J418" s="17"/>
      <c r="K418" s="14"/>
      <c r="L418" s="15"/>
      <c r="M418" s="16"/>
      <c r="N418" s="17"/>
      <c r="O418" s="2823"/>
      <c r="P418" s="2823"/>
      <c r="Q418" s="2646"/>
      <c r="R418" s="17"/>
      <c r="S418" s="14"/>
      <c r="T418" s="15"/>
      <c r="U418" s="16"/>
      <c r="V418" s="17"/>
      <c r="W418" s="14"/>
      <c r="X418" s="15"/>
      <c r="Y418" s="16"/>
      <c r="Z418" s="17"/>
      <c r="AA418" s="30"/>
      <c r="AB418" s="15"/>
    </row>
    <row r="419" spans="1:28">
      <c r="A419" s="2450" t="s">
        <v>5379</v>
      </c>
      <c r="B419" s="2288"/>
      <c r="C419" s="14"/>
      <c r="D419" s="15"/>
      <c r="E419" s="16"/>
      <c r="F419" s="17"/>
      <c r="G419" s="14"/>
      <c r="H419" s="15"/>
      <c r="I419" s="16"/>
      <c r="J419" s="17"/>
      <c r="K419" s="14"/>
      <c r="L419" s="15"/>
      <c r="M419" s="16"/>
      <c r="N419" s="17"/>
      <c r="O419" s="2823"/>
      <c r="P419" s="2823"/>
      <c r="Q419" s="2646"/>
      <c r="R419" s="17"/>
      <c r="S419" s="14"/>
      <c r="T419" s="15"/>
      <c r="U419" s="16"/>
      <c r="V419" s="17"/>
      <c r="W419" s="14"/>
      <c r="X419" s="15"/>
      <c r="Y419" s="16"/>
      <c r="Z419" s="17"/>
      <c r="AA419" s="30"/>
      <c r="AB419" s="15"/>
    </row>
    <row r="420" spans="1:28">
      <c r="A420" s="2450" t="s">
        <v>5380</v>
      </c>
      <c r="B420" s="2288"/>
      <c r="C420" s="14"/>
      <c r="D420" s="15"/>
      <c r="E420" s="16"/>
      <c r="F420" s="17"/>
      <c r="G420" s="14"/>
      <c r="H420" s="15"/>
      <c r="I420" s="16"/>
      <c r="J420" s="17"/>
      <c r="K420" s="14"/>
      <c r="L420" s="15"/>
      <c r="M420" s="16"/>
      <c r="N420" s="17"/>
      <c r="O420" s="2823"/>
      <c r="P420" s="2823"/>
      <c r="Q420" s="2646"/>
      <c r="R420" s="17"/>
      <c r="S420" s="14"/>
      <c r="T420" s="15"/>
      <c r="U420" s="16"/>
      <c r="V420" s="17"/>
      <c r="W420" s="14"/>
      <c r="X420" s="15"/>
      <c r="Y420" s="16"/>
      <c r="Z420" s="17"/>
      <c r="AA420" s="30"/>
      <c r="AB420" s="15"/>
    </row>
    <row r="421" spans="1:28">
      <c r="A421" s="233" t="s">
        <v>5381</v>
      </c>
      <c r="B421" s="101" t="s">
        <v>5378</v>
      </c>
      <c r="C421" s="14"/>
      <c r="D421" s="15"/>
      <c r="E421" s="16"/>
      <c r="F421" s="17"/>
      <c r="G421" s="14"/>
      <c r="H421" s="15"/>
      <c r="I421" s="16"/>
      <c r="J421" s="17"/>
      <c r="K421" s="14"/>
      <c r="L421" s="15"/>
      <c r="M421" s="16"/>
      <c r="N421" s="17"/>
      <c r="O421" s="2769" t="s">
        <v>5382</v>
      </c>
      <c r="P421" s="2824"/>
      <c r="Q421" s="2646"/>
      <c r="R421" s="17"/>
      <c r="S421" s="14"/>
      <c r="T421" s="15"/>
      <c r="U421" s="16"/>
      <c r="V421" s="17"/>
      <c r="W421" s="14"/>
      <c r="X421" s="15"/>
      <c r="Y421" s="16"/>
      <c r="Z421" s="17"/>
      <c r="AA421" s="30"/>
      <c r="AB421" s="15"/>
    </row>
    <row r="422" spans="1:28">
      <c r="A422" s="2451" t="s">
        <v>5383</v>
      </c>
      <c r="B422" s="101" t="s">
        <v>5378</v>
      </c>
      <c r="C422" s="14"/>
      <c r="D422" s="15"/>
      <c r="E422" s="16"/>
      <c r="F422" s="17"/>
      <c r="G422" s="14"/>
      <c r="H422" s="15"/>
      <c r="I422" s="16"/>
      <c r="J422" s="17"/>
      <c r="K422" s="14"/>
      <c r="L422" s="15"/>
      <c r="M422" s="16"/>
      <c r="N422" s="17"/>
      <c r="O422" s="2924" t="s">
        <v>5384</v>
      </c>
      <c r="P422" s="2826"/>
      <c r="Q422" s="2645"/>
      <c r="R422" s="1795"/>
      <c r="S422" s="14"/>
      <c r="T422" s="15"/>
      <c r="U422" s="16"/>
      <c r="V422" s="17"/>
      <c r="W422" s="14"/>
      <c r="X422" s="15"/>
      <c r="Y422" s="16"/>
      <c r="Z422" s="17"/>
      <c r="AA422" s="30"/>
      <c r="AB422" s="15"/>
    </row>
    <row r="423" spans="1:28">
      <c r="A423" s="2452" t="s">
        <v>5385</v>
      </c>
      <c r="B423" s="101" t="s">
        <v>5378</v>
      </c>
      <c r="C423" s="14"/>
      <c r="D423" s="15"/>
      <c r="E423" s="16"/>
      <c r="F423" s="17"/>
      <c r="G423" s="14"/>
      <c r="H423" s="15"/>
      <c r="I423" s="16"/>
      <c r="J423" s="17"/>
      <c r="K423" s="14"/>
      <c r="L423" s="15"/>
      <c r="M423" s="16"/>
      <c r="N423" s="17"/>
      <c r="O423" s="2920" t="s">
        <v>5386</v>
      </c>
      <c r="P423" s="2826"/>
      <c r="Q423" s="2649"/>
      <c r="R423" s="2650"/>
      <c r="S423" s="2651"/>
      <c r="T423" s="2648"/>
      <c r="U423" s="16"/>
      <c r="V423" s="17"/>
      <c r="W423" s="14"/>
      <c r="X423" s="15"/>
      <c r="Y423" s="16"/>
      <c r="Z423" s="17"/>
      <c r="AA423" s="30"/>
      <c r="AB423" s="15"/>
    </row>
    <row r="424" spans="1:28" ht="40.5" thickBot="1">
      <c r="A424" s="2452" t="s">
        <v>5387</v>
      </c>
      <c r="B424" s="101" t="s">
        <v>5378</v>
      </c>
      <c r="C424" s="6"/>
      <c r="D424" s="32"/>
      <c r="E424" s="7"/>
      <c r="F424" s="40"/>
      <c r="G424" s="6"/>
      <c r="H424" s="32"/>
      <c r="I424" s="7"/>
      <c r="J424" s="40"/>
      <c r="K424" s="6"/>
      <c r="L424" s="32"/>
      <c r="M424" s="7"/>
      <c r="N424" s="40"/>
      <c r="O424" s="2823"/>
      <c r="P424" s="2823"/>
      <c r="Q424" s="2647"/>
      <c r="R424" s="40"/>
      <c r="S424" s="6"/>
      <c r="T424" s="32"/>
      <c r="U424" s="7"/>
      <c r="V424" s="40"/>
      <c r="W424" s="6"/>
      <c r="X424" s="32"/>
      <c r="Y424" s="7"/>
      <c r="Z424" s="40"/>
      <c r="AA424" s="2630"/>
      <c r="AB424" s="2631"/>
    </row>
    <row r="425" spans="1:28" ht="40.5" thickBot="1">
      <c r="A425" s="2452" t="s">
        <v>5388</v>
      </c>
      <c r="B425" s="101" t="s">
        <v>5378</v>
      </c>
      <c r="C425" s="115"/>
      <c r="D425" s="32"/>
      <c r="E425" s="7"/>
      <c r="F425" s="40"/>
      <c r="G425" s="6"/>
      <c r="H425" s="32"/>
      <c r="I425" s="7"/>
      <c r="J425" s="40"/>
      <c r="K425" s="6"/>
      <c r="L425" s="32"/>
      <c r="M425" s="7"/>
      <c r="N425" s="40"/>
      <c r="O425" s="6"/>
      <c r="P425" s="32"/>
      <c r="Q425" s="7"/>
      <c r="R425" s="40"/>
      <c r="S425" s="6"/>
      <c r="T425" s="32"/>
      <c r="U425" s="7"/>
      <c r="V425" s="40"/>
      <c r="W425" s="6"/>
      <c r="X425" s="32"/>
      <c r="Y425" s="7"/>
      <c r="Z425" s="32"/>
      <c r="AA425" s="31"/>
      <c r="AB425" s="32"/>
    </row>
    <row r="426" spans="1:28" ht="40.5">
      <c r="A426" s="2452"/>
      <c r="B426" s="101"/>
      <c r="C426" s="115"/>
      <c r="D426" s="3"/>
      <c r="E426" s="3"/>
      <c r="F426" s="3"/>
      <c r="G426" s="3"/>
      <c r="H426" s="3"/>
      <c r="I426" s="3"/>
      <c r="J426" s="3"/>
      <c r="K426" s="3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B426" s="4"/>
    </row>
    <row r="427" spans="1:28" ht="40.5" thickBot="1">
      <c r="A427" s="5" t="s">
        <v>5064</v>
      </c>
    </row>
    <row r="428" spans="1:28">
      <c r="A428" s="3544" t="s">
        <v>2</v>
      </c>
      <c r="B428" s="3546" t="s">
        <v>3</v>
      </c>
      <c r="C428" s="3537" t="s">
        <v>5065</v>
      </c>
      <c r="D428" s="3538"/>
      <c r="E428" s="3536" t="s">
        <v>5066</v>
      </c>
      <c r="F428" s="3536"/>
      <c r="G428" s="3537" t="s">
        <v>5067</v>
      </c>
      <c r="H428" s="3538"/>
      <c r="I428" s="3536" t="s">
        <v>5068</v>
      </c>
      <c r="J428" s="3536"/>
      <c r="K428" s="3537" t="s">
        <v>5069</v>
      </c>
      <c r="L428" s="3538"/>
      <c r="M428" s="3536" t="s">
        <v>5070</v>
      </c>
      <c r="N428" s="3536"/>
      <c r="O428" s="3542"/>
      <c r="P428" s="3542"/>
      <c r="Q428" s="3536" t="s">
        <v>5071</v>
      </c>
      <c r="R428" s="3536"/>
      <c r="S428" s="3536" t="s">
        <v>5072</v>
      </c>
      <c r="T428" s="3536"/>
      <c r="U428" s="3472" t="s">
        <v>5073</v>
      </c>
      <c r="V428" s="3473"/>
      <c r="W428" s="3536" t="s">
        <v>5074</v>
      </c>
      <c r="X428" s="3536"/>
      <c r="Y428" s="3472" t="s">
        <v>5075</v>
      </c>
      <c r="Z428" s="3475"/>
      <c r="AA428" s="3537" t="s">
        <v>5076</v>
      </c>
      <c r="AB428" s="3538"/>
    </row>
    <row r="429" spans="1:28" ht="40.5" thickBot="1">
      <c r="A429" s="3545"/>
      <c r="B429" s="3547"/>
      <c r="C429" s="1" t="s">
        <v>5078</v>
      </c>
      <c r="D429" s="35" t="s">
        <v>5079</v>
      </c>
      <c r="E429" s="2" t="s">
        <v>5078</v>
      </c>
      <c r="F429" s="36" t="s">
        <v>5079</v>
      </c>
      <c r="G429" s="1" t="s">
        <v>5078</v>
      </c>
      <c r="H429" s="35" t="s">
        <v>5079</v>
      </c>
      <c r="I429" s="2" t="s">
        <v>5078</v>
      </c>
      <c r="J429" s="36" t="s">
        <v>5079</v>
      </c>
      <c r="K429" s="1" t="s">
        <v>5078</v>
      </c>
      <c r="L429" s="35" t="s">
        <v>5079</v>
      </c>
      <c r="M429" s="2" t="s">
        <v>5078</v>
      </c>
      <c r="N429" s="36" t="s">
        <v>5079</v>
      </c>
      <c r="O429" s="2769"/>
      <c r="P429" s="2820"/>
      <c r="Q429" s="2" t="s">
        <v>5078</v>
      </c>
      <c r="R429" s="36" t="s">
        <v>5079</v>
      </c>
      <c r="S429" s="1" t="s">
        <v>5078</v>
      </c>
      <c r="T429" s="35" t="s">
        <v>5079</v>
      </c>
      <c r="U429" s="2" t="s">
        <v>5078</v>
      </c>
      <c r="V429" s="36" t="s">
        <v>5079</v>
      </c>
      <c r="W429" s="1" t="s">
        <v>5078</v>
      </c>
      <c r="X429" s="35" t="s">
        <v>5079</v>
      </c>
      <c r="Y429" s="2" t="s">
        <v>5078</v>
      </c>
      <c r="Z429" s="36" t="s">
        <v>5079</v>
      </c>
      <c r="AA429" s="1" t="s">
        <v>5078</v>
      </c>
      <c r="AB429" s="35" t="s">
        <v>5079</v>
      </c>
    </row>
    <row r="430" spans="1:28">
      <c r="A430" s="2453" t="s">
        <v>5389</v>
      </c>
      <c r="B430" s="101" t="s">
        <v>5378</v>
      </c>
      <c r="C430" s="9"/>
      <c r="D430" s="10"/>
      <c r="E430" s="11"/>
      <c r="F430" s="12"/>
      <c r="G430" s="9"/>
      <c r="H430" s="10"/>
      <c r="I430" s="11"/>
      <c r="J430" s="12"/>
      <c r="K430" s="9"/>
      <c r="L430" s="10"/>
      <c r="M430" s="11"/>
      <c r="N430" s="12"/>
      <c r="O430" s="2821" t="s">
        <v>5390</v>
      </c>
      <c r="P430" s="2822"/>
      <c r="Q430" s="11"/>
      <c r="R430" s="12"/>
      <c r="S430" s="9"/>
      <c r="T430" s="10"/>
      <c r="U430" s="11"/>
      <c r="V430" s="12"/>
      <c r="W430" s="9"/>
      <c r="X430" s="10"/>
      <c r="Y430" s="11"/>
      <c r="Z430" s="12"/>
      <c r="AA430" s="33"/>
      <c r="AB430" s="10"/>
    </row>
    <row r="431" spans="1:28">
      <c r="A431" s="2453" t="s">
        <v>5391</v>
      </c>
      <c r="B431" s="101" t="s">
        <v>5378</v>
      </c>
      <c r="C431" s="14"/>
      <c r="D431" s="15"/>
      <c r="E431" s="16"/>
      <c r="F431" s="17"/>
      <c r="G431" s="14"/>
      <c r="H431" s="15"/>
      <c r="I431" s="16"/>
      <c r="J431" s="17"/>
      <c r="K431" s="14"/>
      <c r="L431" s="15"/>
      <c r="M431" s="16"/>
      <c r="N431" s="17"/>
      <c r="O431" s="2823" t="s">
        <v>5392</v>
      </c>
      <c r="P431" s="2823"/>
      <c r="Q431" s="2646"/>
      <c r="R431" s="17"/>
      <c r="S431" s="14"/>
      <c r="T431" s="15"/>
      <c r="U431" s="16"/>
      <c r="V431" s="17"/>
      <c r="W431" s="14"/>
      <c r="X431" s="15"/>
      <c r="Y431" s="16"/>
      <c r="Z431" s="17"/>
      <c r="AA431" s="30"/>
      <c r="AB431" s="15"/>
    </row>
    <row r="432" spans="1:28">
      <c r="A432" s="2453" t="s">
        <v>5393</v>
      </c>
      <c r="B432" s="101" t="s">
        <v>5378</v>
      </c>
      <c r="C432" s="14"/>
      <c r="D432" s="15"/>
      <c r="E432" s="16"/>
      <c r="F432" s="17"/>
      <c r="G432" s="14"/>
      <c r="H432" s="15"/>
      <c r="I432" s="16"/>
      <c r="J432" s="17"/>
      <c r="K432" s="14"/>
      <c r="L432" s="15"/>
      <c r="M432" s="16"/>
      <c r="N432" s="17"/>
      <c r="O432" s="2823" t="s">
        <v>5394</v>
      </c>
      <c r="P432" s="2823"/>
      <c r="Q432" s="2646"/>
      <c r="R432" s="17"/>
      <c r="S432" s="14"/>
      <c r="T432" s="15"/>
      <c r="U432" s="16"/>
      <c r="V432" s="17"/>
      <c r="W432" s="14"/>
      <c r="X432" s="15"/>
      <c r="Y432" s="16"/>
      <c r="Z432" s="17"/>
      <c r="AA432" s="30"/>
      <c r="AB432" s="15"/>
    </row>
    <row r="433" spans="1:28">
      <c r="A433" s="2453" t="s">
        <v>5395</v>
      </c>
      <c r="B433" s="101" t="s">
        <v>5378</v>
      </c>
      <c r="C433" s="14"/>
      <c r="D433" s="15"/>
      <c r="E433" s="16"/>
      <c r="F433" s="17"/>
      <c r="G433" s="14"/>
      <c r="H433" s="15"/>
      <c r="I433" s="16"/>
      <c r="J433" s="17"/>
      <c r="K433" s="14"/>
      <c r="L433" s="15"/>
      <c r="M433" s="16"/>
      <c r="N433" s="17"/>
      <c r="O433" s="2823" t="s">
        <v>5396</v>
      </c>
      <c r="P433" s="2823"/>
      <c r="Q433" s="2646"/>
      <c r="R433" s="17"/>
      <c r="S433" s="14"/>
      <c r="T433" s="15"/>
      <c r="U433" s="16"/>
      <c r="V433" s="17"/>
      <c r="W433" s="14"/>
      <c r="X433" s="15"/>
      <c r="Y433" s="16"/>
      <c r="Z433" s="17"/>
      <c r="AA433" s="30"/>
      <c r="AB433" s="15"/>
    </row>
    <row r="434" spans="1:28">
      <c r="A434" s="2453" t="s">
        <v>5397</v>
      </c>
      <c r="B434" s="101" t="s">
        <v>5378</v>
      </c>
      <c r="C434" s="14"/>
      <c r="D434" s="15"/>
      <c r="E434" s="16"/>
      <c r="F434" s="17"/>
      <c r="G434" s="14"/>
      <c r="H434" s="15"/>
      <c r="I434" s="16"/>
      <c r="J434" s="17"/>
      <c r="K434" s="14"/>
      <c r="L434" s="15"/>
      <c r="M434" s="16"/>
      <c r="N434" s="17"/>
      <c r="O434" s="2823" t="s">
        <v>5398</v>
      </c>
      <c r="P434" s="2823"/>
      <c r="Q434" s="2646"/>
      <c r="R434" s="17"/>
      <c r="S434" s="14"/>
      <c r="T434" s="15"/>
      <c r="U434" s="16"/>
      <c r="V434" s="17"/>
      <c r="W434" s="14"/>
      <c r="X434" s="15"/>
      <c r="Y434" s="16"/>
      <c r="Z434" s="17"/>
      <c r="AA434" s="30"/>
      <c r="AB434" s="15"/>
    </row>
    <row r="435" spans="1:28">
      <c r="A435" s="2938" t="s">
        <v>5399</v>
      </c>
      <c r="B435" s="2939" t="s">
        <v>5375</v>
      </c>
      <c r="C435" s="14"/>
      <c r="D435" s="15"/>
      <c r="E435" s="16"/>
      <c r="F435" s="17"/>
      <c r="G435" s="14"/>
      <c r="H435" s="15"/>
      <c r="I435" s="16"/>
      <c r="J435" s="17"/>
      <c r="K435" s="14"/>
      <c r="L435" s="15"/>
      <c r="M435" s="16"/>
      <c r="N435" s="17"/>
      <c r="O435" s="2823" t="s">
        <v>5400</v>
      </c>
      <c r="P435" s="2823"/>
      <c r="Q435" s="2646"/>
      <c r="R435" s="17"/>
      <c r="S435" s="14"/>
      <c r="T435" s="15"/>
      <c r="U435" s="16"/>
      <c r="V435" s="17"/>
      <c r="W435" s="14"/>
      <c r="X435" s="15"/>
      <c r="Y435" s="16"/>
      <c r="Z435" s="17"/>
      <c r="AA435" s="30"/>
      <c r="AB435" s="15"/>
    </row>
    <row r="436" spans="1:28">
      <c r="A436" s="2938" t="s">
        <v>5401</v>
      </c>
      <c r="B436" s="2939" t="s">
        <v>5375</v>
      </c>
      <c r="C436" s="14"/>
      <c r="D436" s="15"/>
      <c r="E436" s="16"/>
      <c r="F436" s="17"/>
      <c r="G436" s="14"/>
      <c r="H436" s="15"/>
      <c r="I436" s="16"/>
      <c r="J436" s="17"/>
      <c r="K436" s="14"/>
      <c r="L436" s="15"/>
      <c r="M436" s="16"/>
      <c r="N436" s="17"/>
      <c r="O436" s="2823" t="s">
        <v>5402</v>
      </c>
      <c r="P436" s="2823"/>
      <c r="Q436" s="2646"/>
      <c r="R436" s="17"/>
      <c r="S436" s="14"/>
      <c r="T436" s="15"/>
      <c r="U436" s="16"/>
      <c r="V436" s="17"/>
      <c r="W436" s="14"/>
      <c r="X436" s="15"/>
      <c r="Y436" s="16"/>
      <c r="Z436" s="17"/>
      <c r="AA436" s="30"/>
      <c r="AB436" s="15"/>
    </row>
    <row r="437" spans="1:28">
      <c r="A437" s="2938" t="s">
        <v>5403</v>
      </c>
      <c r="B437" s="2939" t="s">
        <v>5375</v>
      </c>
      <c r="C437" s="14"/>
      <c r="D437" s="15"/>
      <c r="E437" s="16"/>
      <c r="F437" s="17"/>
      <c r="G437" s="14"/>
      <c r="H437" s="15"/>
      <c r="I437" s="16"/>
      <c r="J437" s="17"/>
      <c r="K437" s="14"/>
      <c r="L437" s="15"/>
      <c r="M437" s="16"/>
      <c r="N437" s="17"/>
      <c r="O437" s="2823" t="s">
        <v>5404</v>
      </c>
      <c r="P437" s="2823"/>
      <c r="Q437" s="2646"/>
      <c r="R437" s="17"/>
      <c r="S437" s="14"/>
      <c r="T437" s="15"/>
      <c r="U437" s="16"/>
      <c r="V437" s="17"/>
      <c r="W437" s="14"/>
      <c r="X437" s="15"/>
      <c r="Y437" s="16"/>
      <c r="Z437" s="17"/>
      <c r="AA437" s="30"/>
      <c r="AB437" s="15"/>
    </row>
    <row r="438" spans="1:28">
      <c r="A438" s="2940" t="s">
        <v>5405</v>
      </c>
      <c r="B438" s="101"/>
      <c r="C438" s="14"/>
      <c r="D438" s="15"/>
      <c r="E438" s="16"/>
      <c r="F438" s="17"/>
      <c r="G438" s="14"/>
      <c r="H438" s="15"/>
      <c r="I438" s="16"/>
      <c r="J438" s="17"/>
      <c r="K438" s="14"/>
      <c r="L438" s="15"/>
      <c r="M438" s="16"/>
      <c r="N438" s="17"/>
      <c r="O438" s="2823" t="s">
        <v>5406</v>
      </c>
      <c r="P438" s="2823"/>
      <c r="Q438" s="2646"/>
      <c r="R438" s="17"/>
      <c r="S438" s="14"/>
      <c r="T438" s="15"/>
      <c r="U438" s="16"/>
      <c r="V438" s="17"/>
      <c r="W438" s="14"/>
      <c r="X438" s="15"/>
      <c r="Y438" s="16"/>
      <c r="Z438" s="17"/>
      <c r="AA438" s="30"/>
      <c r="AB438" s="15"/>
    </row>
    <row r="439" spans="1:28">
      <c r="A439" s="2940" t="s">
        <v>5407</v>
      </c>
      <c r="B439" s="341"/>
      <c r="C439" s="14"/>
      <c r="D439" s="15"/>
      <c r="E439" s="16"/>
      <c r="F439" s="17"/>
      <c r="G439" s="14"/>
      <c r="H439" s="15"/>
      <c r="I439" s="16"/>
      <c r="J439" s="17"/>
      <c r="K439" s="14"/>
      <c r="L439" s="15"/>
      <c r="M439" s="16"/>
      <c r="N439" s="17"/>
      <c r="O439" s="2823" t="s">
        <v>5408</v>
      </c>
      <c r="P439" s="2823"/>
      <c r="Q439" s="2646"/>
      <c r="R439" s="17"/>
      <c r="S439" s="14"/>
      <c r="T439" s="15"/>
      <c r="U439" s="16"/>
      <c r="V439" s="17"/>
      <c r="W439" s="14"/>
      <c r="X439" s="15"/>
      <c r="Y439" s="16"/>
      <c r="Z439" s="17"/>
      <c r="AA439" s="30"/>
      <c r="AB439" s="15"/>
    </row>
    <row r="440" spans="1:28">
      <c r="A440" s="2938" t="s">
        <v>5409</v>
      </c>
      <c r="B440" s="341"/>
      <c r="C440" s="14"/>
      <c r="D440" s="15"/>
      <c r="E440" s="16"/>
      <c r="F440" s="17"/>
      <c r="G440" s="14"/>
      <c r="H440" s="15"/>
      <c r="I440" s="16"/>
      <c r="J440" s="17"/>
      <c r="K440" s="14"/>
      <c r="L440" s="15"/>
      <c r="M440" s="16"/>
      <c r="N440" s="17"/>
      <c r="O440" s="2823" t="s">
        <v>5410</v>
      </c>
      <c r="P440" s="2823"/>
      <c r="Q440" s="2646"/>
      <c r="R440" s="17"/>
      <c r="S440" s="14"/>
      <c r="T440" s="15"/>
      <c r="U440" s="16"/>
      <c r="V440" s="17"/>
      <c r="W440" s="14"/>
      <c r="X440" s="15"/>
      <c r="Y440" s="16"/>
      <c r="Z440" s="17"/>
      <c r="AA440" s="30"/>
      <c r="AB440" s="15"/>
    </row>
    <row r="441" spans="1:28">
      <c r="A441" s="2938" t="s">
        <v>5411</v>
      </c>
      <c r="B441" s="341"/>
      <c r="C441" s="14"/>
      <c r="D441" s="15"/>
      <c r="E441" s="16"/>
      <c r="F441" s="17"/>
      <c r="G441" s="14"/>
      <c r="H441" s="15"/>
      <c r="I441" s="16"/>
      <c r="J441" s="17"/>
      <c r="K441" s="14"/>
      <c r="L441" s="15"/>
      <c r="M441" s="16"/>
      <c r="N441" s="17"/>
      <c r="O441" s="2823" t="s">
        <v>5412</v>
      </c>
      <c r="P441" s="2823"/>
      <c r="Q441" s="2646"/>
      <c r="R441" s="17"/>
      <c r="S441" s="14"/>
      <c r="T441" s="15"/>
      <c r="U441" s="16"/>
      <c r="V441" s="17"/>
      <c r="W441" s="14"/>
      <c r="X441" s="15"/>
      <c r="Y441" s="16"/>
      <c r="Z441" s="17"/>
      <c r="AA441" s="30"/>
      <c r="AB441" s="15"/>
    </row>
    <row r="442" spans="1:28">
      <c r="A442" s="2938"/>
      <c r="B442" s="2567"/>
      <c r="C442" s="14"/>
      <c r="D442" s="15"/>
      <c r="E442" s="16"/>
      <c r="F442" s="17"/>
      <c r="G442" s="14"/>
      <c r="H442" s="15"/>
      <c r="I442" s="16"/>
      <c r="J442" s="17"/>
      <c r="K442" s="14"/>
      <c r="L442" s="15"/>
      <c r="M442" s="16"/>
      <c r="N442" s="17"/>
      <c r="O442" s="2823"/>
      <c r="P442" s="2823"/>
      <c r="Q442" s="2646"/>
      <c r="R442" s="17"/>
      <c r="S442" s="14"/>
      <c r="T442" s="15"/>
      <c r="U442" s="16"/>
      <c r="V442" s="17"/>
      <c r="W442" s="14"/>
      <c r="X442" s="15"/>
      <c r="Y442" s="16"/>
      <c r="Z442" s="17"/>
      <c r="AA442" s="30"/>
      <c r="AB442" s="15"/>
    </row>
    <row r="443" spans="1:28">
      <c r="A443" s="925" t="s">
        <v>5413</v>
      </c>
      <c r="B443" s="341" t="s">
        <v>5414</v>
      </c>
      <c r="C443" s="14"/>
      <c r="D443" s="15"/>
      <c r="E443" s="16"/>
      <c r="F443" s="17"/>
      <c r="G443" s="14"/>
      <c r="H443" s="15"/>
      <c r="I443" s="16"/>
      <c r="J443" s="17"/>
      <c r="K443" s="14"/>
      <c r="L443" s="15"/>
      <c r="M443" s="16"/>
      <c r="N443" s="17"/>
      <c r="O443" s="2823" t="s">
        <v>5415</v>
      </c>
      <c r="P443" s="2823"/>
      <c r="Q443" s="2646"/>
      <c r="R443" s="17"/>
      <c r="S443" s="14"/>
      <c r="T443" s="15"/>
      <c r="U443" s="16"/>
      <c r="V443" s="17"/>
      <c r="W443" s="14"/>
      <c r="X443" s="15"/>
      <c r="Y443" s="16"/>
      <c r="Z443" s="17"/>
      <c r="AA443" s="30"/>
      <c r="AB443" s="15"/>
    </row>
    <row r="444" spans="1:28">
      <c r="A444" s="778" t="s">
        <v>5416</v>
      </c>
      <c r="B444" s="341" t="s">
        <v>5417</v>
      </c>
      <c r="C444" s="14"/>
      <c r="D444" s="15"/>
      <c r="E444" s="16"/>
      <c r="F444" s="17"/>
      <c r="G444" s="14"/>
      <c r="H444" s="15"/>
      <c r="I444" s="16"/>
      <c r="J444" s="17"/>
      <c r="K444" s="14"/>
      <c r="L444" s="15"/>
      <c r="M444" s="16"/>
      <c r="N444" s="17"/>
      <c r="O444" s="2824" t="s">
        <v>5418</v>
      </c>
      <c r="P444" s="2824"/>
      <c r="Q444" s="2646"/>
      <c r="R444" s="17"/>
      <c r="S444" s="14"/>
      <c r="T444" s="15"/>
      <c r="U444" s="16"/>
      <c r="V444" s="17"/>
      <c r="W444" s="14"/>
      <c r="X444" s="15"/>
      <c r="Y444" s="16"/>
      <c r="Z444" s="17"/>
      <c r="AA444" s="30"/>
      <c r="AB444" s="15"/>
    </row>
    <row r="445" spans="1:28">
      <c r="A445" s="778" t="s">
        <v>5419</v>
      </c>
      <c r="B445" s="341" t="s">
        <v>5417</v>
      </c>
      <c r="C445" s="14"/>
      <c r="D445" s="15"/>
      <c r="E445" s="16"/>
      <c r="F445" s="17"/>
      <c r="G445" s="14"/>
      <c r="H445" s="15"/>
      <c r="I445" s="16"/>
      <c r="J445" s="17"/>
      <c r="K445" s="14"/>
      <c r="L445" s="15"/>
      <c r="M445" s="16"/>
      <c r="N445" s="17"/>
      <c r="O445" s="2825" t="s">
        <v>5420</v>
      </c>
      <c r="P445" s="2826"/>
      <c r="Q445" s="2645"/>
      <c r="R445" s="1795"/>
      <c r="S445" s="14"/>
      <c r="T445" s="15"/>
      <c r="U445" s="16"/>
      <c r="V445" s="17"/>
      <c r="W445" s="14"/>
      <c r="X445" s="15"/>
      <c r="Y445" s="16"/>
      <c r="Z445" s="17"/>
      <c r="AA445" s="30"/>
      <c r="AB445" s="15"/>
    </row>
    <row r="446" spans="1:28">
      <c r="A446" s="778" t="s">
        <v>5421</v>
      </c>
      <c r="B446" s="341" t="s">
        <v>5417</v>
      </c>
      <c r="C446" s="14"/>
      <c r="D446" s="15"/>
      <c r="E446" s="16"/>
      <c r="F446" s="17"/>
      <c r="G446" s="14"/>
      <c r="H446" s="15"/>
      <c r="I446" s="16"/>
      <c r="J446" s="17"/>
      <c r="K446" s="14"/>
      <c r="L446" s="15"/>
      <c r="M446" s="16"/>
      <c r="N446" s="17"/>
      <c r="O446" s="2920" t="s">
        <v>5422</v>
      </c>
      <c r="P446" s="2826"/>
      <c r="Q446" s="2649"/>
      <c r="R446" s="2650"/>
      <c r="S446" s="2651"/>
      <c r="T446" s="2648"/>
      <c r="U446" s="16"/>
      <c r="V446" s="17"/>
      <c r="W446" s="14"/>
      <c r="X446" s="15"/>
      <c r="Y446" s="16"/>
      <c r="Z446" s="17"/>
      <c r="AA446" s="30"/>
      <c r="AB446" s="15"/>
    </row>
    <row r="447" spans="1:28" ht="40.5" thickBot="1">
      <c r="A447" s="778" t="s">
        <v>5423</v>
      </c>
      <c r="B447" s="2567" t="s">
        <v>5424</v>
      </c>
      <c r="C447" s="6"/>
      <c r="D447" s="32"/>
      <c r="E447" s="7"/>
      <c r="F447" s="40"/>
      <c r="G447" s="6"/>
      <c r="H447" s="32"/>
      <c r="I447" s="7"/>
      <c r="J447" s="40"/>
      <c r="K447" s="6"/>
      <c r="L447" s="32"/>
      <c r="M447" s="7"/>
      <c r="N447" s="40"/>
      <c r="O447" s="2823" t="s">
        <v>5425</v>
      </c>
      <c r="P447" s="2823"/>
      <c r="Q447" s="2647"/>
      <c r="R447" s="40"/>
      <c r="S447" s="6"/>
      <c r="T447" s="32"/>
      <c r="U447" s="7"/>
      <c r="V447" s="40"/>
      <c r="W447" s="6"/>
      <c r="X447" s="32"/>
      <c r="Y447" s="7"/>
      <c r="Z447" s="40"/>
      <c r="AA447" s="2630"/>
      <c r="AB447" s="2631"/>
    </row>
    <row r="448" spans="1:28" ht="40.5" thickBot="1">
      <c r="A448" s="2572" t="s">
        <v>5426</v>
      </c>
      <c r="B448" s="2567" t="s">
        <v>5427</v>
      </c>
      <c r="C448" s="6"/>
      <c r="D448" s="32"/>
      <c r="E448" s="7"/>
      <c r="F448" s="40"/>
      <c r="G448" s="6"/>
      <c r="H448" s="32"/>
      <c r="I448" s="7"/>
      <c r="J448" s="40"/>
      <c r="K448" s="6"/>
      <c r="L448" s="32"/>
      <c r="M448" s="7"/>
      <c r="N448" s="40"/>
      <c r="O448" s="1" t="s">
        <v>5428</v>
      </c>
      <c r="P448" s="2829"/>
      <c r="Q448" s="2"/>
      <c r="R448" s="40"/>
      <c r="S448" s="6"/>
      <c r="T448" s="32"/>
      <c r="U448" s="7"/>
      <c r="V448" s="40"/>
      <c r="W448" s="6"/>
      <c r="X448" s="32"/>
      <c r="Y448" s="7"/>
      <c r="Z448" s="32"/>
      <c r="AA448" s="31"/>
      <c r="AB448" s="32"/>
    </row>
    <row r="449" spans="1:28" ht="40.5">
      <c r="A449" s="3" t="s">
        <v>5063</v>
      </c>
      <c r="B449" s="23"/>
      <c r="C449" s="3"/>
      <c r="D449" s="3"/>
      <c r="E449" s="3"/>
      <c r="F449" s="3"/>
      <c r="G449" s="3"/>
      <c r="H449" s="3"/>
      <c r="I449" s="3"/>
      <c r="J449" s="3"/>
      <c r="K449" s="3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B449" s="4"/>
    </row>
    <row r="450" spans="1:28" ht="40.5" thickBot="1">
      <c r="A450" s="5" t="s">
        <v>5064</v>
      </c>
    </row>
    <row r="451" spans="1:28">
      <c r="A451" s="3544" t="s">
        <v>2</v>
      </c>
      <c r="B451" s="3546" t="s">
        <v>3</v>
      </c>
      <c r="C451" s="3537" t="s">
        <v>5065</v>
      </c>
      <c r="D451" s="3538"/>
      <c r="E451" s="3536" t="s">
        <v>5066</v>
      </c>
      <c r="F451" s="3536"/>
      <c r="G451" s="3537" t="s">
        <v>5067</v>
      </c>
      <c r="H451" s="3538"/>
      <c r="I451" s="3536" t="s">
        <v>5068</v>
      </c>
      <c r="J451" s="3536"/>
      <c r="K451" s="3537" t="s">
        <v>5069</v>
      </c>
      <c r="L451" s="3538"/>
      <c r="M451" s="3536" t="s">
        <v>5070</v>
      </c>
      <c r="N451" s="3536"/>
      <c r="O451" s="3542"/>
      <c r="P451" s="3542"/>
      <c r="Q451" s="3536" t="s">
        <v>5071</v>
      </c>
      <c r="R451" s="3536"/>
      <c r="S451" s="3536" t="s">
        <v>5072</v>
      </c>
      <c r="T451" s="3536"/>
      <c r="U451" s="3472" t="s">
        <v>5073</v>
      </c>
      <c r="V451" s="3473"/>
      <c r="W451" s="3536" t="s">
        <v>5074</v>
      </c>
      <c r="X451" s="3536"/>
      <c r="Y451" s="3472" t="s">
        <v>5075</v>
      </c>
      <c r="Z451" s="3475"/>
      <c r="AA451" s="3537" t="s">
        <v>5076</v>
      </c>
      <c r="AB451" s="3538"/>
    </row>
    <row r="452" spans="1:28" ht="40.5" thickBot="1">
      <c r="A452" s="3545"/>
      <c r="B452" s="3547"/>
      <c r="C452" s="1" t="s">
        <v>5078</v>
      </c>
      <c r="D452" s="35" t="s">
        <v>5079</v>
      </c>
      <c r="E452" s="2" t="s">
        <v>5078</v>
      </c>
      <c r="F452" s="36" t="s">
        <v>5079</v>
      </c>
      <c r="G452" s="1" t="s">
        <v>5078</v>
      </c>
      <c r="H452" s="35" t="s">
        <v>5079</v>
      </c>
      <c r="I452" s="2" t="s">
        <v>5078</v>
      </c>
      <c r="J452" s="36" t="s">
        <v>5079</v>
      </c>
      <c r="K452" s="1" t="s">
        <v>5078</v>
      </c>
      <c r="L452" s="35" t="s">
        <v>5079</v>
      </c>
      <c r="M452" s="2" t="s">
        <v>5078</v>
      </c>
      <c r="N452" s="36" t="s">
        <v>5079</v>
      </c>
      <c r="O452" s="2769"/>
      <c r="P452" s="2820"/>
      <c r="Q452" s="2" t="s">
        <v>5078</v>
      </c>
      <c r="R452" s="36" t="s">
        <v>5079</v>
      </c>
      <c r="S452" s="1" t="s">
        <v>5078</v>
      </c>
      <c r="T452" s="35" t="s">
        <v>5079</v>
      </c>
      <c r="U452" s="2" t="s">
        <v>5078</v>
      </c>
      <c r="V452" s="36" t="s">
        <v>5079</v>
      </c>
      <c r="W452" s="1" t="s">
        <v>5078</v>
      </c>
      <c r="X452" s="35" t="s">
        <v>5079</v>
      </c>
      <c r="Y452" s="2" t="s">
        <v>5078</v>
      </c>
      <c r="Z452" s="36" t="s">
        <v>5079</v>
      </c>
      <c r="AA452" s="1" t="s">
        <v>5078</v>
      </c>
      <c r="AB452" s="35" t="s">
        <v>5079</v>
      </c>
    </row>
    <row r="453" spans="1:28">
      <c r="A453" s="224" t="s">
        <v>5429</v>
      </c>
      <c r="B453" s="101" t="s">
        <v>5430</v>
      </c>
      <c r="C453" s="9"/>
      <c r="D453" s="10"/>
      <c r="E453" s="11"/>
      <c r="F453" s="12"/>
      <c r="G453" s="9"/>
      <c r="H453" s="10"/>
      <c r="I453" s="11"/>
      <c r="J453" s="12"/>
      <c r="K453" s="9"/>
      <c r="L453" s="10"/>
      <c r="M453" s="11"/>
      <c r="N453" s="12"/>
      <c r="O453" s="2942" t="s">
        <v>5431</v>
      </c>
      <c r="P453" s="2928"/>
      <c r="Q453" s="11"/>
      <c r="R453" s="12"/>
      <c r="S453" s="9"/>
      <c r="T453" s="10"/>
      <c r="U453" s="11"/>
      <c r="V453" s="12"/>
      <c r="W453" s="9"/>
      <c r="X453" s="10"/>
      <c r="Y453" s="11"/>
      <c r="Z453" s="12"/>
      <c r="AA453" s="33"/>
      <c r="AB453" s="10"/>
    </row>
    <row r="454" spans="1:28">
      <c r="A454" s="224" t="s">
        <v>5432</v>
      </c>
      <c r="B454" s="101" t="s">
        <v>5433</v>
      </c>
      <c r="C454" s="14"/>
      <c r="D454" s="15"/>
      <c r="E454" s="16"/>
      <c r="F454" s="17"/>
      <c r="G454" s="14"/>
      <c r="H454" s="15"/>
      <c r="I454" s="16"/>
      <c r="J454" s="17"/>
      <c r="K454" s="14"/>
      <c r="L454" s="15"/>
      <c r="M454" s="16"/>
      <c r="N454" s="17"/>
      <c r="O454" s="2942" t="s">
        <v>5434</v>
      </c>
      <c r="P454" s="2929"/>
      <c r="Q454" s="2646"/>
      <c r="R454" s="17"/>
      <c r="S454" s="14"/>
      <c r="T454" s="15"/>
      <c r="U454" s="16"/>
      <c r="V454" s="17"/>
      <c r="W454" s="14"/>
      <c r="X454" s="15"/>
      <c r="Y454" s="16"/>
      <c r="Z454" s="17"/>
      <c r="AA454" s="30"/>
      <c r="AB454" s="15"/>
    </row>
    <row r="455" spans="1:28">
      <c r="A455" s="2282" t="s">
        <v>5435</v>
      </c>
      <c r="B455" s="101" t="s">
        <v>5208</v>
      </c>
      <c r="C455" s="14"/>
      <c r="D455" s="15"/>
      <c r="E455" s="16"/>
      <c r="F455" s="17"/>
      <c r="G455" s="14"/>
      <c r="H455" s="15"/>
      <c r="I455" s="16"/>
      <c r="J455" s="17"/>
      <c r="K455" s="14"/>
      <c r="L455" s="15"/>
      <c r="M455" s="16"/>
      <c r="N455" s="17"/>
      <c r="O455" s="2929" t="s">
        <v>5436</v>
      </c>
      <c r="P455" s="2929"/>
      <c r="Q455" s="2646"/>
      <c r="R455" s="17"/>
      <c r="S455" s="14"/>
      <c r="T455" s="15"/>
      <c r="U455" s="16"/>
      <c r="V455" s="17"/>
      <c r="W455" s="14"/>
      <c r="X455" s="15"/>
      <c r="Y455" s="16"/>
      <c r="Z455" s="17"/>
      <c r="AA455" s="30"/>
      <c r="AB455" s="15"/>
    </row>
    <row r="456" spans="1:28">
      <c r="A456" s="2282" t="s">
        <v>5437</v>
      </c>
      <c r="B456" s="101" t="s">
        <v>5208</v>
      </c>
      <c r="C456" s="14"/>
      <c r="D456" s="15"/>
      <c r="E456" s="16"/>
      <c r="F456" s="17"/>
      <c r="G456" s="14"/>
      <c r="H456" s="15"/>
      <c r="I456" s="16"/>
      <c r="J456" s="17"/>
      <c r="K456" s="14"/>
      <c r="L456" s="15"/>
      <c r="M456" s="16"/>
      <c r="N456" s="17"/>
      <c r="O456" s="2929" t="s">
        <v>5438</v>
      </c>
      <c r="P456" s="2929"/>
      <c r="Q456" s="2646"/>
      <c r="R456" s="17"/>
      <c r="S456" s="14"/>
      <c r="T456" s="15"/>
      <c r="U456" s="16"/>
      <c r="V456" s="17"/>
      <c r="W456" s="14"/>
      <c r="X456" s="15"/>
      <c r="Y456" s="16"/>
      <c r="Z456" s="17"/>
      <c r="AA456" s="30"/>
      <c r="AB456" s="15"/>
    </row>
    <row r="457" spans="1:28">
      <c r="A457" s="2282" t="s">
        <v>5439</v>
      </c>
      <c r="B457" s="101" t="s">
        <v>5208</v>
      </c>
      <c r="C457" s="14"/>
      <c r="D457" s="15"/>
      <c r="E457" s="16"/>
      <c r="F457" s="17"/>
      <c r="G457" s="14"/>
      <c r="H457" s="15"/>
      <c r="I457" s="16"/>
      <c r="J457" s="17"/>
      <c r="K457" s="14"/>
      <c r="L457" s="15"/>
      <c r="M457" s="16"/>
      <c r="N457" s="17"/>
      <c r="O457" s="2929" t="s">
        <v>5440</v>
      </c>
      <c r="P457" s="2929"/>
      <c r="Q457" s="2646"/>
      <c r="R457" s="17"/>
      <c r="S457" s="14"/>
      <c r="T457" s="15"/>
      <c r="U457" s="16"/>
      <c r="V457" s="17"/>
      <c r="W457" s="14"/>
      <c r="X457" s="15"/>
      <c r="Y457" s="16"/>
      <c r="Z457" s="17"/>
      <c r="AA457" s="30"/>
      <c r="AB457" s="15"/>
    </row>
    <row r="458" spans="1:28">
      <c r="A458" s="2282" t="s">
        <v>5441</v>
      </c>
      <c r="B458" s="101" t="s">
        <v>5208</v>
      </c>
      <c r="C458" s="14"/>
      <c r="D458" s="15"/>
      <c r="E458" s="16"/>
      <c r="F458" s="17"/>
      <c r="G458" s="14"/>
      <c r="H458" s="15"/>
      <c r="I458" s="16"/>
      <c r="J458" s="17"/>
      <c r="K458" s="14"/>
      <c r="L458" s="15"/>
      <c r="M458" s="16"/>
      <c r="N458" s="17"/>
      <c r="O458" s="2929" t="s">
        <v>5442</v>
      </c>
      <c r="P458" s="2929"/>
      <c r="Q458" s="2646"/>
      <c r="R458" s="17"/>
      <c r="S458" s="14"/>
      <c r="T458" s="15"/>
      <c r="U458" s="16"/>
      <c r="V458" s="17"/>
      <c r="W458" s="14"/>
      <c r="X458" s="15"/>
      <c r="Y458" s="16"/>
      <c r="Z458" s="17"/>
      <c r="AA458" s="30"/>
      <c r="AB458" s="15"/>
    </row>
    <row r="459" spans="1:28">
      <c r="A459" s="2282" t="s">
        <v>5443</v>
      </c>
      <c r="B459" s="101" t="s">
        <v>5208</v>
      </c>
      <c r="C459" s="14"/>
      <c r="D459" s="15"/>
      <c r="E459" s="16"/>
      <c r="F459" s="17"/>
      <c r="G459" s="14"/>
      <c r="H459" s="15"/>
      <c r="I459" s="16"/>
      <c r="J459" s="17"/>
      <c r="K459" s="14"/>
      <c r="L459" s="15"/>
      <c r="M459" s="16"/>
      <c r="N459" s="17"/>
      <c r="O459" s="2929" t="s">
        <v>5444</v>
      </c>
      <c r="P459" s="2929"/>
      <c r="Q459" s="2646"/>
      <c r="R459" s="17"/>
      <c r="S459" s="14"/>
      <c r="T459" s="15"/>
      <c r="U459" s="16"/>
      <c r="V459" s="17"/>
      <c r="W459" s="14"/>
      <c r="X459" s="15"/>
      <c r="Y459" s="16"/>
      <c r="Z459" s="17"/>
      <c r="AA459" s="30"/>
      <c r="AB459" s="15"/>
    </row>
    <row r="460" spans="1:28">
      <c r="A460" s="2282" t="s">
        <v>5445</v>
      </c>
      <c r="B460" s="101" t="s">
        <v>5208</v>
      </c>
      <c r="C460" s="14"/>
      <c r="D460" s="15"/>
      <c r="E460" s="16"/>
      <c r="F460" s="17"/>
      <c r="G460" s="14"/>
      <c r="H460" s="15"/>
      <c r="I460" s="16"/>
      <c r="J460" s="17"/>
      <c r="K460" s="14"/>
      <c r="L460" s="15"/>
      <c r="M460" s="16"/>
      <c r="N460" s="17"/>
      <c r="O460" s="2929" t="s">
        <v>5446</v>
      </c>
      <c r="P460" s="2929"/>
      <c r="Q460" s="2646"/>
      <c r="R460" s="17"/>
      <c r="S460" s="14"/>
      <c r="T460" s="15"/>
      <c r="U460" s="16"/>
      <c r="V460" s="17"/>
      <c r="W460" s="14"/>
      <c r="X460" s="15"/>
      <c r="Y460" s="16"/>
      <c r="Z460" s="17"/>
      <c r="AA460" s="30"/>
      <c r="AB460" s="15"/>
    </row>
    <row r="461" spans="1:28">
      <c r="A461" s="2282" t="s">
        <v>5447</v>
      </c>
      <c r="B461" s="101" t="s">
        <v>5208</v>
      </c>
      <c r="C461" s="14"/>
      <c r="D461" s="15"/>
      <c r="E461" s="16"/>
      <c r="F461" s="17"/>
      <c r="G461" s="14"/>
      <c r="H461" s="15"/>
      <c r="I461" s="16"/>
      <c r="J461" s="17"/>
      <c r="K461" s="14"/>
      <c r="L461" s="15"/>
      <c r="M461" s="16"/>
      <c r="N461" s="17"/>
      <c r="O461" s="2929" t="s">
        <v>5448</v>
      </c>
      <c r="P461" s="2929"/>
      <c r="Q461" s="2646"/>
      <c r="R461" s="17"/>
      <c r="S461" s="14"/>
      <c r="T461" s="15"/>
      <c r="U461" s="16"/>
      <c r="V461" s="17"/>
      <c r="W461" s="14"/>
      <c r="X461" s="15"/>
      <c r="Y461" s="16"/>
      <c r="Z461" s="17"/>
      <c r="AA461" s="30"/>
      <c r="AB461" s="15"/>
    </row>
    <row r="462" spans="1:28">
      <c r="A462" s="2282" t="s">
        <v>5449</v>
      </c>
      <c r="B462" s="101" t="s">
        <v>5208</v>
      </c>
      <c r="C462" s="14"/>
      <c r="D462" s="15"/>
      <c r="E462" s="16"/>
      <c r="F462" s="17"/>
      <c r="G462" s="14"/>
      <c r="H462" s="15"/>
      <c r="I462" s="16"/>
      <c r="J462" s="17"/>
      <c r="K462" s="14"/>
      <c r="L462" s="15"/>
      <c r="M462" s="16"/>
      <c r="N462" s="17"/>
      <c r="O462" s="2929" t="s">
        <v>5450</v>
      </c>
      <c r="P462" s="2929"/>
      <c r="Q462" s="2646"/>
      <c r="R462" s="17"/>
      <c r="S462" s="14"/>
      <c r="T462" s="15"/>
      <c r="U462" s="16"/>
      <c r="V462" s="17"/>
      <c r="W462" s="14"/>
      <c r="X462" s="15"/>
      <c r="Y462" s="16"/>
      <c r="Z462" s="17"/>
      <c r="AA462" s="30"/>
      <c r="AB462" s="15"/>
    </row>
    <row r="463" spans="1:28">
      <c r="A463" s="224" t="s">
        <v>5451</v>
      </c>
      <c r="B463" s="101" t="s">
        <v>5223</v>
      </c>
      <c r="C463" s="14"/>
      <c r="D463" s="15"/>
      <c r="E463" s="16"/>
      <c r="F463" s="17"/>
      <c r="G463" s="14"/>
      <c r="H463" s="15"/>
      <c r="I463" s="16"/>
      <c r="J463" s="17"/>
      <c r="K463" s="14"/>
      <c r="L463" s="15"/>
      <c r="M463" s="16"/>
      <c r="N463" s="17"/>
      <c r="O463" s="2929" t="s">
        <v>5452</v>
      </c>
      <c r="P463" s="2929"/>
      <c r="Q463" s="2646"/>
      <c r="R463" s="17"/>
      <c r="S463" s="14"/>
      <c r="T463" s="15"/>
      <c r="U463" s="16"/>
      <c r="V463" s="17"/>
      <c r="W463" s="14"/>
      <c r="X463" s="15"/>
      <c r="Y463" s="16"/>
      <c r="Z463" s="17"/>
      <c r="AA463" s="30"/>
      <c r="AB463" s="15"/>
    </row>
    <row r="464" spans="1:28">
      <c r="A464" s="224" t="s">
        <v>5453</v>
      </c>
      <c r="B464" s="101" t="s">
        <v>5223</v>
      </c>
      <c r="C464" s="14"/>
      <c r="D464" s="15"/>
      <c r="E464" s="16"/>
      <c r="F464" s="17"/>
      <c r="G464" s="14"/>
      <c r="H464" s="15"/>
      <c r="I464" s="16"/>
      <c r="J464" s="17"/>
      <c r="K464" s="14"/>
      <c r="L464" s="15"/>
      <c r="M464" s="16"/>
      <c r="N464" s="17"/>
      <c r="O464" s="2929" t="s">
        <v>5454</v>
      </c>
      <c r="P464" s="2929"/>
      <c r="Q464" s="2646"/>
      <c r="R464" s="17"/>
      <c r="S464" s="14"/>
      <c r="T464" s="15"/>
      <c r="U464" s="16"/>
      <c r="V464" s="17"/>
      <c r="W464" s="14"/>
      <c r="X464" s="15"/>
      <c r="Y464" s="16"/>
      <c r="Z464" s="17"/>
      <c r="AA464" s="30"/>
      <c r="AB464" s="15"/>
    </row>
    <row r="465" spans="1:28">
      <c r="A465" s="224" t="s">
        <v>5455</v>
      </c>
      <c r="B465" s="101" t="s">
        <v>5223</v>
      </c>
      <c r="C465" s="14"/>
      <c r="D465" s="15"/>
      <c r="E465" s="16"/>
      <c r="F465" s="17"/>
      <c r="G465" s="14"/>
      <c r="H465" s="15"/>
      <c r="I465" s="16"/>
      <c r="J465" s="17"/>
      <c r="K465" s="14"/>
      <c r="L465" s="15"/>
      <c r="M465" s="16"/>
      <c r="N465" s="17"/>
      <c r="O465" s="2929" t="s">
        <v>5456</v>
      </c>
      <c r="P465" s="2929"/>
      <c r="Q465" s="2646"/>
      <c r="R465" s="17"/>
      <c r="S465" s="14"/>
      <c r="T465" s="15"/>
      <c r="U465" s="16"/>
      <c r="V465" s="17"/>
      <c r="W465" s="14"/>
      <c r="X465" s="15"/>
      <c r="Y465" s="16"/>
      <c r="Z465" s="17"/>
      <c r="AA465" s="30"/>
      <c r="AB465" s="15"/>
    </row>
    <row r="466" spans="1:28">
      <c r="A466" s="224" t="s">
        <v>5457</v>
      </c>
      <c r="B466" s="101" t="s">
        <v>5223</v>
      </c>
      <c r="C466" s="14"/>
      <c r="D466" s="15"/>
      <c r="E466" s="16"/>
      <c r="F466" s="17"/>
      <c r="G466" s="14"/>
      <c r="H466" s="15"/>
      <c r="I466" s="16"/>
      <c r="J466" s="17"/>
      <c r="K466" s="14"/>
      <c r="L466" s="15"/>
      <c r="M466" s="16"/>
      <c r="N466" s="17"/>
      <c r="O466" s="2929" t="s">
        <v>5458</v>
      </c>
      <c r="P466" s="2929"/>
      <c r="Q466" s="2646"/>
      <c r="R466" s="17"/>
      <c r="S466" s="14"/>
      <c r="T466" s="15"/>
      <c r="U466" s="16"/>
      <c r="V466" s="17"/>
      <c r="W466" s="14"/>
      <c r="X466" s="15"/>
      <c r="Y466" s="16"/>
      <c r="Z466" s="17"/>
      <c r="AA466" s="30"/>
      <c r="AB466" s="15"/>
    </row>
    <row r="467" spans="1:28">
      <c r="A467" s="2419" t="s">
        <v>5459</v>
      </c>
      <c r="B467" s="207" t="s">
        <v>5460</v>
      </c>
      <c r="C467" s="14"/>
      <c r="D467" s="15"/>
      <c r="E467" s="16"/>
      <c r="F467" s="17"/>
      <c r="G467" s="14"/>
      <c r="H467" s="15"/>
      <c r="I467" s="16"/>
      <c r="J467" s="17"/>
      <c r="K467" s="14"/>
      <c r="L467" s="15"/>
      <c r="M467" s="16"/>
      <c r="N467" s="17"/>
      <c r="O467" s="2930" t="s">
        <v>5461</v>
      </c>
      <c r="P467" s="2930"/>
      <c r="Q467" s="2646"/>
      <c r="R467" s="17"/>
      <c r="S467" s="14"/>
      <c r="T467" s="15"/>
      <c r="U467" s="16"/>
      <c r="V467" s="17"/>
      <c r="W467" s="14"/>
      <c r="X467" s="15"/>
      <c r="Y467" s="16"/>
      <c r="Z467" s="17"/>
      <c r="AA467" s="30"/>
      <c r="AB467" s="15"/>
    </row>
    <row r="468" spans="1:28">
      <c r="A468" s="2419" t="s">
        <v>5462</v>
      </c>
      <c r="B468" s="207" t="s">
        <v>5463</v>
      </c>
      <c r="C468" s="14"/>
      <c r="D468" s="15"/>
      <c r="E468" s="16"/>
      <c r="F468" s="17"/>
      <c r="G468" s="14"/>
      <c r="H468" s="15"/>
      <c r="I468" s="16"/>
      <c r="J468" s="17"/>
      <c r="K468" s="14"/>
      <c r="L468" s="15"/>
      <c r="M468" s="16"/>
      <c r="N468" s="17"/>
      <c r="O468" s="2943" t="s">
        <v>5464</v>
      </c>
      <c r="P468" s="2944"/>
      <c r="Q468" s="2645"/>
      <c r="R468" s="1795"/>
      <c r="S468" s="14"/>
      <c r="T468" s="15"/>
      <c r="U468" s="16"/>
      <c r="V468" s="17"/>
      <c r="W468" s="14"/>
      <c r="X468" s="15"/>
      <c r="Y468" s="16"/>
      <c r="Z468" s="17"/>
      <c r="AA468" s="30"/>
      <c r="AB468" s="15"/>
    </row>
    <row r="469" spans="1:28">
      <c r="A469" s="2419" t="s">
        <v>5465</v>
      </c>
      <c r="B469" s="207"/>
      <c r="C469" s="14"/>
      <c r="D469" s="15"/>
      <c r="E469" s="16"/>
      <c r="F469" s="17"/>
      <c r="G469" s="14"/>
      <c r="H469" s="15"/>
      <c r="I469" s="16"/>
      <c r="J469" s="17"/>
      <c r="K469" s="14"/>
      <c r="L469" s="15"/>
      <c r="M469" s="16"/>
      <c r="N469" s="17"/>
      <c r="O469" s="2945" t="s">
        <v>5466</v>
      </c>
      <c r="P469" s="2946" t="s">
        <v>5467</v>
      </c>
      <c r="Q469" s="2649"/>
      <c r="R469" s="2650"/>
      <c r="S469" s="2651"/>
      <c r="T469" s="2648"/>
      <c r="U469" s="16"/>
      <c r="V469" s="17"/>
      <c r="W469" s="14"/>
      <c r="X469" s="15"/>
      <c r="Y469" s="16"/>
      <c r="Z469" s="17"/>
      <c r="AA469" s="30"/>
      <c r="AB469" s="15"/>
    </row>
    <row r="470" spans="1:28" ht="40.5" thickBot="1">
      <c r="A470" s="2419" t="s">
        <v>5468</v>
      </c>
      <c r="B470" s="207"/>
      <c r="C470" s="6"/>
      <c r="D470" s="32"/>
      <c r="E470" s="7"/>
      <c r="F470" s="40"/>
      <c r="G470" s="6"/>
      <c r="H470" s="32"/>
      <c r="I470" s="7"/>
      <c r="J470" s="40"/>
      <c r="K470" s="6"/>
      <c r="L470" s="32"/>
      <c r="M470" s="7"/>
      <c r="N470" s="40"/>
      <c r="O470" s="2929" t="s">
        <v>5469</v>
      </c>
      <c r="P470" s="2929" t="s">
        <v>5467</v>
      </c>
      <c r="Q470" s="2647"/>
      <c r="R470" s="40"/>
      <c r="S470" s="6"/>
      <c r="T470" s="32"/>
      <c r="U470" s="7"/>
      <c r="V470" s="40"/>
      <c r="W470" s="6"/>
      <c r="X470" s="32"/>
      <c r="Y470" s="7"/>
      <c r="Z470" s="40"/>
      <c r="AA470" s="2630"/>
      <c r="AB470" s="2631"/>
    </row>
    <row r="471" spans="1:28" ht="40.5" thickBot="1">
      <c r="A471" s="2419" t="s">
        <v>5470</v>
      </c>
      <c r="B471" s="41"/>
      <c r="C471" s="6"/>
      <c r="D471" s="32"/>
      <c r="E471" s="7"/>
      <c r="F471" s="40"/>
      <c r="G471" s="6"/>
      <c r="H471" s="32"/>
      <c r="I471" s="7"/>
      <c r="J471" s="40"/>
      <c r="K471" s="6"/>
      <c r="L471" s="32"/>
      <c r="M471" s="7"/>
      <c r="N471" s="40"/>
      <c r="O471" s="2947" t="s">
        <v>5471</v>
      </c>
      <c r="P471" s="2948"/>
      <c r="Q471" s="2860"/>
      <c r="R471" s="40"/>
      <c r="S471" s="6"/>
      <c r="T471" s="32"/>
      <c r="U471" s="7"/>
      <c r="V471" s="40"/>
      <c r="W471" s="6"/>
      <c r="X471" s="32"/>
      <c r="Y471" s="7"/>
      <c r="Z471" s="32"/>
      <c r="AA471" s="31"/>
      <c r="AB471" s="32"/>
    </row>
    <row r="472" spans="1:28" ht="40.5">
      <c r="A472" s="3" t="s">
        <v>5063</v>
      </c>
      <c r="B472" s="23"/>
      <c r="C472" s="3"/>
      <c r="D472" s="3"/>
      <c r="E472" s="3"/>
      <c r="F472" s="3"/>
      <c r="G472" s="3"/>
      <c r="H472" s="3"/>
      <c r="I472" s="3"/>
      <c r="J472" s="3"/>
      <c r="K472" s="3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B472" s="4"/>
    </row>
    <row r="473" spans="1:28" ht="40.5" thickBot="1">
      <c r="A473" s="5" t="s">
        <v>5064</v>
      </c>
    </row>
    <row r="474" spans="1:28">
      <c r="A474" s="3544" t="s">
        <v>2</v>
      </c>
      <c r="B474" s="3546" t="s">
        <v>3</v>
      </c>
      <c r="C474" s="3537" t="s">
        <v>5065</v>
      </c>
      <c r="D474" s="3538"/>
      <c r="E474" s="3537" t="s">
        <v>5066</v>
      </c>
      <c r="F474" s="3538"/>
      <c r="G474" s="3537" t="s">
        <v>5067</v>
      </c>
      <c r="H474" s="3538"/>
      <c r="I474" s="3537" t="s">
        <v>5068</v>
      </c>
      <c r="J474" s="3538"/>
      <c r="K474" s="3536" t="s">
        <v>5069</v>
      </c>
      <c r="L474" s="3536"/>
      <c r="M474" s="3537" t="s">
        <v>5070</v>
      </c>
      <c r="N474" s="3538"/>
      <c r="O474" s="3548"/>
      <c r="P474" s="3549"/>
      <c r="Q474" s="3537" t="s">
        <v>5071</v>
      </c>
      <c r="R474" s="3538"/>
      <c r="S474" s="3536" t="s">
        <v>5072</v>
      </c>
      <c r="T474" s="3536"/>
      <c r="U474" s="3472" t="s">
        <v>5073</v>
      </c>
      <c r="V474" s="3473"/>
      <c r="W474" s="3536" t="s">
        <v>5074</v>
      </c>
      <c r="X474" s="3536"/>
      <c r="Y474" s="3472" t="s">
        <v>5075</v>
      </c>
      <c r="Z474" s="3473"/>
      <c r="AA474" s="3537" t="s">
        <v>5076</v>
      </c>
      <c r="AB474" s="3538"/>
    </row>
    <row r="475" spans="1:28" ht="40.5" thickBot="1">
      <c r="A475" s="3545"/>
      <c r="B475" s="3547"/>
      <c r="C475" s="1" t="s">
        <v>5078</v>
      </c>
      <c r="D475" s="35" t="s">
        <v>5079</v>
      </c>
      <c r="E475" s="1" t="s">
        <v>5078</v>
      </c>
      <c r="F475" s="35" t="s">
        <v>5079</v>
      </c>
      <c r="G475" s="1" t="s">
        <v>5078</v>
      </c>
      <c r="H475" s="35" t="s">
        <v>5079</v>
      </c>
      <c r="I475" s="1" t="s">
        <v>5078</v>
      </c>
      <c r="J475" s="35" t="s">
        <v>5079</v>
      </c>
      <c r="K475" s="2" t="s">
        <v>5078</v>
      </c>
      <c r="L475" s="36" t="s">
        <v>5079</v>
      </c>
      <c r="M475" s="1" t="s">
        <v>5078</v>
      </c>
      <c r="N475" s="35" t="s">
        <v>5079</v>
      </c>
      <c r="O475" s="2842"/>
      <c r="P475" s="2882"/>
      <c r="Q475" s="1" t="s">
        <v>5078</v>
      </c>
      <c r="R475" s="35" t="s">
        <v>5079</v>
      </c>
      <c r="S475" s="2" t="s">
        <v>5078</v>
      </c>
      <c r="T475" s="36" t="s">
        <v>5079</v>
      </c>
      <c r="U475" s="1" t="s">
        <v>5078</v>
      </c>
      <c r="V475" s="35" t="s">
        <v>5079</v>
      </c>
      <c r="W475" s="2" t="s">
        <v>5078</v>
      </c>
      <c r="X475" s="36" t="s">
        <v>5079</v>
      </c>
      <c r="Y475" s="1" t="s">
        <v>5078</v>
      </c>
      <c r="Z475" s="35" t="s">
        <v>5079</v>
      </c>
      <c r="AA475" s="1" t="s">
        <v>5078</v>
      </c>
      <c r="AB475" s="35" t="s">
        <v>5079</v>
      </c>
    </row>
    <row r="476" spans="1:28">
      <c r="A476" s="95" t="s">
        <v>5472</v>
      </c>
      <c r="B476" s="514" t="s">
        <v>5223</v>
      </c>
      <c r="C476" s="14"/>
      <c r="D476" s="15"/>
      <c r="E476" s="14"/>
      <c r="F476" s="15"/>
      <c r="G476" s="14"/>
      <c r="H476" s="15"/>
      <c r="I476" s="14"/>
      <c r="J476" s="15"/>
      <c r="K476" s="16"/>
      <c r="L476" s="17"/>
      <c r="M476" s="14"/>
      <c r="N476" s="15"/>
      <c r="O476" s="2966" t="s">
        <v>5472</v>
      </c>
      <c r="P476" s="2976"/>
      <c r="Q476" s="2883"/>
      <c r="R476" s="15"/>
      <c r="S476" s="16"/>
      <c r="T476" s="17"/>
      <c r="U476" s="14"/>
      <c r="V476" s="15"/>
      <c r="W476" s="16"/>
      <c r="X476" s="17"/>
      <c r="Y476" s="14"/>
      <c r="Z476" s="15"/>
      <c r="AA476" s="30"/>
      <c r="AB476" s="15"/>
    </row>
    <row r="477" spans="1:28">
      <c r="A477" s="95" t="s">
        <v>5473</v>
      </c>
      <c r="B477" s="514" t="s">
        <v>5223</v>
      </c>
      <c r="C477" s="14"/>
      <c r="D477" s="15"/>
      <c r="E477" s="14"/>
      <c r="F477" s="15"/>
      <c r="G477" s="14"/>
      <c r="H477" s="15"/>
      <c r="I477" s="14"/>
      <c r="J477" s="15"/>
      <c r="K477" s="16"/>
      <c r="L477" s="17"/>
      <c r="M477" s="14"/>
      <c r="N477" s="15"/>
      <c r="O477" s="2966" t="s">
        <v>5473</v>
      </c>
      <c r="P477" s="2976"/>
      <c r="Q477" s="2883"/>
      <c r="R477" s="15"/>
      <c r="S477" s="16"/>
      <c r="T477" s="17"/>
      <c r="U477" s="14"/>
      <c r="V477" s="15"/>
      <c r="W477" s="16"/>
      <c r="X477" s="17"/>
      <c r="Y477" s="14"/>
      <c r="Z477" s="15"/>
      <c r="AA477" s="30"/>
      <c r="AB477" s="15"/>
    </row>
    <row r="478" spans="1:28">
      <c r="A478" s="268" t="s">
        <v>5474</v>
      </c>
      <c r="B478" s="514"/>
      <c r="C478" s="14"/>
      <c r="D478" s="15"/>
      <c r="E478" s="14"/>
      <c r="F478" s="15"/>
      <c r="G478" s="14"/>
      <c r="H478" s="15"/>
      <c r="I478" s="14"/>
      <c r="J478" s="15"/>
      <c r="K478" s="16"/>
      <c r="L478" s="17"/>
      <c r="M478" s="14"/>
      <c r="N478" s="15"/>
      <c r="O478" s="2966" t="s">
        <v>5474</v>
      </c>
      <c r="P478" s="2976"/>
      <c r="Q478" s="2883"/>
      <c r="R478" s="15"/>
      <c r="S478" s="16"/>
      <c r="T478" s="17"/>
      <c r="U478" s="14"/>
      <c r="V478" s="15"/>
      <c r="W478" s="16"/>
      <c r="X478" s="17"/>
      <c r="Y478" s="14"/>
      <c r="Z478" s="15"/>
      <c r="AA478" s="30"/>
      <c r="AB478" s="15"/>
    </row>
    <row r="479" spans="1:28">
      <c r="A479" s="268" t="s">
        <v>5474</v>
      </c>
      <c r="B479" s="514"/>
      <c r="C479" s="14"/>
      <c r="D479" s="15"/>
      <c r="E479" s="14"/>
      <c r="F479" s="15"/>
      <c r="G479" s="14"/>
      <c r="H479" s="15"/>
      <c r="I479" s="14"/>
      <c r="J479" s="15"/>
      <c r="K479" s="16"/>
      <c r="L479" s="17"/>
      <c r="M479" s="14"/>
      <c r="N479" s="15"/>
      <c r="O479" s="2966" t="s">
        <v>5475</v>
      </c>
      <c r="P479" s="2976"/>
      <c r="Q479" s="2883"/>
      <c r="R479" s="15"/>
      <c r="S479" s="16"/>
      <c r="T479" s="17"/>
      <c r="U479" s="14"/>
      <c r="V479" s="15"/>
      <c r="W479" s="16"/>
      <c r="X479" s="17"/>
      <c r="Y479" s="14"/>
      <c r="Z479" s="15"/>
      <c r="AA479" s="30"/>
      <c r="AB479" s="15"/>
    </row>
    <row r="480" spans="1:28" ht="40.5" thickBot="1">
      <c r="A480" s="2949" t="s">
        <v>5476</v>
      </c>
      <c r="B480" s="1913" t="s">
        <v>5477</v>
      </c>
      <c r="C480" s="2430"/>
      <c r="D480" s="2431"/>
      <c r="E480" s="2430"/>
      <c r="F480" s="2431"/>
      <c r="G480" s="2430"/>
      <c r="H480" s="2431"/>
      <c r="I480" s="2430"/>
      <c r="J480" s="2431"/>
      <c r="K480" s="2432"/>
      <c r="L480" s="2566"/>
      <c r="M480" s="2430"/>
      <c r="N480" s="2431"/>
      <c r="O480" s="2967" t="s">
        <v>5476</v>
      </c>
      <c r="P480" s="2977"/>
      <c r="Q480" s="2985"/>
      <c r="R480" s="2431"/>
      <c r="S480" s="2432"/>
      <c r="T480" s="2566"/>
      <c r="U480" s="2430"/>
      <c r="V480" s="2431"/>
      <c r="W480" s="2432"/>
      <c r="X480" s="2566"/>
      <c r="Y480" s="2430"/>
      <c r="Z480" s="2431"/>
      <c r="AA480" s="2433"/>
      <c r="AB480" s="2431"/>
    </row>
    <row r="481" spans="1:28" ht="40.5" thickTop="1">
      <c r="A481" s="770" t="s">
        <v>5478</v>
      </c>
      <c r="B481" s="2964" t="s">
        <v>5479</v>
      </c>
      <c r="C481" s="9"/>
      <c r="D481" s="10"/>
      <c r="E481" s="9"/>
      <c r="F481" s="10"/>
      <c r="G481" s="9"/>
      <c r="H481" s="10"/>
      <c r="I481" s="9"/>
      <c r="J481" s="10"/>
      <c r="K481" s="11"/>
      <c r="L481" s="12"/>
      <c r="M481" s="9"/>
      <c r="N481" s="10"/>
      <c r="O481" s="2968" t="s">
        <v>5478</v>
      </c>
      <c r="P481" s="2978"/>
      <c r="Q481" s="2986"/>
      <c r="R481" s="10"/>
      <c r="S481" s="11"/>
      <c r="T481" s="12"/>
      <c r="U481" s="9"/>
      <c r="V481" s="10"/>
      <c r="W481" s="11"/>
      <c r="X481" s="12"/>
      <c r="Y481" s="9"/>
      <c r="Z481" s="10"/>
      <c r="AA481" s="33"/>
      <c r="AB481" s="10"/>
    </row>
    <row r="482" spans="1:28">
      <c r="A482" s="2453" t="s">
        <v>5480</v>
      </c>
      <c r="B482" s="391" t="s">
        <v>5424</v>
      </c>
      <c r="C482" s="14"/>
      <c r="D482" s="15"/>
      <c r="E482" s="14"/>
      <c r="F482" s="15"/>
      <c r="G482" s="14"/>
      <c r="H482" s="15"/>
      <c r="I482" s="14"/>
      <c r="J482" s="15"/>
      <c r="K482" s="16"/>
      <c r="L482" s="17"/>
      <c r="M482" s="14"/>
      <c r="N482" s="15"/>
      <c r="O482" s="2966" t="s">
        <v>5480</v>
      </c>
      <c r="P482" s="2976"/>
      <c r="Q482" s="2883"/>
      <c r="R482" s="15"/>
      <c r="S482" s="16"/>
      <c r="T482" s="17"/>
      <c r="U482" s="14"/>
      <c r="V482" s="15"/>
      <c r="W482" s="16"/>
      <c r="X482" s="17"/>
      <c r="Y482" s="14"/>
      <c r="Z482" s="15"/>
      <c r="AA482" s="30"/>
      <c r="AB482" s="15"/>
    </row>
    <row r="483" spans="1:28">
      <c r="A483" s="2450" t="s">
        <v>5481</v>
      </c>
      <c r="B483" s="3457" t="s">
        <v>5378</v>
      </c>
      <c r="C483" s="14"/>
      <c r="D483" s="15"/>
      <c r="E483" s="14"/>
      <c r="F483" s="15"/>
      <c r="G483" s="14"/>
      <c r="H483" s="15"/>
      <c r="I483" s="14"/>
      <c r="J483" s="15"/>
      <c r="K483" s="16"/>
      <c r="L483" s="17"/>
      <c r="M483" s="14"/>
      <c r="N483" s="15"/>
      <c r="O483" s="2966" t="s">
        <v>5481</v>
      </c>
      <c r="P483" s="2976"/>
      <c r="Q483" s="2883"/>
      <c r="R483" s="15"/>
      <c r="S483" s="16"/>
      <c r="T483" s="17"/>
      <c r="U483" s="14"/>
      <c r="V483" s="15"/>
      <c r="W483" s="16"/>
      <c r="X483" s="17"/>
      <c r="Y483" s="14"/>
      <c r="Z483" s="15"/>
      <c r="AA483" s="30"/>
      <c r="AB483" s="15"/>
    </row>
    <row r="484" spans="1:28">
      <c r="A484" s="2450" t="s">
        <v>5482</v>
      </c>
      <c r="B484" s="3457" t="s">
        <v>5477</v>
      </c>
      <c r="C484" s="14"/>
      <c r="D484" s="15"/>
      <c r="E484" s="14"/>
      <c r="F484" s="15"/>
      <c r="G484" s="14"/>
      <c r="H484" s="15"/>
      <c r="I484" s="14"/>
      <c r="J484" s="15"/>
      <c r="K484" s="16"/>
      <c r="L484" s="17"/>
      <c r="M484" s="14"/>
      <c r="N484" s="15"/>
      <c r="O484" s="2837" t="s">
        <v>5482</v>
      </c>
      <c r="P484" s="2979"/>
      <c r="Q484" s="2883"/>
      <c r="R484" s="15"/>
      <c r="S484" s="16"/>
      <c r="T484" s="17"/>
      <c r="U484" s="14"/>
      <c r="V484" s="15"/>
      <c r="W484" s="16"/>
      <c r="X484" s="17"/>
      <c r="Y484" s="14"/>
      <c r="Z484" s="15"/>
      <c r="AA484" s="30"/>
      <c r="AB484" s="15"/>
    </row>
    <row r="485" spans="1:28" ht="40.5" thickBot="1">
      <c r="A485" s="2955" t="s">
        <v>5483</v>
      </c>
      <c r="B485" s="1913" t="s">
        <v>5477</v>
      </c>
      <c r="C485" s="2430"/>
      <c r="D485" s="2431"/>
      <c r="E485" s="2430"/>
      <c r="F485" s="2431"/>
      <c r="G485" s="2430"/>
      <c r="H485" s="2431"/>
      <c r="I485" s="2430"/>
      <c r="J485" s="2431"/>
      <c r="K485" s="2432"/>
      <c r="L485" s="2566"/>
      <c r="M485" s="2430"/>
      <c r="N485" s="2431"/>
      <c r="O485" s="2969" t="s">
        <v>5484</v>
      </c>
      <c r="P485" s="2980"/>
      <c r="Q485" s="2987"/>
      <c r="R485" s="2988"/>
      <c r="S485" s="2432"/>
      <c r="T485" s="2566"/>
      <c r="U485" s="2430"/>
      <c r="V485" s="2431"/>
      <c r="W485" s="2432"/>
      <c r="X485" s="2566"/>
      <c r="Y485" s="2430"/>
      <c r="Z485" s="2431"/>
      <c r="AA485" s="2433"/>
      <c r="AB485" s="2431"/>
    </row>
    <row r="486" spans="1:28" ht="40.5" thickTop="1">
      <c r="A486" s="2950" t="s">
        <v>5485</v>
      </c>
      <c r="B486" s="1144" t="s">
        <v>5477</v>
      </c>
      <c r="C486" s="9"/>
      <c r="D486" s="10"/>
      <c r="E486" s="9"/>
      <c r="F486" s="10"/>
      <c r="G486" s="9"/>
      <c r="H486" s="10"/>
      <c r="I486" s="9"/>
      <c r="J486" s="10"/>
      <c r="K486" s="11"/>
      <c r="L486" s="12"/>
      <c r="M486" s="9"/>
      <c r="N486" s="10"/>
      <c r="O486" s="2970" t="s">
        <v>5486</v>
      </c>
      <c r="P486" s="2981"/>
      <c r="Q486" s="2953"/>
      <c r="R486" s="2954"/>
      <c r="S486" s="2951"/>
      <c r="T486" s="2952"/>
      <c r="U486" s="9"/>
      <c r="V486" s="10"/>
      <c r="W486" s="11"/>
      <c r="X486" s="12"/>
      <c r="Y486" s="9"/>
      <c r="Z486" s="10"/>
      <c r="AA486" s="33"/>
      <c r="AB486" s="10"/>
    </row>
    <row r="487" spans="1:28">
      <c r="A487" s="2956" t="s">
        <v>5487</v>
      </c>
      <c r="B487" s="740" t="s">
        <v>5477</v>
      </c>
      <c r="C487" s="19"/>
      <c r="D487" s="20"/>
      <c r="E487" s="19"/>
      <c r="F487" s="20"/>
      <c r="G487" s="19"/>
      <c r="H487" s="20"/>
      <c r="I487" s="19"/>
      <c r="J487" s="20"/>
      <c r="K487" s="21"/>
      <c r="L487" s="22"/>
      <c r="M487" s="19"/>
      <c r="N487" s="20"/>
      <c r="O487" s="2971" t="s">
        <v>5487</v>
      </c>
      <c r="P487" s="2982"/>
      <c r="Q487" s="2989"/>
      <c r="R487" s="20"/>
      <c r="S487" s="21"/>
      <c r="T487" s="22"/>
      <c r="U487" s="19"/>
      <c r="V487" s="20"/>
      <c r="W487" s="21"/>
      <c r="X487" s="22"/>
      <c r="Y487" s="19"/>
      <c r="Z487" s="20"/>
      <c r="AA487" s="2957"/>
      <c r="AB487" s="2958"/>
    </row>
    <row r="488" spans="1:28" ht="40.5" thickBot="1">
      <c r="A488" s="2960" t="s">
        <v>5488</v>
      </c>
      <c r="B488" s="1913" t="s">
        <v>5477</v>
      </c>
      <c r="C488" s="2965"/>
      <c r="D488" s="2431"/>
      <c r="E488" s="2430"/>
      <c r="F488" s="2431"/>
      <c r="G488" s="2430"/>
      <c r="H488" s="2431"/>
      <c r="I488" s="2430"/>
      <c r="J488" s="2431"/>
      <c r="K488" s="2432"/>
      <c r="L488" s="2566"/>
      <c r="M488" s="2430"/>
      <c r="N488" s="2431"/>
      <c r="O488" s="2432" t="s">
        <v>5488</v>
      </c>
      <c r="P488" s="2566"/>
      <c r="Q488" s="2430"/>
      <c r="R488" s="2431"/>
      <c r="S488" s="2432"/>
      <c r="T488" s="2566"/>
      <c r="U488" s="2430"/>
      <c r="V488" s="2431"/>
      <c r="W488" s="2432"/>
      <c r="X488" s="2566"/>
      <c r="Y488" s="2430"/>
      <c r="Z488" s="2431"/>
      <c r="AA488" s="2433"/>
      <c r="AB488" s="2431"/>
    </row>
    <row r="489" spans="1:28" ht="40.5" thickTop="1">
      <c r="A489" s="2959" t="s">
        <v>5489</v>
      </c>
      <c r="B489" s="1144" t="s">
        <v>5378</v>
      </c>
      <c r="C489" s="2961"/>
      <c r="D489" s="2958"/>
      <c r="E489" s="2961"/>
      <c r="F489" s="2958"/>
      <c r="G489" s="2961"/>
      <c r="H489" s="2958"/>
      <c r="I489" s="2961"/>
      <c r="J489" s="2958"/>
      <c r="K489" s="2962"/>
      <c r="L489" s="2963"/>
      <c r="M489" s="2961"/>
      <c r="N489" s="2958"/>
      <c r="O489" s="2972" t="s">
        <v>5489</v>
      </c>
      <c r="P489" s="2983"/>
      <c r="Q489" s="2990"/>
      <c r="R489" s="2991"/>
      <c r="S489" s="2962"/>
      <c r="T489" s="2963"/>
      <c r="U489" s="2961"/>
      <c r="V489" s="2958"/>
      <c r="W489" s="2962"/>
      <c r="X489" s="2963"/>
      <c r="Y489" s="2961"/>
      <c r="Z489" s="2958"/>
      <c r="AA489" s="2957"/>
      <c r="AB489" s="2958"/>
    </row>
    <row r="490" spans="1:28">
      <c r="A490" s="2456" t="s">
        <v>5490</v>
      </c>
      <c r="B490" s="3457" t="s">
        <v>5378</v>
      </c>
      <c r="C490" s="14"/>
      <c r="D490" s="15"/>
      <c r="E490" s="14"/>
      <c r="F490" s="15"/>
      <c r="G490" s="14"/>
      <c r="H490" s="15"/>
      <c r="I490" s="14"/>
      <c r="J490" s="15"/>
      <c r="K490" s="16"/>
      <c r="L490" s="17"/>
      <c r="M490" s="14"/>
      <c r="N490" s="15"/>
      <c r="O490" s="2973" t="s">
        <v>5490</v>
      </c>
      <c r="P490" s="2984"/>
      <c r="Q490" s="2651"/>
      <c r="R490" s="2648"/>
      <c r="S490" s="2649"/>
      <c r="T490" s="2650"/>
      <c r="U490" s="14"/>
      <c r="V490" s="15"/>
      <c r="W490" s="16"/>
      <c r="X490" s="17"/>
      <c r="Y490" s="14"/>
      <c r="Z490" s="15"/>
      <c r="AA490" s="30"/>
      <c r="AB490" s="15"/>
    </row>
    <row r="491" spans="1:28">
      <c r="A491" s="2959"/>
      <c r="B491" s="1144"/>
      <c r="C491" s="2961"/>
      <c r="D491" s="2958"/>
      <c r="E491" s="2961"/>
      <c r="F491" s="2958"/>
      <c r="G491" s="2961"/>
      <c r="H491" s="2958"/>
      <c r="I491" s="2961"/>
      <c r="J491" s="2958"/>
      <c r="K491" s="2962"/>
      <c r="L491" s="2963"/>
      <c r="M491" s="2961"/>
      <c r="N491" s="2958"/>
      <c r="O491" s="2974"/>
      <c r="P491" s="2983"/>
      <c r="Q491" s="2990"/>
      <c r="R491" s="2991"/>
      <c r="S491" s="2962"/>
      <c r="T491" s="2963"/>
      <c r="U491" s="2961"/>
      <c r="V491" s="2958"/>
      <c r="W491" s="2962"/>
      <c r="X491" s="2963"/>
      <c r="Y491" s="2961"/>
      <c r="Z491" s="2958"/>
      <c r="AA491" s="2957"/>
      <c r="AB491" s="2958"/>
    </row>
    <row r="492" spans="1:28">
      <c r="A492" s="2456"/>
      <c r="B492" s="3457"/>
      <c r="C492" s="14"/>
      <c r="D492" s="15"/>
      <c r="E492" s="14"/>
      <c r="F492" s="15"/>
      <c r="G492" s="14"/>
      <c r="H492" s="15"/>
      <c r="I492" s="14"/>
      <c r="J492" s="15"/>
      <c r="K492" s="16"/>
      <c r="L492" s="17"/>
      <c r="M492" s="14"/>
      <c r="N492" s="15"/>
      <c r="O492" s="2975"/>
      <c r="P492" s="2984"/>
      <c r="Q492" s="2651"/>
      <c r="R492" s="2648"/>
      <c r="S492" s="2649"/>
      <c r="T492" s="2650"/>
      <c r="U492" s="14"/>
      <c r="V492" s="15"/>
      <c r="W492" s="16"/>
      <c r="X492" s="17"/>
      <c r="Y492" s="14"/>
      <c r="Z492" s="15"/>
      <c r="AA492" s="30"/>
      <c r="AB492" s="15"/>
    </row>
    <row r="493" spans="1:28">
      <c r="A493" s="433" t="s">
        <v>5491</v>
      </c>
      <c r="B493" s="3457" t="s">
        <v>5378</v>
      </c>
      <c r="C493" s="14"/>
      <c r="D493" s="15"/>
      <c r="E493" s="14"/>
      <c r="F493" s="15"/>
      <c r="G493" s="14"/>
      <c r="H493" s="15"/>
      <c r="I493" s="14"/>
      <c r="J493" s="15"/>
      <c r="K493" s="16"/>
      <c r="L493" s="17"/>
      <c r="M493" s="14"/>
      <c r="N493" s="15"/>
      <c r="O493" s="2966" t="s">
        <v>5491</v>
      </c>
      <c r="P493" s="2976"/>
      <c r="Q493" s="2883"/>
      <c r="R493" s="15"/>
      <c r="S493" s="16"/>
      <c r="T493" s="17"/>
      <c r="U493" s="14"/>
      <c r="V493" s="15"/>
      <c r="W493" s="16"/>
      <c r="X493" s="17"/>
      <c r="Y493" s="14"/>
      <c r="Z493" s="15"/>
      <c r="AA493" s="30"/>
      <c r="AB493" s="15"/>
    </row>
    <row r="494" spans="1:28" ht="40.5" thickBot="1">
      <c r="A494" s="433" t="s">
        <v>5492</v>
      </c>
      <c r="B494" s="3457" t="s">
        <v>5378</v>
      </c>
      <c r="C494" s="2941"/>
      <c r="D494" s="32"/>
      <c r="E494" s="6"/>
      <c r="F494" s="32"/>
      <c r="G494" s="6"/>
      <c r="H494" s="32"/>
      <c r="I494" s="6"/>
      <c r="J494" s="32"/>
      <c r="K494" s="16"/>
      <c r="L494" s="17"/>
      <c r="M494" s="6"/>
      <c r="N494" s="32"/>
      <c r="O494" s="2645" t="s">
        <v>5492</v>
      </c>
      <c r="P494" s="1795"/>
      <c r="Q494" s="2992"/>
      <c r="R494" s="2874"/>
      <c r="S494" s="16"/>
      <c r="T494" s="17"/>
      <c r="U494" s="6"/>
      <c r="V494" s="32"/>
      <c r="W494" s="16"/>
      <c r="X494" s="17"/>
      <c r="Y494" s="6"/>
      <c r="Z494" s="32"/>
      <c r="AA494" s="31"/>
      <c r="AB494" s="32"/>
    </row>
    <row r="495" spans="1:28" ht="40.5">
      <c r="A495" s="3" t="s">
        <v>5063</v>
      </c>
      <c r="B495" s="23"/>
      <c r="C495" s="3"/>
      <c r="D495" s="3"/>
      <c r="E495" s="3"/>
      <c r="F495" s="3"/>
      <c r="G495" s="3"/>
      <c r="H495" s="3"/>
      <c r="I495" s="3"/>
      <c r="J495" s="3"/>
      <c r="K495" s="3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B495" s="4"/>
    </row>
    <row r="496" spans="1:28" ht="40.5" thickBot="1">
      <c r="A496" s="5" t="s">
        <v>5064</v>
      </c>
    </row>
    <row r="497" spans="1:28">
      <c r="A497" s="3544" t="s">
        <v>2</v>
      </c>
      <c r="B497" s="3546" t="s">
        <v>3</v>
      </c>
      <c r="C497" s="3537" t="s">
        <v>5065</v>
      </c>
      <c r="D497" s="3538"/>
      <c r="E497" s="3536" t="s">
        <v>5066</v>
      </c>
      <c r="F497" s="3536"/>
      <c r="G497" s="3537" t="s">
        <v>5067</v>
      </c>
      <c r="H497" s="3538"/>
      <c r="I497" s="3536" t="s">
        <v>5068</v>
      </c>
      <c r="J497" s="3536"/>
      <c r="K497" s="3537" t="s">
        <v>5069</v>
      </c>
      <c r="L497" s="3538"/>
      <c r="M497" s="3536" t="s">
        <v>5070</v>
      </c>
      <c r="N497" s="3536"/>
      <c r="O497" s="3542"/>
      <c r="P497" s="3542"/>
      <c r="Q497" s="3536" t="s">
        <v>5071</v>
      </c>
      <c r="R497" s="3536"/>
      <c r="S497" s="3536" t="s">
        <v>5072</v>
      </c>
      <c r="T497" s="3536"/>
      <c r="U497" s="3472" t="s">
        <v>5073</v>
      </c>
      <c r="V497" s="3473"/>
      <c r="W497" s="3536" t="s">
        <v>5074</v>
      </c>
      <c r="X497" s="3536"/>
      <c r="Y497" s="3472" t="s">
        <v>5075</v>
      </c>
      <c r="Z497" s="3475"/>
      <c r="AA497" s="3537" t="s">
        <v>5076</v>
      </c>
      <c r="AB497" s="3538"/>
    </row>
    <row r="498" spans="1:28" ht="40.5" thickBot="1">
      <c r="A498" s="3545"/>
      <c r="B498" s="3547"/>
      <c r="C498" s="1" t="s">
        <v>5078</v>
      </c>
      <c r="D498" s="35" t="s">
        <v>5079</v>
      </c>
      <c r="E498" s="2" t="s">
        <v>5078</v>
      </c>
      <c r="F498" s="36" t="s">
        <v>5079</v>
      </c>
      <c r="G498" s="1" t="s">
        <v>5078</v>
      </c>
      <c r="H498" s="35" t="s">
        <v>5079</v>
      </c>
      <c r="I498" s="2" t="s">
        <v>5078</v>
      </c>
      <c r="J498" s="36" t="s">
        <v>5079</v>
      </c>
      <c r="K498" s="1" t="s">
        <v>5078</v>
      </c>
      <c r="L498" s="35" t="s">
        <v>5079</v>
      </c>
      <c r="M498" s="2" t="s">
        <v>5078</v>
      </c>
      <c r="N498" s="36" t="s">
        <v>5079</v>
      </c>
      <c r="O498" s="2769"/>
      <c r="P498" s="2820"/>
      <c r="Q498" s="2" t="s">
        <v>5078</v>
      </c>
      <c r="R498" s="36" t="s">
        <v>5079</v>
      </c>
      <c r="S498" s="1" t="s">
        <v>5078</v>
      </c>
      <c r="T498" s="35" t="s">
        <v>5079</v>
      </c>
      <c r="U498" s="2" t="s">
        <v>5078</v>
      </c>
      <c r="V498" s="36" t="s">
        <v>5079</v>
      </c>
      <c r="W498" s="1" t="s">
        <v>5078</v>
      </c>
      <c r="X498" s="35" t="s">
        <v>5079</v>
      </c>
      <c r="Y498" s="2" t="s">
        <v>5078</v>
      </c>
      <c r="Z498" s="36" t="s">
        <v>5079</v>
      </c>
      <c r="AA498" s="1" t="s">
        <v>5078</v>
      </c>
      <c r="AB498" s="35" t="s">
        <v>5079</v>
      </c>
    </row>
    <row r="499" spans="1:28">
      <c r="A499" s="2456" t="s">
        <v>5493</v>
      </c>
      <c r="B499" s="101" t="s">
        <v>5378</v>
      </c>
      <c r="C499" s="9"/>
      <c r="D499" s="10"/>
      <c r="E499" s="11"/>
      <c r="F499" s="12"/>
      <c r="G499" s="9"/>
      <c r="H499" s="10"/>
      <c r="I499" s="11"/>
      <c r="J499" s="12"/>
      <c r="K499" s="9"/>
      <c r="L499" s="10"/>
      <c r="M499" s="11"/>
      <c r="N499" s="12"/>
      <c r="O499" s="2830" t="s">
        <v>5493</v>
      </c>
      <c r="P499" s="2830"/>
      <c r="Q499" s="11"/>
      <c r="R499" s="12"/>
      <c r="S499" s="9"/>
      <c r="T499" s="10"/>
      <c r="U499" s="11"/>
      <c r="V499" s="12"/>
      <c r="W499" s="9"/>
      <c r="X499" s="10"/>
      <c r="Y499" s="11"/>
      <c r="Z499" s="12"/>
      <c r="AA499" s="33"/>
      <c r="AB499" s="10"/>
    </row>
    <row r="500" spans="1:28">
      <c r="A500" s="2456" t="s">
        <v>5494</v>
      </c>
      <c r="B500" s="101" t="s">
        <v>5378</v>
      </c>
      <c r="C500" s="14"/>
      <c r="D500" s="15"/>
      <c r="E500" s="16"/>
      <c r="F500" s="17"/>
      <c r="G500" s="14"/>
      <c r="H500" s="15"/>
      <c r="I500" s="16"/>
      <c r="J500" s="17"/>
      <c r="K500" s="14"/>
      <c r="L500" s="15"/>
      <c r="M500" s="16"/>
      <c r="N500" s="17"/>
      <c r="O500" s="2830" t="s">
        <v>5494</v>
      </c>
      <c r="P500" s="2830"/>
      <c r="Q500" s="2646"/>
      <c r="R500" s="17"/>
      <c r="S500" s="14"/>
      <c r="T500" s="15"/>
      <c r="U500" s="16"/>
      <c r="V500" s="17"/>
      <c r="W500" s="14"/>
      <c r="X500" s="15"/>
      <c r="Y500" s="16"/>
      <c r="Z500" s="17"/>
      <c r="AA500" s="30"/>
      <c r="AB500" s="15"/>
    </row>
    <row r="501" spans="1:28">
      <c r="A501" s="2456" t="s">
        <v>5495</v>
      </c>
      <c r="B501" s="101" t="s">
        <v>5378</v>
      </c>
      <c r="C501" s="14"/>
      <c r="D501" s="15"/>
      <c r="E501" s="16"/>
      <c r="F501" s="17"/>
      <c r="G501" s="14"/>
      <c r="H501" s="15"/>
      <c r="I501" s="16"/>
      <c r="J501" s="17"/>
      <c r="K501" s="14"/>
      <c r="L501" s="15"/>
      <c r="M501" s="16"/>
      <c r="N501" s="17"/>
      <c r="O501" s="2830" t="s">
        <v>5496</v>
      </c>
      <c r="P501" s="2830"/>
      <c r="Q501" s="2646"/>
      <c r="R501" s="17"/>
      <c r="S501" s="14"/>
      <c r="T501" s="15"/>
      <c r="U501" s="16"/>
      <c r="V501" s="17"/>
      <c r="W501" s="14"/>
      <c r="X501" s="15"/>
      <c r="Y501" s="16"/>
      <c r="Z501" s="17"/>
      <c r="AA501" s="30"/>
      <c r="AB501" s="15"/>
    </row>
    <row r="502" spans="1:28">
      <c r="A502" s="2456" t="s">
        <v>5497</v>
      </c>
      <c r="B502" s="101" t="s">
        <v>5378</v>
      </c>
      <c r="C502" s="14"/>
      <c r="D502" s="15"/>
      <c r="E502" s="16"/>
      <c r="F502" s="17"/>
      <c r="G502" s="14"/>
      <c r="H502" s="15"/>
      <c r="I502" s="16"/>
      <c r="J502" s="17"/>
      <c r="K502" s="14"/>
      <c r="L502" s="15"/>
      <c r="M502" s="16"/>
      <c r="N502" s="17"/>
      <c r="O502" s="2830" t="s">
        <v>5498</v>
      </c>
      <c r="P502" s="2830"/>
      <c r="Q502" s="2646"/>
      <c r="R502" s="17"/>
      <c r="S502" s="14"/>
      <c r="T502" s="15"/>
      <c r="U502" s="16"/>
      <c r="V502" s="17"/>
      <c r="W502" s="14"/>
      <c r="X502" s="15"/>
      <c r="Y502" s="16"/>
      <c r="Z502" s="17"/>
      <c r="AA502" s="30"/>
      <c r="AB502" s="15"/>
    </row>
    <row r="503" spans="1:28">
      <c r="A503" s="2456" t="s">
        <v>5499</v>
      </c>
      <c r="B503" s="3457" t="s">
        <v>5378</v>
      </c>
      <c r="C503" s="14"/>
      <c r="D503" s="15"/>
      <c r="E503" s="16"/>
      <c r="F503" s="17"/>
      <c r="G503" s="14"/>
      <c r="H503" s="15"/>
      <c r="I503" s="16"/>
      <c r="J503" s="17"/>
      <c r="K503" s="14"/>
      <c r="L503" s="15"/>
      <c r="M503" s="16"/>
      <c r="N503" s="17"/>
      <c r="O503" s="2830" t="s">
        <v>5500</v>
      </c>
      <c r="P503" s="2830"/>
      <c r="Q503" s="2646"/>
      <c r="R503" s="17"/>
      <c r="S503" s="14"/>
      <c r="T503" s="15"/>
      <c r="U503" s="16"/>
      <c r="V503" s="17"/>
      <c r="W503" s="14"/>
      <c r="X503" s="15"/>
      <c r="Y503" s="16"/>
      <c r="Z503" s="17"/>
      <c r="AA503" s="30"/>
      <c r="AB503" s="15"/>
    </row>
    <row r="504" spans="1:28">
      <c r="A504" s="433" t="s">
        <v>5491</v>
      </c>
      <c r="B504" s="101" t="s">
        <v>5378</v>
      </c>
      <c r="C504" s="14"/>
      <c r="D504" s="15"/>
      <c r="E504" s="16"/>
      <c r="F504" s="17"/>
      <c r="G504" s="14"/>
      <c r="H504" s="15"/>
      <c r="I504" s="16"/>
      <c r="J504" s="17"/>
      <c r="K504" s="14"/>
      <c r="L504" s="15"/>
      <c r="M504" s="16"/>
      <c r="N504" s="17"/>
      <c r="O504" s="2823" t="s">
        <v>5491</v>
      </c>
      <c r="P504" s="2823"/>
      <c r="Q504" s="2646"/>
      <c r="R504" s="17"/>
      <c r="S504" s="14"/>
      <c r="T504" s="15"/>
      <c r="U504" s="16"/>
      <c r="V504" s="17"/>
      <c r="W504" s="14"/>
      <c r="X504" s="15"/>
      <c r="Y504" s="16"/>
      <c r="Z504" s="17"/>
      <c r="AA504" s="30"/>
      <c r="AB504" s="15"/>
    </row>
    <row r="505" spans="1:28">
      <c r="A505" s="433" t="s">
        <v>5492</v>
      </c>
      <c r="B505" s="101" t="s">
        <v>5378</v>
      </c>
      <c r="C505" s="14"/>
      <c r="D505" s="15"/>
      <c r="E505" s="16"/>
      <c r="F505" s="17"/>
      <c r="G505" s="14"/>
      <c r="H505" s="15"/>
      <c r="I505" s="16"/>
      <c r="J505" s="17"/>
      <c r="K505" s="14"/>
      <c r="L505" s="15"/>
      <c r="M505" s="16"/>
      <c r="N505" s="17"/>
      <c r="O505" s="2823" t="s">
        <v>5492</v>
      </c>
      <c r="P505" s="2823"/>
      <c r="Q505" s="2646"/>
      <c r="R505" s="17"/>
      <c r="S505" s="14"/>
      <c r="T505" s="15"/>
      <c r="U505" s="16"/>
      <c r="V505" s="17"/>
      <c r="W505" s="14"/>
      <c r="X505" s="15"/>
      <c r="Y505" s="16"/>
      <c r="Z505" s="17"/>
      <c r="AA505" s="30"/>
      <c r="AB505" s="15"/>
    </row>
    <row r="506" spans="1:28">
      <c r="A506" s="433" t="s">
        <v>5501</v>
      </c>
      <c r="B506" s="101" t="s">
        <v>5502</v>
      </c>
      <c r="C506" s="14"/>
      <c r="D506" s="15"/>
      <c r="E506" s="16"/>
      <c r="F506" s="17"/>
      <c r="G506" s="14"/>
      <c r="H506" s="15"/>
      <c r="I506" s="16"/>
      <c r="J506" s="17"/>
      <c r="K506" s="14"/>
      <c r="L506" s="15"/>
      <c r="M506" s="16"/>
      <c r="N506" s="17"/>
      <c r="O506" s="2823" t="s">
        <v>5503</v>
      </c>
      <c r="P506" s="2823"/>
      <c r="Q506" s="2646"/>
      <c r="R506" s="17"/>
      <c r="S506" s="14"/>
      <c r="T506" s="15"/>
      <c r="U506" s="16"/>
      <c r="V506" s="17"/>
      <c r="W506" s="14"/>
      <c r="X506" s="15"/>
      <c r="Y506" s="16"/>
      <c r="Z506" s="17"/>
      <c r="AA506" s="30"/>
      <c r="AB506" s="15"/>
    </row>
    <row r="507" spans="1:28">
      <c r="A507" s="433" t="s">
        <v>5501</v>
      </c>
      <c r="B507" s="966"/>
      <c r="C507" s="14"/>
      <c r="D507" s="15"/>
      <c r="E507" s="16"/>
      <c r="F507" s="17"/>
      <c r="G507" s="14"/>
      <c r="H507" s="15"/>
      <c r="I507" s="16"/>
      <c r="J507" s="17"/>
      <c r="K507" s="14"/>
      <c r="L507" s="15"/>
      <c r="M507" s="16"/>
      <c r="N507" s="17"/>
      <c r="O507" s="2823"/>
      <c r="P507" s="2823"/>
      <c r="Q507" s="2646"/>
      <c r="R507" s="17"/>
      <c r="S507" s="14"/>
      <c r="T507" s="15"/>
      <c r="U507" s="16"/>
      <c r="V507" s="17"/>
      <c r="W507" s="14"/>
      <c r="X507" s="15"/>
      <c r="Y507" s="16"/>
      <c r="Z507" s="17"/>
      <c r="AA507" s="30"/>
      <c r="AB507" s="15"/>
    </row>
    <row r="508" spans="1:28">
      <c r="A508" s="139" t="s">
        <v>5504</v>
      </c>
      <c r="B508" s="966"/>
      <c r="C508" s="14"/>
      <c r="D508" s="15"/>
      <c r="E508" s="16"/>
      <c r="F508" s="17"/>
      <c r="G508" s="14"/>
      <c r="H508" s="15"/>
      <c r="I508" s="16"/>
      <c r="J508" s="17"/>
      <c r="K508" s="14"/>
      <c r="L508" s="15"/>
      <c r="M508" s="16"/>
      <c r="N508" s="17"/>
      <c r="O508" s="2823" t="s">
        <v>5504</v>
      </c>
      <c r="P508" s="2823"/>
      <c r="Q508" s="2646"/>
      <c r="R508" s="17"/>
      <c r="S508" s="14"/>
      <c r="T508" s="15"/>
      <c r="U508" s="16"/>
      <c r="V508" s="17"/>
      <c r="W508" s="14"/>
      <c r="X508" s="15"/>
      <c r="Y508" s="16"/>
      <c r="Z508" s="17"/>
      <c r="AA508" s="30"/>
      <c r="AB508" s="15"/>
    </row>
    <row r="509" spans="1:28">
      <c r="A509" s="406" t="s">
        <v>5505</v>
      </c>
      <c r="B509" s="966"/>
      <c r="C509" s="14"/>
      <c r="D509" s="15"/>
      <c r="E509" s="16"/>
      <c r="F509" s="17"/>
      <c r="G509" s="14"/>
      <c r="H509" s="15"/>
      <c r="I509" s="16"/>
      <c r="J509" s="17"/>
      <c r="K509" s="14"/>
      <c r="L509" s="15"/>
      <c r="M509" s="16"/>
      <c r="N509" s="17"/>
      <c r="O509" s="2823" t="s">
        <v>5505</v>
      </c>
      <c r="P509" s="2823"/>
      <c r="Q509" s="2646"/>
      <c r="R509" s="17"/>
      <c r="S509" s="14"/>
      <c r="T509" s="15"/>
      <c r="U509" s="16"/>
      <c r="V509" s="17"/>
      <c r="W509" s="14"/>
      <c r="X509" s="15"/>
      <c r="Y509" s="16"/>
      <c r="Z509" s="17"/>
      <c r="AA509" s="30"/>
      <c r="AB509" s="15"/>
    </row>
    <row r="510" spans="1:28">
      <c r="A510" s="460" t="s">
        <v>5506</v>
      </c>
      <c r="B510" s="2288" t="s">
        <v>5507</v>
      </c>
      <c r="C510" s="14"/>
      <c r="D510" s="15"/>
      <c r="E510" s="16"/>
      <c r="F510" s="17"/>
      <c r="G510" s="14"/>
      <c r="H510" s="15"/>
      <c r="I510" s="16"/>
      <c r="J510" s="17"/>
      <c r="K510" s="14"/>
      <c r="L510" s="15"/>
      <c r="M510" s="16"/>
      <c r="N510" s="17"/>
      <c r="O510" s="2823" t="s">
        <v>5508</v>
      </c>
      <c r="P510" s="2823"/>
      <c r="Q510" s="2646"/>
      <c r="R510" s="17"/>
      <c r="S510" s="14"/>
      <c r="T510" s="15"/>
      <c r="U510" s="16"/>
      <c r="V510" s="17"/>
      <c r="W510" s="14"/>
      <c r="X510" s="15"/>
      <c r="Y510" s="16"/>
      <c r="Z510" s="17"/>
      <c r="AA510" s="30"/>
      <c r="AB510" s="15"/>
    </row>
    <row r="511" spans="1:28">
      <c r="A511" s="1656" t="s">
        <v>5509</v>
      </c>
      <c r="B511" s="2288" t="s">
        <v>5507</v>
      </c>
      <c r="C511" s="14"/>
      <c r="D511" s="15"/>
      <c r="E511" s="16"/>
      <c r="F511" s="17"/>
      <c r="G511" s="14"/>
      <c r="H511" s="15"/>
      <c r="I511" s="16"/>
      <c r="J511" s="17"/>
      <c r="K511" s="14"/>
      <c r="L511" s="15"/>
      <c r="M511" s="16"/>
      <c r="N511" s="17"/>
      <c r="O511" s="2823" t="s">
        <v>5510</v>
      </c>
      <c r="P511" s="2823"/>
      <c r="Q511" s="2646"/>
      <c r="R511" s="17"/>
      <c r="S511" s="14"/>
      <c r="T511" s="15"/>
      <c r="U511" s="16"/>
      <c r="V511" s="17"/>
      <c r="W511" s="14"/>
      <c r="X511" s="15"/>
      <c r="Y511" s="16"/>
      <c r="Z511" s="17"/>
      <c r="AA511" s="30"/>
      <c r="AB511" s="15"/>
    </row>
    <row r="512" spans="1:28">
      <c r="A512" s="139" t="s">
        <v>5511</v>
      </c>
      <c r="B512" s="2288" t="s">
        <v>5507</v>
      </c>
      <c r="C512" s="14"/>
      <c r="D512" s="15"/>
      <c r="E512" s="16"/>
      <c r="F512" s="17"/>
      <c r="G512" s="14"/>
      <c r="H512" s="15"/>
      <c r="I512" s="16"/>
      <c r="J512" s="17"/>
      <c r="K512" s="14"/>
      <c r="L512" s="15"/>
      <c r="M512" s="16"/>
      <c r="N512" s="17"/>
      <c r="O512" s="2823" t="s">
        <v>5512</v>
      </c>
      <c r="P512" s="2823"/>
      <c r="Q512" s="2646"/>
      <c r="R512" s="17"/>
      <c r="S512" s="14"/>
      <c r="T512" s="15"/>
      <c r="U512" s="16"/>
      <c r="V512" s="17"/>
      <c r="W512" s="14"/>
      <c r="X512" s="15"/>
      <c r="Y512" s="16"/>
      <c r="Z512" s="17"/>
      <c r="AA512" s="30"/>
      <c r="AB512" s="15"/>
    </row>
    <row r="513" spans="1:28">
      <c r="A513" s="139" t="s">
        <v>5513</v>
      </c>
      <c r="B513" s="2288" t="s">
        <v>5507</v>
      </c>
      <c r="C513" s="14"/>
      <c r="D513" s="15"/>
      <c r="E513" s="16"/>
      <c r="F513" s="17"/>
      <c r="G513" s="14"/>
      <c r="H513" s="15"/>
      <c r="I513" s="16"/>
      <c r="J513" s="17"/>
      <c r="K513" s="14"/>
      <c r="L513" s="15"/>
      <c r="M513" s="16"/>
      <c r="N513" s="17"/>
      <c r="O513" s="2824" t="s">
        <v>5514</v>
      </c>
      <c r="P513" s="2824"/>
      <c r="Q513" s="2646"/>
      <c r="R513" s="17"/>
      <c r="S513" s="14"/>
      <c r="T513" s="15"/>
      <c r="U513" s="16"/>
      <c r="V513" s="17"/>
      <c r="W513" s="14"/>
      <c r="X513" s="15"/>
      <c r="Y513" s="16"/>
      <c r="Z513" s="17"/>
      <c r="AA513" s="30"/>
      <c r="AB513" s="15"/>
    </row>
    <row r="514" spans="1:28">
      <c r="A514" s="139" t="s">
        <v>5515</v>
      </c>
      <c r="B514" s="2288" t="s">
        <v>5507</v>
      </c>
      <c r="C514" s="14"/>
      <c r="D514" s="15"/>
      <c r="E514" s="16"/>
      <c r="F514" s="17"/>
      <c r="G514" s="14"/>
      <c r="H514" s="15"/>
      <c r="I514" s="16"/>
      <c r="J514" s="17"/>
      <c r="K514" s="14"/>
      <c r="L514" s="15"/>
      <c r="M514" s="16"/>
      <c r="N514" s="17"/>
      <c r="O514" s="2924" t="s">
        <v>5516</v>
      </c>
      <c r="P514" s="2995"/>
      <c r="Q514" s="2645"/>
      <c r="R514" s="1795"/>
      <c r="S514" s="14"/>
      <c r="T514" s="15"/>
      <c r="U514" s="16"/>
      <c r="V514" s="17"/>
      <c r="W514" s="14"/>
      <c r="X514" s="15"/>
      <c r="Y514" s="16"/>
      <c r="Z514" s="17"/>
      <c r="AA514" s="30"/>
      <c r="AB514" s="15"/>
    </row>
    <row r="515" spans="1:28">
      <c r="A515" s="139" t="s">
        <v>5517</v>
      </c>
      <c r="B515" s="2288" t="s">
        <v>5507</v>
      </c>
      <c r="C515" s="14"/>
      <c r="D515" s="15"/>
      <c r="E515" s="16"/>
      <c r="F515" s="17"/>
      <c r="G515" s="14"/>
      <c r="H515" s="15"/>
      <c r="I515" s="16"/>
      <c r="J515" s="17"/>
      <c r="K515" s="14"/>
      <c r="L515" s="15"/>
      <c r="M515" s="16"/>
      <c r="N515" s="17"/>
      <c r="O515" s="2996" t="s">
        <v>5518</v>
      </c>
      <c r="P515" s="2826"/>
      <c r="Q515" s="2649"/>
      <c r="R515" s="2650"/>
      <c r="S515" s="2651"/>
      <c r="T515" s="2648"/>
      <c r="U515" s="16"/>
      <c r="V515" s="17"/>
      <c r="W515" s="14"/>
      <c r="X515" s="15"/>
      <c r="Y515" s="16"/>
      <c r="Z515" s="17"/>
      <c r="AA515" s="30"/>
      <c r="AB515" s="15"/>
    </row>
    <row r="516" spans="1:28" ht="40.5" thickBot="1">
      <c r="A516" s="139" t="s">
        <v>5519</v>
      </c>
      <c r="B516" s="2288" t="s">
        <v>5507</v>
      </c>
      <c r="C516" s="6"/>
      <c r="D516" s="32"/>
      <c r="E516" s="7"/>
      <c r="F516" s="40"/>
      <c r="G516" s="6"/>
      <c r="H516" s="32"/>
      <c r="I516" s="7"/>
      <c r="J516" s="40"/>
      <c r="K516" s="6"/>
      <c r="L516" s="32"/>
      <c r="M516" s="7"/>
      <c r="N516" s="40"/>
      <c r="O516" s="2998" t="s">
        <v>5518</v>
      </c>
      <c r="P516" s="2823"/>
      <c r="Q516" s="2647"/>
      <c r="R516" s="40"/>
      <c r="S516" s="6"/>
      <c r="T516" s="32"/>
      <c r="U516" s="7"/>
      <c r="V516" s="40"/>
      <c r="W516" s="6"/>
      <c r="X516" s="32"/>
      <c r="Y516" s="7"/>
      <c r="Z516" s="40"/>
      <c r="AA516" s="2630"/>
      <c r="AB516" s="2631"/>
    </row>
    <row r="517" spans="1:28" ht="40.5" thickBot="1">
      <c r="A517" s="139" t="s">
        <v>5520</v>
      </c>
      <c r="B517" s="2288" t="s">
        <v>5507</v>
      </c>
      <c r="C517" s="6"/>
      <c r="D517" s="32"/>
      <c r="E517" s="7"/>
      <c r="F517" s="40"/>
      <c r="G517" s="6"/>
      <c r="H517" s="32"/>
      <c r="I517" s="7"/>
      <c r="J517" s="40"/>
      <c r="K517" s="6"/>
      <c r="L517" s="32"/>
      <c r="M517" s="7"/>
      <c r="N517" s="40"/>
      <c r="O517" s="2999" t="s">
        <v>5521</v>
      </c>
      <c r="P517" s="2906"/>
      <c r="Q517" s="7"/>
      <c r="R517" s="40"/>
      <c r="S517" s="6"/>
      <c r="T517" s="32"/>
      <c r="U517" s="7"/>
      <c r="V517" s="40"/>
      <c r="W517" s="6"/>
      <c r="X517" s="32"/>
      <c r="Y517" s="7"/>
      <c r="Z517" s="32"/>
      <c r="AA517" s="31"/>
      <c r="AB517" s="32"/>
    </row>
    <row r="518" spans="1:28" ht="40.5">
      <c r="A518" s="3" t="s">
        <v>5063</v>
      </c>
      <c r="B518" s="23"/>
      <c r="C518" s="3"/>
      <c r="D518" s="3"/>
      <c r="E518" s="3"/>
      <c r="F518" s="3"/>
      <c r="G518" s="3"/>
      <c r="H518" s="3"/>
      <c r="I518" s="3"/>
      <c r="J518" s="3"/>
      <c r="K518" s="3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B518" s="4"/>
    </row>
    <row r="519" spans="1:28" ht="40.5" thickBot="1">
      <c r="A519" s="5" t="s">
        <v>5064</v>
      </c>
    </row>
    <row r="520" spans="1:28">
      <c r="A520" s="3544" t="s">
        <v>2</v>
      </c>
      <c r="B520" s="3546" t="s">
        <v>3</v>
      </c>
      <c r="C520" s="3537" t="s">
        <v>5065</v>
      </c>
      <c r="D520" s="3538"/>
      <c r="E520" s="3536" t="s">
        <v>5066</v>
      </c>
      <c r="F520" s="3536"/>
      <c r="G520" s="3537" t="s">
        <v>5067</v>
      </c>
      <c r="H520" s="3538"/>
      <c r="I520" s="3536" t="s">
        <v>5068</v>
      </c>
      <c r="J520" s="3536"/>
      <c r="K520" s="3537" t="s">
        <v>5069</v>
      </c>
      <c r="L520" s="3538"/>
      <c r="M520" s="3536" t="s">
        <v>5070</v>
      </c>
      <c r="N520" s="3536"/>
      <c r="O520" s="3542"/>
      <c r="P520" s="3542"/>
      <c r="Q520" s="3536" t="s">
        <v>5071</v>
      </c>
      <c r="R520" s="3536"/>
      <c r="S520" s="3536" t="s">
        <v>5072</v>
      </c>
      <c r="T520" s="3536"/>
      <c r="U520" s="3472" t="s">
        <v>5073</v>
      </c>
      <c r="V520" s="3473"/>
      <c r="W520" s="3536" t="s">
        <v>5074</v>
      </c>
      <c r="X520" s="3536"/>
      <c r="Y520" s="3472" t="s">
        <v>5075</v>
      </c>
      <c r="Z520" s="3475"/>
      <c r="AA520" s="3537" t="s">
        <v>5076</v>
      </c>
      <c r="AB520" s="3538"/>
    </row>
    <row r="521" spans="1:28" ht="40.5" thickBot="1">
      <c r="A521" s="3545"/>
      <c r="B521" s="3547"/>
      <c r="C521" s="1" t="s">
        <v>5078</v>
      </c>
      <c r="D521" s="35" t="s">
        <v>5079</v>
      </c>
      <c r="E521" s="2" t="s">
        <v>5078</v>
      </c>
      <c r="F521" s="36" t="s">
        <v>5079</v>
      </c>
      <c r="G521" s="1" t="s">
        <v>5078</v>
      </c>
      <c r="H521" s="35" t="s">
        <v>5079</v>
      </c>
      <c r="I521" s="2" t="s">
        <v>5078</v>
      </c>
      <c r="J521" s="36" t="s">
        <v>5079</v>
      </c>
      <c r="K521" s="1" t="s">
        <v>5078</v>
      </c>
      <c r="L521" s="35" t="s">
        <v>5079</v>
      </c>
      <c r="M521" s="2" t="s">
        <v>5078</v>
      </c>
      <c r="N521" s="36" t="s">
        <v>5079</v>
      </c>
      <c r="O521" s="2769"/>
      <c r="P521" s="2820"/>
      <c r="Q521" s="2" t="s">
        <v>5078</v>
      </c>
      <c r="R521" s="36" t="s">
        <v>5079</v>
      </c>
      <c r="S521" s="1" t="s">
        <v>5078</v>
      </c>
      <c r="T521" s="35" t="s">
        <v>5079</v>
      </c>
      <c r="U521" s="2" t="s">
        <v>5078</v>
      </c>
      <c r="V521" s="36" t="s">
        <v>5079</v>
      </c>
      <c r="W521" s="1" t="s">
        <v>5078</v>
      </c>
      <c r="X521" s="35" t="s">
        <v>5079</v>
      </c>
      <c r="Y521" s="2" t="s">
        <v>5078</v>
      </c>
      <c r="Z521" s="36" t="s">
        <v>5079</v>
      </c>
      <c r="AA521" s="1" t="s">
        <v>5078</v>
      </c>
      <c r="AB521" s="35" t="s">
        <v>5079</v>
      </c>
    </row>
    <row r="522" spans="1:28">
      <c r="A522" s="96" t="s">
        <v>5522</v>
      </c>
      <c r="B522" s="787" t="s">
        <v>5523</v>
      </c>
      <c r="C522" s="9"/>
      <c r="D522" s="10"/>
      <c r="E522" s="11"/>
      <c r="F522" s="12"/>
      <c r="G522" s="9"/>
      <c r="H522" s="10"/>
      <c r="I522" s="11"/>
      <c r="J522" s="12"/>
      <c r="K522" s="9"/>
      <c r="L522" s="10"/>
      <c r="M522" s="11"/>
      <c r="N522" s="12"/>
      <c r="O522" s="2830" t="s">
        <v>5524</v>
      </c>
      <c r="P522" s="2830"/>
      <c r="Q522" s="11"/>
      <c r="R522" s="12"/>
      <c r="S522" s="9"/>
      <c r="T522" s="10"/>
      <c r="U522" s="11"/>
      <c r="V522" s="12"/>
      <c r="W522" s="9"/>
      <c r="X522" s="10"/>
      <c r="Y522" s="11"/>
      <c r="Z522" s="12"/>
      <c r="AA522" s="33"/>
      <c r="AB522" s="10"/>
    </row>
    <row r="523" spans="1:28">
      <c r="A523" s="96" t="s">
        <v>5525</v>
      </c>
      <c r="B523" s="787" t="s">
        <v>5523</v>
      </c>
      <c r="C523" s="14"/>
      <c r="D523" s="15"/>
      <c r="E523" s="16"/>
      <c r="F523" s="17"/>
      <c r="G523" s="14"/>
      <c r="H523" s="15"/>
      <c r="I523" s="16"/>
      <c r="J523" s="17"/>
      <c r="K523" s="14"/>
      <c r="L523" s="15"/>
      <c r="M523" s="16"/>
      <c r="N523" s="17"/>
      <c r="O523" s="2823" t="s">
        <v>5526</v>
      </c>
      <c r="P523" s="2823"/>
      <c r="Q523" s="2646"/>
      <c r="R523" s="17"/>
      <c r="S523" s="14"/>
      <c r="T523" s="15"/>
      <c r="U523" s="16"/>
      <c r="V523" s="17"/>
      <c r="W523" s="14"/>
      <c r="X523" s="15"/>
      <c r="Y523" s="16"/>
      <c r="Z523" s="17"/>
      <c r="AA523" s="30"/>
      <c r="AB523" s="15"/>
    </row>
    <row r="524" spans="1:28">
      <c r="A524" s="268" t="s">
        <v>5527</v>
      </c>
      <c r="B524" s="101" t="s">
        <v>5528</v>
      </c>
      <c r="C524" s="14"/>
      <c r="D524" s="15"/>
      <c r="E524" s="16"/>
      <c r="F524" s="17"/>
      <c r="G524" s="14"/>
      <c r="H524" s="15"/>
      <c r="I524" s="16"/>
      <c r="J524" s="17"/>
      <c r="K524" s="14"/>
      <c r="L524" s="15"/>
      <c r="M524" s="16"/>
      <c r="N524" s="17"/>
      <c r="O524" s="2823" t="s">
        <v>5529</v>
      </c>
      <c r="P524" s="2823"/>
      <c r="Q524" s="2646"/>
      <c r="R524" s="17"/>
      <c r="S524" s="14"/>
      <c r="T524" s="15"/>
      <c r="U524" s="16"/>
      <c r="V524" s="17"/>
      <c r="W524" s="14"/>
      <c r="X524" s="15"/>
      <c r="Y524" s="16"/>
      <c r="Z524" s="17"/>
      <c r="AA524" s="30"/>
      <c r="AB524" s="15"/>
    </row>
    <row r="525" spans="1:28">
      <c r="A525" s="95" t="s">
        <v>5530</v>
      </c>
      <c r="B525" s="787" t="s">
        <v>5531</v>
      </c>
      <c r="C525" s="14"/>
      <c r="D525" s="15"/>
      <c r="E525" s="16"/>
      <c r="F525" s="17"/>
      <c r="G525" s="14"/>
      <c r="H525" s="15"/>
      <c r="I525" s="16"/>
      <c r="J525" s="17"/>
      <c r="K525" s="14"/>
      <c r="L525" s="15"/>
      <c r="M525" s="16"/>
      <c r="N525" s="17"/>
      <c r="O525" s="2823" t="s">
        <v>5530</v>
      </c>
      <c r="P525" s="2823"/>
      <c r="Q525" s="2646"/>
      <c r="R525" s="17"/>
      <c r="S525" s="14"/>
      <c r="T525" s="15"/>
      <c r="U525" s="16"/>
      <c r="V525" s="17"/>
      <c r="W525" s="14"/>
      <c r="X525" s="15"/>
      <c r="Y525" s="16"/>
      <c r="Z525" s="17"/>
      <c r="AA525" s="30"/>
      <c r="AB525" s="15"/>
    </row>
    <row r="526" spans="1:28">
      <c r="A526" s="95" t="s">
        <v>5532</v>
      </c>
      <c r="B526" s="787" t="s">
        <v>5531</v>
      </c>
      <c r="C526" s="14"/>
      <c r="D526" s="15"/>
      <c r="E526" s="16"/>
      <c r="F526" s="17"/>
      <c r="G526" s="14"/>
      <c r="H526" s="15"/>
      <c r="I526" s="16"/>
      <c r="J526" s="17"/>
      <c r="K526" s="14"/>
      <c r="L526" s="15"/>
      <c r="M526" s="16"/>
      <c r="N526" s="17"/>
      <c r="O526" s="2823" t="s">
        <v>5532</v>
      </c>
      <c r="P526" s="2823"/>
      <c r="Q526" s="2646"/>
      <c r="R526" s="17"/>
      <c r="S526" s="14"/>
      <c r="T526" s="15"/>
      <c r="U526" s="16"/>
      <c r="V526" s="17"/>
      <c r="W526" s="14"/>
      <c r="X526" s="15"/>
      <c r="Y526" s="16"/>
      <c r="Z526" s="17"/>
      <c r="AA526" s="30"/>
      <c r="AB526" s="15"/>
    </row>
    <row r="527" spans="1:28">
      <c r="A527" s="139" t="s">
        <v>5533</v>
      </c>
      <c r="B527" s="2457" t="s">
        <v>5534</v>
      </c>
      <c r="C527" s="14"/>
      <c r="D527" s="15"/>
      <c r="E527" s="16"/>
      <c r="F527" s="17"/>
      <c r="G527" s="14"/>
      <c r="H527" s="15"/>
      <c r="I527" s="16"/>
      <c r="J527" s="17"/>
      <c r="K527" s="14"/>
      <c r="L527" s="15"/>
      <c r="M527" s="16"/>
      <c r="N527" s="17"/>
      <c r="O527" s="2823" t="s">
        <v>5533</v>
      </c>
      <c r="P527" s="2823"/>
      <c r="Q527" s="2646"/>
      <c r="R527" s="17"/>
      <c r="S527" s="14"/>
      <c r="T527" s="15"/>
      <c r="U527" s="16"/>
      <c r="V527" s="17"/>
      <c r="W527" s="14"/>
      <c r="X527" s="15"/>
      <c r="Y527" s="16"/>
      <c r="Z527" s="17"/>
      <c r="AA527" s="30"/>
      <c r="AB527" s="15"/>
    </row>
    <row r="528" spans="1:28">
      <c r="A528" s="139" t="s">
        <v>5535</v>
      </c>
      <c r="B528" s="2457" t="s">
        <v>5534</v>
      </c>
      <c r="C528" s="14"/>
      <c r="D528" s="15"/>
      <c r="E528" s="16"/>
      <c r="F528" s="17"/>
      <c r="G528" s="14"/>
      <c r="H528" s="15"/>
      <c r="I528" s="16"/>
      <c r="J528" s="17"/>
      <c r="K528" s="14"/>
      <c r="L528" s="15"/>
      <c r="M528" s="16"/>
      <c r="N528" s="17"/>
      <c r="O528" s="2823" t="s">
        <v>5535</v>
      </c>
      <c r="P528" s="2823"/>
      <c r="Q528" s="2646"/>
      <c r="R528" s="17"/>
      <c r="S528" s="14"/>
      <c r="T528" s="15"/>
      <c r="U528" s="16"/>
      <c r="V528" s="17"/>
      <c r="W528" s="14"/>
      <c r="X528" s="15"/>
      <c r="Y528" s="16"/>
      <c r="Z528" s="17"/>
      <c r="AA528" s="30"/>
      <c r="AB528" s="15"/>
    </row>
    <row r="529" spans="1:28">
      <c r="A529" s="139" t="s">
        <v>5536</v>
      </c>
      <c r="B529" s="2457" t="s">
        <v>5534</v>
      </c>
      <c r="C529" s="14"/>
      <c r="D529" s="15"/>
      <c r="E529" s="16"/>
      <c r="F529" s="17"/>
      <c r="G529" s="14"/>
      <c r="H529" s="15"/>
      <c r="I529" s="16"/>
      <c r="J529" s="17"/>
      <c r="K529" s="14"/>
      <c r="L529" s="15"/>
      <c r="M529" s="16"/>
      <c r="N529" s="17"/>
      <c r="O529" s="2823" t="s">
        <v>5536</v>
      </c>
      <c r="P529" s="2823"/>
      <c r="Q529" s="2646"/>
      <c r="R529" s="17"/>
      <c r="S529" s="14"/>
      <c r="T529" s="15"/>
      <c r="U529" s="16"/>
      <c r="V529" s="17"/>
      <c r="W529" s="14"/>
      <c r="X529" s="15"/>
      <c r="Y529" s="16"/>
      <c r="Z529" s="17"/>
      <c r="AA529" s="30"/>
      <c r="AB529" s="15"/>
    </row>
    <row r="530" spans="1:28">
      <c r="A530" s="139" t="s">
        <v>5537</v>
      </c>
      <c r="B530" s="2457" t="s">
        <v>5534</v>
      </c>
      <c r="C530" s="14"/>
      <c r="D530" s="15"/>
      <c r="E530" s="16"/>
      <c r="F530" s="17"/>
      <c r="G530" s="14"/>
      <c r="H530" s="15"/>
      <c r="I530" s="16"/>
      <c r="J530" s="17"/>
      <c r="K530" s="14"/>
      <c r="L530" s="15"/>
      <c r="M530" s="16"/>
      <c r="N530" s="17"/>
      <c r="O530" s="2823" t="s">
        <v>5537</v>
      </c>
      <c r="P530" s="2823"/>
      <c r="Q530" s="2646"/>
      <c r="R530" s="17"/>
      <c r="S530" s="14"/>
      <c r="T530" s="15"/>
      <c r="U530" s="16"/>
      <c r="V530" s="17"/>
      <c r="W530" s="14"/>
      <c r="X530" s="15"/>
      <c r="Y530" s="16"/>
      <c r="Z530" s="17"/>
      <c r="AA530" s="30"/>
      <c r="AB530" s="15"/>
    </row>
    <row r="531" spans="1:28" ht="40.5" thickBot="1">
      <c r="A531" s="2134" t="s">
        <v>5537</v>
      </c>
      <c r="B531" s="2575" t="s">
        <v>5534</v>
      </c>
      <c r="C531" s="2430"/>
      <c r="D531" s="2431"/>
      <c r="E531" s="2432"/>
      <c r="F531" s="2566"/>
      <c r="G531" s="2430"/>
      <c r="H531" s="2431"/>
      <c r="I531" s="2432"/>
      <c r="J531" s="2566"/>
      <c r="K531" s="2430"/>
      <c r="L531" s="2431"/>
      <c r="M531" s="2432"/>
      <c r="N531" s="2566"/>
      <c r="O531" s="2911" t="s">
        <v>5537</v>
      </c>
      <c r="P531" s="2911"/>
      <c r="Q531" s="2902"/>
      <c r="R531" s="2566"/>
      <c r="S531" s="2430"/>
      <c r="T531" s="2431"/>
      <c r="U531" s="2432"/>
      <c r="V531" s="2566"/>
      <c r="W531" s="2430"/>
      <c r="X531" s="2431"/>
      <c r="Y531" s="2432"/>
      <c r="Z531" s="2566"/>
      <c r="AA531" s="2433"/>
      <c r="AB531" s="2431"/>
    </row>
    <row r="532" spans="1:28" ht="40.5" thickTop="1">
      <c r="A532" s="233" t="s">
        <v>5538</v>
      </c>
      <c r="B532" s="3000" t="s">
        <v>5539</v>
      </c>
      <c r="C532" s="9"/>
      <c r="D532" s="10"/>
      <c r="E532" s="11"/>
      <c r="F532" s="12"/>
      <c r="G532" s="9"/>
      <c r="H532" s="10"/>
      <c r="I532" s="11"/>
      <c r="J532" s="12"/>
      <c r="K532" s="9"/>
      <c r="L532" s="10"/>
      <c r="M532" s="11"/>
      <c r="N532" s="12"/>
      <c r="O532" s="3004" t="s">
        <v>5538</v>
      </c>
      <c r="P532" s="2909"/>
      <c r="Q532" s="2901"/>
      <c r="R532" s="12"/>
      <c r="S532" s="9"/>
      <c r="T532" s="10"/>
      <c r="U532" s="11"/>
      <c r="V532" s="12"/>
      <c r="W532" s="9"/>
      <c r="X532" s="10"/>
      <c r="Y532" s="11"/>
      <c r="Z532" s="12"/>
      <c r="AA532" s="33"/>
      <c r="AB532" s="10"/>
    </row>
    <row r="533" spans="1:28">
      <c r="A533" s="139" t="s">
        <v>5540</v>
      </c>
      <c r="B533" s="2288" t="s">
        <v>5541</v>
      </c>
      <c r="C533" s="14"/>
      <c r="D533" s="15"/>
      <c r="E533" s="16"/>
      <c r="F533" s="17"/>
      <c r="G533" s="14"/>
      <c r="H533" s="15"/>
      <c r="I533" s="16"/>
      <c r="J533" s="17"/>
      <c r="K533" s="14"/>
      <c r="L533" s="15"/>
      <c r="M533" s="16"/>
      <c r="N533" s="17"/>
      <c r="O533" s="2997" t="s">
        <v>5540</v>
      </c>
      <c r="P533" s="2823"/>
      <c r="Q533" s="2646"/>
      <c r="R533" s="17"/>
      <c r="S533" s="14"/>
      <c r="T533" s="15"/>
      <c r="U533" s="16"/>
      <c r="V533" s="17"/>
      <c r="W533" s="14"/>
      <c r="X533" s="15"/>
      <c r="Y533" s="16"/>
      <c r="Z533" s="17"/>
      <c r="AA533" s="30"/>
      <c r="AB533" s="15"/>
    </row>
    <row r="534" spans="1:28">
      <c r="A534" s="139" t="s">
        <v>5540</v>
      </c>
      <c r="B534" s="2457"/>
      <c r="C534" s="14"/>
      <c r="D534" s="15"/>
      <c r="E534" s="16"/>
      <c r="F534" s="17"/>
      <c r="G534" s="14"/>
      <c r="H534" s="15"/>
      <c r="I534" s="16"/>
      <c r="J534" s="17"/>
      <c r="K534" s="14"/>
      <c r="L534" s="15"/>
      <c r="M534" s="16"/>
      <c r="N534" s="17"/>
      <c r="O534" s="2997" t="s">
        <v>5540</v>
      </c>
      <c r="P534" s="2823"/>
      <c r="Q534" s="2646"/>
      <c r="R534" s="17"/>
      <c r="S534" s="14"/>
      <c r="T534" s="15"/>
      <c r="U534" s="16"/>
      <c r="V534" s="17"/>
      <c r="W534" s="14"/>
      <c r="X534" s="15"/>
      <c r="Y534" s="16"/>
      <c r="Z534" s="17"/>
      <c r="AA534" s="30"/>
      <c r="AB534" s="15"/>
    </row>
    <row r="535" spans="1:28" ht="40.5" thickBot="1">
      <c r="A535" s="2134" t="s">
        <v>5542</v>
      </c>
      <c r="B535" s="3002" t="s">
        <v>5543</v>
      </c>
      <c r="C535" s="2430"/>
      <c r="D535" s="2431"/>
      <c r="E535" s="2432"/>
      <c r="F535" s="2566"/>
      <c r="G535" s="2430"/>
      <c r="H535" s="2431"/>
      <c r="I535" s="2432"/>
      <c r="J535" s="2566"/>
      <c r="K535" s="2430"/>
      <c r="L535" s="2431"/>
      <c r="M535" s="2432"/>
      <c r="N535" s="2566"/>
      <c r="O535" s="3003" t="s">
        <v>5542</v>
      </c>
      <c r="P535" s="2911"/>
      <c r="Q535" s="2902"/>
      <c r="R535" s="2566"/>
      <c r="S535" s="2430"/>
      <c r="T535" s="2431"/>
      <c r="U535" s="2432"/>
      <c r="V535" s="2566"/>
      <c r="W535" s="2430"/>
      <c r="X535" s="2431"/>
      <c r="Y535" s="2432"/>
      <c r="Z535" s="2566"/>
      <c r="AA535" s="2433"/>
      <c r="AB535" s="2431"/>
    </row>
    <row r="536" spans="1:28" ht="40.5" thickTop="1">
      <c r="A536" s="233" t="s">
        <v>5544</v>
      </c>
      <c r="B536" s="3000" t="s">
        <v>5541</v>
      </c>
      <c r="C536" s="9"/>
      <c r="D536" s="10"/>
      <c r="E536" s="11"/>
      <c r="F536" s="12"/>
      <c r="G536" s="9"/>
      <c r="H536" s="10"/>
      <c r="I536" s="11"/>
      <c r="J536" s="12"/>
      <c r="K536" s="9"/>
      <c r="L536" s="10"/>
      <c r="M536" s="11"/>
      <c r="N536" s="12"/>
      <c r="O536" s="3001" t="s">
        <v>5544</v>
      </c>
      <c r="P536" s="3001"/>
      <c r="Q536" s="2901"/>
      <c r="R536" s="12"/>
      <c r="S536" s="9"/>
      <c r="T536" s="10"/>
      <c r="U536" s="11"/>
      <c r="V536" s="12"/>
      <c r="W536" s="9"/>
      <c r="X536" s="10"/>
      <c r="Y536" s="11"/>
      <c r="Z536" s="12"/>
      <c r="AA536" s="33"/>
      <c r="AB536" s="10"/>
    </row>
    <row r="537" spans="1:28">
      <c r="A537" s="8" t="s">
        <v>5545</v>
      </c>
      <c r="B537" s="25"/>
      <c r="C537" s="14"/>
      <c r="D537" s="15"/>
      <c r="E537" s="16"/>
      <c r="F537" s="17"/>
      <c r="G537" s="14"/>
      <c r="H537" s="15"/>
      <c r="I537" s="16"/>
      <c r="J537" s="17"/>
      <c r="K537" s="14"/>
      <c r="L537" s="15"/>
      <c r="M537" s="16"/>
      <c r="N537" s="17"/>
      <c r="O537" s="2920" t="s">
        <v>5545</v>
      </c>
      <c r="P537" s="2826"/>
      <c r="Q537" s="2645"/>
      <c r="R537" s="1795"/>
      <c r="S537" s="14"/>
      <c r="T537" s="15"/>
      <c r="U537" s="16"/>
      <c r="V537" s="17"/>
      <c r="W537" s="14"/>
      <c r="X537" s="15"/>
      <c r="Y537" s="16"/>
      <c r="Z537" s="17"/>
      <c r="AA537" s="30"/>
      <c r="AB537" s="15"/>
    </row>
    <row r="538" spans="1:28">
      <c r="A538" s="13" t="s">
        <v>5546</v>
      </c>
      <c r="B538" s="25"/>
      <c r="C538" s="14"/>
      <c r="D538" s="15"/>
      <c r="E538" s="16"/>
      <c r="F538" s="17"/>
      <c r="G538" s="14"/>
      <c r="H538" s="15"/>
      <c r="I538" s="16"/>
      <c r="J538" s="17"/>
      <c r="K538" s="14"/>
      <c r="L538" s="15"/>
      <c r="M538" s="16"/>
      <c r="N538" s="17"/>
      <c r="O538" s="2920" t="s">
        <v>5546</v>
      </c>
      <c r="P538" s="2826"/>
      <c r="Q538" s="2649"/>
      <c r="R538" s="2650"/>
      <c r="S538" s="2651"/>
      <c r="T538" s="2648"/>
      <c r="U538" s="16"/>
      <c r="V538" s="17"/>
      <c r="W538" s="14"/>
      <c r="X538" s="15"/>
      <c r="Y538" s="16"/>
      <c r="Z538" s="17"/>
      <c r="AA538" s="30"/>
      <c r="AB538" s="15"/>
    </row>
    <row r="539" spans="1:28" ht="40.5" thickBot="1">
      <c r="A539" s="8" t="s">
        <v>5547</v>
      </c>
      <c r="B539" s="25"/>
      <c r="C539" s="6"/>
      <c r="D539" s="32"/>
      <c r="E539" s="7"/>
      <c r="F539" s="40"/>
      <c r="G539" s="6"/>
      <c r="H539" s="32"/>
      <c r="I539" s="7"/>
      <c r="J539" s="40"/>
      <c r="K539" s="6"/>
      <c r="L539" s="32"/>
      <c r="M539" s="7"/>
      <c r="N539" s="40"/>
      <c r="O539" s="2923" t="s">
        <v>5547</v>
      </c>
      <c r="P539" s="2823"/>
      <c r="Q539" s="2647"/>
      <c r="R539" s="40"/>
      <c r="S539" s="6"/>
      <c r="T539" s="32"/>
      <c r="U539" s="7"/>
      <c r="V539" s="40"/>
      <c r="W539" s="6"/>
      <c r="X539" s="32"/>
      <c r="Y539" s="7"/>
      <c r="Z539" s="40"/>
      <c r="AA539" s="2630"/>
      <c r="AB539" s="2631"/>
    </row>
    <row r="540" spans="1:28" ht="40.5" thickBot="1">
      <c r="A540" s="34" t="s">
        <v>5548</v>
      </c>
      <c r="B540" s="41"/>
      <c r="C540" s="6"/>
      <c r="D540" s="32"/>
      <c r="E540" s="7"/>
      <c r="F540" s="40"/>
      <c r="G540" s="6"/>
      <c r="H540" s="32"/>
      <c r="I540" s="7"/>
      <c r="J540" s="40"/>
      <c r="K540" s="6"/>
      <c r="L540" s="32"/>
      <c r="M540" s="7"/>
      <c r="N540" s="40"/>
      <c r="O540" s="3005" t="s">
        <v>5548</v>
      </c>
      <c r="P540" s="2906"/>
      <c r="Q540" s="7"/>
      <c r="R540" s="40"/>
      <c r="S540" s="6"/>
      <c r="T540" s="32"/>
      <c r="U540" s="7"/>
      <c r="V540" s="40"/>
      <c r="W540" s="6"/>
      <c r="X540" s="32"/>
      <c r="Y540" s="7"/>
      <c r="Z540" s="32"/>
      <c r="AA540" s="31"/>
      <c r="AB540" s="32"/>
    </row>
    <row r="541" spans="1:28" ht="40.5">
      <c r="A541" s="3" t="s">
        <v>5063</v>
      </c>
      <c r="B541" s="23"/>
      <c r="C541" s="3"/>
      <c r="D541" s="3"/>
      <c r="E541" s="3"/>
      <c r="F541" s="3"/>
      <c r="G541" s="3"/>
      <c r="H541" s="3"/>
      <c r="I541" s="3"/>
      <c r="J541" s="3"/>
      <c r="K541" s="3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B541" s="4"/>
    </row>
    <row r="542" spans="1:28" ht="40.5" thickBot="1">
      <c r="A542" s="5" t="s">
        <v>5064</v>
      </c>
    </row>
    <row r="543" spans="1:28">
      <c r="A543" s="3544" t="s">
        <v>2</v>
      </c>
      <c r="B543" s="3546" t="s">
        <v>3</v>
      </c>
      <c r="C543" s="3537" t="s">
        <v>5065</v>
      </c>
      <c r="D543" s="3538"/>
      <c r="E543" s="3536" t="s">
        <v>5066</v>
      </c>
      <c r="F543" s="3536"/>
      <c r="G543" s="3537" t="s">
        <v>5067</v>
      </c>
      <c r="H543" s="3538"/>
      <c r="I543" s="3536" t="s">
        <v>5068</v>
      </c>
      <c r="J543" s="3536"/>
      <c r="K543" s="3537" t="s">
        <v>5069</v>
      </c>
      <c r="L543" s="3538"/>
      <c r="M543" s="3536" t="s">
        <v>5070</v>
      </c>
      <c r="N543" s="3536"/>
      <c r="O543" s="3542"/>
      <c r="P543" s="3542"/>
      <c r="Q543" s="3536" t="s">
        <v>5071</v>
      </c>
      <c r="R543" s="3536"/>
      <c r="S543" s="3536" t="s">
        <v>5072</v>
      </c>
      <c r="T543" s="3536"/>
      <c r="U543" s="3472" t="s">
        <v>5073</v>
      </c>
      <c r="V543" s="3473"/>
      <c r="W543" s="3536" t="s">
        <v>5074</v>
      </c>
      <c r="X543" s="3536"/>
      <c r="Y543" s="3472" t="s">
        <v>5075</v>
      </c>
      <c r="Z543" s="3475"/>
      <c r="AA543" s="3537" t="s">
        <v>5076</v>
      </c>
      <c r="AB543" s="3538"/>
    </row>
    <row r="544" spans="1:28" ht="40.5" thickBot="1">
      <c r="A544" s="3545"/>
      <c r="B544" s="3547"/>
      <c r="C544" s="1" t="s">
        <v>5078</v>
      </c>
      <c r="D544" s="35" t="s">
        <v>5079</v>
      </c>
      <c r="E544" s="2" t="s">
        <v>5078</v>
      </c>
      <c r="F544" s="36" t="s">
        <v>5079</v>
      </c>
      <c r="G544" s="1" t="s">
        <v>5078</v>
      </c>
      <c r="H544" s="35" t="s">
        <v>5079</v>
      </c>
      <c r="I544" s="2" t="s">
        <v>5078</v>
      </c>
      <c r="J544" s="36" t="s">
        <v>5079</v>
      </c>
      <c r="K544" s="1" t="s">
        <v>5078</v>
      </c>
      <c r="L544" s="35" t="s">
        <v>5079</v>
      </c>
      <c r="M544" s="2" t="s">
        <v>5078</v>
      </c>
      <c r="N544" s="36" t="s">
        <v>5079</v>
      </c>
      <c r="O544" s="2769"/>
      <c r="P544" s="2820"/>
      <c r="Q544" s="2" t="s">
        <v>5078</v>
      </c>
      <c r="R544" s="36" t="s">
        <v>5079</v>
      </c>
      <c r="S544" s="1" t="s">
        <v>5078</v>
      </c>
      <c r="T544" s="35" t="s">
        <v>5079</v>
      </c>
      <c r="U544" s="2" t="s">
        <v>5078</v>
      </c>
      <c r="V544" s="36" t="s">
        <v>5079</v>
      </c>
      <c r="W544" s="1" t="s">
        <v>5078</v>
      </c>
      <c r="X544" s="35" t="s">
        <v>5079</v>
      </c>
      <c r="Y544" s="2" t="s">
        <v>5078</v>
      </c>
      <c r="Z544" s="36" t="s">
        <v>5079</v>
      </c>
      <c r="AA544" s="1" t="s">
        <v>5078</v>
      </c>
      <c r="AB544" s="35" t="s">
        <v>5079</v>
      </c>
    </row>
    <row r="545" spans="1:28">
      <c r="A545" s="139" t="s">
        <v>5549</v>
      </c>
      <c r="B545" s="2288" t="s">
        <v>5550</v>
      </c>
      <c r="C545" s="9"/>
      <c r="D545" s="10"/>
      <c r="E545" s="11"/>
      <c r="F545" s="12"/>
      <c r="G545" s="9"/>
      <c r="H545" s="10"/>
      <c r="I545" s="11"/>
      <c r="J545" s="12"/>
      <c r="K545" s="9"/>
      <c r="L545" s="10"/>
      <c r="M545" s="11"/>
      <c r="N545" s="12"/>
      <c r="O545" s="2821"/>
      <c r="P545" s="2822"/>
      <c r="Q545" s="11"/>
      <c r="R545" s="12"/>
      <c r="S545" s="9"/>
      <c r="T545" s="10"/>
      <c r="U545" s="11"/>
      <c r="V545" s="12"/>
      <c r="W545" s="9"/>
      <c r="X545" s="10"/>
      <c r="Y545" s="11"/>
      <c r="Z545" s="12"/>
      <c r="AA545" s="33"/>
      <c r="AB545" s="10"/>
    </row>
    <row r="546" spans="1:28">
      <c r="A546" s="139" t="s">
        <v>5549</v>
      </c>
      <c r="B546" s="2288" t="s">
        <v>5551</v>
      </c>
      <c r="C546" s="14"/>
      <c r="D546" s="15"/>
      <c r="E546" s="16"/>
      <c r="F546" s="17"/>
      <c r="G546" s="14"/>
      <c r="H546" s="15"/>
      <c r="I546" s="16"/>
      <c r="J546" s="17"/>
      <c r="K546" s="14"/>
      <c r="L546" s="15"/>
      <c r="M546" s="16"/>
      <c r="N546" s="17"/>
      <c r="O546" s="2823"/>
      <c r="P546" s="2823"/>
      <c r="Q546" s="2646"/>
      <c r="R546" s="17"/>
      <c r="S546" s="14"/>
      <c r="T546" s="15"/>
      <c r="U546" s="16"/>
      <c r="V546" s="17"/>
      <c r="W546" s="14"/>
      <c r="X546" s="15"/>
      <c r="Y546" s="16"/>
      <c r="Z546" s="17"/>
      <c r="AA546" s="30"/>
      <c r="AB546" s="15"/>
    </row>
    <row r="547" spans="1:28">
      <c r="A547" s="139" t="s">
        <v>5549</v>
      </c>
      <c r="B547" s="2288" t="s">
        <v>5551</v>
      </c>
      <c r="C547" s="14"/>
      <c r="D547" s="15"/>
      <c r="E547" s="16"/>
      <c r="F547" s="17"/>
      <c r="G547" s="14"/>
      <c r="H547" s="15"/>
      <c r="I547" s="16"/>
      <c r="J547" s="17"/>
      <c r="K547" s="14"/>
      <c r="L547" s="15"/>
      <c r="M547" s="16"/>
      <c r="N547" s="17"/>
      <c r="O547" s="2823"/>
      <c r="P547" s="2823"/>
      <c r="Q547" s="2646"/>
      <c r="R547" s="17"/>
      <c r="S547" s="14"/>
      <c r="T547" s="15"/>
      <c r="U547" s="16"/>
      <c r="V547" s="17"/>
      <c r="W547" s="14"/>
      <c r="X547" s="15"/>
      <c r="Y547" s="16"/>
      <c r="Z547" s="17"/>
      <c r="AA547" s="30"/>
      <c r="AB547" s="15"/>
    </row>
    <row r="548" spans="1:28">
      <c r="A548" s="139" t="s">
        <v>5549</v>
      </c>
      <c r="B548" s="2288" t="s">
        <v>5552</v>
      </c>
      <c r="C548" s="14"/>
      <c r="D548" s="15"/>
      <c r="E548" s="16"/>
      <c r="F548" s="17"/>
      <c r="G548" s="14"/>
      <c r="H548" s="15"/>
      <c r="I548" s="16"/>
      <c r="J548" s="17"/>
      <c r="K548" s="14"/>
      <c r="L548" s="15"/>
      <c r="M548" s="16"/>
      <c r="N548" s="17"/>
      <c r="O548" s="2823"/>
      <c r="P548" s="2823"/>
      <c r="Q548" s="2646"/>
      <c r="R548" s="17"/>
      <c r="S548" s="14"/>
      <c r="T548" s="15"/>
      <c r="U548" s="16"/>
      <c r="V548" s="17"/>
      <c r="W548" s="14"/>
      <c r="X548" s="15"/>
      <c r="Y548" s="16"/>
      <c r="Z548" s="17"/>
      <c r="AA548" s="30"/>
      <c r="AB548" s="15"/>
    </row>
    <row r="549" spans="1:28">
      <c r="A549" s="3468" t="s">
        <v>5549</v>
      </c>
      <c r="B549" s="341" t="s">
        <v>5553</v>
      </c>
      <c r="C549" s="14"/>
      <c r="D549" s="15"/>
      <c r="E549" s="16"/>
      <c r="F549" s="17"/>
      <c r="G549" s="14"/>
      <c r="H549" s="15"/>
      <c r="I549" s="16"/>
      <c r="J549" s="17"/>
      <c r="K549" s="14"/>
      <c r="L549" s="15"/>
      <c r="M549" s="16"/>
      <c r="N549" s="17"/>
      <c r="O549" s="2823"/>
      <c r="P549" s="2823"/>
      <c r="Q549" s="2646"/>
      <c r="R549" s="17"/>
      <c r="S549" s="14"/>
      <c r="T549" s="15"/>
      <c r="U549" s="16"/>
      <c r="V549" s="17"/>
      <c r="W549" s="14"/>
      <c r="X549" s="15"/>
      <c r="Y549" s="16"/>
      <c r="Z549" s="17"/>
      <c r="AA549" s="30"/>
      <c r="AB549" s="15"/>
    </row>
    <row r="550" spans="1:28">
      <c r="A550" s="139" t="s">
        <v>5549</v>
      </c>
      <c r="B550" s="101" t="s">
        <v>5554</v>
      </c>
      <c r="C550" s="14"/>
      <c r="D550" s="15"/>
      <c r="E550" s="16"/>
      <c r="F550" s="17"/>
      <c r="G550" s="14"/>
      <c r="H550" s="15"/>
      <c r="I550" s="16"/>
      <c r="J550" s="17"/>
      <c r="K550" s="14"/>
      <c r="L550" s="15"/>
      <c r="M550" s="16"/>
      <c r="N550" s="17"/>
      <c r="O550" s="2823"/>
      <c r="P550" s="2823"/>
      <c r="Q550" s="2646"/>
      <c r="R550" s="17"/>
      <c r="S550" s="14"/>
      <c r="T550" s="15"/>
      <c r="U550" s="16"/>
      <c r="V550" s="17"/>
      <c r="W550" s="14"/>
      <c r="X550" s="15"/>
      <c r="Y550" s="16"/>
      <c r="Z550" s="17"/>
      <c r="AA550" s="30"/>
      <c r="AB550" s="15"/>
    </row>
    <row r="551" spans="1:28">
      <c r="A551" s="139" t="s">
        <v>5549</v>
      </c>
      <c r="B551" s="101" t="s">
        <v>5555</v>
      </c>
      <c r="C551" s="14"/>
      <c r="D551" s="15"/>
      <c r="E551" s="16"/>
      <c r="F551" s="17"/>
      <c r="G551" s="14"/>
      <c r="H551" s="15"/>
      <c r="I551" s="16"/>
      <c r="J551" s="17"/>
      <c r="K551" s="14"/>
      <c r="L551" s="15"/>
      <c r="M551" s="16"/>
      <c r="N551" s="17"/>
      <c r="O551" s="2823"/>
      <c r="P551" s="2823"/>
      <c r="Q551" s="2646"/>
      <c r="R551" s="17"/>
      <c r="S551" s="14"/>
      <c r="T551" s="15"/>
      <c r="U551" s="16"/>
      <c r="V551" s="17"/>
      <c r="W551" s="14"/>
      <c r="X551" s="15"/>
      <c r="Y551" s="16"/>
      <c r="Z551" s="17"/>
      <c r="AA551" s="30"/>
      <c r="AB551" s="15"/>
    </row>
    <row r="552" spans="1:28">
      <c r="A552" s="139" t="s">
        <v>5549</v>
      </c>
      <c r="B552" s="2458" t="s">
        <v>5556</v>
      </c>
      <c r="C552" s="14"/>
      <c r="D552" s="15"/>
      <c r="E552" s="16"/>
      <c r="F552" s="17"/>
      <c r="G552" s="14"/>
      <c r="H552" s="15"/>
      <c r="I552" s="16"/>
      <c r="J552" s="17"/>
      <c r="K552" s="14"/>
      <c r="L552" s="15"/>
      <c r="M552" s="16"/>
      <c r="N552" s="17"/>
      <c r="O552" s="2823"/>
      <c r="P552" s="2823"/>
      <c r="Q552" s="2646"/>
      <c r="R552" s="17"/>
      <c r="S552" s="14"/>
      <c r="T552" s="15"/>
      <c r="U552" s="16"/>
      <c r="V552" s="17"/>
      <c r="W552" s="14"/>
      <c r="X552" s="15"/>
      <c r="Y552" s="16"/>
      <c r="Z552" s="17"/>
      <c r="AA552" s="30"/>
      <c r="AB552" s="15"/>
    </row>
    <row r="553" spans="1:28">
      <c r="A553" s="770"/>
      <c r="B553" s="320"/>
      <c r="C553" s="14"/>
      <c r="D553" s="15"/>
      <c r="E553" s="16"/>
      <c r="F553" s="17"/>
      <c r="G553" s="14"/>
      <c r="H553" s="15"/>
      <c r="I553" s="16"/>
      <c r="J553" s="17"/>
      <c r="K553" s="14"/>
      <c r="L553" s="15"/>
      <c r="M553" s="16"/>
      <c r="N553" s="17"/>
      <c r="O553" s="2823"/>
      <c r="P553" s="2823"/>
      <c r="Q553" s="2646"/>
      <c r="R553" s="17"/>
      <c r="S553" s="14"/>
      <c r="T553" s="15"/>
      <c r="U553" s="16"/>
      <c r="V553" s="17"/>
      <c r="W553" s="14"/>
      <c r="X553" s="15"/>
      <c r="Y553" s="16"/>
      <c r="Z553" s="17"/>
      <c r="AA553" s="30"/>
      <c r="AB553" s="15"/>
    </row>
    <row r="554" spans="1:28">
      <c r="A554" s="139" t="s">
        <v>1995</v>
      </c>
      <c r="B554" s="2457" t="s">
        <v>5557</v>
      </c>
      <c r="C554" s="14"/>
      <c r="D554" s="15"/>
      <c r="E554" s="16"/>
      <c r="F554" s="17"/>
      <c r="G554" s="14"/>
      <c r="H554" s="15"/>
      <c r="I554" s="16"/>
      <c r="J554" s="17"/>
      <c r="K554" s="14"/>
      <c r="L554" s="15"/>
      <c r="M554" s="16"/>
      <c r="N554" s="17"/>
      <c r="O554" s="2823"/>
      <c r="P554" s="2823"/>
      <c r="Q554" s="2646"/>
      <c r="R554" s="17"/>
      <c r="S554" s="14"/>
      <c r="T554" s="15"/>
      <c r="U554" s="16"/>
      <c r="V554" s="17"/>
      <c r="W554" s="14"/>
      <c r="X554" s="15"/>
      <c r="Y554" s="16"/>
      <c r="Z554" s="17"/>
      <c r="AA554" s="30"/>
      <c r="AB554" s="15"/>
    </row>
    <row r="555" spans="1:28">
      <c r="A555" s="770"/>
      <c r="B555" s="320"/>
      <c r="C555" s="14"/>
      <c r="D555" s="15"/>
      <c r="E555" s="16"/>
      <c r="F555" s="17"/>
      <c r="G555" s="14"/>
      <c r="H555" s="15"/>
      <c r="I555" s="16"/>
      <c r="J555" s="17"/>
      <c r="K555" s="14"/>
      <c r="L555" s="15"/>
      <c r="M555" s="16"/>
      <c r="N555" s="17"/>
      <c r="O555" s="2823"/>
      <c r="P555" s="2823"/>
      <c r="Q555" s="2646"/>
      <c r="R555" s="17"/>
      <c r="S555" s="14"/>
      <c r="T555" s="15"/>
      <c r="U555" s="16"/>
      <c r="V555" s="17"/>
      <c r="W555" s="14"/>
      <c r="X555" s="15"/>
      <c r="Y555" s="16"/>
      <c r="Z555" s="17"/>
      <c r="AA555" s="30"/>
      <c r="AB555" s="15"/>
    </row>
    <row r="556" spans="1:28">
      <c r="A556" s="3468" t="s">
        <v>5558</v>
      </c>
      <c r="B556" s="101" t="s">
        <v>5559</v>
      </c>
      <c r="C556" s="14"/>
      <c r="D556" s="15"/>
      <c r="E556" s="16"/>
      <c r="F556" s="17"/>
      <c r="G556" s="14"/>
      <c r="H556" s="15"/>
      <c r="I556" s="16"/>
      <c r="J556" s="17"/>
      <c r="K556" s="14"/>
      <c r="L556" s="15"/>
      <c r="M556" s="16"/>
      <c r="N556" s="17"/>
      <c r="O556" s="2823"/>
      <c r="P556" s="2823"/>
      <c r="Q556" s="2646"/>
      <c r="R556" s="17"/>
      <c r="S556" s="14"/>
      <c r="T556" s="15"/>
      <c r="U556" s="16"/>
      <c r="V556" s="17"/>
      <c r="W556" s="14"/>
      <c r="X556" s="15"/>
      <c r="Y556" s="16"/>
      <c r="Z556" s="17"/>
      <c r="AA556" s="30"/>
      <c r="AB556" s="15"/>
    </row>
    <row r="557" spans="1:28">
      <c r="A557" s="3468" t="s">
        <v>5558</v>
      </c>
      <c r="B557" s="101">
        <v>3220</v>
      </c>
      <c r="C557" s="14"/>
      <c r="D557" s="15"/>
      <c r="E557" s="16"/>
      <c r="F557" s="17"/>
      <c r="G557" s="14"/>
      <c r="H557" s="15"/>
      <c r="I557" s="16"/>
      <c r="J557" s="17"/>
      <c r="K557" s="14"/>
      <c r="L557" s="15"/>
      <c r="M557" s="16"/>
      <c r="N557" s="17"/>
      <c r="O557" s="2823"/>
      <c r="P557" s="2823"/>
      <c r="Q557" s="2646"/>
      <c r="R557" s="17"/>
      <c r="S557" s="14"/>
      <c r="T557" s="15"/>
      <c r="U557" s="16"/>
      <c r="V557" s="17"/>
      <c r="W557" s="14"/>
      <c r="X557" s="15"/>
      <c r="Y557" s="16"/>
      <c r="Z557" s="17"/>
      <c r="AA557" s="30"/>
      <c r="AB557" s="15"/>
    </row>
    <row r="558" spans="1:28">
      <c r="A558" s="3468" t="s">
        <v>5560</v>
      </c>
      <c r="B558" s="101" t="s">
        <v>5561</v>
      </c>
      <c r="C558" s="14"/>
      <c r="D558" s="15"/>
      <c r="E558" s="16"/>
      <c r="F558" s="17"/>
      <c r="G558" s="14"/>
      <c r="H558" s="15"/>
      <c r="I558" s="16"/>
      <c r="J558" s="17"/>
      <c r="K558" s="14"/>
      <c r="L558" s="15"/>
      <c r="M558" s="16"/>
      <c r="N558" s="17"/>
      <c r="O558" s="2823"/>
      <c r="P558" s="2823"/>
      <c r="Q558" s="2646"/>
      <c r="R558" s="17"/>
      <c r="S558" s="14"/>
      <c r="T558" s="15"/>
      <c r="U558" s="16"/>
      <c r="V558" s="17"/>
      <c r="W558" s="14"/>
      <c r="X558" s="15"/>
      <c r="Y558" s="16"/>
      <c r="Z558" s="17"/>
      <c r="AA558" s="30"/>
      <c r="AB558" s="15"/>
    </row>
    <row r="559" spans="1:28">
      <c r="A559" s="8"/>
      <c r="B559" s="25"/>
      <c r="C559" s="14"/>
      <c r="D559" s="15"/>
      <c r="E559" s="16"/>
      <c r="F559" s="17"/>
      <c r="G559" s="14"/>
      <c r="H559" s="15"/>
      <c r="I559" s="16"/>
      <c r="J559" s="17"/>
      <c r="K559" s="14"/>
      <c r="L559" s="15"/>
      <c r="M559" s="16"/>
      <c r="N559" s="17"/>
      <c r="O559" s="2824"/>
      <c r="P559" s="2824"/>
      <c r="Q559" s="2646"/>
      <c r="R559" s="17"/>
      <c r="S559" s="14"/>
      <c r="T559" s="15"/>
      <c r="U559" s="16"/>
      <c r="V559" s="17"/>
      <c r="W559" s="14"/>
      <c r="X559" s="15"/>
      <c r="Y559" s="16"/>
      <c r="Z559" s="17"/>
      <c r="AA559" s="30"/>
      <c r="AB559" s="15"/>
    </row>
    <row r="560" spans="1:28">
      <c r="A560" s="8"/>
      <c r="B560" s="25"/>
      <c r="C560" s="14"/>
      <c r="D560" s="15"/>
      <c r="E560" s="16"/>
      <c r="F560" s="17"/>
      <c r="G560" s="14"/>
      <c r="H560" s="15"/>
      <c r="I560" s="16"/>
      <c r="J560" s="17"/>
      <c r="K560" s="14"/>
      <c r="L560" s="15"/>
      <c r="M560" s="16"/>
      <c r="N560" s="17"/>
      <c r="O560" s="2825"/>
      <c r="P560" s="2826"/>
      <c r="Q560" s="2645"/>
      <c r="R560" s="1795"/>
      <c r="S560" s="14"/>
      <c r="T560" s="15"/>
      <c r="U560" s="16"/>
      <c r="V560" s="17"/>
      <c r="W560" s="14"/>
      <c r="X560" s="15"/>
      <c r="Y560" s="16"/>
      <c r="Z560" s="17"/>
      <c r="AA560" s="30"/>
      <c r="AB560" s="15"/>
    </row>
    <row r="561" spans="1:28">
      <c r="A561" s="13"/>
      <c r="B561" s="25"/>
      <c r="C561" s="14"/>
      <c r="D561" s="15"/>
      <c r="E561" s="16"/>
      <c r="F561" s="17"/>
      <c r="G561" s="14"/>
      <c r="H561" s="15"/>
      <c r="I561" s="16"/>
      <c r="J561" s="17"/>
      <c r="K561" s="14"/>
      <c r="L561" s="15"/>
      <c r="M561" s="16"/>
      <c r="N561" s="17"/>
      <c r="O561" s="2825"/>
      <c r="P561" s="2826"/>
      <c r="Q561" s="2649"/>
      <c r="R561" s="2650"/>
      <c r="S561" s="2651"/>
      <c r="T561" s="2648"/>
      <c r="U561" s="16"/>
      <c r="V561" s="17"/>
      <c r="W561" s="14"/>
      <c r="X561" s="15"/>
      <c r="Y561" s="16"/>
      <c r="Z561" s="17"/>
      <c r="AA561" s="30"/>
      <c r="AB561" s="15"/>
    </row>
    <row r="562" spans="1:28" ht="40.5" thickBot="1">
      <c r="A562" s="8"/>
      <c r="B562" s="25"/>
      <c r="C562" s="6"/>
      <c r="D562" s="32"/>
      <c r="E562" s="7"/>
      <c r="F562" s="40"/>
      <c r="G562" s="6"/>
      <c r="H562" s="32"/>
      <c r="I562" s="7"/>
      <c r="J562" s="40"/>
      <c r="K562" s="6"/>
      <c r="L562" s="32"/>
      <c r="M562" s="7"/>
      <c r="N562" s="40"/>
      <c r="O562" s="2823"/>
      <c r="P562" s="2823"/>
      <c r="Q562" s="2647"/>
      <c r="R562" s="40"/>
      <c r="S562" s="6"/>
      <c r="T562" s="32"/>
      <c r="U562" s="7"/>
      <c r="V562" s="40"/>
      <c r="W562" s="6"/>
      <c r="X562" s="32"/>
      <c r="Y562" s="7"/>
      <c r="Z562" s="40"/>
      <c r="AA562" s="2630"/>
      <c r="AB562" s="2631"/>
    </row>
    <row r="563" spans="1:28" ht="40.5" thickBot="1">
      <c r="A563" s="34"/>
      <c r="B563" s="41"/>
      <c r="C563" s="6"/>
      <c r="D563" s="32"/>
      <c r="E563" s="7"/>
      <c r="F563" s="40"/>
      <c r="G563" s="6"/>
      <c r="H563" s="32"/>
      <c r="I563" s="7"/>
      <c r="J563" s="40"/>
      <c r="K563" s="6"/>
      <c r="L563" s="32"/>
      <c r="M563" s="7"/>
      <c r="N563" s="40"/>
      <c r="O563" s="6"/>
      <c r="P563" s="32"/>
      <c r="Q563" s="7"/>
      <c r="R563" s="40"/>
      <c r="S563" s="6"/>
      <c r="T563" s="32"/>
      <c r="U563" s="7"/>
      <c r="V563" s="40"/>
      <c r="W563" s="6"/>
      <c r="X563" s="32"/>
      <c r="Y563" s="7"/>
      <c r="Z563" s="32"/>
      <c r="AA563" s="31"/>
      <c r="AB563" s="32"/>
    </row>
    <row r="564" spans="1:28" ht="40.5">
      <c r="A564" s="3" t="s">
        <v>5063</v>
      </c>
      <c r="B564" s="23"/>
      <c r="C564" s="3"/>
      <c r="D564" s="3"/>
      <c r="E564" s="3"/>
      <c r="F564" s="3"/>
      <c r="G564" s="3"/>
      <c r="H564" s="3"/>
      <c r="I564" s="3"/>
      <c r="J564" s="3"/>
      <c r="K564" s="3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B564" s="4"/>
    </row>
    <row r="565" spans="1:28" ht="40.5" thickBot="1">
      <c r="A565" s="5" t="s">
        <v>5064</v>
      </c>
    </row>
    <row r="566" spans="1:28">
      <c r="A566" s="3544" t="s">
        <v>2</v>
      </c>
      <c r="B566" s="3546" t="s">
        <v>3</v>
      </c>
      <c r="C566" s="3537" t="s">
        <v>5065</v>
      </c>
      <c r="D566" s="3538"/>
      <c r="E566" s="3536" t="s">
        <v>5066</v>
      </c>
      <c r="F566" s="3536"/>
      <c r="G566" s="3537" t="s">
        <v>5067</v>
      </c>
      <c r="H566" s="3538"/>
      <c r="I566" s="3536" t="s">
        <v>5068</v>
      </c>
      <c r="J566" s="3536"/>
      <c r="K566" s="3537" t="s">
        <v>5069</v>
      </c>
      <c r="L566" s="3538"/>
      <c r="M566" s="3536" t="s">
        <v>5070</v>
      </c>
      <c r="N566" s="3536"/>
      <c r="O566" s="3542"/>
      <c r="P566" s="3542"/>
      <c r="Q566" s="3536" t="s">
        <v>5071</v>
      </c>
      <c r="R566" s="3536"/>
      <c r="S566" s="3536" t="s">
        <v>5072</v>
      </c>
      <c r="T566" s="3536"/>
      <c r="U566" s="3472" t="s">
        <v>5073</v>
      </c>
      <c r="V566" s="3473"/>
      <c r="W566" s="3536" t="s">
        <v>5074</v>
      </c>
      <c r="X566" s="3536"/>
      <c r="Y566" s="3472" t="s">
        <v>5075</v>
      </c>
      <c r="Z566" s="3475"/>
      <c r="AA566" s="3537" t="s">
        <v>5076</v>
      </c>
      <c r="AB566" s="3538"/>
    </row>
    <row r="567" spans="1:28" ht="40.5" thickBot="1">
      <c r="A567" s="3545"/>
      <c r="B567" s="3547"/>
      <c r="C567" s="1" t="s">
        <v>5078</v>
      </c>
      <c r="D567" s="35" t="s">
        <v>5079</v>
      </c>
      <c r="E567" s="2" t="s">
        <v>5078</v>
      </c>
      <c r="F567" s="36" t="s">
        <v>5079</v>
      </c>
      <c r="G567" s="1" t="s">
        <v>5078</v>
      </c>
      <c r="H567" s="35" t="s">
        <v>5079</v>
      </c>
      <c r="I567" s="2" t="s">
        <v>5078</v>
      </c>
      <c r="J567" s="36" t="s">
        <v>5079</v>
      </c>
      <c r="K567" s="1" t="s">
        <v>5078</v>
      </c>
      <c r="L567" s="35" t="s">
        <v>5079</v>
      </c>
      <c r="M567" s="2" t="s">
        <v>5078</v>
      </c>
      <c r="N567" s="36" t="s">
        <v>5079</v>
      </c>
      <c r="O567" s="2769"/>
      <c r="P567" s="2820"/>
      <c r="Q567" s="2" t="s">
        <v>5078</v>
      </c>
      <c r="R567" s="36" t="s">
        <v>5079</v>
      </c>
      <c r="S567" s="1" t="s">
        <v>5078</v>
      </c>
      <c r="T567" s="35" t="s">
        <v>5079</v>
      </c>
      <c r="U567" s="2" t="s">
        <v>5078</v>
      </c>
      <c r="V567" s="36" t="s">
        <v>5079</v>
      </c>
      <c r="W567" s="1" t="s">
        <v>5078</v>
      </c>
      <c r="X567" s="35" t="s">
        <v>5079</v>
      </c>
      <c r="Y567" s="2" t="s">
        <v>5078</v>
      </c>
      <c r="Z567" s="36" t="s">
        <v>5079</v>
      </c>
      <c r="AA567" s="1" t="s">
        <v>5078</v>
      </c>
      <c r="AB567" s="35" t="s">
        <v>5079</v>
      </c>
    </row>
    <row r="568" spans="1:28">
      <c r="A568" s="958" t="s">
        <v>5562</v>
      </c>
      <c r="B568" s="2280" t="s">
        <v>5563</v>
      </c>
      <c r="C568" s="9"/>
      <c r="D568" s="10"/>
      <c r="E568" s="11"/>
      <c r="F568" s="12"/>
      <c r="G568" s="9"/>
      <c r="H568" s="10"/>
      <c r="I568" s="11"/>
      <c r="J568" s="12"/>
      <c r="K568" s="9"/>
      <c r="L568" s="10"/>
      <c r="M568" s="11"/>
      <c r="N568" s="12"/>
      <c r="O568" s="2821"/>
      <c r="P568" s="2822"/>
      <c r="Q568" s="11"/>
      <c r="R568" s="12"/>
      <c r="S568" s="9"/>
      <c r="T568" s="10"/>
      <c r="U568" s="11"/>
      <c r="V568" s="12"/>
      <c r="W568" s="9"/>
      <c r="X568" s="10"/>
      <c r="Y568" s="11"/>
      <c r="Z568" s="12"/>
      <c r="AA568" s="33"/>
      <c r="AB568" s="10"/>
    </row>
    <row r="569" spans="1:28">
      <c r="A569" s="770" t="s">
        <v>5564</v>
      </c>
      <c r="B569" s="320" t="s">
        <v>5563</v>
      </c>
      <c r="C569" s="14"/>
      <c r="D569" s="15"/>
      <c r="E569" s="16"/>
      <c r="F569" s="17"/>
      <c r="G569" s="14"/>
      <c r="H569" s="15"/>
      <c r="I569" s="16"/>
      <c r="J569" s="17"/>
      <c r="K569" s="14"/>
      <c r="L569" s="15"/>
      <c r="M569" s="16"/>
      <c r="N569" s="17"/>
      <c r="O569" s="2823"/>
      <c r="P569" s="2823"/>
      <c r="Q569" s="2646"/>
      <c r="R569" s="17"/>
      <c r="S569" s="14"/>
      <c r="T569" s="15"/>
      <c r="U569" s="16"/>
      <c r="V569" s="17"/>
      <c r="W569" s="14"/>
      <c r="X569" s="15"/>
      <c r="Y569" s="16"/>
      <c r="Z569" s="17"/>
      <c r="AA569" s="30"/>
      <c r="AB569" s="15"/>
    </row>
    <row r="570" spans="1:28">
      <c r="A570" s="770" t="s">
        <v>5565</v>
      </c>
      <c r="B570" s="320" t="s">
        <v>5566</v>
      </c>
      <c r="C570" s="14"/>
      <c r="D570" s="15"/>
      <c r="E570" s="16"/>
      <c r="F570" s="17"/>
      <c r="G570" s="14"/>
      <c r="H570" s="15"/>
      <c r="I570" s="16"/>
      <c r="J570" s="17"/>
      <c r="K570" s="14"/>
      <c r="L570" s="15"/>
      <c r="M570" s="16"/>
      <c r="N570" s="17"/>
      <c r="O570" s="2823"/>
      <c r="P570" s="2823"/>
      <c r="Q570" s="2646"/>
      <c r="R570" s="17"/>
      <c r="S570" s="14"/>
      <c r="T570" s="15"/>
      <c r="U570" s="16"/>
      <c r="V570" s="17"/>
      <c r="W570" s="14"/>
      <c r="X570" s="15"/>
      <c r="Y570" s="16"/>
      <c r="Z570" s="17"/>
      <c r="AA570" s="30"/>
      <c r="AB570" s="15"/>
    </row>
    <row r="571" spans="1:28">
      <c r="A571" s="770" t="s">
        <v>5567</v>
      </c>
      <c r="B571" s="320" t="s">
        <v>5566</v>
      </c>
      <c r="C571" s="14"/>
      <c r="D571" s="15"/>
      <c r="E571" s="16"/>
      <c r="F571" s="17"/>
      <c r="G571" s="14"/>
      <c r="H571" s="15"/>
      <c r="I571" s="16"/>
      <c r="J571" s="17"/>
      <c r="K571" s="14"/>
      <c r="L571" s="15"/>
      <c r="M571" s="16"/>
      <c r="N571" s="17"/>
      <c r="O571" s="2823"/>
      <c r="P571" s="2823"/>
      <c r="Q571" s="2646"/>
      <c r="R571" s="17"/>
      <c r="S571" s="14"/>
      <c r="T571" s="15"/>
      <c r="U571" s="16"/>
      <c r="V571" s="17"/>
      <c r="W571" s="14"/>
      <c r="X571" s="15"/>
      <c r="Y571" s="16"/>
      <c r="Z571" s="17"/>
      <c r="AA571" s="30"/>
      <c r="AB571" s="15"/>
    </row>
    <row r="572" spans="1:28">
      <c r="A572" s="770" t="s">
        <v>5568</v>
      </c>
      <c r="B572" s="320" t="s">
        <v>5566</v>
      </c>
      <c r="C572" s="14"/>
      <c r="D572" s="15"/>
      <c r="E572" s="16"/>
      <c r="F572" s="17"/>
      <c r="G572" s="14"/>
      <c r="H572" s="15"/>
      <c r="I572" s="16"/>
      <c r="J572" s="17"/>
      <c r="K572" s="14"/>
      <c r="L572" s="15"/>
      <c r="M572" s="16"/>
      <c r="N572" s="17"/>
      <c r="O572" s="2823"/>
      <c r="P572" s="2823"/>
      <c r="Q572" s="2646"/>
      <c r="R572" s="17"/>
      <c r="S572" s="14"/>
      <c r="T572" s="15"/>
      <c r="U572" s="16"/>
      <c r="V572" s="17"/>
      <c r="W572" s="14"/>
      <c r="X572" s="15"/>
      <c r="Y572" s="16"/>
      <c r="Z572" s="17"/>
      <c r="AA572" s="30"/>
      <c r="AB572" s="15"/>
    </row>
    <row r="573" spans="1:28">
      <c r="A573" s="770" t="s">
        <v>5569</v>
      </c>
      <c r="B573" s="320" t="s">
        <v>5570</v>
      </c>
      <c r="C573" s="14"/>
      <c r="D573" s="15"/>
      <c r="E573" s="16"/>
      <c r="F573" s="17"/>
      <c r="G573" s="14"/>
      <c r="H573" s="15"/>
      <c r="I573" s="16"/>
      <c r="J573" s="17"/>
      <c r="K573" s="14"/>
      <c r="L573" s="15"/>
      <c r="M573" s="16"/>
      <c r="N573" s="17"/>
      <c r="O573" s="2823"/>
      <c r="P573" s="2823"/>
      <c r="Q573" s="2646"/>
      <c r="R573" s="17"/>
      <c r="S573" s="14"/>
      <c r="T573" s="15"/>
      <c r="U573" s="16"/>
      <c r="V573" s="17"/>
      <c r="W573" s="14"/>
      <c r="X573" s="15"/>
      <c r="Y573" s="16"/>
      <c r="Z573" s="17"/>
      <c r="AA573" s="30"/>
      <c r="AB573" s="15"/>
    </row>
    <row r="574" spans="1:28">
      <c r="A574" s="770" t="s">
        <v>5565</v>
      </c>
      <c r="B574" s="320"/>
      <c r="C574" s="14"/>
      <c r="D574" s="15"/>
      <c r="E574" s="16"/>
      <c r="F574" s="17"/>
      <c r="G574" s="14"/>
      <c r="H574" s="15"/>
      <c r="I574" s="16"/>
      <c r="J574" s="17"/>
      <c r="K574" s="14"/>
      <c r="L574" s="15"/>
      <c r="M574" s="16"/>
      <c r="N574" s="17"/>
      <c r="O574" s="2823"/>
      <c r="P574" s="2823"/>
      <c r="Q574" s="2646"/>
      <c r="R574" s="17"/>
      <c r="S574" s="14"/>
      <c r="T574" s="15"/>
      <c r="U574" s="16"/>
      <c r="V574" s="17"/>
      <c r="W574" s="14"/>
      <c r="X574" s="15"/>
      <c r="Y574" s="16"/>
      <c r="Z574" s="17"/>
      <c r="AA574" s="30"/>
      <c r="AB574" s="15"/>
    </row>
    <row r="575" spans="1:28">
      <c r="A575" s="770" t="s">
        <v>5567</v>
      </c>
      <c r="B575" s="320"/>
      <c r="C575" s="14"/>
      <c r="D575" s="15"/>
      <c r="E575" s="16"/>
      <c r="F575" s="17"/>
      <c r="G575" s="14"/>
      <c r="H575" s="15"/>
      <c r="I575" s="16"/>
      <c r="J575" s="17"/>
      <c r="K575" s="14"/>
      <c r="L575" s="15"/>
      <c r="M575" s="16"/>
      <c r="N575" s="17"/>
      <c r="O575" s="2823"/>
      <c r="P575" s="2823"/>
      <c r="Q575" s="2646"/>
      <c r="R575" s="17"/>
      <c r="S575" s="14"/>
      <c r="T575" s="15"/>
      <c r="U575" s="16"/>
      <c r="V575" s="17"/>
      <c r="W575" s="14"/>
      <c r="X575" s="15"/>
      <c r="Y575" s="16"/>
      <c r="Z575" s="17"/>
      <c r="AA575" s="30"/>
      <c r="AB575" s="15"/>
    </row>
    <row r="576" spans="1:28">
      <c r="A576" s="770" t="s">
        <v>5568</v>
      </c>
      <c r="B576" s="320"/>
      <c r="C576" s="14"/>
      <c r="D576" s="15"/>
      <c r="E576" s="16"/>
      <c r="F576" s="17"/>
      <c r="G576" s="14"/>
      <c r="H576" s="15"/>
      <c r="I576" s="16"/>
      <c r="J576" s="17"/>
      <c r="K576" s="14"/>
      <c r="L576" s="15"/>
      <c r="M576" s="16"/>
      <c r="N576" s="17"/>
      <c r="O576" s="2823"/>
      <c r="P576" s="2823"/>
      <c r="Q576" s="2646"/>
      <c r="R576" s="17"/>
      <c r="S576" s="14"/>
      <c r="T576" s="15"/>
      <c r="U576" s="16"/>
      <c r="V576" s="17"/>
      <c r="W576" s="14"/>
      <c r="X576" s="15"/>
      <c r="Y576" s="16"/>
      <c r="Z576" s="17"/>
      <c r="AA576" s="30"/>
      <c r="AB576" s="15"/>
    </row>
    <row r="577" spans="1:28">
      <c r="A577" s="770" t="s">
        <v>5571</v>
      </c>
      <c r="B577" s="320"/>
      <c r="C577" s="14"/>
      <c r="D577" s="15"/>
      <c r="E577" s="16"/>
      <c r="F577" s="17"/>
      <c r="G577" s="14"/>
      <c r="H577" s="15"/>
      <c r="I577" s="16"/>
      <c r="J577" s="17"/>
      <c r="K577" s="14"/>
      <c r="L577" s="15"/>
      <c r="M577" s="16"/>
      <c r="N577" s="17"/>
      <c r="O577" s="2823"/>
      <c r="P577" s="2823"/>
      <c r="Q577" s="2646"/>
      <c r="R577" s="17"/>
      <c r="S577" s="14"/>
      <c r="T577" s="15"/>
      <c r="U577" s="16"/>
      <c r="V577" s="17"/>
      <c r="W577" s="14"/>
      <c r="X577" s="15"/>
      <c r="Y577" s="16"/>
      <c r="Z577" s="17"/>
      <c r="AA577" s="30"/>
      <c r="AB577" s="15"/>
    </row>
    <row r="578" spans="1:28">
      <c r="A578" s="770" t="s">
        <v>5572</v>
      </c>
      <c r="B578" s="320"/>
      <c r="C578" s="14"/>
      <c r="D578" s="15"/>
      <c r="E578" s="16"/>
      <c r="F578" s="17"/>
      <c r="G578" s="14"/>
      <c r="H578" s="15"/>
      <c r="I578" s="16"/>
      <c r="J578" s="17"/>
      <c r="K578" s="14"/>
      <c r="L578" s="15"/>
      <c r="M578" s="16"/>
      <c r="N578" s="17"/>
      <c r="O578" s="2823"/>
      <c r="P578" s="2823"/>
      <c r="Q578" s="2646"/>
      <c r="R578" s="17"/>
      <c r="S578" s="14"/>
      <c r="T578" s="15"/>
      <c r="U578" s="16"/>
      <c r="V578" s="17"/>
      <c r="W578" s="14"/>
      <c r="X578" s="15"/>
      <c r="Y578" s="16"/>
      <c r="Z578" s="17"/>
      <c r="AA578" s="30"/>
      <c r="AB578" s="15"/>
    </row>
    <row r="579" spans="1:28">
      <c r="A579" s="8" t="s">
        <v>5573</v>
      </c>
      <c r="B579" s="25"/>
      <c r="C579" s="14"/>
      <c r="D579" s="15"/>
      <c r="E579" s="16"/>
      <c r="F579" s="17"/>
      <c r="G579" s="14"/>
      <c r="H579" s="15"/>
      <c r="I579" s="16"/>
      <c r="J579" s="17"/>
      <c r="K579" s="14"/>
      <c r="L579" s="15"/>
      <c r="M579" s="16"/>
      <c r="N579" s="17"/>
      <c r="O579" s="2823"/>
      <c r="P579" s="2823"/>
      <c r="Q579" s="2646"/>
      <c r="R579" s="17"/>
      <c r="S579" s="14"/>
      <c r="T579" s="15"/>
      <c r="U579" s="16"/>
      <c r="V579" s="17"/>
      <c r="W579" s="14"/>
      <c r="X579" s="15"/>
      <c r="Y579" s="16"/>
      <c r="Z579" s="17"/>
      <c r="AA579" s="30"/>
      <c r="AB579" s="15"/>
    </row>
    <row r="580" spans="1:28" ht="40.5" thickBot="1">
      <c r="A580" s="34" t="s">
        <v>5574</v>
      </c>
      <c r="B580" s="2565"/>
      <c r="C580" s="14"/>
      <c r="D580" s="15"/>
      <c r="E580" s="16"/>
      <c r="F580" s="17"/>
      <c r="G580" s="14"/>
      <c r="H580" s="15"/>
      <c r="I580" s="16"/>
      <c r="J580" s="17"/>
      <c r="K580" s="14"/>
      <c r="L580" s="15"/>
      <c r="M580" s="16"/>
      <c r="N580" s="17"/>
      <c r="O580" s="2823"/>
      <c r="P580" s="2823"/>
      <c r="Q580" s="2646"/>
      <c r="R580" s="17"/>
      <c r="S580" s="14"/>
      <c r="T580" s="15"/>
      <c r="U580" s="16"/>
      <c r="V580" s="17"/>
      <c r="W580" s="14"/>
      <c r="X580" s="15"/>
      <c r="Y580" s="16"/>
      <c r="Z580" s="17"/>
      <c r="AA580" s="30"/>
      <c r="AB580" s="15"/>
    </row>
    <row r="581" spans="1:28">
      <c r="A581" s="8" t="s">
        <v>5569</v>
      </c>
      <c r="B581" s="25"/>
      <c r="C581" s="14"/>
      <c r="D581" s="15"/>
      <c r="E581" s="16"/>
      <c r="F581" s="17"/>
      <c r="G581" s="14"/>
      <c r="H581" s="15"/>
      <c r="I581" s="16"/>
      <c r="J581" s="17"/>
      <c r="K581" s="14"/>
      <c r="L581" s="15"/>
      <c r="M581" s="16"/>
      <c r="N581" s="17"/>
      <c r="O581" s="2823"/>
      <c r="P581" s="2823"/>
      <c r="Q581" s="2646"/>
      <c r="R581" s="17"/>
      <c r="S581" s="14"/>
      <c r="T581" s="15"/>
      <c r="U581" s="16"/>
      <c r="V581" s="17"/>
      <c r="W581" s="14"/>
      <c r="X581" s="15"/>
      <c r="Y581" s="16"/>
      <c r="Z581" s="17"/>
      <c r="AA581" s="30"/>
      <c r="AB581" s="15"/>
    </row>
    <row r="582" spans="1:28">
      <c r="A582" s="8" t="s">
        <v>5564</v>
      </c>
      <c r="B582" s="25"/>
      <c r="C582" s="14"/>
      <c r="D582" s="15"/>
      <c r="E582" s="16"/>
      <c r="F582" s="17"/>
      <c r="G582" s="14"/>
      <c r="H582" s="15"/>
      <c r="I582" s="16"/>
      <c r="J582" s="17"/>
      <c r="K582" s="14"/>
      <c r="L582" s="15"/>
      <c r="M582" s="16"/>
      <c r="N582" s="17"/>
      <c r="O582" s="2824"/>
      <c r="P582" s="2824"/>
      <c r="Q582" s="2646"/>
      <c r="R582" s="17"/>
      <c r="S582" s="14"/>
      <c r="T582" s="15"/>
      <c r="U582" s="16"/>
      <c r="V582" s="17"/>
      <c r="W582" s="14"/>
      <c r="X582" s="15"/>
      <c r="Y582" s="16"/>
      <c r="Z582" s="17"/>
      <c r="AA582" s="30"/>
      <c r="AB582" s="15"/>
    </row>
    <row r="583" spans="1:28">
      <c r="A583" s="8" t="s">
        <v>5562</v>
      </c>
      <c r="B583" s="25"/>
      <c r="C583" s="14"/>
      <c r="D583" s="15"/>
      <c r="E583" s="16"/>
      <c r="F583" s="17"/>
      <c r="G583" s="14"/>
      <c r="H583" s="15"/>
      <c r="I583" s="16"/>
      <c r="J583" s="17"/>
      <c r="K583" s="14"/>
      <c r="L583" s="15"/>
      <c r="M583" s="16"/>
      <c r="N583" s="17"/>
      <c r="O583" s="2825"/>
      <c r="P583" s="2826"/>
      <c r="Q583" s="2645"/>
      <c r="R583" s="1795"/>
      <c r="S583" s="14"/>
      <c r="T583" s="15"/>
      <c r="U583" s="16"/>
      <c r="V583" s="17"/>
      <c r="W583" s="14"/>
      <c r="X583" s="15"/>
      <c r="Y583" s="16"/>
      <c r="Z583" s="17"/>
      <c r="AA583" s="30"/>
      <c r="AB583" s="15"/>
    </row>
    <row r="584" spans="1:28">
      <c r="A584" s="8" t="s">
        <v>5575</v>
      </c>
      <c r="B584" s="25"/>
      <c r="C584" s="14"/>
      <c r="D584" s="15"/>
      <c r="E584" s="16"/>
      <c r="F584" s="17"/>
      <c r="G584" s="14"/>
      <c r="H584" s="15"/>
      <c r="I584" s="16"/>
      <c r="J584" s="17"/>
      <c r="K584" s="14"/>
      <c r="L584" s="15"/>
      <c r="M584" s="16"/>
      <c r="N584" s="17"/>
      <c r="O584" s="2825"/>
      <c r="P584" s="2826"/>
      <c r="Q584" s="2649"/>
      <c r="R584" s="2650"/>
      <c r="S584" s="2651"/>
      <c r="T584" s="2648"/>
      <c r="U584" s="16"/>
      <c r="V584" s="17"/>
      <c r="W584" s="14"/>
      <c r="X584" s="15"/>
      <c r="Y584" s="16"/>
      <c r="Z584" s="17"/>
      <c r="AA584" s="30"/>
      <c r="AB584" s="15"/>
    </row>
    <row r="585" spans="1:28" ht="40.5" thickBot="1">
      <c r="A585" s="8" t="s">
        <v>5576</v>
      </c>
      <c r="B585" s="25"/>
      <c r="C585" s="6"/>
      <c r="D585" s="32"/>
      <c r="E585" s="7"/>
      <c r="F585" s="40"/>
      <c r="G585" s="6"/>
      <c r="H585" s="32"/>
      <c r="I585" s="7"/>
      <c r="J585" s="40"/>
      <c r="K585" s="6"/>
      <c r="L585" s="32"/>
      <c r="M585" s="7"/>
      <c r="N585" s="40"/>
      <c r="O585" s="2823"/>
      <c r="P585" s="2823"/>
      <c r="Q585" s="2647"/>
      <c r="R585" s="40"/>
      <c r="S585" s="6"/>
      <c r="T585" s="32"/>
      <c r="U585" s="7"/>
      <c r="V585" s="40"/>
      <c r="W585" s="6"/>
      <c r="X585" s="32"/>
      <c r="Y585" s="7"/>
      <c r="Z585" s="40"/>
      <c r="AA585" s="2630"/>
      <c r="AB585" s="2631"/>
    </row>
    <row r="586" spans="1:28" ht="40.5" thickBot="1">
      <c r="A586" s="34" t="s">
        <v>5577</v>
      </c>
      <c r="B586" s="41"/>
      <c r="C586" s="6"/>
      <c r="D586" s="32"/>
      <c r="E586" s="7"/>
      <c r="F586" s="40"/>
      <c r="G586" s="6"/>
      <c r="H586" s="32"/>
      <c r="I586" s="7"/>
      <c r="J586" s="40"/>
      <c r="K586" s="6"/>
      <c r="L586" s="32"/>
      <c r="M586" s="7"/>
      <c r="N586" s="40"/>
      <c r="O586" s="6"/>
      <c r="P586" s="32"/>
      <c r="Q586" s="7"/>
      <c r="R586" s="40"/>
      <c r="S586" s="6"/>
      <c r="T586" s="32"/>
      <c r="U586" s="7"/>
      <c r="V586" s="40"/>
      <c r="W586" s="6"/>
      <c r="X586" s="32"/>
      <c r="Y586" s="7"/>
      <c r="Z586" s="32"/>
      <c r="AA586" s="31"/>
      <c r="AB586" s="32"/>
    </row>
    <row r="587" spans="1:28" ht="40.5">
      <c r="A587" s="3" t="s">
        <v>5063</v>
      </c>
      <c r="B587" s="23"/>
      <c r="C587" s="3"/>
      <c r="D587" s="3"/>
      <c r="E587" s="3"/>
      <c r="F587" s="3"/>
      <c r="G587" s="3"/>
      <c r="H587" s="3"/>
      <c r="I587" s="3"/>
      <c r="J587" s="3"/>
      <c r="K587" s="3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B587" s="4"/>
    </row>
    <row r="588" spans="1:28" ht="40.5" thickBot="1">
      <c r="A588" s="5" t="s">
        <v>5064</v>
      </c>
    </row>
    <row r="589" spans="1:28">
      <c r="A589" s="3544" t="s">
        <v>2</v>
      </c>
      <c r="B589" s="3546" t="s">
        <v>3</v>
      </c>
      <c r="C589" s="3537" t="s">
        <v>5065</v>
      </c>
      <c r="D589" s="3538"/>
      <c r="E589" s="3536" t="s">
        <v>5066</v>
      </c>
      <c r="F589" s="3536"/>
      <c r="G589" s="3537" t="s">
        <v>5067</v>
      </c>
      <c r="H589" s="3538"/>
      <c r="I589" s="3536" t="s">
        <v>5068</v>
      </c>
      <c r="J589" s="3536"/>
      <c r="K589" s="3537" t="s">
        <v>5069</v>
      </c>
      <c r="L589" s="3538"/>
      <c r="M589" s="3536" t="s">
        <v>5070</v>
      </c>
      <c r="N589" s="3536"/>
      <c r="O589" s="3542"/>
      <c r="P589" s="3542"/>
      <c r="Q589" s="3536" t="s">
        <v>5071</v>
      </c>
      <c r="R589" s="3536"/>
      <c r="S589" s="3536" t="s">
        <v>5072</v>
      </c>
      <c r="T589" s="3536"/>
      <c r="U589" s="3472" t="s">
        <v>5073</v>
      </c>
      <c r="V589" s="3473"/>
      <c r="W589" s="3536" t="s">
        <v>5074</v>
      </c>
      <c r="X589" s="3536"/>
      <c r="Y589" s="3472" t="s">
        <v>5075</v>
      </c>
      <c r="Z589" s="3475"/>
      <c r="AA589" s="3537" t="s">
        <v>5076</v>
      </c>
      <c r="AB589" s="3538"/>
    </row>
    <row r="590" spans="1:28" ht="40.5" thickBot="1">
      <c r="A590" s="3545"/>
      <c r="B590" s="3547"/>
      <c r="C590" s="1" t="s">
        <v>5078</v>
      </c>
      <c r="D590" s="35" t="s">
        <v>5079</v>
      </c>
      <c r="E590" s="2" t="s">
        <v>5078</v>
      </c>
      <c r="F590" s="36" t="s">
        <v>5079</v>
      </c>
      <c r="G590" s="1" t="s">
        <v>5078</v>
      </c>
      <c r="H590" s="35" t="s">
        <v>5079</v>
      </c>
      <c r="I590" s="2" t="s">
        <v>5078</v>
      </c>
      <c r="J590" s="36" t="s">
        <v>5079</v>
      </c>
      <c r="K590" s="1" t="s">
        <v>5078</v>
      </c>
      <c r="L590" s="35" t="s">
        <v>5079</v>
      </c>
      <c r="M590" s="2" t="s">
        <v>5078</v>
      </c>
      <c r="N590" s="36" t="s">
        <v>5079</v>
      </c>
      <c r="O590" s="2769"/>
      <c r="P590" s="2820"/>
      <c r="Q590" s="2" t="s">
        <v>5078</v>
      </c>
      <c r="R590" s="36" t="s">
        <v>5079</v>
      </c>
      <c r="S590" s="1" t="s">
        <v>5078</v>
      </c>
      <c r="T590" s="35" t="s">
        <v>5079</v>
      </c>
      <c r="U590" s="2" t="s">
        <v>5078</v>
      </c>
      <c r="V590" s="36" t="s">
        <v>5079</v>
      </c>
      <c r="W590" s="1" t="s">
        <v>5078</v>
      </c>
      <c r="X590" s="35" t="s">
        <v>5079</v>
      </c>
      <c r="Y590" s="2" t="s">
        <v>5078</v>
      </c>
      <c r="Z590" s="36" t="s">
        <v>5079</v>
      </c>
      <c r="AA590" s="1" t="s">
        <v>5078</v>
      </c>
      <c r="AB590" s="35" t="s">
        <v>5079</v>
      </c>
    </row>
    <row r="591" spans="1:28">
      <c r="A591" s="8" t="s">
        <v>5578</v>
      </c>
      <c r="B591" s="2280"/>
      <c r="C591" s="9"/>
      <c r="D591" s="10"/>
      <c r="E591" s="11"/>
      <c r="F591" s="12"/>
      <c r="G591" s="9"/>
      <c r="H591" s="10"/>
      <c r="I591" s="11"/>
      <c r="J591" s="12"/>
      <c r="K591" s="9"/>
      <c r="L591" s="10"/>
      <c r="M591" s="11"/>
      <c r="N591" s="12"/>
      <c r="O591" s="2821"/>
      <c r="P591" s="2822"/>
      <c r="Q591" s="11"/>
      <c r="R591" s="12"/>
      <c r="S591" s="9"/>
      <c r="T591" s="10"/>
      <c r="U591" s="11"/>
      <c r="V591" s="12"/>
      <c r="W591" s="9"/>
      <c r="X591" s="10"/>
      <c r="Y591" s="11"/>
      <c r="Z591" s="12"/>
      <c r="AA591" s="33"/>
      <c r="AB591" s="10"/>
    </row>
    <row r="592" spans="1:28">
      <c r="A592" s="770" t="s">
        <v>5579</v>
      </c>
      <c r="B592" s="320"/>
      <c r="C592" s="14"/>
      <c r="D592" s="15"/>
      <c r="E592" s="16"/>
      <c r="F592" s="17"/>
      <c r="G592" s="14"/>
      <c r="H592" s="15"/>
      <c r="I592" s="16"/>
      <c r="J592" s="17"/>
      <c r="K592" s="14"/>
      <c r="L592" s="15"/>
      <c r="M592" s="16"/>
      <c r="N592" s="17"/>
      <c r="O592" s="2823"/>
      <c r="P592" s="2823"/>
      <c r="Q592" s="2646"/>
      <c r="R592" s="17"/>
      <c r="S592" s="14"/>
      <c r="T592" s="15"/>
      <c r="U592" s="16"/>
      <c r="V592" s="17"/>
      <c r="W592" s="14"/>
      <c r="X592" s="15"/>
      <c r="Y592" s="16"/>
      <c r="Z592" s="17"/>
      <c r="AA592" s="30"/>
      <c r="AB592" s="15"/>
    </row>
    <row r="593" spans="1:28">
      <c r="A593" s="770" t="s">
        <v>5580</v>
      </c>
      <c r="B593" s="320"/>
      <c r="C593" s="14"/>
      <c r="D593" s="15"/>
      <c r="E593" s="16"/>
      <c r="F593" s="17"/>
      <c r="G593" s="14"/>
      <c r="H593" s="15"/>
      <c r="I593" s="16"/>
      <c r="J593" s="17"/>
      <c r="K593" s="14"/>
      <c r="L593" s="15"/>
      <c r="M593" s="16"/>
      <c r="N593" s="17"/>
      <c r="O593" s="2823"/>
      <c r="P593" s="2823"/>
      <c r="Q593" s="2646"/>
      <c r="R593" s="17"/>
      <c r="S593" s="14"/>
      <c r="T593" s="15"/>
      <c r="U593" s="16"/>
      <c r="V593" s="17"/>
      <c r="W593" s="14"/>
      <c r="X593" s="15"/>
      <c r="Y593" s="16"/>
      <c r="Z593" s="17"/>
      <c r="AA593" s="30"/>
      <c r="AB593" s="15"/>
    </row>
    <row r="594" spans="1:28">
      <c r="A594" s="770" t="s">
        <v>5581</v>
      </c>
      <c r="B594" s="320"/>
      <c r="C594" s="14"/>
      <c r="D594" s="15"/>
      <c r="E594" s="16"/>
      <c r="F594" s="17"/>
      <c r="G594" s="14"/>
      <c r="H594" s="15"/>
      <c r="I594" s="16"/>
      <c r="J594" s="17"/>
      <c r="K594" s="14"/>
      <c r="L594" s="15"/>
      <c r="M594" s="16"/>
      <c r="N594" s="17"/>
      <c r="O594" s="2823"/>
      <c r="P594" s="2823"/>
      <c r="Q594" s="2646"/>
      <c r="R594" s="17"/>
      <c r="S594" s="14"/>
      <c r="T594" s="15"/>
      <c r="U594" s="16"/>
      <c r="V594" s="17"/>
      <c r="W594" s="14"/>
      <c r="X594" s="15"/>
      <c r="Y594" s="16"/>
      <c r="Z594" s="17"/>
      <c r="AA594" s="30"/>
      <c r="AB594" s="15"/>
    </row>
    <row r="595" spans="1:28">
      <c r="A595" s="770" t="s">
        <v>5582</v>
      </c>
      <c r="B595" s="320"/>
      <c r="C595" s="14"/>
      <c r="D595" s="15"/>
      <c r="E595" s="16"/>
      <c r="F595" s="17"/>
      <c r="G595" s="14"/>
      <c r="H595" s="15"/>
      <c r="I595" s="16"/>
      <c r="J595" s="17"/>
      <c r="K595" s="14"/>
      <c r="L595" s="15"/>
      <c r="M595" s="16"/>
      <c r="N595" s="17"/>
      <c r="O595" s="2823"/>
      <c r="P595" s="2823"/>
      <c r="Q595" s="2646"/>
      <c r="R595" s="17"/>
      <c r="S595" s="14"/>
      <c r="T595" s="15"/>
      <c r="U595" s="16"/>
      <c r="V595" s="17"/>
      <c r="W595" s="14"/>
      <c r="X595" s="15"/>
      <c r="Y595" s="16"/>
      <c r="Z595" s="17"/>
      <c r="AA595" s="30"/>
      <c r="AB595" s="15"/>
    </row>
    <row r="596" spans="1:28">
      <c r="A596" s="770" t="s">
        <v>5583</v>
      </c>
      <c r="B596" s="320"/>
      <c r="C596" s="14"/>
      <c r="D596" s="15"/>
      <c r="E596" s="16"/>
      <c r="F596" s="17"/>
      <c r="G596" s="14"/>
      <c r="H596" s="15"/>
      <c r="I596" s="16"/>
      <c r="J596" s="17"/>
      <c r="K596" s="14"/>
      <c r="L596" s="15"/>
      <c r="M596" s="16"/>
      <c r="N596" s="17"/>
      <c r="O596" s="2823"/>
      <c r="P596" s="2823"/>
      <c r="Q596" s="2646"/>
      <c r="R596" s="17"/>
      <c r="S596" s="14"/>
      <c r="T596" s="15"/>
      <c r="U596" s="16"/>
      <c r="V596" s="17"/>
      <c r="W596" s="14"/>
      <c r="X596" s="15"/>
      <c r="Y596" s="16"/>
      <c r="Z596" s="17"/>
      <c r="AA596" s="30"/>
      <c r="AB596" s="15"/>
    </row>
    <row r="597" spans="1:28">
      <c r="A597" s="770" t="s">
        <v>5584</v>
      </c>
      <c r="B597" s="320"/>
      <c r="C597" s="14"/>
      <c r="D597" s="15"/>
      <c r="E597" s="16"/>
      <c r="F597" s="17"/>
      <c r="G597" s="14"/>
      <c r="H597" s="15"/>
      <c r="I597" s="16"/>
      <c r="J597" s="17"/>
      <c r="K597" s="14"/>
      <c r="L597" s="15"/>
      <c r="M597" s="16"/>
      <c r="N597" s="17"/>
      <c r="O597" s="2823"/>
      <c r="P597" s="2823"/>
      <c r="Q597" s="2646"/>
      <c r="R597" s="17"/>
      <c r="S597" s="14"/>
      <c r="T597" s="15"/>
      <c r="U597" s="16"/>
      <c r="V597" s="17"/>
      <c r="W597" s="14"/>
      <c r="X597" s="15"/>
      <c r="Y597" s="16"/>
      <c r="Z597" s="17"/>
      <c r="AA597" s="30"/>
      <c r="AB597" s="15"/>
    </row>
    <row r="598" spans="1:28">
      <c r="A598" s="770" t="s">
        <v>5585</v>
      </c>
      <c r="B598" s="320"/>
      <c r="C598" s="14"/>
      <c r="D598" s="15"/>
      <c r="E598" s="16"/>
      <c r="F598" s="17"/>
      <c r="G598" s="14"/>
      <c r="H598" s="15"/>
      <c r="I598" s="16"/>
      <c r="J598" s="17"/>
      <c r="K598" s="14"/>
      <c r="L598" s="15"/>
      <c r="M598" s="16"/>
      <c r="N598" s="17"/>
      <c r="O598" s="2823"/>
      <c r="P598" s="2823"/>
      <c r="Q598" s="2646"/>
      <c r="R598" s="17"/>
      <c r="S598" s="14"/>
      <c r="T598" s="15"/>
      <c r="U598" s="16"/>
      <c r="V598" s="17"/>
      <c r="W598" s="14"/>
      <c r="X598" s="15"/>
      <c r="Y598" s="16"/>
      <c r="Z598" s="17"/>
      <c r="AA598" s="30"/>
      <c r="AB598" s="15"/>
    </row>
    <row r="599" spans="1:28">
      <c r="A599" s="770" t="s">
        <v>5586</v>
      </c>
      <c r="B599" s="320"/>
      <c r="C599" s="14"/>
      <c r="D599" s="15"/>
      <c r="E599" s="16"/>
      <c r="F599" s="17"/>
      <c r="G599" s="14"/>
      <c r="H599" s="15"/>
      <c r="I599" s="16"/>
      <c r="J599" s="17"/>
      <c r="K599" s="14"/>
      <c r="L599" s="15"/>
      <c r="M599" s="16"/>
      <c r="N599" s="17"/>
      <c r="O599" s="2823"/>
      <c r="P599" s="2823"/>
      <c r="Q599" s="2646"/>
      <c r="R599" s="17"/>
      <c r="S599" s="14"/>
      <c r="T599" s="15"/>
      <c r="U599" s="16"/>
      <c r="V599" s="17"/>
      <c r="W599" s="14"/>
      <c r="X599" s="15"/>
      <c r="Y599" s="16"/>
      <c r="Z599" s="17"/>
      <c r="AA599" s="30"/>
      <c r="AB599" s="15"/>
    </row>
    <row r="600" spans="1:28">
      <c r="A600" s="770" t="s">
        <v>5587</v>
      </c>
      <c r="B600" s="320"/>
      <c r="C600" s="14"/>
      <c r="D600" s="15"/>
      <c r="E600" s="16"/>
      <c r="F600" s="17"/>
      <c r="G600" s="14"/>
      <c r="H600" s="15"/>
      <c r="I600" s="16"/>
      <c r="J600" s="17"/>
      <c r="K600" s="14"/>
      <c r="L600" s="15"/>
      <c r="M600" s="16"/>
      <c r="N600" s="17"/>
      <c r="O600" s="2823"/>
      <c r="P600" s="2823"/>
      <c r="Q600" s="2646"/>
      <c r="R600" s="17"/>
      <c r="S600" s="14"/>
      <c r="T600" s="15"/>
      <c r="U600" s="16"/>
      <c r="V600" s="17"/>
      <c r="W600" s="14"/>
      <c r="X600" s="15"/>
      <c r="Y600" s="16"/>
      <c r="Z600" s="17"/>
      <c r="AA600" s="30"/>
      <c r="AB600" s="15"/>
    </row>
    <row r="601" spans="1:28" ht="40.5" thickBot="1">
      <c r="A601" s="1905" t="s">
        <v>5588</v>
      </c>
      <c r="B601" s="1912"/>
      <c r="C601" s="14"/>
      <c r="D601" s="15"/>
      <c r="E601" s="16"/>
      <c r="F601" s="17"/>
      <c r="G601" s="14"/>
      <c r="H601" s="15"/>
      <c r="I601" s="16"/>
      <c r="J601" s="17"/>
      <c r="K601" s="14"/>
      <c r="L601" s="15"/>
      <c r="M601" s="16"/>
      <c r="N601" s="17"/>
      <c r="O601" s="2823"/>
      <c r="P601" s="2823"/>
      <c r="Q601" s="2646"/>
      <c r="R601" s="17"/>
      <c r="S601" s="14"/>
      <c r="T601" s="15"/>
      <c r="U601" s="16"/>
      <c r="V601" s="17"/>
      <c r="W601" s="14"/>
      <c r="X601" s="15"/>
      <c r="Y601" s="16"/>
      <c r="Z601" s="17"/>
      <c r="AA601" s="30"/>
      <c r="AB601" s="15"/>
    </row>
    <row r="602" spans="1:28" ht="40.5" thickTop="1">
      <c r="A602" s="8" t="s">
        <v>5589</v>
      </c>
      <c r="B602" s="25"/>
      <c r="C602" s="14"/>
      <c r="D602" s="15"/>
      <c r="E602" s="16"/>
      <c r="F602" s="17"/>
      <c r="G602" s="14"/>
      <c r="H602" s="15"/>
      <c r="I602" s="16"/>
      <c r="J602" s="17"/>
      <c r="K602" s="14"/>
      <c r="L602" s="15"/>
      <c r="M602" s="16"/>
      <c r="N602" s="17"/>
      <c r="O602" s="2823"/>
      <c r="P602" s="2823"/>
      <c r="Q602" s="2646"/>
      <c r="R602" s="17"/>
      <c r="S602" s="14"/>
      <c r="T602" s="15"/>
      <c r="U602" s="16"/>
      <c r="V602" s="17"/>
      <c r="W602" s="14"/>
      <c r="X602" s="15"/>
      <c r="Y602" s="16"/>
      <c r="Z602" s="17"/>
      <c r="AA602" s="30"/>
      <c r="AB602" s="15"/>
    </row>
    <row r="603" spans="1:28">
      <c r="A603" s="8" t="s">
        <v>5590</v>
      </c>
      <c r="B603" s="25" t="s">
        <v>1119</v>
      </c>
      <c r="C603" s="14"/>
      <c r="D603" s="15"/>
      <c r="E603" s="16"/>
      <c r="F603" s="17"/>
      <c r="G603" s="14"/>
      <c r="H603" s="15"/>
      <c r="I603" s="16"/>
      <c r="J603" s="17"/>
      <c r="K603" s="14"/>
      <c r="L603" s="15"/>
      <c r="M603" s="16"/>
      <c r="N603" s="17"/>
      <c r="O603" s="2823"/>
      <c r="P603" s="2823"/>
      <c r="Q603" s="2646"/>
      <c r="R603" s="17"/>
      <c r="S603" s="14"/>
      <c r="T603" s="15"/>
      <c r="U603" s="16"/>
      <c r="V603" s="17"/>
      <c r="W603" s="14"/>
      <c r="X603" s="15"/>
      <c r="Y603" s="16"/>
      <c r="Z603" s="17"/>
      <c r="AA603" s="30"/>
      <c r="AB603" s="15"/>
    </row>
    <row r="604" spans="1:28">
      <c r="A604" s="8" t="s">
        <v>5591</v>
      </c>
      <c r="B604" s="25" t="s">
        <v>1119</v>
      </c>
      <c r="C604" s="14"/>
      <c r="D604" s="15"/>
      <c r="E604" s="16"/>
      <c r="F604" s="17"/>
      <c r="G604" s="14"/>
      <c r="H604" s="15"/>
      <c r="I604" s="16"/>
      <c r="J604" s="17"/>
      <c r="K604" s="14"/>
      <c r="L604" s="15"/>
      <c r="M604" s="16"/>
      <c r="N604" s="17"/>
      <c r="O604" s="2823"/>
      <c r="P604" s="2823"/>
      <c r="Q604" s="2646"/>
      <c r="R604" s="17"/>
      <c r="S604" s="14"/>
      <c r="T604" s="15"/>
      <c r="U604" s="16"/>
      <c r="V604" s="17"/>
      <c r="W604" s="14"/>
      <c r="X604" s="15"/>
      <c r="Y604" s="16"/>
      <c r="Z604" s="17"/>
      <c r="AA604" s="30"/>
      <c r="AB604" s="15"/>
    </row>
    <row r="605" spans="1:28">
      <c r="A605" s="8" t="s">
        <v>5591</v>
      </c>
      <c r="B605" s="25" t="s">
        <v>284</v>
      </c>
      <c r="C605" s="14"/>
      <c r="D605" s="15"/>
      <c r="E605" s="16"/>
      <c r="F605" s="17"/>
      <c r="G605" s="14"/>
      <c r="H605" s="15"/>
      <c r="I605" s="16"/>
      <c r="J605" s="17"/>
      <c r="K605" s="14"/>
      <c r="L605" s="15"/>
      <c r="M605" s="16"/>
      <c r="N605" s="17"/>
      <c r="O605" s="2824"/>
      <c r="P605" s="2824"/>
      <c r="Q605" s="2646"/>
      <c r="R605" s="17"/>
      <c r="S605" s="14"/>
      <c r="T605" s="15"/>
      <c r="U605" s="16"/>
      <c r="V605" s="17"/>
      <c r="W605" s="14"/>
      <c r="X605" s="15"/>
      <c r="Y605" s="16"/>
      <c r="Z605" s="17"/>
      <c r="AA605" s="30"/>
      <c r="AB605" s="15"/>
    </row>
    <row r="606" spans="1:28">
      <c r="A606" s="8" t="s">
        <v>5592</v>
      </c>
      <c r="B606" s="25"/>
      <c r="C606" s="14"/>
      <c r="D606" s="15"/>
      <c r="E606" s="16"/>
      <c r="F606" s="17"/>
      <c r="G606" s="14"/>
      <c r="H606" s="15"/>
      <c r="I606" s="16"/>
      <c r="J606" s="17"/>
      <c r="K606" s="14"/>
      <c r="L606" s="15"/>
      <c r="M606" s="16"/>
      <c r="N606" s="17"/>
      <c r="O606" s="2825"/>
      <c r="P606" s="2826"/>
      <c r="Q606" s="2645"/>
      <c r="R606" s="1795"/>
      <c r="S606" s="14"/>
      <c r="T606" s="15"/>
      <c r="U606" s="16"/>
      <c r="V606" s="17"/>
      <c r="W606" s="14"/>
      <c r="X606" s="15"/>
      <c r="Y606" s="16"/>
      <c r="Z606" s="17"/>
      <c r="AA606" s="30"/>
      <c r="AB606" s="15"/>
    </row>
    <row r="607" spans="1:28">
      <c r="A607" s="8" t="s">
        <v>5593</v>
      </c>
      <c r="B607" s="25"/>
      <c r="C607" s="14"/>
      <c r="D607" s="15"/>
      <c r="E607" s="16"/>
      <c r="F607" s="17"/>
      <c r="G607" s="14"/>
      <c r="H607" s="15"/>
      <c r="I607" s="16"/>
      <c r="J607" s="17"/>
      <c r="K607" s="14"/>
      <c r="L607" s="15"/>
      <c r="M607" s="16"/>
      <c r="N607" s="17"/>
      <c r="O607" s="2825"/>
      <c r="P607" s="2826"/>
      <c r="Q607" s="2649"/>
      <c r="R607" s="2650"/>
      <c r="S607" s="2651"/>
      <c r="T607" s="2648"/>
      <c r="U607" s="16"/>
      <c r="V607" s="17"/>
      <c r="W607" s="14"/>
      <c r="X607" s="15"/>
      <c r="Y607" s="16"/>
      <c r="Z607" s="17"/>
      <c r="AA607" s="30"/>
      <c r="AB607" s="15"/>
    </row>
    <row r="608" spans="1:28" ht="40.5" thickBot="1">
      <c r="A608" s="8" t="s">
        <v>5594</v>
      </c>
      <c r="B608" s="25"/>
      <c r="C608" s="6"/>
      <c r="D608" s="32"/>
      <c r="E608" s="7"/>
      <c r="F608" s="40"/>
      <c r="G608" s="6"/>
      <c r="H608" s="32"/>
      <c r="I608" s="7"/>
      <c r="J608" s="40"/>
      <c r="K608" s="6"/>
      <c r="L608" s="32"/>
      <c r="M608" s="7"/>
      <c r="N608" s="40"/>
      <c r="O608" s="2823"/>
      <c r="P608" s="2823"/>
      <c r="Q608" s="2647"/>
      <c r="R608" s="40"/>
      <c r="S608" s="6"/>
      <c r="T608" s="32"/>
      <c r="U608" s="7"/>
      <c r="V608" s="40"/>
      <c r="W608" s="6"/>
      <c r="X608" s="32"/>
      <c r="Y608" s="7"/>
      <c r="Z608" s="40"/>
      <c r="AA608" s="2630"/>
      <c r="AB608" s="2631"/>
    </row>
    <row r="609" spans="1:28" ht="40.5" thickBot="1">
      <c r="A609" s="34" t="s">
        <v>5595</v>
      </c>
      <c r="B609" s="41"/>
      <c r="C609" s="6"/>
      <c r="D609" s="32"/>
      <c r="E609" s="7"/>
      <c r="F609" s="40"/>
      <c r="G609" s="6"/>
      <c r="H609" s="32"/>
      <c r="I609" s="7"/>
      <c r="J609" s="40"/>
      <c r="K609" s="6"/>
      <c r="L609" s="32"/>
      <c r="M609" s="7"/>
      <c r="N609" s="40"/>
      <c r="O609" s="6"/>
      <c r="P609" s="32"/>
      <c r="Q609" s="7"/>
      <c r="R609" s="40"/>
      <c r="S609" s="6"/>
      <c r="T609" s="32"/>
      <c r="U609" s="7"/>
      <c r="V609" s="40"/>
      <c r="W609" s="6"/>
      <c r="X609" s="32"/>
      <c r="Y609" s="7"/>
      <c r="Z609" s="32"/>
      <c r="AA609" s="31"/>
      <c r="AB609" s="32"/>
    </row>
    <row r="610" spans="1:28" ht="40.5">
      <c r="A610" s="3" t="s">
        <v>5063</v>
      </c>
      <c r="B610" s="23"/>
      <c r="C610" s="3"/>
      <c r="D610" s="3"/>
      <c r="E610" s="3"/>
      <c r="F610" s="3"/>
      <c r="G610" s="3"/>
      <c r="H610" s="3"/>
      <c r="I610" s="3"/>
      <c r="J610" s="3"/>
      <c r="K610" s="3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B610" s="4"/>
    </row>
    <row r="611" spans="1:28" ht="40.5" thickBot="1">
      <c r="A611" s="5" t="s">
        <v>5064</v>
      </c>
    </row>
    <row r="612" spans="1:28">
      <c r="A612" s="3544" t="s">
        <v>2</v>
      </c>
      <c r="B612" s="3546" t="s">
        <v>3</v>
      </c>
      <c r="C612" s="3537" t="s">
        <v>5065</v>
      </c>
      <c r="D612" s="3538"/>
      <c r="E612" s="3536" t="s">
        <v>5066</v>
      </c>
      <c r="F612" s="3536"/>
      <c r="G612" s="3537" t="s">
        <v>5067</v>
      </c>
      <c r="H612" s="3538"/>
      <c r="I612" s="3536" t="s">
        <v>5068</v>
      </c>
      <c r="J612" s="3536"/>
      <c r="K612" s="3537" t="s">
        <v>5069</v>
      </c>
      <c r="L612" s="3538"/>
      <c r="M612" s="3536" t="s">
        <v>5070</v>
      </c>
      <c r="N612" s="3536"/>
      <c r="O612" s="3542"/>
      <c r="P612" s="3542"/>
      <c r="Q612" s="3536" t="s">
        <v>5071</v>
      </c>
      <c r="R612" s="3536"/>
      <c r="S612" s="3536" t="s">
        <v>5072</v>
      </c>
      <c r="T612" s="3536"/>
      <c r="U612" s="3472" t="s">
        <v>5073</v>
      </c>
      <c r="V612" s="3473"/>
      <c r="W612" s="3536" t="s">
        <v>5074</v>
      </c>
      <c r="X612" s="3536"/>
      <c r="Y612" s="3472" t="s">
        <v>5075</v>
      </c>
      <c r="Z612" s="3475"/>
      <c r="AA612" s="3537" t="s">
        <v>5076</v>
      </c>
      <c r="AB612" s="3538"/>
    </row>
    <row r="613" spans="1:28" ht="40.5" thickBot="1">
      <c r="A613" s="3545"/>
      <c r="B613" s="3547"/>
      <c r="C613" s="1" t="s">
        <v>5078</v>
      </c>
      <c r="D613" s="35" t="s">
        <v>5079</v>
      </c>
      <c r="E613" s="2" t="s">
        <v>5078</v>
      </c>
      <c r="F613" s="36" t="s">
        <v>5079</v>
      </c>
      <c r="G613" s="1" t="s">
        <v>5078</v>
      </c>
      <c r="H613" s="35" t="s">
        <v>5079</v>
      </c>
      <c r="I613" s="2" t="s">
        <v>5078</v>
      </c>
      <c r="J613" s="36" t="s">
        <v>5079</v>
      </c>
      <c r="K613" s="1" t="s">
        <v>5078</v>
      </c>
      <c r="L613" s="35" t="s">
        <v>5079</v>
      </c>
      <c r="M613" s="2" t="s">
        <v>5078</v>
      </c>
      <c r="N613" s="36" t="s">
        <v>5079</v>
      </c>
      <c r="O613" s="2769"/>
      <c r="P613" s="2820"/>
      <c r="Q613" s="2" t="s">
        <v>5078</v>
      </c>
      <c r="R613" s="36" t="s">
        <v>5079</v>
      </c>
      <c r="S613" s="1" t="s">
        <v>5078</v>
      </c>
      <c r="T613" s="35" t="s">
        <v>5079</v>
      </c>
      <c r="U613" s="2" t="s">
        <v>5078</v>
      </c>
      <c r="V613" s="36" t="s">
        <v>5079</v>
      </c>
      <c r="W613" s="1" t="s">
        <v>5078</v>
      </c>
      <c r="X613" s="35" t="s">
        <v>5079</v>
      </c>
      <c r="Y613" s="2" t="s">
        <v>5078</v>
      </c>
      <c r="Z613" s="36" t="s">
        <v>5079</v>
      </c>
      <c r="AA613" s="1" t="s">
        <v>5078</v>
      </c>
      <c r="AB613" s="35" t="s">
        <v>5079</v>
      </c>
    </row>
    <row r="614" spans="1:28">
      <c r="A614" s="958" t="s">
        <v>5596</v>
      </c>
      <c r="B614" s="2280"/>
      <c r="C614" s="9"/>
      <c r="D614" s="10"/>
      <c r="E614" s="11"/>
      <c r="F614" s="12"/>
      <c r="G614" s="9"/>
      <c r="H614" s="10"/>
      <c r="I614" s="11"/>
      <c r="J614" s="12"/>
      <c r="K614" s="9"/>
      <c r="L614" s="10"/>
      <c r="M614" s="11"/>
      <c r="N614" s="12"/>
      <c r="O614" s="2821"/>
      <c r="P614" s="2822"/>
      <c r="Q614" s="11"/>
      <c r="R614" s="12"/>
      <c r="S614" s="9"/>
      <c r="T614" s="10"/>
      <c r="U614" s="11"/>
      <c r="V614" s="12"/>
      <c r="W614" s="9"/>
      <c r="X614" s="10"/>
      <c r="Y614" s="11"/>
      <c r="Z614" s="12"/>
      <c r="AA614" s="33"/>
      <c r="AB614" s="10"/>
    </row>
    <row r="615" spans="1:28">
      <c r="A615" s="958" t="s">
        <v>5597</v>
      </c>
      <c r="B615" s="320"/>
      <c r="C615" s="14"/>
      <c r="D615" s="15"/>
      <c r="E615" s="16"/>
      <c r="F615" s="17"/>
      <c r="G615" s="14"/>
      <c r="H615" s="15"/>
      <c r="I615" s="16"/>
      <c r="J615" s="17"/>
      <c r="K615" s="14"/>
      <c r="L615" s="15"/>
      <c r="M615" s="16"/>
      <c r="N615" s="17"/>
      <c r="O615" s="2823"/>
      <c r="P615" s="2823"/>
      <c r="Q615" s="2646"/>
      <c r="R615" s="17"/>
      <c r="S615" s="14"/>
      <c r="T615" s="15"/>
      <c r="U615" s="16"/>
      <c r="V615" s="17"/>
      <c r="W615" s="14"/>
      <c r="X615" s="15"/>
      <c r="Y615" s="16"/>
      <c r="Z615" s="17"/>
      <c r="AA615" s="30"/>
      <c r="AB615" s="15"/>
    </row>
    <row r="616" spans="1:28">
      <c r="A616" s="958" t="s">
        <v>5598</v>
      </c>
      <c r="B616" s="320"/>
      <c r="C616" s="14"/>
      <c r="D616" s="15"/>
      <c r="E616" s="16"/>
      <c r="F616" s="17"/>
      <c r="G616" s="14"/>
      <c r="H616" s="15"/>
      <c r="I616" s="16"/>
      <c r="J616" s="17"/>
      <c r="K616" s="14"/>
      <c r="L616" s="15"/>
      <c r="M616" s="16"/>
      <c r="N616" s="17"/>
      <c r="O616" s="2823"/>
      <c r="P616" s="2823"/>
      <c r="Q616" s="2646"/>
      <c r="R616" s="17"/>
      <c r="S616" s="14"/>
      <c r="T616" s="15"/>
      <c r="U616" s="16"/>
      <c r="V616" s="17"/>
      <c r="W616" s="14"/>
      <c r="X616" s="15"/>
      <c r="Y616" s="16"/>
      <c r="Z616" s="17"/>
      <c r="AA616" s="30"/>
      <c r="AB616" s="15"/>
    </row>
    <row r="617" spans="1:28">
      <c r="A617" s="958" t="s">
        <v>5599</v>
      </c>
      <c r="B617" s="320"/>
      <c r="C617" s="14"/>
      <c r="D617" s="15"/>
      <c r="E617" s="16"/>
      <c r="F617" s="17"/>
      <c r="G617" s="14"/>
      <c r="H617" s="15"/>
      <c r="I617" s="16"/>
      <c r="J617" s="17"/>
      <c r="K617" s="14"/>
      <c r="L617" s="15"/>
      <c r="M617" s="16"/>
      <c r="N617" s="17"/>
      <c r="O617" s="2823"/>
      <c r="P617" s="2823"/>
      <c r="Q617" s="2646"/>
      <c r="R617" s="17"/>
      <c r="S617" s="14"/>
      <c r="T617" s="15"/>
      <c r="U617" s="16"/>
      <c r="V617" s="17"/>
      <c r="W617" s="14"/>
      <c r="X617" s="15"/>
      <c r="Y617" s="16"/>
      <c r="Z617" s="17"/>
      <c r="AA617" s="30"/>
      <c r="AB617" s="15"/>
    </row>
    <row r="618" spans="1:28">
      <c r="A618" s="770" t="s">
        <v>5600</v>
      </c>
      <c r="B618" s="320"/>
      <c r="C618" s="14"/>
      <c r="D618" s="15"/>
      <c r="E618" s="16"/>
      <c r="F618" s="17"/>
      <c r="G618" s="14"/>
      <c r="H618" s="15"/>
      <c r="I618" s="16"/>
      <c r="J618" s="17"/>
      <c r="K618" s="14"/>
      <c r="L618" s="15"/>
      <c r="M618" s="16"/>
      <c r="N618" s="17"/>
      <c r="O618" s="2823"/>
      <c r="P618" s="2823"/>
      <c r="Q618" s="2646"/>
      <c r="R618" s="17"/>
      <c r="S618" s="14"/>
      <c r="T618" s="15"/>
      <c r="U618" s="16"/>
      <c r="V618" s="17"/>
      <c r="W618" s="14"/>
      <c r="X618" s="15"/>
      <c r="Y618" s="16"/>
      <c r="Z618" s="17"/>
      <c r="AA618" s="30"/>
      <c r="AB618" s="15"/>
    </row>
    <row r="619" spans="1:28">
      <c r="A619" s="770" t="s">
        <v>5601</v>
      </c>
      <c r="B619" s="320"/>
      <c r="C619" s="14"/>
      <c r="D619" s="15"/>
      <c r="E619" s="16"/>
      <c r="F619" s="17"/>
      <c r="G619" s="14"/>
      <c r="H619" s="15"/>
      <c r="I619" s="16"/>
      <c r="J619" s="17"/>
      <c r="K619" s="14"/>
      <c r="L619" s="15"/>
      <c r="M619" s="16"/>
      <c r="N619" s="17"/>
      <c r="O619" s="2823"/>
      <c r="P619" s="2823"/>
      <c r="Q619" s="2646"/>
      <c r="R619" s="17"/>
      <c r="S619" s="14"/>
      <c r="T619" s="15"/>
      <c r="U619" s="16"/>
      <c r="V619" s="17"/>
      <c r="W619" s="14"/>
      <c r="X619" s="15"/>
      <c r="Y619" s="16"/>
      <c r="Z619" s="17"/>
      <c r="AA619" s="30"/>
      <c r="AB619" s="15"/>
    </row>
    <row r="620" spans="1:28">
      <c r="A620" s="770" t="s">
        <v>5602</v>
      </c>
      <c r="B620" s="320"/>
      <c r="C620" s="14"/>
      <c r="D620" s="15"/>
      <c r="E620" s="16"/>
      <c r="F620" s="17"/>
      <c r="G620" s="14"/>
      <c r="H620" s="15"/>
      <c r="I620" s="16"/>
      <c r="J620" s="17"/>
      <c r="K620" s="14"/>
      <c r="L620" s="15"/>
      <c r="M620" s="16"/>
      <c r="N620" s="17"/>
      <c r="O620" s="2823"/>
      <c r="P620" s="2823"/>
      <c r="Q620" s="2646"/>
      <c r="R620" s="17"/>
      <c r="S620" s="14"/>
      <c r="T620" s="15"/>
      <c r="U620" s="16"/>
      <c r="V620" s="17"/>
      <c r="W620" s="14"/>
      <c r="X620" s="15"/>
      <c r="Y620" s="16"/>
      <c r="Z620" s="17"/>
      <c r="AA620" s="30"/>
      <c r="AB620" s="15"/>
    </row>
    <row r="621" spans="1:28">
      <c r="A621" s="770" t="s">
        <v>5603</v>
      </c>
      <c r="B621" s="320"/>
      <c r="C621" s="14"/>
      <c r="D621" s="15"/>
      <c r="E621" s="16"/>
      <c r="F621" s="17"/>
      <c r="G621" s="14"/>
      <c r="H621" s="15"/>
      <c r="I621" s="16"/>
      <c r="J621" s="17"/>
      <c r="K621" s="14"/>
      <c r="L621" s="15"/>
      <c r="M621" s="16"/>
      <c r="N621" s="17"/>
      <c r="O621" s="2823"/>
      <c r="P621" s="2823"/>
      <c r="Q621" s="2646"/>
      <c r="R621" s="17"/>
      <c r="S621" s="14"/>
      <c r="T621" s="15"/>
      <c r="U621" s="16"/>
      <c r="V621" s="17"/>
      <c r="W621" s="14"/>
      <c r="X621" s="15"/>
      <c r="Y621" s="16"/>
      <c r="Z621" s="17"/>
      <c r="AA621" s="30"/>
      <c r="AB621" s="15"/>
    </row>
    <row r="622" spans="1:28">
      <c r="A622" s="770" t="s">
        <v>5604</v>
      </c>
      <c r="B622" s="320"/>
      <c r="C622" s="14"/>
      <c r="D622" s="15"/>
      <c r="E622" s="16"/>
      <c r="F622" s="17"/>
      <c r="G622" s="14"/>
      <c r="H622" s="15"/>
      <c r="I622" s="16"/>
      <c r="J622" s="17"/>
      <c r="K622" s="14"/>
      <c r="L622" s="15"/>
      <c r="M622" s="16"/>
      <c r="N622" s="17"/>
      <c r="O622" s="2823"/>
      <c r="P622" s="2823"/>
      <c r="Q622" s="2646"/>
      <c r="R622" s="17"/>
      <c r="S622" s="14"/>
      <c r="T622" s="15"/>
      <c r="U622" s="16"/>
      <c r="V622" s="17"/>
      <c r="W622" s="14"/>
      <c r="X622" s="15"/>
      <c r="Y622" s="16"/>
      <c r="Z622" s="17"/>
      <c r="AA622" s="30"/>
      <c r="AB622" s="15"/>
    </row>
    <row r="623" spans="1:28">
      <c r="A623" s="770" t="s">
        <v>1925</v>
      </c>
      <c r="B623" s="320"/>
      <c r="C623" s="14"/>
      <c r="D623" s="15"/>
      <c r="E623" s="16"/>
      <c r="F623" s="17"/>
      <c r="G623" s="14"/>
      <c r="H623" s="15"/>
      <c r="I623" s="16"/>
      <c r="J623" s="17"/>
      <c r="K623" s="14"/>
      <c r="L623" s="15"/>
      <c r="M623" s="16"/>
      <c r="N623" s="17"/>
      <c r="O623" s="2823"/>
      <c r="P623" s="2823"/>
      <c r="Q623" s="2646"/>
      <c r="R623" s="17"/>
      <c r="S623" s="14"/>
      <c r="T623" s="15"/>
      <c r="U623" s="16"/>
      <c r="V623" s="17"/>
      <c r="W623" s="14"/>
      <c r="X623" s="15"/>
      <c r="Y623" s="16"/>
      <c r="Z623" s="17"/>
      <c r="AA623" s="30"/>
      <c r="AB623" s="15"/>
    </row>
    <row r="624" spans="1:28">
      <c r="A624" s="770" t="s">
        <v>5605</v>
      </c>
      <c r="B624" s="320"/>
      <c r="C624" s="14"/>
      <c r="D624" s="15"/>
      <c r="E624" s="16"/>
      <c r="F624" s="17"/>
      <c r="G624" s="14"/>
      <c r="H624" s="15"/>
      <c r="I624" s="16"/>
      <c r="J624" s="17"/>
      <c r="K624" s="14"/>
      <c r="L624" s="15"/>
      <c r="M624" s="16"/>
      <c r="N624" s="17"/>
      <c r="O624" s="2823"/>
      <c r="P624" s="2823"/>
      <c r="Q624" s="2646"/>
      <c r="R624" s="17"/>
      <c r="S624" s="14"/>
      <c r="T624" s="15"/>
      <c r="U624" s="16"/>
      <c r="V624" s="17"/>
      <c r="W624" s="14"/>
      <c r="X624" s="15"/>
      <c r="Y624" s="16"/>
      <c r="Z624" s="17"/>
      <c r="AA624" s="30"/>
      <c r="AB624" s="15"/>
    </row>
    <row r="625" spans="1:28">
      <c r="A625" s="8" t="s">
        <v>5606</v>
      </c>
      <c r="B625" s="25"/>
      <c r="C625" s="14"/>
      <c r="D625" s="15"/>
      <c r="E625" s="16"/>
      <c r="F625" s="17"/>
      <c r="G625" s="14"/>
      <c r="H625" s="15"/>
      <c r="I625" s="16"/>
      <c r="J625" s="17"/>
      <c r="K625" s="14"/>
      <c r="L625" s="15"/>
      <c r="M625" s="16"/>
      <c r="N625" s="17"/>
      <c r="O625" s="2823"/>
      <c r="P625" s="2823"/>
      <c r="Q625" s="2646"/>
      <c r="R625" s="17"/>
      <c r="S625" s="14"/>
      <c r="T625" s="15"/>
      <c r="U625" s="16"/>
      <c r="V625" s="17"/>
      <c r="W625" s="14"/>
      <c r="X625" s="15"/>
      <c r="Y625" s="16"/>
      <c r="Z625" s="17"/>
      <c r="AA625" s="30"/>
      <c r="AB625" s="15"/>
    </row>
    <row r="626" spans="1:28">
      <c r="A626" s="770" t="s">
        <v>5607</v>
      </c>
      <c r="B626" s="25"/>
      <c r="C626" s="14"/>
      <c r="D626" s="15"/>
      <c r="E626" s="16"/>
      <c r="F626" s="17"/>
      <c r="G626" s="14"/>
      <c r="H626" s="15"/>
      <c r="I626" s="16"/>
      <c r="J626" s="17"/>
      <c r="K626" s="14"/>
      <c r="L626" s="15"/>
      <c r="M626" s="16"/>
      <c r="N626" s="17"/>
      <c r="O626" s="2823"/>
      <c r="P626" s="2823"/>
      <c r="Q626" s="2646"/>
      <c r="R626" s="17"/>
      <c r="S626" s="14"/>
      <c r="T626" s="15"/>
      <c r="U626" s="16"/>
      <c r="V626" s="17"/>
      <c r="W626" s="14"/>
      <c r="X626" s="15"/>
      <c r="Y626" s="16"/>
      <c r="Z626" s="17"/>
      <c r="AA626" s="30"/>
      <c r="AB626" s="15"/>
    </row>
    <row r="627" spans="1:28">
      <c r="A627" s="8" t="s">
        <v>5608</v>
      </c>
      <c r="B627" s="25"/>
      <c r="C627" s="14"/>
      <c r="D627" s="15"/>
      <c r="E627" s="16"/>
      <c r="F627" s="17"/>
      <c r="G627" s="14"/>
      <c r="H627" s="15"/>
      <c r="I627" s="16"/>
      <c r="J627" s="17"/>
      <c r="K627" s="14"/>
      <c r="L627" s="15"/>
      <c r="M627" s="16"/>
      <c r="N627" s="17"/>
      <c r="O627" s="2823"/>
      <c r="P627" s="2823"/>
      <c r="Q627" s="2646"/>
      <c r="R627" s="17"/>
      <c r="S627" s="14"/>
      <c r="T627" s="15"/>
      <c r="U627" s="16"/>
      <c r="V627" s="17"/>
      <c r="W627" s="14"/>
      <c r="X627" s="15"/>
      <c r="Y627" s="16"/>
      <c r="Z627" s="17"/>
      <c r="AA627" s="30"/>
      <c r="AB627" s="15"/>
    </row>
    <row r="628" spans="1:28">
      <c r="A628" s="770" t="s">
        <v>5609</v>
      </c>
      <c r="B628" s="25"/>
      <c r="C628" s="14"/>
      <c r="D628" s="15"/>
      <c r="E628" s="16"/>
      <c r="F628" s="17"/>
      <c r="G628" s="14"/>
      <c r="H628" s="15"/>
      <c r="I628" s="16"/>
      <c r="J628" s="17"/>
      <c r="K628" s="14"/>
      <c r="L628" s="15"/>
      <c r="M628" s="16"/>
      <c r="N628" s="17"/>
      <c r="O628" s="2824"/>
      <c r="P628" s="2824"/>
      <c r="Q628" s="2646"/>
      <c r="R628" s="17"/>
      <c r="S628" s="14"/>
      <c r="T628" s="15"/>
      <c r="U628" s="16"/>
      <c r="V628" s="17"/>
      <c r="W628" s="14"/>
      <c r="X628" s="15"/>
      <c r="Y628" s="16"/>
      <c r="Z628" s="17"/>
      <c r="AA628" s="30"/>
      <c r="AB628" s="15"/>
    </row>
    <row r="629" spans="1:28">
      <c r="A629" s="8" t="s">
        <v>5610</v>
      </c>
      <c r="B629" s="25"/>
      <c r="C629" s="14"/>
      <c r="D629" s="15"/>
      <c r="E629" s="16"/>
      <c r="F629" s="17"/>
      <c r="G629" s="14"/>
      <c r="H629" s="15"/>
      <c r="I629" s="16"/>
      <c r="J629" s="17"/>
      <c r="K629" s="14"/>
      <c r="L629" s="15"/>
      <c r="M629" s="16"/>
      <c r="N629" s="17"/>
      <c r="O629" s="2825"/>
      <c r="P629" s="2826"/>
      <c r="Q629" s="2645"/>
      <c r="R629" s="1795"/>
      <c r="S629" s="14"/>
      <c r="T629" s="15"/>
      <c r="U629" s="16"/>
      <c r="V629" s="17"/>
      <c r="W629" s="14"/>
      <c r="X629" s="15"/>
      <c r="Y629" s="16"/>
      <c r="Z629" s="17"/>
      <c r="AA629" s="30"/>
      <c r="AB629" s="15"/>
    </row>
    <row r="630" spans="1:28">
      <c r="A630" s="770" t="s">
        <v>5611</v>
      </c>
      <c r="B630" s="25"/>
      <c r="C630" s="14"/>
      <c r="D630" s="15"/>
      <c r="E630" s="16"/>
      <c r="F630" s="17"/>
      <c r="G630" s="14"/>
      <c r="H630" s="15"/>
      <c r="I630" s="16"/>
      <c r="J630" s="17"/>
      <c r="K630" s="14"/>
      <c r="L630" s="15"/>
      <c r="M630" s="16"/>
      <c r="N630" s="17"/>
      <c r="O630" s="2825"/>
      <c r="P630" s="2826"/>
      <c r="Q630" s="2649"/>
      <c r="R630" s="2650"/>
      <c r="S630" s="2651"/>
      <c r="T630" s="2648"/>
      <c r="U630" s="16"/>
      <c r="V630" s="17"/>
      <c r="W630" s="14"/>
      <c r="X630" s="15"/>
      <c r="Y630" s="16"/>
      <c r="Z630" s="17"/>
      <c r="AA630" s="30"/>
      <c r="AB630" s="15"/>
    </row>
    <row r="631" spans="1:28" ht="40.5" thickBot="1">
      <c r="A631" s="8" t="s">
        <v>5612</v>
      </c>
      <c r="B631" s="25"/>
      <c r="C631" s="6"/>
      <c r="D631" s="32"/>
      <c r="E631" s="7"/>
      <c r="F631" s="40"/>
      <c r="G631" s="6"/>
      <c r="H631" s="32"/>
      <c r="I631" s="7"/>
      <c r="J631" s="40"/>
      <c r="K631" s="6"/>
      <c r="L631" s="32"/>
      <c r="M631" s="7"/>
      <c r="N631" s="40"/>
      <c r="O631" s="2823"/>
      <c r="P631" s="2823"/>
      <c r="Q631" s="2647"/>
      <c r="R631" s="40"/>
      <c r="S631" s="6"/>
      <c r="T631" s="32"/>
      <c r="U631" s="7"/>
      <c r="V631" s="40"/>
      <c r="W631" s="6"/>
      <c r="X631" s="32"/>
      <c r="Y631" s="7"/>
      <c r="Z631" s="40"/>
      <c r="AA631" s="2630"/>
      <c r="AB631" s="2631"/>
    </row>
    <row r="632" spans="1:28" ht="40.5" thickBot="1">
      <c r="A632" s="34" t="s">
        <v>5613</v>
      </c>
      <c r="B632" s="41"/>
      <c r="C632" s="6"/>
      <c r="D632" s="32"/>
      <c r="E632" s="7"/>
      <c r="F632" s="40"/>
      <c r="G632" s="6"/>
      <c r="H632" s="32"/>
      <c r="I632" s="7"/>
      <c r="J632" s="40"/>
      <c r="K632" s="6"/>
      <c r="L632" s="32"/>
      <c r="M632" s="7"/>
      <c r="N632" s="40"/>
      <c r="O632" s="6"/>
      <c r="P632" s="32"/>
      <c r="Q632" s="7"/>
      <c r="R632" s="40"/>
      <c r="S632" s="6"/>
      <c r="T632" s="32"/>
      <c r="U632" s="7"/>
      <c r="V632" s="40"/>
      <c r="W632" s="6"/>
      <c r="X632" s="32"/>
      <c r="Y632" s="7"/>
      <c r="Z632" s="32"/>
      <c r="AA632" s="31"/>
      <c r="AB632" s="32"/>
    </row>
    <row r="634" spans="1:28" ht="40.5">
      <c r="A634" s="3" t="s">
        <v>5063</v>
      </c>
      <c r="B634" s="23"/>
      <c r="C634" s="3"/>
      <c r="D634" s="3"/>
      <c r="E634" s="3"/>
      <c r="F634" s="3"/>
      <c r="G634" s="3"/>
      <c r="H634" s="3"/>
      <c r="I634" s="3"/>
      <c r="J634" s="3"/>
      <c r="K634" s="3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B634" s="4"/>
    </row>
    <row r="635" spans="1:28" ht="40.5" thickBot="1">
      <c r="A635" s="5" t="s">
        <v>5064</v>
      </c>
    </row>
    <row r="636" spans="1:28">
      <c r="A636" s="3544" t="s">
        <v>2</v>
      </c>
      <c r="B636" s="3546" t="s">
        <v>3</v>
      </c>
      <c r="C636" s="3537" t="s">
        <v>5065</v>
      </c>
      <c r="D636" s="3538"/>
      <c r="E636" s="3536" t="s">
        <v>5066</v>
      </c>
      <c r="F636" s="3536"/>
      <c r="G636" s="3537" t="s">
        <v>5067</v>
      </c>
      <c r="H636" s="3538"/>
      <c r="I636" s="3536" t="s">
        <v>5068</v>
      </c>
      <c r="J636" s="3536"/>
      <c r="K636" s="3537" t="s">
        <v>5069</v>
      </c>
      <c r="L636" s="3538"/>
      <c r="M636" s="3536" t="s">
        <v>5070</v>
      </c>
      <c r="N636" s="3536"/>
      <c r="O636" s="3542"/>
      <c r="P636" s="3542"/>
      <c r="Q636" s="3536" t="s">
        <v>5071</v>
      </c>
      <c r="R636" s="3536"/>
      <c r="S636" s="3536" t="s">
        <v>5072</v>
      </c>
      <c r="T636" s="3536"/>
      <c r="U636" s="3472" t="s">
        <v>5073</v>
      </c>
      <c r="V636" s="3473"/>
      <c r="W636" s="3536" t="s">
        <v>5074</v>
      </c>
      <c r="X636" s="3536"/>
      <c r="Y636" s="3472" t="s">
        <v>5075</v>
      </c>
      <c r="Z636" s="3475"/>
      <c r="AA636" s="3537" t="s">
        <v>5076</v>
      </c>
      <c r="AB636" s="3538"/>
    </row>
    <row r="637" spans="1:28" ht="40.5" thickBot="1">
      <c r="A637" s="3545"/>
      <c r="B637" s="3547"/>
      <c r="C637" s="1" t="s">
        <v>5078</v>
      </c>
      <c r="D637" s="35" t="s">
        <v>5079</v>
      </c>
      <c r="E637" s="2" t="s">
        <v>5078</v>
      </c>
      <c r="F637" s="36" t="s">
        <v>5079</v>
      </c>
      <c r="G637" s="1" t="s">
        <v>5078</v>
      </c>
      <c r="H637" s="35" t="s">
        <v>5079</v>
      </c>
      <c r="I637" s="2" t="s">
        <v>5078</v>
      </c>
      <c r="J637" s="36" t="s">
        <v>5079</v>
      </c>
      <c r="K637" s="1" t="s">
        <v>5078</v>
      </c>
      <c r="L637" s="35" t="s">
        <v>5079</v>
      </c>
      <c r="M637" s="2" t="s">
        <v>5078</v>
      </c>
      <c r="N637" s="36" t="s">
        <v>5079</v>
      </c>
      <c r="O637" s="2769"/>
      <c r="P637" s="2820"/>
      <c r="Q637" s="2" t="s">
        <v>5078</v>
      </c>
      <c r="R637" s="36" t="s">
        <v>5079</v>
      </c>
      <c r="S637" s="1" t="s">
        <v>5078</v>
      </c>
      <c r="T637" s="35" t="s">
        <v>5079</v>
      </c>
      <c r="U637" s="2" t="s">
        <v>5078</v>
      </c>
      <c r="V637" s="36" t="s">
        <v>5079</v>
      </c>
      <c r="W637" s="1" t="s">
        <v>5078</v>
      </c>
      <c r="X637" s="35" t="s">
        <v>5079</v>
      </c>
      <c r="Y637" s="2" t="s">
        <v>5078</v>
      </c>
      <c r="Z637" s="36" t="s">
        <v>5079</v>
      </c>
      <c r="AA637" s="1" t="s">
        <v>5078</v>
      </c>
      <c r="AB637" s="35" t="s">
        <v>5079</v>
      </c>
    </row>
    <row r="638" spans="1:28">
      <c r="A638" s="8" t="s">
        <v>5614</v>
      </c>
      <c r="B638" s="2280" t="s">
        <v>5615</v>
      </c>
      <c r="C638" s="9"/>
      <c r="D638" s="10"/>
      <c r="E638" s="11"/>
      <c r="F638" s="12"/>
      <c r="G638" s="9"/>
      <c r="H638" s="10"/>
      <c r="I638" s="11"/>
      <c r="J638" s="12"/>
      <c r="K638" s="9"/>
      <c r="L638" s="10"/>
      <c r="M638" s="11"/>
      <c r="N638" s="12"/>
      <c r="O638" s="2821"/>
      <c r="P638" s="2822"/>
      <c r="Q638" s="11"/>
      <c r="R638" s="12"/>
      <c r="S638" s="9"/>
      <c r="T638" s="10"/>
      <c r="U638" s="11"/>
      <c r="V638" s="12"/>
      <c r="W638" s="9"/>
      <c r="X638" s="10"/>
      <c r="Y638" s="11"/>
      <c r="Z638" s="12"/>
      <c r="AA638" s="33"/>
      <c r="AB638" s="10"/>
    </row>
    <row r="639" spans="1:28">
      <c r="A639" s="8" t="s">
        <v>5614</v>
      </c>
      <c r="B639" s="320" t="s">
        <v>1119</v>
      </c>
      <c r="C639" s="14"/>
      <c r="D639" s="15"/>
      <c r="E639" s="16"/>
      <c r="F639" s="17"/>
      <c r="G639" s="14"/>
      <c r="H639" s="15"/>
      <c r="I639" s="16"/>
      <c r="J639" s="17"/>
      <c r="K639" s="14"/>
      <c r="L639" s="15"/>
      <c r="M639" s="16"/>
      <c r="N639" s="17"/>
      <c r="O639" s="2823"/>
      <c r="P639" s="2823"/>
      <c r="Q639" s="2646"/>
      <c r="R639" s="17"/>
      <c r="S639" s="14"/>
      <c r="T639" s="15"/>
      <c r="U639" s="16"/>
      <c r="V639" s="17"/>
      <c r="W639" s="14"/>
      <c r="X639" s="15"/>
      <c r="Y639" s="16"/>
      <c r="Z639" s="17"/>
      <c r="AA639" s="30"/>
      <c r="AB639" s="15"/>
    </row>
    <row r="640" spans="1:28">
      <c r="A640" s="8" t="s">
        <v>5614</v>
      </c>
      <c r="B640" s="320" t="s">
        <v>284</v>
      </c>
      <c r="C640" s="14"/>
      <c r="D640" s="15"/>
      <c r="E640" s="16"/>
      <c r="F640" s="17"/>
      <c r="G640" s="14"/>
      <c r="H640" s="15"/>
      <c r="I640" s="16"/>
      <c r="J640" s="17"/>
      <c r="K640" s="14"/>
      <c r="L640" s="15"/>
      <c r="M640" s="16"/>
      <c r="N640" s="17"/>
      <c r="O640" s="2823"/>
      <c r="P640" s="2823"/>
      <c r="Q640" s="2646"/>
      <c r="R640" s="17"/>
      <c r="S640" s="14"/>
      <c r="T640" s="15"/>
      <c r="U640" s="16"/>
      <c r="V640" s="17"/>
      <c r="W640" s="14"/>
      <c r="X640" s="15"/>
      <c r="Y640" s="16"/>
      <c r="Z640" s="17"/>
      <c r="AA640" s="30"/>
      <c r="AB640" s="15"/>
    </row>
    <row r="641" spans="1:28">
      <c r="A641" s="770" t="s">
        <v>5616</v>
      </c>
      <c r="B641" s="320" t="s">
        <v>192</v>
      </c>
      <c r="C641" s="14"/>
      <c r="D641" s="15"/>
      <c r="E641" s="16"/>
      <c r="F641" s="17"/>
      <c r="G641" s="14"/>
      <c r="H641" s="15"/>
      <c r="I641" s="16"/>
      <c r="J641" s="17"/>
      <c r="K641" s="14"/>
      <c r="L641" s="15"/>
      <c r="M641" s="16"/>
      <c r="N641" s="17"/>
      <c r="O641" s="2823"/>
      <c r="P641" s="2823"/>
      <c r="Q641" s="2646"/>
      <c r="R641" s="17"/>
      <c r="S641" s="14"/>
      <c r="T641" s="15"/>
      <c r="U641" s="16"/>
      <c r="V641" s="17"/>
      <c r="W641" s="14"/>
      <c r="X641" s="15"/>
      <c r="Y641" s="16"/>
      <c r="Z641" s="17"/>
      <c r="AA641" s="30"/>
      <c r="AB641" s="15"/>
    </row>
    <row r="642" spans="1:28">
      <c r="A642" s="770" t="s">
        <v>5617</v>
      </c>
      <c r="B642" s="320" t="s">
        <v>192</v>
      </c>
      <c r="C642" s="14"/>
      <c r="D642" s="15"/>
      <c r="E642" s="16"/>
      <c r="F642" s="17"/>
      <c r="G642" s="14"/>
      <c r="H642" s="15"/>
      <c r="I642" s="16"/>
      <c r="J642" s="17"/>
      <c r="K642" s="14"/>
      <c r="L642" s="15"/>
      <c r="M642" s="16"/>
      <c r="N642" s="17"/>
      <c r="O642" s="2823"/>
      <c r="P642" s="2823"/>
      <c r="Q642" s="2646"/>
      <c r="R642" s="17"/>
      <c r="S642" s="14"/>
      <c r="T642" s="15"/>
      <c r="U642" s="16"/>
      <c r="V642" s="17"/>
      <c r="W642" s="14"/>
      <c r="X642" s="15"/>
      <c r="Y642" s="16"/>
      <c r="Z642" s="17"/>
      <c r="AA642" s="30"/>
      <c r="AB642" s="15"/>
    </row>
    <row r="643" spans="1:28">
      <c r="A643" s="770" t="s">
        <v>5618</v>
      </c>
      <c r="B643" s="320" t="s">
        <v>192</v>
      </c>
      <c r="C643" s="14"/>
      <c r="D643" s="15"/>
      <c r="E643" s="16"/>
      <c r="F643" s="17"/>
      <c r="G643" s="14"/>
      <c r="H643" s="15"/>
      <c r="I643" s="16"/>
      <c r="J643" s="17"/>
      <c r="K643" s="14"/>
      <c r="L643" s="15"/>
      <c r="M643" s="16"/>
      <c r="N643" s="17"/>
      <c r="O643" s="2823"/>
      <c r="P643" s="2823"/>
      <c r="Q643" s="2646"/>
      <c r="R643" s="17"/>
      <c r="S643" s="14"/>
      <c r="T643" s="15"/>
      <c r="U643" s="16"/>
      <c r="V643" s="17"/>
      <c r="W643" s="14"/>
      <c r="X643" s="15"/>
      <c r="Y643" s="16"/>
      <c r="Z643" s="17"/>
      <c r="AA643" s="30"/>
      <c r="AB643" s="15"/>
    </row>
    <row r="644" spans="1:28">
      <c r="A644" s="770" t="s">
        <v>5619</v>
      </c>
      <c r="B644" s="320" t="s">
        <v>192</v>
      </c>
      <c r="C644" s="14"/>
      <c r="D644" s="15"/>
      <c r="E644" s="16"/>
      <c r="F644" s="17"/>
      <c r="G644" s="14"/>
      <c r="H644" s="15"/>
      <c r="I644" s="16"/>
      <c r="J644" s="17"/>
      <c r="K644" s="14"/>
      <c r="L644" s="15"/>
      <c r="M644" s="16"/>
      <c r="N644" s="17"/>
      <c r="O644" s="2823"/>
      <c r="P644" s="2823"/>
      <c r="Q644" s="2646"/>
      <c r="R644" s="17"/>
      <c r="S644" s="14"/>
      <c r="T644" s="15"/>
      <c r="U644" s="16"/>
      <c r="V644" s="17"/>
      <c r="W644" s="14"/>
      <c r="X644" s="15"/>
      <c r="Y644" s="16"/>
      <c r="Z644" s="17"/>
      <c r="AA644" s="30"/>
      <c r="AB644" s="15"/>
    </row>
    <row r="645" spans="1:28">
      <c r="A645" s="770" t="s">
        <v>5620</v>
      </c>
      <c r="B645" s="320" t="s">
        <v>192</v>
      </c>
      <c r="C645" s="14"/>
      <c r="D645" s="15"/>
      <c r="E645" s="16"/>
      <c r="F645" s="17"/>
      <c r="G645" s="14"/>
      <c r="H645" s="15"/>
      <c r="I645" s="16"/>
      <c r="J645" s="17"/>
      <c r="K645" s="14"/>
      <c r="L645" s="15"/>
      <c r="M645" s="16"/>
      <c r="N645" s="17"/>
      <c r="O645" s="2823"/>
      <c r="P645" s="2823"/>
      <c r="Q645" s="2646"/>
      <c r="R645" s="17"/>
      <c r="S645" s="14"/>
      <c r="T645" s="15"/>
      <c r="U645" s="16"/>
      <c r="V645" s="17"/>
      <c r="W645" s="14"/>
      <c r="X645" s="15"/>
      <c r="Y645" s="16"/>
      <c r="Z645" s="17"/>
      <c r="AA645" s="30"/>
      <c r="AB645" s="15"/>
    </row>
    <row r="646" spans="1:28">
      <c r="A646" s="770" t="s">
        <v>5621</v>
      </c>
      <c r="B646" s="320" t="s">
        <v>5615</v>
      </c>
      <c r="C646" s="14"/>
      <c r="D646" s="15"/>
      <c r="E646" s="16"/>
      <c r="F646" s="17"/>
      <c r="G646" s="14"/>
      <c r="H646" s="15"/>
      <c r="I646" s="16"/>
      <c r="J646" s="17"/>
      <c r="K646" s="14"/>
      <c r="L646" s="15"/>
      <c r="M646" s="16"/>
      <c r="N646" s="17"/>
      <c r="O646" s="2823"/>
      <c r="P646" s="2823"/>
      <c r="Q646" s="2646"/>
      <c r="R646" s="17"/>
      <c r="S646" s="14"/>
      <c r="T646" s="15"/>
      <c r="U646" s="16"/>
      <c r="V646" s="17"/>
      <c r="W646" s="14"/>
      <c r="X646" s="15"/>
      <c r="Y646" s="16"/>
      <c r="Z646" s="17"/>
      <c r="AA646" s="30"/>
      <c r="AB646" s="15"/>
    </row>
    <row r="647" spans="1:28">
      <c r="A647" s="770" t="s">
        <v>5621</v>
      </c>
      <c r="B647" s="320" t="s">
        <v>565</v>
      </c>
      <c r="C647" s="14"/>
      <c r="D647" s="15"/>
      <c r="E647" s="16"/>
      <c r="F647" s="17"/>
      <c r="G647" s="14"/>
      <c r="H647" s="15"/>
      <c r="I647" s="16"/>
      <c r="J647" s="17"/>
      <c r="K647" s="14"/>
      <c r="L647" s="15"/>
      <c r="M647" s="16"/>
      <c r="N647" s="17"/>
      <c r="O647" s="2823"/>
      <c r="P647" s="2823"/>
      <c r="Q647" s="2646"/>
      <c r="R647" s="17"/>
      <c r="S647" s="14"/>
      <c r="T647" s="15"/>
      <c r="U647" s="16"/>
      <c r="V647" s="17"/>
      <c r="W647" s="14"/>
      <c r="X647" s="15"/>
      <c r="Y647" s="16"/>
      <c r="Z647" s="17"/>
      <c r="AA647" s="30"/>
      <c r="AB647" s="15"/>
    </row>
    <row r="648" spans="1:28">
      <c r="A648" s="770" t="s">
        <v>5622</v>
      </c>
      <c r="B648" s="320" t="s">
        <v>5615</v>
      </c>
      <c r="C648" s="14"/>
      <c r="D648" s="15"/>
      <c r="E648" s="16"/>
      <c r="F648" s="17"/>
      <c r="G648" s="14"/>
      <c r="H648" s="15"/>
      <c r="I648" s="16"/>
      <c r="J648" s="17"/>
      <c r="K648" s="14"/>
      <c r="L648" s="15"/>
      <c r="M648" s="16"/>
      <c r="N648" s="17"/>
      <c r="O648" s="2823"/>
      <c r="P648" s="2823"/>
      <c r="Q648" s="2646"/>
      <c r="R648" s="17"/>
      <c r="S648" s="14"/>
      <c r="T648" s="15"/>
      <c r="U648" s="16"/>
      <c r="V648" s="17"/>
      <c r="W648" s="14"/>
      <c r="X648" s="15"/>
      <c r="Y648" s="16"/>
      <c r="Z648" s="17"/>
      <c r="AA648" s="30"/>
      <c r="AB648" s="15"/>
    </row>
    <row r="649" spans="1:28">
      <c r="A649" s="770" t="s">
        <v>5622</v>
      </c>
      <c r="B649" s="320" t="s">
        <v>565</v>
      </c>
      <c r="C649" s="14"/>
      <c r="D649" s="15"/>
      <c r="E649" s="16"/>
      <c r="F649" s="17"/>
      <c r="G649" s="14"/>
      <c r="H649" s="15"/>
      <c r="I649" s="16"/>
      <c r="J649" s="17"/>
      <c r="K649" s="14"/>
      <c r="L649" s="15"/>
      <c r="M649" s="16"/>
      <c r="N649" s="17"/>
      <c r="O649" s="2823"/>
      <c r="P649" s="2823"/>
      <c r="Q649" s="2646"/>
      <c r="R649" s="17"/>
      <c r="S649" s="14"/>
      <c r="T649" s="15"/>
      <c r="U649" s="16"/>
      <c r="V649" s="17"/>
      <c r="W649" s="14"/>
      <c r="X649" s="15"/>
      <c r="Y649" s="16"/>
      <c r="Z649" s="17"/>
      <c r="AA649" s="30"/>
      <c r="AB649" s="15"/>
    </row>
    <row r="650" spans="1:28">
      <c r="A650" s="8" t="s">
        <v>5623</v>
      </c>
      <c r="B650" s="25"/>
      <c r="C650" s="14"/>
      <c r="D650" s="15"/>
      <c r="E650" s="16"/>
      <c r="F650" s="17"/>
      <c r="G650" s="14"/>
      <c r="H650" s="15"/>
      <c r="I650" s="16"/>
      <c r="J650" s="17"/>
      <c r="K650" s="14"/>
      <c r="L650" s="15"/>
      <c r="M650" s="16"/>
      <c r="N650" s="17"/>
      <c r="O650" s="2823"/>
      <c r="P650" s="2823"/>
      <c r="Q650" s="2646"/>
      <c r="R650" s="17"/>
      <c r="S650" s="14"/>
      <c r="T650" s="15"/>
      <c r="U650" s="16"/>
      <c r="V650" s="17"/>
      <c r="W650" s="14"/>
      <c r="X650" s="15"/>
      <c r="Y650" s="16"/>
      <c r="Z650" s="17"/>
      <c r="AA650" s="30"/>
      <c r="AB650" s="15"/>
    </row>
    <row r="651" spans="1:28">
      <c r="A651" s="8" t="s">
        <v>5624</v>
      </c>
      <c r="B651" s="25"/>
      <c r="C651" s="14"/>
      <c r="D651" s="15"/>
      <c r="E651" s="16"/>
      <c r="F651" s="17"/>
      <c r="G651" s="14"/>
      <c r="H651" s="15"/>
      <c r="I651" s="16"/>
      <c r="J651" s="17"/>
      <c r="K651" s="14"/>
      <c r="L651" s="15"/>
      <c r="M651" s="16"/>
      <c r="N651" s="17"/>
      <c r="O651" s="2823"/>
      <c r="P651" s="2823"/>
      <c r="Q651" s="2646"/>
      <c r="R651" s="17"/>
      <c r="S651" s="14"/>
      <c r="T651" s="15"/>
      <c r="U651" s="16"/>
      <c r="V651" s="17"/>
      <c r="W651" s="14"/>
      <c r="X651" s="15"/>
      <c r="Y651" s="16"/>
      <c r="Z651" s="17"/>
      <c r="AA651" s="30"/>
      <c r="AB651" s="15"/>
    </row>
    <row r="652" spans="1:28">
      <c r="A652" s="8" t="s">
        <v>5625</v>
      </c>
      <c r="B652" s="25"/>
      <c r="C652" s="14"/>
      <c r="D652" s="15"/>
      <c r="E652" s="16"/>
      <c r="F652" s="17"/>
      <c r="G652" s="14"/>
      <c r="H652" s="15"/>
      <c r="I652" s="16"/>
      <c r="J652" s="17"/>
      <c r="K652" s="14"/>
      <c r="L652" s="15"/>
      <c r="M652" s="16"/>
      <c r="N652" s="17"/>
      <c r="O652" s="2824"/>
      <c r="P652" s="2824"/>
      <c r="Q652" s="2646"/>
      <c r="R652" s="17"/>
      <c r="S652" s="14"/>
      <c r="T652" s="15"/>
      <c r="U652" s="16"/>
      <c r="V652" s="17"/>
      <c r="W652" s="14"/>
      <c r="X652" s="15"/>
      <c r="Y652" s="16"/>
      <c r="Z652" s="17"/>
      <c r="AA652" s="30"/>
      <c r="AB652" s="15"/>
    </row>
    <row r="653" spans="1:28">
      <c r="A653" s="8" t="s">
        <v>5626</v>
      </c>
      <c r="B653" s="25"/>
      <c r="C653" s="14"/>
      <c r="D653" s="15"/>
      <c r="E653" s="16"/>
      <c r="F653" s="17"/>
      <c r="G653" s="14"/>
      <c r="H653" s="15"/>
      <c r="I653" s="16"/>
      <c r="J653" s="17"/>
      <c r="K653" s="14"/>
      <c r="L653" s="15"/>
      <c r="M653" s="16"/>
      <c r="N653" s="17"/>
      <c r="O653" s="2825"/>
      <c r="P653" s="2826"/>
      <c r="Q653" s="2645"/>
      <c r="R653" s="1795"/>
      <c r="S653" s="14"/>
      <c r="T653" s="15"/>
      <c r="U653" s="16"/>
      <c r="V653" s="17"/>
      <c r="W653" s="14"/>
      <c r="X653" s="15"/>
      <c r="Y653" s="16"/>
      <c r="Z653" s="17"/>
      <c r="AA653" s="30"/>
      <c r="AB653" s="15"/>
    </row>
    <row r="654" spans="1:28">
      <c r="A654" s="8" t="s">
        <v>5627</v>
      </c>
      <c r="B654" s="25"/>
      <c r="C654" s="14"/>
      <c r="D654" s="15"/>
      <c r="E654" s="16"/>
      <c r="F654" s="17"/>
      <c r="G654" s="14"/>
      <c r="H654" s="15"/>
      <c r="I654" s="16"/>
      <c r="J654" s="17"/>
      <c r="K654" s="14"/>
      <c r="L654" s="15"/>
      <c r="M654" s="16"/>
      <c r="N654" s="17"/>
      <c r="O654" s="2825"/>
      <c r="P654" s="2826"/>
      <c r="Q654" s="2649"/>
      <c r="R654" s="2650"/>
      <c r="S654" s="2651"/>
      <c r="T654" s="2648"/>
      <c r="U654" s="16"/>
      <c r="V654" s="17"/>
      <c r="W654" s="14"/>
      <c r="X654" s="15"/>
      <c r="Y654" s="16"/>
      <c r="Z654" s="17"/>
      <c r="AA654" s="30"/>
      <c r="AB654" s="15"/>
    </row>
    <row r="655" spans="1:28" ht="40.5" thickBot="1">
      <c r="A655" s="8"/>
      <c r="B655" s="25"/>
      <c r="C655" s="6"/>
      <c r="D655" s="32"/>
      <c r="E655" s="7"/>
      <c r="F655" s="40"/>
      <c r="G655" s="6"/>
      <c r="H655" s="32"/>
      <c r="I655" s="7"/>
      <c r="J655" s="40"/>
      <c r="K655" s="6"/>
      <c r="L655" s="32"/>
      <c r="M655" s="7"/>
      <c r="N655" s="40"/>
      <c r="O655" s="2823"/>
      <c r="P655" s="2823"/>
      <c r="Q655" s="2647"/>
      <c r="R655" s="40"/>
      <c r="S655" s="6"/>
      <c r="T655" s="32"/>
      <c r="U655" s="7"/>
      <c r="V655" s="40"/>
      <c r="W655" s="6"/>
      <c r="X655" s="32"/>
      <c r="Y655" s="7"/>
      <c r="Z655" s="40"/>
      <c r="AA655" s="2630"/>
      <c r="AB655" s="2631"/>
    </row>
    <row r="656" spans="1:28" ht="40.5" thickBot="1">
      <c r="A656" s="34"/>
      <c r="B656" s="41"/>
      <c r="C656" s="6"/>
      <c r="D656" s="32"/>
      <c r="E656" s="7"/>
      <c r="F656" s="40"/>
      <c r="G656" s="6"/>
      <c r="H656" s="32"/>
      <c r="I656" s="7"/>
      <c r="J656" s="40"/>
      <c r="K656" s="6"/>
      <c r="L656" s="32"/>
      <c r="M656" s="7"/>
      <c r="N656" s="40"/>
      <c r="O656" s="6"/>
      <c r="P656" s="32"/>
      <c r="Q656" s="7"/>
      <c r="R656" s="40"/>
      <c r="S656" s="6"/>
      <c r="T656" s="32"/>
      <c r="U656" s="7"/>
      <c r="V656" s="40"/>
      <c r="W656" s="6"/>
      <c r="X656" s="32"/>
      <c r="Y656" s="7"/>
      <c r="Z656" s="32"/>
      <c r="AA656" s="31"/>
      <c r="AB656" s="32"/>
    </row>
    <row r="658" spans="1:28" ht="40.5">
      <c r="A658" s="3" t="s">
        <v>5063</v>
      </c>
      <c r="B658" s="23"/>
      <c r="C658" s="3"/>
      <c r="D658" s="3"/>
      <c r="E658" s="3"/>
      <c r="F658" s="3"/>
      <c r="G658" s="3"/>
      <c r="H658" s="3"/>
      <c r="I658" s="3"/>
      <c r="J658" s="3"/>
      <c r="K658" s="3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B658" s="4"/>
    </row>
    <row r="659" spans="1:28" ht="40.5" thickBot="1">
      <c r="A659" s="5" t="s">
        <v>5064</v>
      </c>
    </row>
    <row r="660" spans="1:28">
      <c r="A660" s="3544" t="s">
        <v>2</v>
      </c>
      <c r="B660" s="3546" t="s">
        <v>3</v>
      </c>
      <c r="C660" s="3537" t="s">
        <v>5065</v>
      </c>
      <c r="D660" s="3538"/>
      <c r="E660" s="3536" t="s">
        <v>5066</v>
      </c>
      <c r="F660" s="3536"/>
      <c r="G660" s="3537" t="s">
        <v>5067</v>
      </c>
      <c r="H660" s="3538"/>
      <c r="I660" s="3536" t="s">
        <v>5068</v>
      </c>
      <c r="J660" s="3536"/>
      <c r="K660" s="3537" t="s">
        <v>5069</v>
      </c>
      <c r="L660" s="3538"/>
      <c r="M660" s="3536" t="s">
        <v>5070</v>
      </c>
      <c r="N660" s="3536"/>
      <c r="O660" s="3542"/>
      <c r="P660" s="3542"/>
      <c r="Q660" s="3536" t="s">
        <v>5071</v>
      </c>
      <c r="R660" s="3536"/>
      <c r="S660" s="3536" t="s">
        <v>5072</v>
      </c>
      <c r="T660" s="3536"/>
      <c r="U660" s="3472" t="s">
        <v>5073</v>
      </c>
      <c r="V660" s="3473"/>
      <c r="W660" s="3536" t="s">
        <v>5074</v>
      </c>
      <c r="X660" s="3536"/>
      <c r="Y660" s="3472" t="s">
        <v>5075</v>
      </c>
      <c r="Z660" s="3475"/>
      <c r="AA660" s="3537" t="s">
        <v>5076</v>
      </c>
      <c r="AB660" s="3538"/>
    </row>
    <row r="661" spans="1:28" ht="40.5" thickBot="1">
      <c r="A661" s="3545"/>
      <c r="B661" s="3547"/>
      <c r="C661" s="1" t="s">
        <v>5078</v>
      </c>
      <c r="D661" s="35" t="s">
        <v>5079</v>
      </c>
      <c r="E661" s="2" t="s">
        <v>5078</v>
      </c>
      <c r="F661" s="36" t="s">
        <v>5079</v>
      </c>
      <c r="G661" s="1" t="s">
        <v>5078</v>
      </c>
      <c r="H661" s="35" t="s">
        <v>5079</v>
      </c>
      <c r="I661" s="2" t="s">
        <v>5078</v>
      </c>
      <c r="J661" s="36" t="s">
        <v>5079</v>
      </c>
      <c r="K661" s="1" t="s">
        <v>5078</v>
      </c>
      <c r="L661" s="35" t="s">
        <v>5079</v>
      </c>
      <c r="M661" s="2" t="s">
        <v>5078</v>
      </c>
      <c r="N661" s="36" t="s">
        <v>5079</v>
      </c>
      <c r="O661" s="2769"/>
      <c r="P661" s="2820"/>
      <c r="Q661" s="2" t="s">
        <v>5078</v>
      </c>
      <c r="R661" s="36" t="s">
        <v>5079</v>
      </c>
      <c r="S661" s="1" t="s">
        <v>5078</v>
      </c>
      <c r="T661" s="35" t="s">
        <v>5079</v>
      </c>
      <c r="U661" s="2" t="s">
        <v>5078</v>
      </c>
      <c r="V661" s="36" t="s">
        <v>5079</v>
      </c>
      <c r="W661" s="1" t="s">
        <v>5078</v>
      </c>
      <c r="X661" s="35" t="s">
        <v>5079</v>
      </c>
      <c r="Y661" s="2" t="s">
        <v>5078</v>
      </c>
      <c r="Z661" s="36" t="s">
        <v>5079</v>
      </c>
      <c r="AA661" s="1" t="s">
        <v>5078</v>
      </c>
      <c r="AB661" s="35" t="s">
        <v>5079</v>
      </c>
    </row>
    <row r="662" spans="1:28">
      <c r="A662" s="2568" t="s">
        <v>5628</v>
      </c>
      <c r="B662" s="2280"/>
      <c r="C662" s="9"/>
      <c r="D662" s="10"/>
      <c r="E662" s="11"/>
      <c r="F662" s="12"/>
      <c r="G662" s="9"/>
      <c r="H662" s="10"/>
      <c r="I662" s="11"/>
      <c r="J662" s="12"/>
      <c r="K662" s="9"/>
      <c r="L662" s="10"/>
      <c r="M662" s="11"/>
      <c r="N662" s="12"/>
      <c r="O662" s="2821" t="s">
        <v>5629</v>
      </c>
      <c r="P662" s="2822"/>
      <c r="Q662" s="11"/>
      <c r="R662" s="12"/>
      <c r="S662" s="9"/>
      <c r="T662" s="10"/>
      <c r="U662" s="11"/>
      <c r="V662" s="12"/>
      <c r="W662" s="9"/>
      <c r="X662" s="10"/>
      <c r="Y662" s="11"/>
      <c r="Z662" s="12"/>
      <c r="AA662" s="33"/>
      <c r="AB662" s="10"/>
    </row>
    <row r="663" spans="1:28">
      <c r="A663" s="3188" t="s">
        <v>5630</v>
      </c>
      <c r="B663" s="320"/>
      <c r="C663" s="14"/>
      <c r="D663" s="15"/>
      <c r="E663" s="16"/>
      <c r="F663" s="17"/>
      <c r="G663" s="14"/>
      <c r="H663" s="15"/>
      <c r="I663" s="16"/>
      <c r="J663" s="17"/>
      <c r="K663" s="14"/>
      <c r="L663" s="15"/>
      <c r="M663" s="16"/>
      <c r="N663" s="17"/>
      <c r="O663" s="2823" t="s">
        <v>5631</v>
      </c>
      <c r="P663" s="2823"/>
      <c r="Q663" s="2646"/>
      <c r="R663" s="17"/>
      <c r="S663" s="14"/>
      <c r="T663" s="15"/>
      <c r="U663" s="16"/>
      <c r="V663" s="17"/>
      <c r="W663" s="14"/>
      <c r="X663" s="15"/>
      <c r="Y663" s="16"/>
      <c r="Z663" s="17"/>
      <c r="AA663" s="30"/>
      <c r="AB663" s="15"/>
    </row>
    <row r="664" spans="1:28">
      <c r="A664" s="3188" t="s">
        <v>5632</v>
      </c>
      <c r="B664" s="320"/>
      <c r="C664" s="14"/>
      <c r="D664" s="15"/>
      <c r="E664" s="16"/>
      <c r="F664" s="17"/>
      <c r="G664" s="14"/>
      <c r="H664" s="15"/>
      <c r="I664" s="16"/>
      <c r="J664" s="17"/>
      <c r="K664" s="14"/>
      <c r="L664" s="15"/>
      <c r="M664" s="16"/>
      <c r="N664" s="17"/>
      <c r="O664" s="2823" t="s">
        <v>5633</v>
      </c>
      <c r="P664" s="2823"/>
      <c r="Q664" s="2646"/>
      <c r="R664" s="17"/>
      <c r="S664" s="14"/>
      <c r="T664" s="15"/>
      <c r="U664" s="16"/>
      <c r="V664" s="17"/>
      <c r="W664" s="14"/>
      <c r="X664" s="15"/>
      <c r="Y664" s="16"/>
      <c r="Z664" s="17"/>
      <c r="AA664" s="30"/>
      <c r="AB664" s="15"/>
    </row>
    <row r="665" spans="1:28">
      <c r="A665" s="3188" t="s">
        <v>5634</v>
      </c>
      <c r="B665" s="320"/>
      <c r="C665" s="14"/>
      <c r="D665" s="15"/>
      <c r="E665" s="16"/>
      <c r="F665" s="17"/>
      <c r="G665" s="14"/>
      <c r="H665" s="15"/>
      <c r="I665" s="16"/>
      <c r="J665" s="17"/>
      <c r="K665" s="14"/>
      <c r="L665" s="15"/>
      <c r="M665" s="16"/>
      <c r="N665" s="17"/>
      <c r="O665" s="2823" t="s">
        <v>5635</v>
      </c>
      <c r="P665" s="2823"/>
      <c r="Q665" s="2646"/>
      <c r="R665" s="17"/>
      <c r="S665" s="14"/>
      <c r="T665" s="15"/>
      <c r="U665" s="16"/>
      <c r="V665" s="17"/>
      <c r="W665" s="14"/>
      <c r="X665" s="15"/>
      <c r="Y665" s="16"/>
      <c r="Z665" s="17"/>
      <c r="AA665" s="30"/>
      <c r="AB665" s="15"/>
    </row>
    <row r="666" spans="1:28">
      <c r="A666" s="3177" t="s">
        <v>5636</v>
      </c>
      <c r="B666" s="320"/>
      <c r="C666" s="14"/>
      <c r="D666" s="15"/>
      <c r="E666" s="16"/>
      <c r="F666" s="17"/>
      <c r="G666" s="14"/>
      <c r="H666" s="15"/>
      <c r="I666" s="16"/>
      <c r="J666" s="17"/>
      <c r="K666" s="14"/>
      <c r="L666" s="15"/>
      <c r="M666" s="16"/>
      <c r="N666" s="17"/>
      <c r="O666" s="2819" t="s">
        <v>5637</v>
      </c>
      <c r="P666" s="2819"/>
      <c r="Q666" s="2646"/>
      <c r="R666" s="17"/>
      <c r="S666" s="14"/>
      <c r="T666" s="15"/>
      <c r="U666" s="16"/>
      <c r="V666" s="17"/>
      <c r="W666" s="14"/>
      <c r="X666" s="15"/>
      <c r="Y666" s="16"/>
      <c r="Z666" s="17"/>
      <c r="AA666" s="30"/>
      <c r="AB666" s="15"/>
    </row>
    <row r="667" spans="1:28">
      <c r="A667" s="3177" t="s">
        <v>5638</v>
      </c>
      <c r="B667" s="320"/>
      <c r="C667" s="14"/>
      <c r="D667" s="15"/>
      <c r="E667" s="16"/>
      <c r="F667" s="17"/>
      <c r="G667" s="14"/>
      <c r="H667" s="15"/>
      <c r="I667" s="16"/>
      <c r="J667" s="17"/>
      <c r="K667" s="14"/>
      <c r="L667" s="15"/>
      <c r="M667" s="16"/>
      <c r="N667" s="17"/>
      <c r="O667" s="2819" t="s">
        <v>5639</v>
      </c>
      <c r="P667" s="2819"/>
      <c r="Q667" s="2646"/>
      <c r="R667" s="17"/>
      <c r="S667" s="14"/>
      <c r="T667" s="15"/>
      <c r="U667" s="16"/>
      <c r="V667" s="17"/>
      <c r="W667" s="14"/>
      <c r="X667" s="15"/>
      <c r="Y667" s="16"/>
      <c r="Z667" s="17"/>
      <c r="AA667" s="30"/>
      <c r="AB667" s="15"/>
    </row>
    <row r="668" spans="1:28">
      <c r="A668" s="3177" t="s">
        <v>5640</v>
      </c>
      <c r="B668" s="320"/>
      <c r="C668" s="14"/>
      <c r="D668" s="15"/>
      <c r="E668" s="16"/>
      <c r="F668" s="17"/>
      <c r="G668" s="14"/>
      <c r="H668" s="15"/>
      <c r="I668" s="16"/>
      <c r="J668" s="17"/>
      <c r="K668" s="14"/>
      <c r="L668" s="15"/>
      <c r="M668" s="16"/>
      <c r="N668" s="17"/>
      <c r="O668" s="2819" t="s">
        <v>5641</v>
      </c>
      <c r="P668" s="2819"/>
      <c r="Q668" s="2646"/>
      <c r="R668" s="17"/>
      <c r="S668" s="14"/>
      <c r="T668" s="15"/>
      <c r="U668" s="16"/>
      <c r="V668" s="17"/>
      <c r="W668" s="14"/>
      <c r="X668" s="15"/>
      <c r="Y668" s="16"/>
      <c r="Z668" s="17"/>
      <c r="AA668" s="30"/>
      <c r="AB668" s="15"/>
    </row>
    <row r="669" spans="1:28">
      <c r="A669" s="3189" t="s">
        <v>5642</v>
      </c>
      <c r="B669" s="320"/>
      <c r="C669" s="14"/>
      <c r="D669" s="15"/>
      <c r="E669" s="16"/>
      <c r="F669" s="17"/>
      <c r="G669" s="14"/>
      <c r="H669" s="15"/>
      <c r="I669" s="16"/>
      <c r="J669" s="17"/>
      <c r="K669" s="14"/>
      <c r="L669" s="15"/>
      <c r="M669" s="16"/>
      <c r="N669" s="17"/>
      <c r="O669" s="2823" t="s">
        <v>5643</v>
      </c>
      <c r="P669" s="2823"/>
      <c r="Q669" s="2646"/>
      <c r="R669" s="17"/>
      <c r="S669" s="14"/>
      <c r="T669" s="15"/>
      <c r="U669" s="16"/>
      <c r="V669" s="17"/>
      <c r="W669" s="14"/>
      <c r="X669" s="15"/>
      <c r="Y669" s="16"/>
      <c r="Z669" s="17"/>
      <c r="AA669" s="30"/>
      <c r="AB669" s="15"/>
    </row>
    <row r="670" spans="1:28">
      <c r="A670" s="3189" t="s">
        <v>5644</v>
      </c>
      <c r="B670" s="320"/>
      <c r="C670" s="14"/>
      <c r="D670" s="15"/>
      <c r="E670" s="16"/>
      <c r="F670" s="17"/>
      <c r="G670" s="14"/>
      <c r="H670" s="15"/>
      <c r="I670" s="16"/>
      <c r="J670" s="17"/>
      <c r="K670" s="14"/>
      <c r="L670" s="15"/>
      <c r="M670" s="16"/>
      <c r="N670" s="17"/>
      <c r="O670" s="2823" t="s">
        <v>5645</v>
      </c>
      <c r="P670" s="2823"/>
      <c r="Q670" s="2646"/>
      <c r="R670" s="17"/>
      <c r="S670" s="14"/>
      <c r="T670" s="15"/>
      <c r="U670" s="16"/>
      <c r="V670" s="17"/>
      <c r="W670" s="14"/>
      <c r="X670" s="15"/>
      <c r="Y670" s="16"/>
      <c r="Z670" s="17"/>
      <c r="AA670" s="30"/>
      <c r="AB670" s="15"/>
    </row>
    <row r="671" spans="1:28">
      <c r="A671" s="3188" t="s">
        <v>5646</v>
      </c>
      <c r="B671" s="320"/>
      <c r="C671" s="14"/>
      <c r="D671" s="15"/>
      <c r="E671" s="16"/>
      <c r="F671" s="17"/>
      <c r="G671" s="14"/>
      <c r="H671" s="15"/>
      <c r="I671" s="16"/>
      <c r="J671" s="17"/>
      <c r="K671" s="14"/>
      <c r="L671" s="15"/>
      <c r="M671" s="16"/>
      <c r="N671" s="17"/>
      <c r="O671" s="2823" t="s">
        <v>5647</v>
      </c>
      <c r="P671" s="2823"/>
      <c r="Q671" s="2646"/>
      <c r="R671" s="17"/>
      <c r="S671" s="14"/>
      <c r="T671" s="15"/>
      <c r="U671" s="16"/>
      <c r="V671" s="17"/>
      <c r="W671" s="14"/>
      <c r="X671" s="15"/>
      <c r="Y671" s="16"/>
      <c r="Z671" s="17"/>
      <c r="AA671" s="30"/>
      <c r="AB671" s="15"/>
    </row>
    <row r="672" spans="1:28">
      <c r="A672" s="3188" t="s">
        <v>5648</v>
      </c>
      <c r="B672" s="320"/>
      <c r="C672" s="14"/>
      <c r="D672" s="15"/>
      <c r="E672" s="16"/>
      <c r="F672" s="17"/>
      <c r="G672" s="14"/>
      <c r="H672" s="15"/>
      <c r="I672" s="16"/>
      <c r="J672" s="17"/>
      <c r="K672" s="14"/>
      <c r="L672" s="15"/>
      <c r="M672" s="16"/>
      <c r="N672" s="17"/>
      <c r="O672" s="2823" t="s">
        <v>5649</v>
      </c>
      <c r="P672" s="2823"/>
      <c r="Q672" s="2646"/>
      <c r="R672" s="17"/>
      <c r="S672" s="14"/>
      <c r="T672" s="15"/>
      <c r="U672" s="16"/>
      <c r="V672" s="17"/>
      <c r="W672" s="14"/>
      <c r="X672" s="15"/>
      <c r="Y672" s="16"/>
      <c r="Z672" s="17"/>
      <c r="AA672" s="30"/>
      <c r="AB672" s="15"/>
    </row>
    <row r="673" spans="1:28">
      <c r="A673" s="3188" t="s">
        <v>5650</v>
      </c>
      <c r="B673" s="320"/>
      <c r="C673" s="14"/>
      <c r="D673" s="15"/>
      <c r="E673" s="16"/>
      <c r="F673" s="17"/>
      <c r="G673" s="14"/>
      <c r="H673" s="15"/>
      <c r="I673" s="16"/>
      <c r="J673" s="17"/>
      <c r="K673" s="14"/>
      <c r="L673" s="15"/>
      <c r="M673" s="16"/>
      <c r="N673" s="17"/>
      <c r="O673" s="2823" t="s">
        <v>5651</v>
      </c>
      <c r="P673" s="2823"/>
      <c r="Q673" s="2646"/>
      <c r="R673" s="17"/>
      <c r="S673" s="14"/>
      <c r="T673" s="15"/>
      <c r="U673" s="16"/>
      <c r="V673" s="17"/>
      <c r="W673" s="14"/>
      <c r="X673" s="15"/>
      <c r="Y673" s="16"/>
      <c r="Z673" s="17"/>
      <c r="AA673" s="30"/>
      <c r="AB673" s="15"/>
    </row>
    <row r="674" spans="1:28">
      <c r="A674" s="3190" t="s">
        <v>5652</v>
      </c>
      <c r="B674" s="25"/>
      <c r="C674" s="14"/>
      <c r="D674" s="15"/>
      <c r="E674" s="16"/>
      <c r="F674" s="17"/>
      <c r="G674" s="14"/>
      <c r="H674" s="15"/>
      <c r="I674" s="16"/>
      <c r="J674" s="17"/>
      <c r="K674" s="14"/>
      <c r="L674" s="15"/>
      <c r="M674" s="16"/>
      <c r="N674" s="17"/>
      <c r="O674" s="2819" t="s">
        <v>5653</v>
      </c>
      <c r="P674" s="2819"/>
      <c r="Q674" s="2646"/>
      <c r="R674" s="17"/>
      <c r="S674" s="14"/>
      <c r="T674" s="15"/>
      <c r="U674" s="16"/>
      <c r="V674" s="17"/>
      <c r="W674" s="14"/>
      <c r="X674" s="15"/>
      <c r="Y674" s="16"/>
      <c r="Z674" s="17"/>
      <c r="AA674" s="30"/>
      <c r="AB674" s="15"/>
    </row>
    <row r="675" spans="1:28">
      <c r="A675" s="3190" t="s">
        <v>5654</v>
      </c>
      <c r="B675" s="25"/>
      <c r="C675" s="14"/>
      <c r="D675" s="15"/>
      <c r="E675" s="16"/>
      <c r="F675" s="17"/>
      <c r="G675" s="14"/>
      <c r="H675" s="15"/>
      <c r="I675" s="16"/>
      <c r="J675" s="17"/>
      <c r="K675" s="14"/>
      <c r="L675" s="15"/>
      <c r="M675" s="16"/>
      <c r="N675" s="17"/>
      <c r="O675" s="2819" t="s">
        <v>5655</v>
      </c>
      <c r="P675" s="2819"/>
      <c r="Q675" s="2646"/>
      <c r="R675" s="17"/>
      <c r="S675" s="14"/>
      <c r="T675" s="15"/>
      <c r="U675" s="16"/>
      <c r="V675" s="17"/>
      <c r="W675" s="14"/>
      <c r="X675" s="15"/>
      <c r="Y675" s="16"/>
      <c r="Z675" s="17"/>
      <c r="AA675" s="30"/>
      <c r="AB675" s="15"/>
    </row>
    <row r="676" spans="1:28">
      <c r="A676" s="3190" t="s">
        <v>5656</v>
      </c>
      <c r="B676" s="25"/>
      <c r="C676" s="14"/>
      <c r="D676" s="15"/>
      <c r="E676" s="16"/>
      <c r="F676" s="17"/>
      <c r="G676" s="14"/>
      <c r="H676" s="15"/>
      <c r="I676" s="16"/>
      <c r="J676" s="17"/>
      <c r="K676" s="14"/>
      <c r="L676" s="15"/>
      <c r="M676" s="16"/>
      <c r="N676" s="17"/>
      <c r="O676" s="3175" t="s">
        <v>5657</v>
      </c>
      <c r="P676" s="3175"/>
      <c r="Q676" s="2646"/>
      <c r="R676" s="17"/>
      <c r="S676" s="14"/>
      <c r="T676" s="15"/>
      <c r="U676" s="16"/>
      <c r="V676" s="17"/>
      <c r="W676" s="14"/>
      <c r="X676" s="15"/>
      <c r="Y676" s="16"/>
      <c r="Z676" s="17"/>
      <c r="AA676" s="30"/>
      <c r="AB676" s="15"/>
    </row>
    <row r="677" spans="1:28">
      <c r="A677" s="3190" t="s">
        <v>5658</v>
      </c>
      <c r="B677" s="25"/>
      <c r="C677" s="14"/>
      <c r="D677" s="15"/>
      <c r="E677" s="16"/>
      <c r="F677" s="17"/>
      <c r="G677" s="14"/>
      <c r="H677" s="15"/>
      <c r="I677" s="16"/>
      <c r="J677" s="17"/>
      <c r="K677" s="14"/>
      <c r="L677" s="15"/>
      <c r="M677" s="16"/>
      <c r="N677" s="17"/>
      <c r="O677" s="3191" t="s">
        <v>5659</v>
      </c>
      <c r="P677" s="3176"/>
      <c r="Q677" s="2645"/>
      <c r="R677" s="1795"/>
      <c r="S677" s="14"/>
      <c r="T677" s="15"/>
      <c r="U677" s="16"/>
      <c r="V677" s="17"/>
      <c r="W677" s="14"/>
      <c r="X677" s="15"/>
      <c r="Y677" s="16"/>
      <c r="Z677" s="17"/>
      <c r="AA677" s="30"/>
      <c r="AB677" s="15"/>
    </row>
    <row r="678" spans="1:28">
      <c r="A678" s="3197" t="s">
        <v>5660</v>
      </c>
      <c r="B678" s="25"/>
      <c r="C678" s="14"/>
      <c r="D678" s="15"/>
      <c r="E678" s="16"/>
      <c r="F678" s="17"/>
      <c r="G678" s="14"/>
      <c r="H678" s="15"/>
      <c r="I678" s="16"/>
      <c r="J678" s="17"/>
      <c r="K678" s="14"/>
      <c r="L678" s="15"/>
      <c r="M678" s="16"/>
      <c r="N678" s="17"/>
      <c r="O678" s="3192" t="s">
        <v>5661</v>
      </c>
      <c r="P678" s="3193"/>
      <c r="Q678" s="2649"/>
      <c r="R678" s="2650"/>
      <c r="S678" s="2651"/>
      <c r="T678" s="2648"/>
      <c r="U678" s="16"/>
      <c r="V678" s="17"/>
      <c r="W678" s="14"/>
      <c r="X678" s="15"/>
      <c r="Y678" s="16"/>
      <c r="Z678" s="17"/>
      <c r="AA678" s="30"/>
      <c r="AB678" s="15"/>
    </row>
    <row r="679" spans="1:28" ht="40.5" thickBot="1">
      <c r="A679" s="3197" t="s">
        <v>5662</v>
      </c>
      <c r="B679" s="25"/>
      <c r="C679" s="6"/>
      <c r="D679" s="32"/>
      <c r="E679" s="7"/>
      <c r="F679" s="40"/>
      <c r="G679" s="6"/>
      <c r="H679" s="32"/>
      <c r="I679" s="7"/>
      <c r="J679" s="40"/>
      <c r="K679" s="6"/>
      <c r="L679" s="32"/>
      <c r="M679" s="7"/>
      <c r="N679" s="40"/>
      <c r="O679" s="3194" t="s">
        <v>5663</v>
      </c>
      <c r="P679" s="3194"/>
      <c r="Q679" s="2647"/>
      <c r="R679" s="40"/>
      <c r="S679" s="6"/>
      <c r="T679" s="32"/>
      <c r="U679" s="7"/>
      <c r="V679" s="40"/>
      <c r="W679" s="6"/>
      <c r="X679" s="32"/>
      <c r="Y679" s="7"/>
      <c r="Z679" s="40"/>
      <c r="AA679" s="2630"/>
      <c r="AB679" s="2631"/>
    </row>
    <row r="680" spans="1:28" ht="40.5" thickBot="1">
      <c r="A680" s="3198" t="s">
        <v>5664</v>
      </c>
      <c r="B680" s="41"/>
      <c r="C680" s="6"/>
      <c r="D680" s="32"/>
      <c r="E680" s="7"/>
      <c r="F680" s="40"/>
      <c r="G680" s="6"/>
      <c r="H680" s="32"/>
      <c r="I680" s="7"/>
      <c r="J680" s="40"/>
      <c r="K680" s="6"/>
      <c r="L680" s="32"/>
      <c r="M680" s="7"/>
      <c r="N680" s="40"/>
      <c r="O680" s="3195" t="s">
        <v>5665</v>
      </c>
      <c r="P680" s="3196"/>
      <c r="Q680" s="7"/>
      <c r="R680" s="40"/>
      <c r="S680" s="6"/>
      <c r="T680" s="32"/>
      <c r="U680" s="7"/>
      <c r="V680" s="40"/>
      <c r="W680" s="6"/>
      <c r="X680" s="32"/>
      <c r="Y680" s="7"/>
      <c r="Z680" s="32"/>
      <c r="AA680" s="31"/>
      <c r="AB680" s="32"/>
    </row>
    <row r="681" spans="1:28">
      <c r="A681" s="2569"/>
    </row>
    <row r="682" spans="1:28" ht="40.5">
      <c r="A682" s="3" t="s">
        <v>5063</v>
      </c>
      <c r="B682" s="23"/>
      <c r="C682" s="3"/>
      <c r="D682" s="3"/>
      <c r="E682" s="3"/>
      <c r="F682" s="3"/>
      <c r="G682" s="3"/>
      <c r="H682" s="3"/>
      <c r="I682" s="3"/>
      <c r="J682" s="3"/>
      <c r="K682" s="3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B682" s="4"/>
    </row>
    <row r="683" spans="1:28" ht="40.5" thickBot="1">
      <c r="A683" s="5" t="s">
        <v>5064</v>
      </c>
    </row>
    <row r="684" spans="1:28">
      <c r="A684" s="3544" t="s">
        <v>2</v>
      </c>
      <c r="B684" s="3546" t="s">
        <v>3</v>
      </c>
      <c r="C684" s="3537" t="s">
        <v>5065</v>
      </c>
      <c r="D684" s="3538"/>
      <c r="E684" s="3536" t="s">
        <v>5066</v>
      </c>
      <c r="F684" s="3536"/>
      <c r="G684" s="3537" t="s">
        <v>5067</v>
      </c>
      <c r="H684" s="3538"/>
      <c r="I684" s="3536" t="s">
        <v>5068</v>
      </c>
      <c r="J684" s="3536"/>
      <c r="K684" s="3537" t="s">
        <v>5069</v>
      </c>
      <c r="L684" s="3538"/>
      <c r="M684" s="3536" t="s">
        <v>5070</v>
      </c>
      <c r="N684" s="3536"/>
      <c r="O684" s="3542"/>
      <c r="P684" s="3542"/>
      <c r="Q684" s="3536" t="s">
        <v>5071</v>
      </c>
      <c r="R684" s="3536"/>
      <c r="S684" s="3536" t="s">
        <v>5072</v>
      </c>
      <c r="T684" s="3536"/>
      <c r="U684" s="3472" t="s">
        <v>5073</v>
      </c>
      <c r="V684" s="3473"/>
      <c r="W684" s="3536" t="s">
        <v>5074</v>
      </c>
      <c r="X684" s="3536"/>
      <c r="Y684" s="3472" t="s">
        <v>5075</v>
      </c>
      <c r="Z684" s="3475"/>
      <c r="AA684" s="3537" t="s">
        <v>5076</v>
      </c>
      <c r="AB684" s="3538"/>
    </row>
    <row r="685" spans="1:28" ht="40.5" thickBot="1">
      <c r="A685" s="3545"/>
      <c r="B685" s="3547"/>
      <c r="C685" s="1" t="s">
        <v>5078</v>
      </c>
      <c r="D685" s="35" t="s">
        <v>5079</v>
      </c>
      <c r="E685" s="2" t="s">
        <v>5078</v>
      </c>
      <c r="F685" s="36" t="s">
        <v>5079</v>
      </c>
      <c r="G685" s="1" t="s">
        <v>5078</v>
      </c>
      <c r="H685" s="35" t="s">
        <v>5079</v>
      </c>
      <c r="I685" s="2" t="s">
        <v>5078</v>
      </c>
      <c r="J685" s="36" t="s">
        <v>5079</v>
      </c>
      <c r="K685" s="1" t="s">
        <v>5078</v>
      </c>
      <c r="L685" s="35" t="s">
        <v>5079</v>
      </c>
      <c r="M685" s="2" t="s">
        <v>5078</v>
      </c>
      <c r="N685" s="36" t="s">
        <v>5079</v>
      </c>
      <c r="O685" s="2769"/>
      <c r="P685" s="2820"/>
      <c r="Q685" s="2" t="s">
        <v>5078</v>
      </c>
      <c r="R685" s="36" t="s">
        <v>5079</v>
      </c>
      <c r="S685" s="1" t="s">
        <v>5078</v>
      </c>
      <c r="T685" s="35" t="s">
        <v>5079</v>
      </c>
      <c r="U685" s="2" t="s">
        <v>5078</v>
      </c>
      <c r="V685" s="36" t="s">
        <v>5079</v>
      </c>
      <c r="W685" s="1" t="s">
        <v>5078</v>
      </c>
      <c r="X685" s="35" t="s">
        <v>5079</v>
      </c>
      <c r="Y685" s="2" t="s">
        <v>5078</v>
      </c>
      <c r="Z685" s="36" t="s">
        <v>5079</v>
      </c>
      <c r="AA685" s="1" t="s">
        <v>5078</v>
      </c>
      <c r="AB685" s="35" t="s">
        <v>5079</v>
      </c>
    </row>
    <row r="686" spans="1:28">
      <c r="A686" s="2282" t="s">
        <v>5666</v>
      </c>
      <c r="B686" s="101" t="s">
        <v>2213</v>
      </c>
      <c r="C686" s="9"/>
      <c r="D686" s="10"/>
      <c r="E686" s="11"/>
      <c r="F686" s="12"/>
      <c r="G686" s="9"/>
      <c r="H686" s="10"/>
      <c r="I686" s="11"/>
      <c r="J686" s="12"/>
      <c r="K686" s="9"/>
      <c r="L686" s="10"/>
      <c r="M686" s="11"/>
      <c r="N686" s="12"/>
      <c r="O686" s="2821" t="s">
        <v>5667</v>
      </c>
      <c r="P686" s="2822"/>
      <c r="Q686" s="11"/>
      <c r="R686" s="12"/>
      <c r="S686" s="9"/>
      <c r="T686" s="10"/>
      <c r="U686" s="11"/>
      <c r="V686" s="12"/>
      <c r="W686" s="9"/>
      <c r="X686" s="10"/>
      <c r="Y686" s="11"/>
      <c r="Z686" s="12"/>
      <c r="AA686" s="33"/>
      <c r="AB686" s="10"/>
    </row>
    <row r="687" spans="1:28">
      <c r="A687" s="2282" t="s">
        <v>5668</v>
      </c>
      <c r="B687" s="101" t="s">
        <v>5669</v>
      </c>
      <c r="C687" s="14"/>
      <c r="D687" s="15"/>
      <c r="E687" s="16"/>
      <c r="F687" s="17"/>
      <c r="G687" s="14"/>
      <c r="H687" s="15"/>
      <c r="I687" s="16"/>
      <c r="J687" s="17"/>
      <c r="K687" s="14"/>
      <c r="L687" s="15"/>
      <c r="M687" s="16"/>
      <c r="N687" s="17"/>
      <c r="O687" s="2823" t="s">
        <v>5670</v>
      </c>
      <c r="P687" s="2823"/>
      <c r="Q687" s="2646"/>
      <c r="R687" s="17"/>
      <c r="S687" s="14"/>
      <c r="T687" s="15"/>
      <c r="U687" s="16"/>
      <c r="V687" s="17"/>
      <c r="W687" s="14"/>
      <c r="X687" s="15"/>
      <c r="Y687" s="16"/>
      <c r="Z687" s="17"/>
      <c r="AA687" s="30"/>
      <c r="AB687" s="15"/>
    </row>
    <row r="688" spans="1:28">
      <c r="A688" s="2282" t="s">
        <v>5671</v>
      </c>
      <c r="B688" s="101" t="s">
        <v>2655</v>
      </c>
      <c r="C688" s="14"/>
      <c r="D688" s="15"/>
      <c r="E688" s="16"/>
      <c r="F688" s="17"/>
      <c r="G688" s="14"/>
      <c r="H688" s="15"/>
      <c r="I688" s="16"/>
      <c r="J688" s="17"/>
      <c r="K688" s="14"/>
      <c r="L688" s="15"/>
      <c r="M688" s="16"/>
      <c r="N688" s="17"/>
      <c r="O688" s="2823" t="s">
        <v>5672</v>
      </c>
      <c r="P688" s="2823"/>
      <c r="Q688" s="2646"/>
      <c r="R688" s="17"/>
      <c r="S688" s="14"/>
      <c r="T688" s="15"/>
      <c r="U688" s="16"/>
      <c r="V688" s="17"/>
      <c r="W688" s="14"/>
      <c r="X688" s="15"/>
      <c r="Y688" s="16"/>
      <c r="Z688" s="17"/>
      <c r="AA688" s="30"/>
      <c r="AB688" s="15"/>
    </row>
    <row r="689" spans="1:28">
      <c r="A689" s="2282" t="s">
        <v>5673</v>
      </c>
      <c r="B689" s="101" t="s">
        <v>5674</v>
      </c>
      <c r="C689" s="14"/>
      <c r="D689" s="15"/>
      <c r="E689" s="16"/>
      <c r="F689" s="17"/>
      <c r="G689" s="14"/>
      <c r="H689" s="15"/>
      <c r="I689" s="16"/>
      <c r="J689" s="17"/>
      <c r="K689" s="14"/>
      <c r="L689" s="15"/>
      <c r="M689" s="16"/>
      <c r="N689" s="17"/>
      <c r="O689" s="2823" t="s">
        <v>5675</v>
      </c>
      <c r="P689" s="2823">
        <v>130</v>
      </c>
      <c r="Q689" s="2646"/>
      <c r="R689" s="17"/>
      <c r="S689" s="14"/>
      <c r="T689" s="15"/>
      <c r="U689" s="16"/>
      <c r="V689" s="17"/>
      <c r="W689" s="14"/>
      <c r="X689" s="15"/>
      <c r="Y689" s="16"/>
      <c r="Z689" s="17"/>
      <c r="AA689" s="30"/>
      <c r="AB689" s="15"/>
    </row>
    <row r="690" spans="1:28">
      <c r="A690" s="2282" t="s">
        <v>5673</v>
      </c>
      <c r="B690" s="101" t="s">
        <v>5676</v>
      </c>
      <c r="C690" s="14"/>
      <c r="D690" s="15"/>
      <c r="E690" s="16"/>
      <c r="F690" s="17"/>
      <c r="G690" s="14"/>
      <c r="H690" s="15"/>
      <c r="I690" s="16"/>
      <c r="J690" s="17"/>
      <c r="K690" s="14"/>
      <c r="L690" s="15"/>
      <c r="M690" s="16"/>
      <c r="N690" s="17"/>
      <c r="O690" s="2823" t="s">
        <v>5675</v>
      </c>
      <c r="P690" s="2823">
        <v>150</v>
      </c>
      <c r="Q690" s="2646"/>
      <c r="R690" s="17"/>
      <c r="S690" s="14"/>
      <c r="T690" s="15"/>
      <c r="U690" s="16"/>
      <c r="V690" s="17"/>
      <c r="W690" s="14"/>
      <c r="X690" s="15"/>
      <c r="Y690" s="16"/>
      <c r="Z690" s="17"/>
      <c r="AA690" s="30"/>
      <c r="AB690" s="15"/>
    </row>
    <row r="691" spans="1:28">
      <c r="A691" s="2282" t="s">
        <v>5677</v>
      </c>
      <c r="B691" s="101" t="s">
        <v>2213</v>
      </c>
      <c r="C691" s="14"/>
      <c r="D691" s="15"/>
      <c r="E691" s="16"/>
      <c r="F691" s="17"/>
      <c r="G691" s="14"/>
      <c r="H691" s="15"/>
      <c r="I691" s="16"/>
      <c r="J691" s="17"/>
      <c r="K691" s="14"/>
      <c r="L691" s="15"/>
      <c r="M691" s="16"/>
      <c r="N691" s="17"/>
      <c r="O691" s="2823" t="s">
        <v>5678</v>
      </c>
      <c r="P691" s="2823"/>
      <c r="Q691" s="2646"/>
      <c r="R691" s="17"/>
      <c r="S691" s="14"/>
      <c r="T691" s="15"/>
      <c r="U691" s="16"/>
      <c r="V691" s="17"/>
      <c r="W691" s="14"/>
      <c r="X691" s="15"/>
      <c r="Y691" s="16"/>
      <c r="Z691" s="17"/>
      <c r="AA691" s="30"/>
      <c r="AB691" s="15"/>
    </row>
    <row r="692" spans="1:28">
      <c r="A692" s="2282" t="s">
        <v>5677</v>
      </c>
      <c r="B692" s="101" t="s">
        <v>2293</v>
      </c>
      <c r="C692" s="14"/>
      <c r="D692" s="15"/>
      <c r="E692" s="16"/>
      <c r="F692" s="17"/>
      <c r="G692" s="14"/>
      <c r="H692" s="15"/>
      <c r="I692" s="16"/>
      <c r="J692" s="17"/>
      <c r="K692" s="14"/>
      <c r="L692" s="15"/>
      <c r="M692" s="16"/>
      <c r="N692" s="17"/>
      <c r="O692" s="2823" t="s">
        <v>5679</v>
      </c>
      <c r="P692" s="2823"/>
      <c r="Q692" s="2646"/>
      <c r="R692" s="17"/>
      <c r="S692" s="14"/>
      <c r="T692" s="15"/>
      <c r="U692" s="16"/>
      <c r="V692" s="17"/>
      <c r="W692" s="14"/>
      <c r="X692" s="15"/>
      <c r="Y692" s="16"/>
      <c r="Z692" s="17"/>
      <c r="AA692" s="30"/>
      <c r="AB692" s="15"/>
    </row>
    <row r="693" spans="1:28">
      <c r="A693" s="2282" t="s">
        <v>5680</v>
      </c>
      <c r="B693" s="101" t="s">
        <v>2213</v>
      </c>
      <c r="C693" s="14"/>
      <c r="D693" s="15"/>
      <c r="E693" s="16"/>
      <c r="F693" s="17"/>
      <c r="G693" s="14"/>
      <c r="H693" s="15"/>
      <c r="I693" s="16"/>
      <c r="J693" s="17"/>
      <c r="K693" s="14"/>
      <c r="L693" s="15"/>
      <c r="M693" s="16"/>
      <c r="N693" s="17"/>
      <c r="O693" s="2823" t="s">
        <v>5681</v>
      </c>
      <c r="P693" s="2823"/>
      <c r="Q693" s="2646"/>
      <c r="R693" s="17"/>
      <c r="S693" s="14"/>
      <c r="T693" s="15"/>
      <c r="U693" s="16"/>
      <c r="V693" s="17"/>
      <c r="W693" s="14"/>
      <c r="X693" s="15"/>
      <c r="Y693" s="16"/>
      <c r="Z693" s="17"/>
      <c r="AA693" s="30"/>
      <c r="AB693" s="15"/>
    </row>
    <row r="694" spans="1:28">
      <c r="A694" s="2282" t="s">
        <v>5680</v>
      </c>
      <c r="B694" s="101" t="s">
        <v>2293</v>
      </c>
      <c r="C694" s="14"/>
      <c r="D694" s="15"/>
      <c r="E694" s="16"/>
      <c r="F694" s="17"/>
      <c r="G694" s="14"/>
      <c r="H694" s="15"/>
      <c r="I694" s="16"/>
      <c r="J694" s="17"/>
      <c r="K694" s="14"/>
      <c r="L694" s="15"/>
      <c r="M694" s="16"/>
      <c r="N694" s="17"/>
      <c r="O694" s="2823" t="s">
        <v>5682</v>
      </c>
      <c r="P694" s="2823"/>
      <c r="Q694" s="2646"/>
      <c r="R694" s="17"/>
      <c r="S694" s="14"/>
      <c r="T694" s="15"/>
      <c r="U694" s="16"/>
      <c r="V694" s="17"/>
      <c r="W694" s="14"/>
      <c r="X694" s="15"/>
      <c r="Y694" s="16"/>
      <c r="Z694" s="17"/>
      <c r="AA694" s="30"/>
      <c r="AB694" s="15"/>
    </row>
    <row r="695" spans="1:28">
      <c r="A695" s="460" t="s">
        <v>5683</v>
      </c>
      <c r="B695" s="101" t="s">
        <v>5684</v>
      </c>
      <c r="C695" s="14"/>
      <c r="D695" s="15"/>
      <c r="E695" s="16"/>
      <c r="F695" s="17"/>
      <c r="G695" s="14"/>
      <c r="H695" s="15"/>
      <c r="I695" s="16"/>
      <c r="J695" s="17"/>
      <c r="K695" s="14"/>
      <c r="L695" s="15"/>
      <c r="M695" s="16"/>
      <c r="N695" s="17"/>
      <c r="O695" s="2823" t="s">
        <v>5685</v>
      </c>
      <c r="P695" s="2823"/>
      <c r="Q695" s="2646"/>
      <c r="R695" s="17"/>
      <c r="S695" s="14"/>
      <c r="T695" s="15"/>
      <c r="U695" s="16"/>
      <c r="V695" s="17"/>
      <c r="W695" s="14"/>
      <c r="X695" s="15"/>
      <c r="Y695" s="16"/>
      <c r="Z695" s="17"/>
      <c r="AA695" s="30"/>
      <c r="AB695" s="15"/>
    </row>
    <row r="696" spans="1:28">
      <c r="A696" s="2199" t="s">
        <v>5686</v>
      </c>
      <c r="B696" s="2200" t="s">
        <v>2231</v>
      </c>
      <c r="C696" s="14"/>
      <c r="D696" s="15"/>
      <c r="E696" s="16"/>
      <c r="F696" s="17"/>
      <c r="G696" s="14"/>
      <c r="H696" s="15"/>
      <c r="I696" s="16"/>
      <c r="J696" s="17"/>
      <c r="K696" s="14"/>
      <c r="L696" s="15"/>
      <c r="M696" s="16"/>
      <c r="N696" s="17"/>
      <c r="O696" s="3006" t="s">
        <v>5687</v>
      </c>
      <c r="P696" s="2823"/>
      <c r="Q696" s="2646"/>
      <c r="R696" s="17"/>
      <c r="S696" s="14"/>
      <c r="T696" s="15"/>
      <c r="U696" s="16"/>
      <c r="V696" s="17"/>
      <c r="W696" s="14"/>
      <c r="X696" s="15"/>
      <c r="Y696" s="16"/>
      <c r="Z696" s="17"/>
      <c r="AA696" s="30"/>
      <c r="AB696" s="15"/>
    </row>
    <row r="697" spans="1:28">
      <c r="A697" s="2199" t="s">
        <v>5686</v>
      </c>
      <c r="B697" s="2200" t="s">
        <v>5688</v>
      </c>
      <c r="C697" s="14"/>
      <c r="D697" s="15"/>
      <c r="E697" s="16"/>
      <c r="F697" s="17"/>
      <c r="G697" s="14"/>
      <c r="H697" s="15"/>
      <c r="I697" s="16"/>
      <c r="J697" s="17"/>
      <c r="K697" s="14"/>
      <c r="L697" s="15"/>
      <c r="M697" s="16"/>
      <c r="N697" s="17"/>
      <c r="O697" s="3006" t="s">
        <v>5689</v>
      </c>
      <c r="P697" s="2823"/>
      <c r="Q697" s="2646"/>
      <c r="R697" s="17"/>
      <c r="S697" s="14"/>
      <c r="T697" s="15"/>
      <c r="U697" s="16"/>
      <c r="V697" s="17"/>
      <c r="W697" s="14"/>
      <c r="X697" s="15"/>
      <c r="Y697" s="16"/>
      <c r="Z697" s="17"/>
      <c r="AA697" s="30"/>
      <c r="AB697" s="15"/>
    </row>
    <row r="698" spans="1:28">
      <c r="A698" s="2199" t="s">
        <v>5686</v>
      </c>
      <c r="B698" s="1541" t="s">
        <v>5690</v>
      </c>
      <c r="C698" s="14"/>
      <c r="D698" s="15"/>
      <c r="E698" s="16"/>
      <c r="F698" s="17"/>
      <c r="G698" s="14"/>
      <c r="H698" s="15"/>
      <c r="I698" s="16"/>
      <c r="J698" s="17"/>
      <c r="K698" s="14"/>
      <c r="L698" s="15"/>
      <c r="M698" s="16"/>
      <c r="N698" s="17"/>
      <c r="O698" s="3006" t="s">
        <v>5691</v>
      </c>
      <c r="P698" s="2823"/>
      <c r="Q698" s="2646"/>
      <c r="R698" s="17"/>
      <c r="S698" s="14"/>
      <c r="T698" s="15"/>
      <c r="U698" s="16"/>
      <c r="V698" s="17"/>
      <c r="W698" s="14"/>
      <c r="X698" s="15"/>
      <c r="Y698" s="16"/>
      <c r="Z698" s="17"/>
      <c r="AA698" s="30"/>
      <c r="AB698" s="15"/>
    </row>
    <row r="699" spans="1:28">
      <c r="A699" s="2199" t="s">
        <v>5692</v>
      </c>
      <c r="B699" s="2200" t="s">
        <v>2231</v>
      </c>
      <c r="C699" s="14"/>
      <c r="D699" s="15"/>
      <c r="E699" s="16"/>
      <c r="F699" s="17"/>
      <c r="G699" s="14"/>
      <c r="H699" s="15"/>
      <c r="I699" s="16"/>
      <c r="J699" s="17"/>
      <c r="K699" s="14"/>
      <c r="L699" s="15"/>
      <c r="M699" s="16"/>
      <c r="N699" s="17"/>
      <c r="O699" s="2823" t="s">
        <v>5693</v>
      </c>
      <c r="P699" s="2823"/>
      <c r="Q699" s="2646"/>
      <c r="R699" s="17"/>
      <c r="S699" s="14"/>
      <c r="T699" s="15"/>
      <c r="U699" s="16"/>
      <c r="V699" s="17"/>
      <c r="W699" s="14"/>
      <c r="X699" s="15"/>
      <c r="Y699" s="16"/>
      <c r="Z699" s="17"/>
      <c r="AA699" s="30"/>
      <c r="AB699" s="15"/>
    </row>
    <row r="700" spans="1:28">
      <c r="A700" s="2199" t="s">
        <v>5692</v>
      </c>
      <c r="B700" s="2200" t="s">
        <v>5688</v>
      </c>
      <c r="C700" s="14"/>
      <c r="D700" s="15"/>
      <c r="E700" s="16"/>
      <c r="F700" s="17"/>
      <c r="G700" s="14"/>
      <c r="H700" s="15"/>
      <c r="I700" s="16"/>
      <c r="J700" s="17"/>
      <c r="K700" s="14"/>
      <c r="L700" s="15"/>
      <c r="M700" s="16"/>
      <c r="N700" s="17"/>
      <c r="O700" s="2824" t="s">
        <v>5694</v>
      </c>
      <c r="P700" s="2824"/>
      <c r="Q700" s="2646"/>
      <c r="R700" s="17"/>
      <c r="S700" s="14"/>
      <c r="T700" s="15"/>
      <c r="U700" s="16"/>
      <c r="V700" s="17"/>
      <c r="W700" s="14"/>
      <c r="X700" s="15"/>
      <c r="Y700" s="16"/>
      <c r="Z700" s="17"/>
      <c r="AA700" s="30"/>
      <c r="AB700" s="15"/>
    </row>
    <row r="701" spans="1:28">
      <c r="A701" s="460" t="s">
        <v>5695</v>
      </c>
      <c r="B701" s="101"/>
      <c r="C701" s="14"/>
      <c r="D701" s="15"/>
      <c r="E701" s="16"/>
      <c r="F701" s="17"/>
      <c r="G701" s="14"/>
      <c r="H701" s="15"/>
      <c r="I701" s="16"/>
      <c r="J701" s="17"/>
      <c r="K701" s="14"/>
      <c r="L701" s="15"/>
      <c r="M701" s="16"/>
      <c r="N701" s="17"/>
      <c r="O701" s="2993" t="s">
        <v>5696</v>
      </c>
      <c r="P701" s="2826"/>
      <c r="Q701" s="2645"/>
      <c r="R701" s="1795"/>
      <c r="S701" s="14"/>
      <c r="T701" s="15"/>
      <c r="U701" s="16"/>
      <c r="V701" s="17"/>
      <c r="W701" s="14"/>
      <c r="X701" s="15"/>
      <c r="Y701" s="16"/>
      <c r="Z701" s="17"/>
      <c r="AA701" s="30"/>
      <c r="AB701" s="15"/>
    </row>
    <row r="702" spans="1:28">
      <c r="A702" s="460" t="s">
        <v>5697</v>
      </c>
      <c r="B702" s="320"/>
      <c r="C702" s="14"/>
      <c r="D702" s="15"/>
      <c r="E702" s="16"/>
      <c r="F702" s="17"/>
      <c r="G702" s="14"/>
      <c r="H702" s="15"/>
      <c r="I702" s="16"/>
      <c r="J702" s="17"/>
      <c r="K702" s="14"/>
      <c r="L702" s="15"/>
      <c r="M702" s="16"/>
      <c r="N702" s="17"/>
      <c r="O702" s="2993" t="s">
        <v>5698</v>
      </c>
      <c r="P702" s="2826"/>
      <c r="Q702" s="2649"/>
      <c r="R702" s="2650"/>
      <c r="S702" s="2651"/>
      <c r="T702" s="2648"/>
      <c r="U702" s="16"/>
      <c r="V702" s="17"/>
      <c r="W702" s="14"/>
      <c r="X702" s="15"/>
      <c r="Y702" s="16"/>
      <c r="Z702" s="17"/>
      <c r="AA702" s="30"/>
      <c r="AB702" s="15"/>
    </row>
    <row r="703" spans="1:28" ht="40.5" thickBot="1">
      <c r="A703" s="2106"/>
      <c r="B703" s="320"/>
      <c r="C703" s="6"/>
      <c r="D703" s="32"/>
      <c r="E703" s="7"/>
      <c r="F703" s="40"/>
      <c r="G703" s="6"/>
      <c r="H703" s="32"/>
      <c r="I703" s="7"/>
      <c r="J703" s="40"/>
      <c r="K703" s="6"/>
      <c r="L703" s="32"/>
      <c r="M703" s="7"/>
      <c r="N703" s="40"/>
      <c r="O703" s="2823"/>
      <c r="P703" s="2823"/>
      <c r="Q703" s="2647"/>
      <c r="R703" s="40"/>
      <c r="S703" s="6"/>
      <c r="T703" s="32"/>
      <c r="U703" s="7"/>
      <c r="V703" s="40"/>
      <c r="W703" s="6"/>
      <c r="X703" s="32"/>
      <c r="Y703" s="7"/>
      <c r="Z703" s="40"/>
      <c r="AA703" s="2630"/>
      <c r="AB703" s="2631"/>
    </row>
    <row r="704" spans="1:28" ht="40.5" thickBot="1">
      <c r="A704" s="2106"/>
      <c r="B704" s="341"/>
      <c r="C704" s="320"/>
      <c r="D704" s="15"/>
      <c r="E704" s="7"/>
      <c r="F704" s="40"/>
      <c r="G704" s="6"/>
      <c r="H704" s="32"/>
      <c r="I704" s="7"/>
      <c r="J704" s="40"/>
      <c r="K704" s="6"/>
      <c r="L704" s="32"/>
      <c r="M704" s="7"/>
      <c r="N704" s="40"/>
      <c r="O704" s="6"/>
      <c r="P704" s="32"/>
      <c r="Q704" s="7"/>
      <c r="R704" s="40"/>
      <c r="S704" s="6"/>
      <c r="T704" s="32"/>
      <c r="U704" s="7"/>
      <c r="V704" s="40"/>
      <c r="W704" s="6"/>
      <c r="X704" s="32"/>
      <c r="Y704" s="7"/>
      <c r="Z704" s="32"/>
      <c r="AA704" s="31"/>
      <c r="AB704" s="32"/>
    </row>
    <row r="706" spans="1:28" ht="40.5">
      <c r="A706" s="3" t="s">
        <v>5063</v>
      </c>
      <c r="B706" s="23"/>
      <c r="C706" s="3"/>
      <c r="D706" s="3"/>
      <c r="E706" s="3"/>
      <c r="F706" s="3"/>
      <c r="G706" s="3"/>
      <c r="H706" s="3"/>
      <c r="I706" s="3"/>
      <c r="J706" s="3"/>
      <c r="K706" s="3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B706" s="4"/>
    </row>
    <row r="707" spans="1:28" ht="40.5" thickBot="1">
      <c r="A707" s="5" t="s">
        <v>5064</v>
      </c>
    </row>
    <row r="708" spans="1:28">
      <c r="A708" s="3544" t="s">
        <v>2</v>
      </c>
      <c r="B708" s="3546" t="s">
        <v>3</v>
      </c>
      <c r="C708" s="3537" t="s">
        <v>5065</v>
      </c>
      <c r="D708" s="3538"/>
      <c r="E708" s="3536" t="s">
        <v>5066</v>
      </c>
      <c r="F708" s="3536"/>
      <c r="G708" s="3537" t="s">
        <v>5067</v>
      </c>
      <c r="H708" s="3538"/>
      <c r="I708" s="3536" t="s">
        <v>5068</v>
      </c>
      <c r="J708" s="3536"/>
      <c r="K708" s="3537" t="s">
        <v>5069</v>
      </c>
      <c r="L708" s="3538"/>
      <c r="M708" s="3536" t="s">
        <v>5070</v>
      </c>
      <c r="N708" s="3536"/>
      <c r="O708" s="3542"/>
      <c r="P708" s="3542"/>
      <c r="Q708" s="3536" t="s">
        <v>5071</v>
      </c>
      <c r="R708" s="3536"/>
      <c r="S708" s="3536" t="s">
        <v>5072</v>
      </c>
      <c r="T708" s="3536"/>
      <c r="U708" s="3472" t="s">
        <v>5073</v>
      </c>
      <c r="V708" s="3473"/>
      <c r="W708" s="3536" t="s">
        <v>5074</v>
      </c>
      <c r="X708" s="3536"/>
      <c r="Y708" s="3472" t="s">
        <v>5075</v>
      </c>
      <c r="Z708" s="3475"/>
      <c r="AA708" s="3537" t="s">
        <v>5076</v>
      </c>
      <c r="AB708" s="3538"/>
    </row>
    <row r="709" spans="1:28" ht="40.5" thickBot="1">
      <c r="A709" s="3545"/>
      <c r="B709" s="3547"/>
      <c r="C709" s="1" t="s">
        <v>5078</v>
      </c>
      <c r="D709" s="35" t="s">
        <v>5079</v>
      </c>
      <c r="E709" s="2" t="s">
        <v>5078</v>
      </c>
      <c r="F709" s="36" t="s">
        <v>5079</v>
      </c>
      <c r="G709" s="1" t="s">
        <v>5078</v>
      </c>
      <c r="H709" s="35" t="s">
        <v>5079</v>
      </c>
      <c r="I709" s="2" t="s">
        <v>5078</v>
      </c>
      <c r="J709" s="36" t="s">
        <v>5079</v>
      </c>
      <c r="K709" s="1" t="s">
        <v>5078</v>
      </c>
      <c r="L709" s="35" t="s">
        <v>5079</v>
      </c>
      <c r="M709" s="2" t="s">
        <v>5078</v>
      </c>
      <c r="N709" s="36" t="s">
        <v>5079</v>
      </c>
      <c r="O709" s="2769"/>
      <c r="P709" s="2820"/>
      <c r="Q709" s="2" t="s">
        <v>5078</v>
      </c>
      <c r="R709" s="36" t="s">
        <v>5079</v>
      </c>
      <c r="S709" s="1" t="s">
        <v>5078</v>
      </c>
      <c r="T709" s="35" t="s">
        <v>5079</v>
      </c>
      <c r="U709" s="2" t="s">
        <v>5078</v>
      </c>
      <c r="V709" s="36" t="s">
        <v>5079</v>
      </c>
      <c r="W709" s="1" t="s">
        <v>5078</v>
      </c>
      <c r="X709" s="35" t="s">
        <v>5079</v>
      </c>
      <c r="Y709" s="2" t="s">
        <v>5078</v>
      </c>
      <c r="Z709" s="36" t="s">
        <v>5079</v>
      </c>
      <c r="AA709" s="1" t="s">
        <v>5078</v>
      </c>
      <c r="AB709" s="35" t="s">
        <v>5079</v>
      </c>
    </row>
    <row r="710" spans="1:28">
      <c r="A710" s="1656" t="s">
        <v>5699</v>
      </c>
      <c r="B710" s="2280"/>
      <c r="C710" s="9"/>
      <c r="D710" s="10"/>
      <c r="E710" s="11"/>
      <c r="F710" s="12"/>
      <c r="G710" s="9"/>
      <c r="H710" s="10"/>
      <c r="I710" s="11"/>
      <c r="J710" s="12"/>
      <c r="K710" s="9"/>
      <c r="L710" s="10"/>
      <c r="M710" s="11"/>
      <c r="N710" s="12"/>
      <c r="O710" s="2821" t="s">
        <v>5700</v>
      </c>
      <c r="P710" s="2822"/>
      <c r="Q710" s="11"/>
      <c r="R710" s="12"/>
      <c r="S710" s="9"/>
      <c r="T710" s="10"/>
      <c r="U710" s="11"/>
      <c r="V710" s="12"/>
      <c r="W710" s="9"/>
      <c r="X710" s="10"/>
      <c r="Y710" s="11"/>
      <c r="Z710" s="12"/>
      <c r="AA710" s="33"/>
      <c r="AB710" s="10"/>
    </row>
    <row r="711" spans="1:28">
      <c r="A711" s="460" t="s">
        <v>5701</v>
      </c>
      <c r="B711" s="320"/>
      <c r="C711" s="14"/>
      <c r="D711" s="15"/>
      <c r="E711" s="16"/>
      <c r="F711" s="17"/>
      <c r="G711" s="14"/>
      <c r="H711" s="15"/>
      <c r="I711" s="16"/>
      <c r="J711" s="17"/>
      <c r="K711" s="14"/>
      <c r="L711" s="15"/>
      <c r="M711" s="16"/>
      <c r="N711" s="17"/>
      <c r="O711" s="2823" t="s">
        <v>5702</v>
      </c>
      <c r="P711" s="2823"/>
      <c r="Q711" s="2646"/>
      <c r="R711" s="17"/>
      <c r="S711" s="14"/>
      <c r="T711" s="15"/>
      <c r="U711" s="16"/>
      <c r="V711" s="17"/>
      <c r="W711" s="14"/>
      <c r="X711" s="15"/>
      <c r="Y711" s="16"/>
      <c r="Z711" s="17"/>
      <c r="AA711" s="30"/>
      <c r="AB711" s="15"/>
    </row>
    <row r="712" spans="1:28">
      <c r="A712" s="1656" t="s">
        <v>5703</v>
      </c>
      <c r="B712" s="320"/>
      <c r="C712" s="14"/>
      <c r="D712" s="15"/>
      <c r="E712" s="16"/>
      <c r="F712" s="17"/>
      <c r="G712" s="14"/>
      <c r="H712" s="15"/>
      <c r="I712" s="16"/>
      <c r="J712" s="17"/>
      <c r="K712" s="14"/>
      <c r="L712" s="15"/>
      <c r="M712" s="16"/>
      <c r="N712" s="17"/>
      <c r="O712" s="2823" t="s">
        <v>5704</v>
      </c>
      <c r="P712" s="2823"/>
      <c r="Q712" s="2646"/>
      <c r="R712" s="17"/>
      <c r="S712" s="14"/>
      <c r="T712" s="15"/>
      <c r="U712" s="16"/>
      <c r="V712" s="17"/>
      <c r="W712" s="14"/>
      <c r="X712" s="15"/>
      <c r="Y712" s="16"/>
      <c r="Z712" s="17"/>
      <c r="AA712" s="30"/>
      <c r="AB712" s="15"/>
    </row>
    <row r="713" spans="1:28">
      <c r="A713" s="1650" t="s">
        <v>5705</v>
      </c>
      <c r="B713" s="320"/>
      <c r="C713" s="14"/>
      <c r="D713" s="15"/>
      <c r="E713" s="16"/>
      <c r="F713" s="17"/>
      <c r="G713" s="14"/>
      <c r="H713" s="15"/>
      <c r="I713" s="16"/>
      <c r="J713" s="17"/>
      <c r="K713" s="14"/>
      <c r="L713" s="15"/>
      <c r="M713" s="16"/>
      <c r="N713" s="17"/>
      <c r="O713" s="2823" t="s">
        <v>5706</v>
      </c>
      <c r="P713" s="2823"/>
      <c r="Q713" s="2646"/>
      <c r="R713" s="17"/>
      <c r="S713" s="14"/>
      <c r="T713" s="15"/>
      <c r="U713" s="16"/>
      <c r="V713" s="17"/>
      <c r="W713" s="14"/>
      <c r="X713" s="15"/>
      <c r="Y713" s="16"/>
      <c r="Z713" s="17"/>
      <c r="AA713" s="30"/>
      <c r="AB713" s="15"/>
    </row>
    <row r="714" spans="1:28">
      <c r="A714" s="1650" t="s">
        <v>5707</v>
      </c>
      <c r="B714" s="320"/>
      <c r="C714" s="14"/>
      <c r="D714" s="15"/>
      <c r="E714" s="16"/>
      <c r="F714" s="17"/>
      <c r="G714" s="14"/>
      <c r="H714" s="15"/>
      <c r="I714" s="16"/>
      <c r="J714" s="17"/>
      <c r="K714" s="14"/>
      <c r="L714" s="15"/>
      <c r="M714" s="16"/>
      <c r="N714" s="17"/>
      <c r="O714" s="2823" t="s">
        <v>5708</v>
      </c>
      <c r="P714" s="2823"/>
      <c r="Q714" s="2646"/>
      <c r="R714" s="17"/>
      <c r="S714" s="14"/>
      <c r="T714" s="15"/>
      <c r="U714" s="16"/>
      <c r="V714" s="17"/>
      <c r="W714" s="14"/>
      <c r="X714" s="15"/>
      <c r="Y714" s="16"/>
      <c r="Z714" s="17"/>
      <c r="AA714" s="30"/>
      <c r="AB714" s="15"/>
    </row>
    <row r="715" spans="1:28">
      <c r="A715" s="1650" t="s">
        <v>5709</v>
      </c>
      <c r="B715" s="320"/>
      <c r="C715" s="14"/>
      <c r="D715" s="15"/>
      <c r="E715" s="16"/>
      <c r="F715" s="17"/>
      <c r="G715" s="14"/>
      <c r="H715" s="15"/>
      <c r="I715" s="16"/>
      <c r="J715" s="17"/>
      <c r="K715" s="14"/>
      <c r="L715" s="15"/>
      <c r="M715" s="16"/>
      <c r="N715" s="17"/>
      <c r="O715" s="2823" t="s">
        <v>5710</v>
      </c>
      <c r="P715" s="2823"/>
      <c r="Q715" s="2646"/>
      <c r="R715" s="17"/>
      <c r="S715" s="14"/>
      <c r="T715" s="15"/>
      <c r="U715" s="16"/>
      <c r="V715" s="17"/>
      <c r="W715" s="14"/>
      <c r="X715" s="15"/>
      <c r="Y715" s="16"/>
      <c r="Z715" s="17"/>
      <c r="AA715" s="30"/>
      <c r="AB715" s="15"/>
    </row>
    <row r="716" spans="1:28">
      <c r="A716" s="1650" t="s">
        <v>5711</v>
      </c>
      <c r="B716" s="320"/>
      <c r="C716" s="14"/>
      <c r="D716" s="15"/>
      <c r="E716" s="16"/>
      <c r="F716" s="17"/>
      <c r="G716" s="14"/>
      <c r="H716" s="15"/>
      <c r="I716" s="16"/>
      <c r="J716" s="17"/>
      <c r="K716" s="14"/>
      <c r="L716" s="15"/>
      <c r="M716" s="16"/>
      <c r="N716" s="17"/>
      <c r="O716" s="2823" t="s">
        <v>5712</v>
      </c>
      <c r="P716" s="2823"/>
      <c r="Q716" s="2646"/>
      <c r="R716" s="17"/>
      <c r="S716" s="14"/>
      <c r="T716" s="15"/>
      <c r="U716" s="16"/>
      <c r="V716" s="17"/>
      <c r="W716" s="14"/>
      <c r="X716" s="15"/>
      <c r="Y716" s="16"/>
      <c r="Z716" s="17"/>
      <c r="AA716" s="30"/>
      <c r="AB716" s="15"/>
    </row>
    <row r="717" spans="1:28">
      <c r="A717" s="1650" t="s">
        <v>5713</v>
      </c>
      <c r="B717" s="320"/>
      <c r="C717" s="14"/>
      <c r="D717" s="15"/>
      <c r="E717" s="16"/>
      <c r="F717" s="17"/>
      <c r="G717" s="14"/>
      <c r="H717" s="15"/>
      <c r="I717" s="16"/>
      <c r="J717" s="17"/>
      <c r="K717" s="14"/>
      <c r="L717" s="15"/>
      <c r="M717" s="16"/>
      <c r="N717" s="17"/>
      <c r="O717" s="2823" t="s">
        <v>5714</v>
      </c>
      <c r="P717" s="2823"/>
      <c r="Q717" s="2646"/>
      <c r="R717" s="17"/>
      <c r="S717" s="14"/>
      <c r="T717" s="15"/>
      <c r="U717" s="16"/>
      <c r="V717" s="17"/>
      <c r="W717" s="14"/>
      <c r="X717" s="15"/>
      <c r="Y717" s="16"/>
      <c r="Z717" s="17"/>
      <c r="AA717" s="30"/>
      <c r="AB717" s="15"/>
    </row>
    <row r="718" spans="1:28">
      <c r="A718" s="233" t="s">
        <v>5715</v>
      </c>
      <c r="B718" s="2570" t="s">
        <v>5716</v>
      </c>
      <c r="C718" s="14"/>
      <c r="D718" s="15"/>
      <c r="E718" s="16"/>
      <c r="F718" s="17"/>
      <c r="G718" s="14"/>
      <c r="H718" s="15"/>
      <c r="I718" s="16"/>
      <c r="J718" s="17"/>
      <c r="K718" s="14"/>
      <c r="L718" s="15"/>
      <c r="M718" s="16"/>
      <c r="N718" s="17"/>
      <c r="O718" s="2823" t="s">
        <v>5717</v>
      </c>
      <c r="P718" s="2823"/>
      <c r="Q718" s="2646"/>
      <c r="R718" s="17"/>
      <c r="S718" s="14"/>
      <c r="T718" s="15"/>
      <c r="U718" s="16"/>
      <c r="V718" s="17"/>
      <c r="W718" s="14"/>
      <c r="X718" s="15"/>
      <c r="Y718" s="16"/>
      <c r="Z718" s="17"/>
      <c r="AA718" s="30"/>
      <c r="AB718" s="15"/>
    </row>
    <row r="719" spans="1:28">
      <c r="A719" s="233" t="s">
        <v>5715</v>
      </c>
      <c r="B719" s="2570" t="s">
        <v>5718</v>
      </c>
      <c r="C719" s="14"/>
      <c r="D719" s="15"/>
      <c r="E719" s="16"/>
      <c r="F719" s="17"/>
      <c r="G719" s="14"/>
      <c r="H719" s="15"/>
      <c r="I719" s="16"/>
      <c r="J719" s="17"/>
      <c r="K719" s="14"/>
      <c r="L719" s="15"/>
      <c r="M719" s="16"/>
      <c r="N719" s="17"/>
      <c r="O719" s="2823" t="s">
        <v>5719</v>
      </c>
      <c r="P719" s="2823"/>
      <c r="Q719" s="2646"/>
      <c r="R719" s="17"/>
      <c r="S719" s="14"/>
      <c r="T719" s="15"/>
      <c r="U719" s="16"/>
      <c r="V719" s="17"/>
      <c r="W719" s="14"/>
      <c r="X719" s="15"/>
      <c r="Y719" s="16"/>
      <c r="Z719" s="17"/>
      <c r="AA719" s="30"/>
      <c r="AB719" s="15"/>
    </row>
    <row r="720" spans="1:28">
      <c r="A720" s="233" t="s">
        <v>5715</v>
      </c>
      <c r="B720" s="1211">
        <v>52</v>
      </c>
      <c r="C720" s="14"/>
      <c r="D720" s="15"/>
      <c r="E720" s="16"/>
      <c r="F720" s="17"/>
      <c r="G720" s="14"/>
      <c r="H720" s="15"/>
      <c r="I720" s="16"/>
      <c r="J720" s="17"/>
      <c r="K720" s="14"/>
      <c r="L720" s="15"/>
      <c r="M720" s="16"/>
      <c r="N720" s="17"/>
      <c r="O720" s="2823" t="s">
        <v>5720</v>
      </c>
      <c r="P720" s="2823"/>
      <c r="Q720" s="2646"/>
      <c r="R720" s="17"/>
      <c r="S720" s="14"/>
      <c r="T720" s="15"/>
      <c r="U720" s="16"/>
      <c r="V720" s="17"/>
      <c r="W720" s="14"/>
      <c r="X720" s="15"/>
      <c r="Y720" s="16"/>
      <c r="Z720" s="17"/>
      <c r="AA720" s="30"/>
      <c r="AB720" s="15"/>
    </row>
    <row r="721" spans="1:28">
      <c r="A721" s="233" t="s">
        <v>5715</v>
      </c>
      <c r="B721" s="1211">
        <v>45</v>
      </c>
      <c r="C721" s="14"/>
      <c r="D721" s="15"/>
      <c r="E721" s="16"/>
      <c r="F721" s="17"/>
      <c r="G721" s="14"/>
      <c r="H721" s="15"/>
      <c r="I721" s="16"/>
      <c r="J721" s="17"/>
      <c r="K721" s="14"/>
      <c r="L721" s="15"/>
      <c r="M721" s="16"/>
      <c r="N721" s="17"/>
      <c r="O721" s="2823" t="s">
        <v>5721</v>
      </c>
      <c r="P721" s="2823"/>
      <c r="Q721" s="2646"/>
      <c r="R721" s="17"/>
      <c r="S721" s="14"/>
      <c r="T721" s="15"/>
      <c r="U721" s="16"/>
      <c r="V721" s="17"/>
      <c r="W721" s="14"/>
      <c r="X721" s="15"/>
      <c r="Y721" s="16"/>
      <c r="Z721" s="17"/>
      <c r="AA721" s="30"/>
      <c r="AB721" s="15"/>
    </row>
    <row r="722" spans="1:28">
      <c r="A722" s="233" t="s">
        <v>5722</v>
      </c>
      <c r="B722" s="1211">
        <v>45</v>
      </c>
      <c r="C722" s="14"/>
      <c r="D722" s="15"/>
      <c r="E722" s="16"/>
      <c r="F722" s="17"/>
      <c r="G722" s="14"/>
      <c r="H722" s="15"/>
      <c r="I722" s="16"/>
      <c r="J722" s="17"/>
      <c r="K722" s="14"/>
      <c r="L722" s="15"/>
      <c r="M722" s="16"/>
      <c r="N722" s="17"/>
      <c r="O722" s="2823" t="s">
        <v>5723</v>
      </c>
      <c r="P722" s="2823"/>
      <c r="Q722" s="2646"/>
      <c r="R722" s="17"/>
      <c r="S722" s="14"/>
      <c r="T722" s="15"/>
      <c r="U722" s="16"/>
      <c r="V722" s="17"/>
      <c r="W722" s="14"/>
      <c r="X722" s="15"/>
      <c r="Y722" s="16"/>
      <c r="Z722" s="17"/>
      <c r="AA722" s="30"/>
      <c r="AB722" s="15"/>
    </row>
    <row r="723" spans="1:28">
      <c r="A723" s="233" t="s">
        <v>5724</v>
      </c>
      <c r="B723" s="1211">
        <v>45</v>
      </c>
      <c r="C723" s="14"/>
      <c r="D723" s="15"/>
      <c r="E723" s="16"/>
      <c r="F723" s="17"/>
      <c r="G723" s="14"/>
      <c r="H723" s="15"/>
      <c r="I723" s="16"/>
      <c r="J723" s="17"/>
      <c r="K723" s="14"/>
      <c r="L723" s="15"/>
      <c r="M723" s="16"/>
      <c r="N723" s="17"/>
      <c r="O723" s="2823" t="s">
        <v>5725</v>
      </c>
      <c r="P723" s="2823"/>
      <c r="Q723" s="2646"/>
      <c r="R723" s="17"/>
      <c r="S723" s="14"/>
      <c r="T723" s="15"/>
      <c r="U723" s="16"/>
      <c r="V723" s="17"/>
      <c r="W723" s="14"/>
      <c r="X723" s="15"/>
      <c r="Y723" s="16"/>
      <c r="Z723" s="17"/>
      <c r="AA723" s="30"/>
      <c r="AB723" s="15"/>
    </row>
    <row r="724" spans="1:28">
      <c r="A724" s="2282" t="s">
        <v>5726</v>
      </c>
      <c r="B724" s="2571" t="s">
        <v>1876</v>
      </c>
      <c r="C724" s="14"/>
      <c r="D724" s="15"/>
      <c r="E724" s="16"/>
      <c r="F724" s="17"/>
      <c r="G724" s="14"/>
      <c r="H724" s="15"/>
      <c r="I724" s="16"/>
      <c r="J724" s="17"/>
      <c r="K724" s="14"/>
      <c r="L724" s="15"/>
      <c r="M724" s="16"/>
      <c r="N724" s="17"/>
      <c r="O724" s="2824" t="s">
        <v>5727</v>
      </c>
      <c r="P724" s="2824"/>
      <c r="Q724" s="2646"/>
      <c r="R724" s="17"/>
      <c r="S724" s="14"/>
      <c r="T724" s="15"/>
      <c r="U724" s="16"/>
      <c r="V724" s="17"/>
      <c r="W724" s="14"/>
      <c r="X724" s="15"/>
      <c r="Y724" s="16"/>
      <c r="Z724" s="17"/>
      <c r="AA724" s="30"/>
      <c r="AB724" s="15"/>
    </row>
    <row r="725" spans="1:28">
      <c r="A725" s="2282" t="s">
        <v>5728</v>
      </c>
      <c r="B725" s="2288" t="s">
        <v>314</v>
      </c>
      <c r="C725" s="14"/>
      <c r="D725" s="15"/>
      <c r="E725" s="16"/>
      <c r="F725" s="17"/>
      <c r="G725" s="14"/>
      <c r="H725" s="15"/>
      <c r="I725" s="16"/>
      <c r="J725" s="17"/>
      <c r="K725" s="14"/>
      <c r="L725" s="15"/>
      <c r="M725" s="16"/>
      <c r="N725" s="17"/>
      <c r="O725" s="2825" t="s">
        <v>5729</v>
      </c>
      <c r="P725" s="2826"/>
      <c r="Q725" s="2645"/>
      <c r="R725" s="1795"/>
      <c r="S725" s="14"/>
      <c r="T725" s="15"/>
      <c r="U725" s="16"/>
      <c r="V725" s="17"/>
      <c r="W725" s="14"/>
      <c r="X725" s="15"/>
      <c r="Y725" s="16"/>
      <c r="Z725" s="17"/>
      <c r="AA725" s="30"/>
      <c r="AB725" s="15"/>
    </row>
    <row r="726" spans="1:28">
      <c r="A726" s="2282" t="s">
        <v>5730</v>
      </c>
      <c r="B726" s="2288" t="s">
        <v>314</v>
      </c>
      <c r="C726" s="14"/>
      <c r="D726" s="15"/>
      <c r="E726" s="16"/>
      <c r="F726" s="17"/>
      <c r="G726" s="14"/>
      <c r="H726" s="15"/>
      <c r="I726" s="16"/>
      <c r="J726" s="17"/>
      <c r="K726" s="14"/>
      <c r="L726" s="15"/>
      <c r="M726" s="16"/>
      <c r="N726" s="17"/>
      <c r="O726" s="2825" t="s">
        <v>5731</v>
      </c>
      <c r="P726" s="2826"/>
      <c r="Q726" s="2649"/>
      <c r="R726" s="2650"/>
      <c r="S726" s="2651"/>
      <c r="T726" s="2648"/>
      <c r="U726" s="16"/>
      <c r="V726" s="17"/>
      <c r="W726" s="14"/>
      <c r="X726" s="15"/>
      <c r="Y726" s="16"/>
      <c r="Z726" s="17"/>
      <c r="AA726" s="30"/>
      <c r="AB726" s="15"/>
    </row>
    <row r="727" spans="1:28" ht="40.5" thickBot="1">
      <c r="A727" s="2282" t="s">
        <v>5732</v>
      </c>
      <c r="B727" s="2288" t="s">
        <v>314</v>
      </c>
      <c r="C727" s="6"/>
      <c r="D727" s="32"/>
      <c r="E727" s="7"/>
      <c r="F727" s="40"/>
      <c r="G727" s="6"/>
      <c r="H727" s="32"/>
      <c r="I727" s="7"/>
      <c r="J727" s="40"/>
      <c r="K727" s="6"/>
      <c r="L727" s="32"/>
      <c r="M727" s="7"/>
      <c r="N727" s="40"/>
      <c r="O727" s="2823" t="s">
        <v>5732</v>
      </c>
      <c r="P727" s="2823"/>
      <c r="Q727" s="2647"/>
      <c r="R727" s="40"/>
      <c r="S727" s="6"/>
      <c r="T727" s="32"/>
      <c r="U727" s="7"/>
      <c r="V727" s="40"/>
      <c r="W727" s="6"/>
      <c r="X727" s="32"/>
      <c r="Y727" s="7"/>
      <c r="Z727" s="40"/>
      <c r="AA727" s="2630"/>
      <c r="AB727" s="2631"/>
    </row>
    <row r="728" spans="1:28" ht="40.5" thickBot="1">
      <c r="A728" s="34" t="s">
        <v>5733</v>
      </c>
      <c r="B728" s="41"/>
      <c r="C728" s="6"/>
      <c r="D728" s="32"/>
      <c r="E728" s="7"/>
      <c r="F728" s="40"/>
      <c r="G728" s="6"/>
      <c r="H728" s="32"/>
      <c r="I728" s="7"/>
      <c r="J728" s="40"/>
      <c r="K728" s="6"/>
      <c r="L728" s="32"/>
      <c r="M728" s="7"/>
      <c r="N728" s="40"/>
      <c r="O728" s="3007" t="s">
        <v>5733</v>
      </c>
      <c r="P728" s="2906"/>
      <c r="Q728" s="7"/>
      <c r="R728" s="40"/>
      <c r="S728" s="6"/>
      <c r="T728" s="32"/>
      <c r="U728" s="7"/>
      <c r="V728" s="40"/>
      <c r="W728" s="6"/>
      <c r="X728" s="32"/>
      <c r="Y728" s="7"/>
      <c r="Z728" s="32"/>
      <c r="AA728" s="31"/>
      <c r="AB728" s="32"/>
    </row>
    <row r="730" spans="1:28" ht="40.5">
      <c r="A730" s="3" t="s">
        <v>5063</v>
      </c>
      <c r="B730" s="23"/>
      <c r="C730" s="3"/>
      <c r="D730" s="3"/>
      <c r="E730" s="3"/>
      <c r="F730" s="3"/>
      <c r="G730" s="3"/>
      <c r="H730" s="3"/>
      <c r="I730" s="3"/>
      <c r="J730" s="3"/>
      <c r="K730" s="3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B730" s="4"/>
    </row>
    <row r="731" spans="1:28" ht="40.5" thickBot="1">
      <c r="A731" s="5" t="s">
        <v>5064</v>
      </c>
    </row>
    <row r="732" spans="1:28">
      <c r="A732" s="3544" t="s">
        <v>2</v>
      </c>
      <c r="B732" s="3546" t="s">
        <v>3</v>
      </c>
      <c r="C732" s="3537" t="s">
        <v>5065</v>
      </c>
      <c r="D732" s="3538"/>
      <c r="E732" s="3536" t="s">
        <v>5066</v>
      </c>
      <c r="F732" s="3536"/>
      <c r="G732" s="3537" t="s">
        <v>5067</v>
      </c>
      <c r="H732" s="3538"/>
      <c r="I732" s="3536" t="s">
        <v>5068</v>
      </c>
      <c r="J732" s="3536"/>
      <c r="K732" s="3537" t="s">
        <v>5069</v>
      </c>
      <c r="L732" s="3538"/>
      <c r="M732" s="3536" t="s">
        <v>5070</v>
      </c>
      <c r="N732" s="3536"/>
      <c r="O732" s="3542"/>
      <c r="P732" s="3542"/>
      <c r="Q732" s="3536" t="s">
        <v>5071</v>
      </c>
      <c r="R732" s="3536"/>
      <c r="S732" s="3536" t="s">
        <v>5072</v>
      </c>
      <c r="T732" s="3536"/>
      <c r="U732" s="3472" t="s">
        <v>5073</v>
      </c>
      <c r="V732" s="3473"/>
      <c r="W732" s="3536" t="s">
        <v>5074</v>
      </c>
      <c r="X732" s="3536"/>
      <c r="Y732" s="3472" t="s">
        <v>5075</v>
      </c>
      <c r="Z732" s="3475"/>
      <c r="AA732" s="3537" t="s">
        <v>5076</v>
      </c>
      <c r="AB732" s="3538"/>
    </row>
    <row r="733" spans="1:28" ht="40.5" thickBot="1">
      <c r="A733" s="3545"/>
      <c r="B733" s="3547"/>
      <c r="C733" s="1" t="s">
        <v>5078</v>
      </c>
      <c r="D733" s="35" t="s">
        <v>5079</v>
      </c>
      <c r="E733" s="2" t="s">
        <v>5078</v>
      </c>
      <c r="F733" s="36" t="s">
        <v>5079</v>
      </c>
      <c r="G733" s="1" t="s">
        <v>5078</v>
      </c>
      <c r="H733" s="35" t="s">
        <v>5079</v>
      </c>
      <c r="I733" s="2" t="s">
        <v>5078</v>
      </c>
      <c r="J733" s="36" t="s">
        <v>5079</v>
      </c>
      <c r="K733" s="1" t="s">
        <v>5078</v>
      </c>
      <c r="L733" s="35" t="s">
        <v>5079</v>
      </c>
      <c r="M733" s="2" t="s">
        <v>5078</v>
      </c>
      <c r="N733" s="36" t="s">
        <v>5079</v>
      </c>
      <c r="O733" s="2769"/>
      <c r="P733" s="2820"/>
      <c r="Q733" s="2" t="s">
        <v>5078</v>
      </c>
      <c r="R733" s="36" t="s">
        <v>5079</v>
      </c>
      <c r="S733" s="1" t="s">
        <v>5078</v>
      </c>
      <c r="T733" s="35" t="s">
        <v>5079</v>
      </c>
      <c r="U733" s="2" t="s">
        <v>5078</v>
      </c>
      <c r="V733" s="36" t="s">
        <v>5079</v>
      </c>
      <c r="W733" s="1" t="s">
        <v>5078</v>
      </c>
      <c r="X733" s="35" t="s">
        <v>5079</v>
      </c>
      <c r="Y733" s="2" t="s">
        <v>5078</v>
      </c>
      <c r="Z733" s="36" t="s">
        <v>5079</v>
      </c>
      <c r="AA733" s="1" t="s">
        <v>5078</v>
      </c>
      <c r="AB733" s="35" t="s">
        <v>5079</v>
      </c>
    </row>
    <row r="734" spans="1:28">
      <c r="A734" s="268" t="s">
        <v>5734</v>
      </c>
      <c r="B734" s="101" t="s">
        <v>5378</v>
      </c>
      <c r="C734" s="9"/>
      <c r="D734" s="10"/>
      <c r="E734" s="11"/>
      <c r="F734" s="12"/>
      <c r="G734" s="9"/>
      <c r="H734" s="10"/>
      <c r="I734" s="11"/>
      <c r="J734" s="12"/>
      <c r="K734" s="9"/>
      <c r="L734" s="10"/>
      <c r="M734" s="11"/>
      <c r="N734" s="12"/>
      <c r="O734" s="2821" t="s">
        <v>5735</v>
      </c>
      <c r="P734" s="2822"/>
      <c r="Q734" s="11"/>
      <c r="R734" s="12"/>
      <c r="S734" s="9"/>
      <c r="T734" s="10"/>
      <c r="U734" s="11"/>
      <c r="V734" s="12"/>
      <c r="W734" s="9"/>
      <c r="X734" s="10"/>
      <c r="Y734" s="11"/>
      <c r="Z734" s="12"/>
      <c r="AA734" s="33"/>
      <c r="AB734" s="10"/>
    </row>
    <row r="735" spans="1:28">
      <c r="A735" s="268" t="s">
        <v>5736</v>
      </c>
      <c r="B735" s="101" t="s">
        <v>5378</v>
      </c>
      <c r="C735" s="14"/>
      <c r="D735" s="15"/>
      <c r="E735" s="16"/>
      <c r="F735" s="17"/>
      <c r="G735" s="14"/>
      <c r="H735" s="15"/>
      <c r="I735" s="16"/>
      <c r="J735" s="17"/>
      <c r="K735" s="14"/>
      <c r="L735" s="15"/>
      <c r="M735" s="16"/>
      <c r="N735" s="17"/>
      <c r="O735" s="2823" t="s">
        <v>5737</v>
      </c>
      <c r="P735" s="2823"/>
      <c r="Q735" s="2646"/>
      <c r="R735" s="17"/>
      <c r="S735" s="14"/>
      <c r="T735" s="15"/>
      <c r="U735" s="16"/>
      <c r="V735" s="17"/>
      <c r="W735" s="14"/>
      <c r="X735" s="15"/>
      <c r="Y735" s="16"/>
      <c r="Z735" s="17"/>
      <c r="AA735" s="30"/>
      <c r="AB735" s="15"/>
    </row>
    <row r="736" spans="1:28">
      <c r="A736" s="268" t="s">
        <v>5738</v>
      </c>
      <c r="B736" s="101" t="s">
        <v>5378</v>
      </c>
      <c r="C736" s="14"/>
      <c r="D736" s="15"/>
      <c r="E736" s="16"/>
      <c r="F736" s="17"/>
      <c r="G736" s="14"/>
      <c r="H736" s="15"/>
      <c r="I736" s="16"/>
      <c r="J736" s="17"/>
      <c r="K736" s="14"/>
      <c r="L736" s="15"/>
      <c r="M736" s="16"/>
      <c r="N736" s="17"/>
      <c r="O736" s="2823" t="s">
        <v>5739</v>
      </c>
      <c r="P736" s="2823"/>
      <c r="Q736" s="2646"/>
      <c r="R736" s="17"/>
      <c r="S736" s="14"/>
      <c r="T736" s="15"/>
      <c r="U736" s="16"/>
      <c r="V736" s="17"/>
      <c r="W736" s="14"/>
      <c r="X736" s="15"/>
      <c r="Y736" s="16"/>
      <c r="Z736" s="17"/>
      <c r="AA736" s="30"/>
      <c r="AB736" s="15"/>
    </row>
    <row r="737" spans="1:28">
      <c r="A737" s="268" t="s">
        <v>5740</v>
      </c>
      <c r="B737" s="101" t="s">
        <v>5378</v>
      </c>
      <c r="C737" s="14"/>
      <c r="D737" s="15"/>
      <c r="E737" s="16"/>
      <c r="F737" s="17"/>
      <c r="G737" s="14"/>
      <c r="H737" s="15"/>
      <c r="I737" s="16"/>
      <c r="J737" s="17"/>
      <c r="K737" s="14"/>
      <c r="L737" s="15"/>
      <c r="M737" s="16"/>
      <c r="N737" s="17"/>
      <c r="O737" s="2823" t="s">
        <v>5741</v>
      </c>
      <c r="P737" s="2823"/>
      <c r="Q737" s="2646"/>
      <c r="R737" s="17"/>
      <c r="S737" s="14"/>
      <c r="T737" s="15"/>
      <c r="U737" s="16"/>
      <c r="V737" s="17"/>
      <c r="W737" s="14"/>
      <c r="X737" s="15"/>
      <c r="Y737" s="16"/>
      <c r="Z737" s="17"/>
      <c r="AA737" s="30"/>
      <c r="AB737" s="15"/>
    </row>
    <row r="738" spans="1:28">
      <c r="A738" s="268" t="s">
        <v>5742</v>
      </c>
      <c r="B738" s="101" t="s">
        <v>5378</v>
      </c>
      <c r="C738" s="14"/>
      <c r="D738" s="15"/>
      <c r="E738" s="16"/>
      <c r="F738" s="17"/>
      <c r="G738" s="14"/>
      <c r="H738" s="15"/>
      <c r="I738" s="16"/>
      <c r="J738" s="17"/>
      <c r="K738" s="14"/>
      <c r="L738" s="15"/>
      <c r="M738" s="16"/>
      <c r="N738" s="17"/>
      <c r="O738" s="2823" t="s">
        <v>5743</v>
      </c>
      <c r="P738" s="2823"/>
      <c r="Q738" s="2646"/>
      <c r="R738" s="17"/>
      <c r="S738" s="14"/>
      <c r="T738" s="15"/>
      <c r="U738" s="16"/>
      <c r="V738" s="17"/>
      <c r="W738" s="14"/>
      <c r="X738" s="15"/>
      <c r="Y738" s="16"/>
      <c r="Z738" s="17"/>
      <c r="AA738" s="30"/>
      <c r="AB738" s="15"/>
    </row>
    <row r="739" spans="1:28">
      <c r="A739" s="268" t="s">
        <v>5744</v>
      </c>
      <c r="B739" s="101" t="s">
        <v>5378</v>
      </c>
      <c r="C739" s="14"/>
      <c r="D739" s="15"/>
      <c r="E739" s="16"/>
      <c r="F739" s="17"/>
      <c r="G739" s="14"/>
      <c r="H739" s="15"/>
      <c r="I739" s="16"/>
      <c r="J739" s="17"/>
      <c r="K739" s="14"/>
      <c r="L739" s="15"/>
      <c r="M739" s="16"/>
      <c r="N739" s="17"/>
      <c r="O739" s="2823" t="s">
        <v>5745</v>
      </c>
      <c r="P739" s="2823"/>
      <c r="Q739" s="2646"/>
      <c r="R739" s="17"/>
      <c r="S739" s="14"/>
      <c r="T739" s="15"/>
      <c r="U739" s="16"/>
      <c r="V739" s="17"/>
      <c r="W739" s="14"/>
      <c r="X739" s="15"/>
      <c r="Y739" s="16"/>
      <c r="Z739" s="17"/>
      <c r="AA739" s="30"/>
      <c r="AB739" s="15"/>
    </row>
    <row r="740" spans="1:28">
      <c r="A740" s="268" t="s">
        <v>5746</v>
      </c>
      <c r="B740" s="101" t="s">
        <v>5378</v>
      </c>
      <c r="C740" s="14"/>
      <c r="D740" s="15"/>
      <c r="E740" s="16"/>
      <c r="F740" s="17"/>
      <c r="G740" s="14"/>
      <c r="H740" s="15"/>
      <c r="I740" s="16"/>
      <c r="J740" s="17"/>
      <c r="K740" s="14"/>
      <c r="L740" s="15"/>
      <c r="M740" s="16"/>
      <c r="N740" s="17"/>
      <c r="O740" s="2823" t="s">
        <v>5747</v>
      </c>
      <c r="P740" s="2823"/>
      <c r="Q740" s="2646"/>
      <c r="R740" s="17"/>
      <c r="S740" s="14"/>
      <c r="T740" s="15"/>
      <c r="U740" s="16"/>
      <c r="V740" s="17"/>
      <c r="W740" s="14"/>
      <c r="X740" s="15"/>
      <c r="Y740" s="16"/>
      <c r="Z740" s="17"/>
      <c r="AA740" s="30"/>
      <c r="AB740" s="15"/>
    </row>
    <row r="741" spans="1:28">
      <c r="A741" s="2450" t="s">
        <v>5748</v>
      </c>
      <c r="B741" s="101" t="s">
        <v>5378</v>
      </c>
      <c r="C741" s="14"/>
      <c r="D741" s="15"/>
      <c r="E741" s="16"/>
      <c r="F741" s="17"/>
      <c r="G741" s="14"/>
      <c r="H741" s="15"/>
      <c r="I741" s="16"/>
      <c r="J741" s="17"/>
      <c r="K741" s="14"/>
      <c r="L741" s="15"/>
      <c r="M741" s="16"/>
      <c r="N741" s="17"/>
      <c r="O741" s="2823" t="s">
        <v>5749</v>
      </c>
      <c r="P741" s="2823"/>
      <c r="Q741" s="2646"/>
      <c r="R741" s="17"/>
      <c r="S741" s="14"/>
      <c r="T741" s="15"/>
      <c r="U741" s="16"/>
      <c r="V741" s="17"/>
      <c r="W741" s="14"/>
      <c r="X741" s="15"/>
      <c r="Y741" s="16"/>
      <c r="Z741" s="17"/>
      <c r="AA741" s="30"/>
      <c r="AB741" s="15"/>
    </row>
    <row r="742" spans="1:28">
      <c r="A742" s="2450" t="s">
        <v>5750</v>
      </c>
      <c r="B742" s="101" t="s">
        <v>5378</v>
      </c>
      <c r="C742" s="14"/>
      <c r="D742" s="15"/>
      <c r="E742" s="16"/>
      <c r="F742" s="17"/>
      <c r="G742" s="14"/>
      <c r="H742" s="15"/>
      <c r="I742" s="16"/>
      <c r="J742" s="17"/>
      <c r="K742" s="14"/>
      <c r="L742" s="15"/>
      <c r="M742" s="16"/>
      <c r="N742" s="17"/>
      <c r="O742" s="2823" t="s">
        <v>5751</v>
      </c>
      <c r="P742" s="2823"/>
      <c r="Q742" s="2646"/>
      <c r="R742" s="17"/>
      <c r="S742" s="14"/>
      <c r="T742" s="15"/>
      <c r="U742" s="16"/>
      <c r="V742" s="17"/>
      <c r="W742" s="14"/>
      <c r="X742" s="15"/>
      <c r="Y742" s="16"/>
      <c r="Z742" s="17"/>
      <c r="AA742" s="30"/>
      <c r="AB742" s="15"/>
    </row>
    <row r="743" spans="1:28">
      <c r="A743" s="925" t="s">
        <v>5752</v>
      </c>
      <c r="B743" s="101"/>
      <c r="C743" s="14"/>
      <c r="D743" s="15"/>
      <c r="E743" s="16"/>
      <c r="F743" s="17"/>
      <c r="G743" s="14"/>
      <c r="H743" s="15"/>
      <c r="I743" s="16"/>
      <c r="J743" s="17"/>
      <c r="K743" s="14"/>
      <c r="L743" s="15"/>
      <c r="M743" s="16"/>
      <c r="N743" s="17"/>
      <c r="O743" s="2823" t="s">
        <v>5753</v>
      </c>
      <c r="P743" s="2823"/>
      <c r="Q743" s="2646"/>
      <c r="R743" s="17"/>
      <c r="S743" s="14"/>
      <c r="T743" s="15"/>
      <c r="U743" s="16"/>
      <c r="V743" s="17"/>
      <c r="W743" s="14"/>
      <c r="X743" s="15"/>
      <c r="Y743" s="16"/>
      <c r="Z743" s="17"/>
      <c r="AA743" s="30"/>
      <c r="AB743" s="15"/>
    </row>
    <row r="744" spans="1:28">
      <c r="A744" s="2572" t="s">
        <v>5426</v>
      </c>
      <c r="B744" s="2567" t="s">
        <v>5427</v>
      </c>
      <c r="C744" s="14"/>
      <c r="D744" s="15"/>
      <c r="E744" s="16"/>
      <c r="F744" s="17"/>
      <c r="G744" s="14"/>
      <c r="H744" s="15"/>
      <c r="I744" s="16"/>
      <c r="J744" s="17"/>
      <c r="K744" s="14"/>
      <c r="L744" s="15"/>
      <c r="M744" s="16"/>
      <c r="N744" s="17"/>
      <c r="O744" s="2823" t="s">
        <v>5754</v>
      </c>
      <c r="P744" s="2823"/>
      <c r="Q744" s="2646"/>
      <c r="R744" s="17"/>
      <c r="S744" s="14"/>
      <c r="T744" s="15"/>
      <c r="U744" s="16"/>
      <c r="V744" s="17"/>
      <c r="W744" s="14"/>
      <c r="X744" s="15"/>
      <c r="Y744" s="16"/>
      <c r="Z744" s="17"/>
      <c r="AA744" s="30"/>
      <c r="AB744" s="15"/>
    </row>
    <row r="745" spans="1:28">
      <c r="A745" s="1479" t="s">
        <v>5755</v>
      </c>
      <c r="B745" s="1106" t="s">
        <v>5551</v>
      </c>
      <c r="C745" s="14"/>
      <c r="D745" s="15"/>
      <c r="E745" s="16"/>
      <c r="F745" s="17"/>
      <c r="G745" s="14"/>
      <c r="H745" s="15"/>
      <c r="I745" s="16"/>
      <c r="J745" s="17"/>
      <c r="K745" s="14"/>
      <c r="L745" s="15"/>
      <c r="M745" s="16"/>
      <c r="N745" s="17"/>
      <c r="O745" s="2823" t="s">
        <v>5756</v>
      </c>
      <c r="P745" s="2823"/>
      <c r="Q745" s="2646"/>
      <c r="R745" s="17"/>
      <c r="S745" s="14"/>
      <c r="T745" s="15"/>
      <c r="U745" s="16"/>
      <c r="V745" s="17"/>
      <c r="W745" s="14"/>
      <c r="X745" s="15"/>
      <c r="Y745" s="16"/>
      <c r="Z745" s="17"/>
      <c r="AA745" s="30"/>
      <c r="AB745" s="15"/>
    </row>
    <row r="746" spans="1:28">
      <c r="A746" s="224" t="s">
        <v>5755</v>
      </c>
      <c r="B746" s="320" t="s">
        <v>5552</v>
      </c>
      <c r="C746" s="14"/>
      <c r="D746" s="15"/>
      <c r="E746" s="16"/>
      <c r="F746" s="17"/>
      <c r="G746" s="14"/>
      <c r="H746" s="15"/>
      <c r="I746" s="16"/>
      <c r="J746" s="17"/>
      <c r="K746" s="14"/>
      <c r="L746" s="15"/>
      <c r="M746" s="16"/>
      <c r="N746" s="17"/>
      <c r="O746" s="2823" t="s">
        <v>5757</v>
      </c>
      <c r="P746" s="2823"/>
      <c r="Q746" s="2646"/>
      <c r="R746" s="17"/>
      <c r="S746" s="14"/>
      <c r="T746" s="15"/>
      <c r="U746" s="16"/>
      <c r="V746" s="17"/>
      <c r="W746" s="14"/>
      <c r="X746" s="15"/>
      <c r="Y746" s="16"/>
      <c r="Z746" s="17"/>
      <c r="AA746" s="30"/>
      <c r="AB746" s="15"/>
    </row>
    <row r="747" spans="1:28">
      <c r="A747" s="224" t="s">
        <v>5755</v>
      </c>
      <c r="B747" s="320" t="s">
        <v>5554</v>
      </c>
      <c r="C747" s="14"/>
      <c r="D747" s="15"/>
      <c r="E747" s="16"/>
      <c r="F747" s="17"/>
      <c r="G747" s="14"/>
      <c r="H747" s="15"/>
      <c r="I747" s="16"/>
      <c r="J747" s="17"/>
      <c r="K747" s="14"/>
      <c r="L747" s="15"/>
      <c r="M747" s="16"/>
      <c r="N747" s="17"/>
      <c r="O747" s="2823" t="s">
        <v>5758</v>
      </c>
      <c r="P747" s="2823"/>
      <c r="Q747" s="2646"/>
      <c r="R747" s="17"/>
      <c r="S747" s="14"/>
      <c r="T747" s="15"/>
      <c r="U747" s="16"/>
      <c r="V747" s="17"/>
      <c r="W747" s="14"/>
      <c r="X747" s="15"/>
      <c r="Y747" s="16"/>
      <c r="Z747" s="17"/>
      <c r="AA747" s="30"/>
      <c r="AB747" s="15"/>
    </row>
    <row r="748" spans="1:28">
      <c r="A748" s="224" t="s">
        <v>5759</v>
      </c>
      <c r="B748" s="320" t="s">
        <v>5552</v>
      </c>
      <c r="C748" s="14"/>
      <c r="D748" s="15"/>
      <c r="E748" s="16"/>
      <c r="F748" s="17"/>
      <c r="G748" s="14"/>
      <c r="H748" s="15"/>
      <c r="I748" s="16"/>
      <c r="J748" s="17"/>
      <c r="K748" s="14"/>
      <c r="L748" s="15"/>
      <c r="M748" s="16"/>
      <c r="N748" s="17"/>
      <c r="O748" s="2824" t="s">
        <v>5760</v>
      </c>
      <c r="P748" s="2824"/>
      <c r="Q748" s="2646"/>
      <c r="R748" s="17"/>
      <c r="S748" s="14"/>
      <c r="T748" s="15"/>
      <c r="U748" s="16"/>
      <c r="V748" s="17"/>
      <c r="W748" s="14"/>
      <c r="X748" s="15"/>
      <c r="Y748" s="16"/>
      <c r="Z748" s="17"/>
      <c r="AA748" s="30"/>
      <c r="AB748" s="15"/>
    </row>
    <row r="749" spans="1:28">
      <c r="A749" s="224" t="s">
        <v>5761</v>
      </c>
      <c r="B749" s="852"/>
      <c r="C749" s="14"/>
      <c r="D749" s="15"/>
      <c r="E749" s="16"/>
      <c r="F749" s="17"/>
      <c r="G749" s="14"/>
      <c r="H749" s="15"/>
      <c r="I749" s="16"/>
      <c r="J749" s="17"/>
      <c r="K749" s="14"/>
      <c r="L749" s="15"/>
      <c r="M749" s="16"/>
      <c r="N749" s="17"/>
      <c r="O749" s="2994" t="s">
        <v>5761</v>
      </c>
      <c r="P749" s="2826"/>
      <c r="Q749" s="2645"/>
      <c r="R749" s="1795"/>
      <c r="S749" s="14"/>
      <c r="T749" s="15"/>
      <c r="U749" s="16"/>
      <c r="V749" s="17"/>
      <c r="W749" s="14"/>
      <c r="X749" s="15"/>
      <c r="Y749" s="16"/>
      <c r="Z749" s="17"/>
      <c r="AA749" s="30"/>
      <c r="AB749" s="15"/>
    </row>
    <row r="750" spans="1:28">
      <c r="A750" s="224" t="s">
        <v>5762</v>
      </c>
      <c r="B750" s="852"/>
      <c r="C750" s="14"/>
      <c r="D750" s="15"/>
      <c r="E750" s="16"/>
      <c r="F750" s="17"/>
      <c r="G750" s="14"/>
      <c r="H750" s="15"/>
      <c r="I750" s="16"/>
      <c r="J750" s="17"/>
      <c r="K750" s="14"/>
      <c r="L750" s="15"/>
      <c r="M750" s="16"/>
      <c r="N750" s="17"/>
      <c r="O750" s="2993" t="s">
        <v>5763</v>
      </c>
      <c r="P750" s="2826"/>
      <c r="Q750" s="2649"/>
      <c r="R750" s="2650"/>
      <c r="S750" s="2651"/>
      <c r="T750" s="2648"/>
      <c r="U750" s="16"/>
      <c r="V750" s="17"/>
      <c r="W750" s="14"/>
      <c r="X750" s="15"/>
      <c r="Y750" s="16"/>
      <c r="Z750" s="17"/>
      <c r="AA750" s="30"/>
      <c r="AB750" s="15"/>
    </row>
    <row r="751" spans="1:28" ht="40.5" thickBot="1">
      <c r="A751" s="224" t="s">
        <v>5764</v>
      </c>
      <c r="B751" s="852"/>
      <c r="C751" s="6"/>
      <c r="D751" s="32"/>
      <c r="E751" s="7"/>
      <c r="F751" s="40"/>
      <c r="G751" s="6"/>
      <c r="H751" s="32"/>
      <c r="I751" s="7"/>
      <c r="J751" s="40"/>
      <c r="K751" s="6"/>
      <c r="L751" s="32"/>
      <c r="M751" s="7"/>
      <c r="N751" s="40"/>
      <c r="O751" s="2823" t="s">
        <v>5765</v>
      </c>
      <c r="P751" s="2823"/>
      <c r="Q751" s="2647"/>
      <c r="R751" s="40"/>
      <c r="S751" s="6"/>
      <c r="T751" s="32"/>
      <c r="U751" s="7"/>
      <c r="V751" s="40"/>
      <c r="W751" s="6"/>
      <c r="X751" s="32"/>
      <c r="Y751" s="7"/>
      <c r="Z751" s="40"/>
      <c r="AA751" s="2630"/>
      <c r="AB751" s="2631"/>
    </row>
    <row r="752" spans="1:28" ht="40.5" thickBot="1">
      <c r="A752" s="627"/>
      <c r="B752" s="1788"/>
      <c r="C752" s="6"/>
      <c r="D752" s="32"/>
      <c r="E752" s="7"/>
      <c r="F752" s="40"/>
      <c r="G752" s="6"/>
      <c r="H752" s="32"/>
      <c r="I752" s="7"/>
      <c r="J752" s="40"/>
      <c r="K752" s="6"/>
      <c r="L752" s="32"/>
      <c r="M752" s="7"/>
      <c r="N752" s="40"/>
      <c r="O752" s="6"/>
      <c r="P752" s="32"/>
      <c r="Q752" s="7"/>
      <c r="R752" s="40"/>
      <c r="S752" s="6"/>
      <c r="T752" s="32"/>
      <c r="U752" s="7"/>
      <c r="V752" s="40"/>
      <c r="W752" s="6"/>
      <c r="X752" s="32"/>
      <c r="Y752" s="7"/>
      <c r="Z752" s="32"/>
      <c r="AA752" s="31"/>
      <c r="AB752" s="32"/>
    </row>
    <row r="753" spans="1:28">
      <c r="A753" s="2080"/>
      <c r="B753" s="2573"/>
    </row>
    <row r="754" spans="1:28" ht="40.5">
      <c r="A754" s="3" t="s">
        <v>5063</v>
      </c>
      <c r="B754" s="23"/>
      <c r="C754" s="3"/>
      <c r="D754" s="3"/>
      <c r="E754" s="3"/>
      <c r="F754" s="3"/>
      <c r="G754" s="3"/>
      <c r="H754" s="3"/>
      <c r="I754" s="3"/>
      <c r="J754" s="3"/>
      <c r="K754" s="3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B754" s="4"/>
    </row>
    <row r="755" spans="1:28" ht="40.5" thickBot="1">
      <c r="A755" s="5" t="s">
        <v>5064</v>
      </c>
    </row>
    <row r="756" spans="1:28">
      <c r="A756" s="3544" t="s">
        <v>2</v>
      </c>
      <c r="B756" s="3546" t="s">
        <v>3</v>
      </c>
      <c r="C756" s="3537" t="s">
        <v>5065</v>
      </c>
      <c r="D756" s="3538"/>
      <c r="E756" s="3536" t="s">
        <v>5066</v>
      </c>
      <c r="F756" s="3536"/>
      <c r="G756" s="3537" t="s">
        <v>5067</v>
      </c>
      <c r="H756" s="3538"/>
      <c r="I756" s="3536" t="s">
        <v>5068</v>
      </c>
      <c r="J756" s="3536"/>
      <c r="K756" s="3537" t="s">
        <v>5069</v>
      </c>
      <c r="L756" s="3538"/>
      <c r="M756" s="3536" t="s">
        <v>5070</v>
      </c>
      <c r="N756" s="3536"/>
      <c r="O756" s="3542"/>
      <c r="P756" s="3542"/>
      <c r="Q756" s="3536" t="s">
        <v>5071</v>
      </c>
      <c r="R756" s="3536"/>
      <c r="S756" s="3536" t="s">
        <v>5072</v>
      </c>
      <c r="T756" s="3536"/>
      <c r="U756" s="3472" t="s">
        <v>5073</v>
      </c>
      <c r="V756" s="3473"/>
      <c r="W756" s="3536" t="s">
        <v>5074</v>
      </c>
      <c r="X756" s="3536"/>
      <c r="Y756" s="3472" t="s">
        <v>5075</v>
      </c>
      <c r="Z756" s="3475"/>
      <c r="AA756" s="3537" t="s">
        <v>5076</v>
      </c>
      <c r="AB756" s="3538"/>
    </row>
    <row r="757" spans="1:28" ht="40.5" thickBot="1">
      <c r="A757" s="3545"/>
      <c r="B757" s="3547"/>
      <c r="C757" s="1" t="s">
        <v>5078</v>
      </c>
      <c r="D757" s="35" t="s">
        <v>5079</v>
      </c>
      <c r="E757" s="2" t="s">
        <v>5078</v>
      </c>
      <c r="F757" s="36" t="s">
        <v>5079</v>
      </c>
      <c r="G757" s="1" t="s">
        <v>5078</v>
      </c>
      <c r="H757" s="35" t="s">
        <v>5079</v>
      </c>
      <c r="I757" s="2" t="s">
        <v>5078</v>
      </c>
      <c r="J757" s="36" t="s">
        <v>5079</v>
      </c>
      <c r="K757" s="1" t="s">
        <v>5078</v>
      </c>
      <c r="L757" s="35" t="s">
        <v>5079</v>
      </c>
      <c r="M757" s="2" t="s">
        <v>5078</v>
      </c>
      <c r="N757" s="36" t="s">
        <v>5079</v>
      </c>
      <c r="O757" s="2769"/>
      <c r="P757" s="2820"/>
      <c r="Q757" s="2" t="s">
        <v>5078</v>
      </c>
      <c r="R757" s="36" t="s">
        <v>5079</v>
      </c>
      <c r="S757" s="1" t="s">
        <v>5078</v>
      </c>
      <c r="T757" s="35" t="s">
        <v>5079</v>
      </c>
      <c r="U757" s="2" t="s">
        <v>5078</v>
      </c>
      <c r="V757" s="36" t="s">
        <v>5079</v>
      </c>
      <c r="W757" s="1" t="s">
        <v>5078</v>
      </c>
      <c r="X757" s="35" t="s">
        <v>5079</v>
      </c>
      <c r="Y757" s="2" t="s">
        <v>5078</v>
      </c>
      <c r="Z757" s="36" t="s">
        <v>5079</v>
      </c>
      <c r="AA757" s="1" t="s">
        <v>5078</v>
      </c>
      <c r="AB757" s="35" t="s">
        <v>5079</v>
      </c>
    </row>
    <row r="758" spans="1:28">
      <c r="A758" s="433" t="s">
        <v>5766</v>
      </c>
      <c r="B758" s="2574" t="s">
        <v>5767</v>
      </c>
      <c r="C758" s="9"/>
      <c r="D758" s="10"/>
      <c r="E758" s="11"/>
      <c r="F758" s="12"/>
      <c r="G758" s="9"/>
      <c r="H758" s="10"/>
      <c r="I758" s="11"/>
      <c r="J758" s="12"/>
      <c r="K758" s="9"/>
      <c r="L758" s="10"/>
      <c r="M758" s="11"/>
      <c r="N758" s="12"/>
      <c r="O758" s="2821" t="s">
        <v>5768</v>
      </c>
      <c r="P758" s="2822"/>
      <c r="Q758" s="11"/>
      <c r="R758" s="12"/>
      <c r="S758" s="9"/>
      <c r="T758" s="10"/>
      <c r="U758" s="11"/>
      <c r="V758" s="12"/>
      <c r="W758" s="9"/>
      <c r="X758" s="10"/>
      <c r="Y758" s="11"/>
      <c r="Z758" s="12"/>
      <c r="AA758" s="33"/>
      <c r="AB758" s="10"/>
    </row>
    <row r="759" spans="1:28" ht="40.5" thickBot="1">
      <c r="A759" s="2134" t="s">
        <v>5766</v>
      </c>
      <c r="B759" s="2575" t="s">
        <v>5769</v>
      </c>
      <c r="C759" s="14"/>
      <c r="D759" s="15"/>
      <c r="E759" s="16"/>
      <c r="F759" s="17"/>
      <c r="G759" s="14"/>
      <c r="H759" s="15"/>
      <c r="I759" s="16"/>
      <c r="J759" s="17"/>
      <c r="K759" s="14"/>
      <c r="L759" s="15"/>
      <c r="M759" s="16"/>
      <c r="N759" s="17"/>
      <c r="O759" s="2823" t="s">
        <v>5770</v>
      </c>
      <c r="P759" s="2823"/>
      <c r="Q759" s="2646"/>
      <c r="R759" s="17"/>
      <c r="S759" s="14"/>
      <c r="T759" s="15"/>
      <c r="U759" s="16"/>
      <c r="V759" s="17"/>
      <c r="W759" s="14"/>
      <c r="X759" s="15"/>
      <c r="Y759" s="16"/>
      <c r="Z759" s="17"/>
      <c r="AA759" s="30"/>
      <c r="AB759" s="15"/>
    </row>
    <row r="760" spans="1:28" ht="40.5" thickTop="1">
      <c r="A760" s="551" t="s">
        <v>5771</v>
      </c>
      <c r="B760" s="473" t="s">
        <v>5772</v>
      </c>
      <c r="C760" s="14"/>
      <c r="D760" s="15"/>
      <c r="E760" s="16"/>
      <c r="F760" s="17"/>
      <c r="G760" s="14"/>
      <c r="H760" s="15"/>
      <c r="I760" s="16"/>
      <c r="J760" s="17"/>
      <c r="K760" s="14"/>
      <c r="L760" s="15"/>
      <c r="M760" s="16"/>
      <c r="N760" s="17"/>
      <c r="O760" s="2823" t="s">
        <v>5773</v>
      </c>
      <c r="P760" s="2823"/>
      <c r="Q760" s="2646"/>
      <c r="R760" s="17"/>
      <c r="S760" s="14"/>
      <c r="T760" s="15"/>
      <c r="U760" s="16"/>
      <c r="V760" s="17"/>
      <c r="W760" s="14"/>
      <c r="X760" s="15"/>
      <c r="Y760" s="16"/>
      <c r="Z760" s="17"/>
      <c r="AA760" s="30"/>
      <c r="AB760" s="15"/>
    </row>
    <row r="761" spans="1:28">
      <c r="A761" s="2576" t="s">
        <v>5774</v>
      </c>
      <c r="B761" s="2577" t="s">
        <v>5772</v>
      </c>
      <c r="C761" s="14"/>
      <c r="D761" s="15"/>
      <c r="E761" s="16"/>
      <c r="F761" s="17"/>
      <c r="G761" s="14"/>
      <c r="H761" s="15"/>
      <c r="I761" s="16"/>
      <c r="J761" s="17"/>
      <c r="K761" s="14"/>
      <c r="L761" s="15"/>
      <c r="M761" s="16"/>
      <c r="N761" s="17"/>
      <c r="O761" s="2823" t="s">
        <v>5775</v>
      </c>
      <c r="P761" s="2823"/>
      <c r="Q761" s="2646"/>
      <c r="R761" s="17"/>
      <c r="S761" s="14"/>
      <c r="T761" s="15"/>
      <c r="U761" s="16"/>
      <c r="V761" s="17"/>
      <c r="W761" s="14"/>
      <c r="X761" s="15"/>
      <c r="Y761" s="16"/>
      <c r="Z761" s="17"/>
      <c r="AA761" s="30"/>
      <c r="AB761" s="15"/>
    </row>
    <row r="762" spans="1:28">
      <c r="A762" s="2576" t="s">
        <v>5776</v>
      </c>
      <c r="B762" s="2577" t="s">
        <v>5772</v>
      </c>
      <c r="C762" s="14"/>
      <c r="D762" s="15"/>
      <c r="E762" s="16"/>
      <c r="F762" s="17"/>
      <c r="G762" s="14"/>
      <c r="H762" s="15"/>
      <c r="I762" s="16"/>
      <c r="J762" s="17"/>
      <c r="K762" s="14"/>
      <c r="L762" s="15"/>
      <c r="M762" s="16"/>
      <c r="N762" s="17"/>
      <c r="O762" s="2823" t="s">
        <v>5777</v>
      </c>
      <c r="P762" s="2823"/>
      <c r="Q762" s="2646"/>
      <c r="R762" s="17"/>
      <c r="S762" s="14"/>
      <c r="T762" s="15"/>
      <c r="U762" s="16"/>
      <c r="V762" s="17"/>
      <c r="W762" s="14"/>
      <c r="X762" s="15"/>
      <c r="Y762" s="16"/>
      <c r="Z762" s="17"/>
      <c r="AA762" s="30"/>
      <c r="AB762" s="15"/>
    </row>
    <row r="763" spans="1:28" ht="40.5" thickBot="1">
      <c r="A763" s="2578" t="s">
        <v>5778</v>
      </c>
      <c r="B763" s="2579" t="s">
        <v>5772</v>
      </c>
      <c r="C763" s="14"/>
      <c r="D763" s="15"/>
      <c r="E763" s="16"/>
      <c r="F763" s="17"/>
      <c r="G763" s="14"/>
      <c r="H763" s="15"/>
      <c r="I763" s="16"/>
      <c r="J763" s="17"/>
      <c r="K763" s="14"/>
      <c r="L763" s="15"/>
      <c r="M763" s="16"/>
      <c r="N763" s="17"/>
      <c r="O763" s="2823" t="s">
        <v>5779</v>
      </c>
      <c r="P763" s="2823"/>
      <c r="Q763" s="2646"/>
      <c r="R763" s="17"/>
      <c r="S763" s="14"/>
      <c r="T763" s="15"/>
      <c r="U763" s="16"/>
      <c r="V763" s="17"/>
      <c r="W763" s="14"/>
      <c r="X763" s="15"/>
      <c r="Y763" s="16"/>
      <c r="Z763" s="17"/>
      <c r="AA763" s="30"/>
      <c r="AB763" s="15"/>
    </row>
    <row r="764" spans="1:28" ht="40.5" thickTop="1">
      <c r="A764" s="233" t="s">
        <v>5774</v>
      </c>
      <c r="B764" s="117" t="s">
        <v>1905</v>
      </c>
      <c r="C764" s="14"/>
      <c r="D764" s="15"/>
      <c r="E764" s="16"/>
      <c r="F764" s="17"/>
      <c r="G764" s="14"/>
      <c r="H764" s="15"/>
      <c r="I764" s="16"/>
      <c r="J764" s="17"/>
      <c r="K764" s="14"/>
      <c r="L764" s="15"/>
      <c r="M764" s="16"/>
      <c r="N764" s="17"/>
      <c r="O764" s="2823" t="s">
        <v>5780</v>
      </c>
      <c r="P764" s="2823"/>
      <c r="Q764" s="2646"/>
      <c r="R764" s="17"/>
      <c r="S764" s="14"/>
      <c r="T764" s="15"/>
      <c r="U764" s="16"/>
      <c r="V764" s="17"/>
      <c r="W764" s="14"/>
      <c r="X764" s="15"/>
      <c r="Y764" s="16"/>
      <c r="Z764" s="17"/>
      <c r="AA764" s="30"/>
      <c r="AB764" s="15"/>
    </row>
    <row r="765" spans="1:28">
      <c r="A765" s="139" t="s">
        <v>5781</v>
      </c>
      <c r="B765" s="207" t="s">
        <v>1905</v>
      </c>
      <c r="C765" s="14"/>
      <c r="D765" s="15"/>
      <c r="E765" s="16"/>
      <c r="F765" s="17"/>
      <c r="G765" s="14"/>
      <c r="H765" s="15"/>
      <c r="I765" s="16"/>
      <c r="J765" s="17"/>
      <c r="K765" s="14"/>
      <c r="L765" s="15"/>
      <c r="M765" s="16"/>
      <c r="N765" s="17"/>
      <c r="O765" s="2823" t="s">
        <v>5782</v>
      </c>
      <c r="P765" s="2823"/>
      <c r="Q765" s="2646"/>
      <c r="R765" s="17"/>
      <c r="S765" s="14"/>
      <c r="T765" s="15"/>
      <c r="U765" s="16"/>
      <c r="V765" s="17"/>
      <c r="W765" s="14"/>
      <c r="X765" s="15"/>
      <c r="Y765" s="16"/>
      <c r="Z765" s="17"/>
      <c r="AA765" s="30"/>
      <c r="AB765" s="15"/>
    </row>
    <row r="766" spans="1:28">
      <c r="A766" s="460" t="s">
        <v>5783</v>
      </c>
      <c r="B766" s="207" t="s">
        <v>1905</v>
      </c>
      <c r="C766" s="14"/>
      <c r="D766" s="15"/>
      <c r="E766" s="16"/>
      <c r="F766" s="17"/>
      <c r="G766" s="14"/>
      <c r="H766" s="15"/>
      <c r="I766" s="16"/>
      <c r="J766" s="17"/>
      <c r="K766" s="14"/>
      <c r="L766" s="15"/>
      <c r="M766" s="16"/>
      <c r="N766" s="17"/>
      <c r="O766" s="2823" t="s">
        <v>5784</v>
      </c>
      <c r="P766" s="2823"/>
      <c r="Q766" s="2646"/>
      <c r="R766" s="17"/>
      <c r="S766" s="14"/>
      <c r="T766" s="15"/>
      <c r="U766" s="16"/>
      <c r="V766" s="17"/>
      <c r="W766" s="14"/>
      <c r="X766" s="15"/>
      <c r="Y766" s="16"/>
      <c r="Z766" s="17"/>
      <c r="AA766" s="30"/>
      <c r="AB766" s="15"/>
    </row>
    <row r="767" spans="1:28">
      <c r="A767" s="460" t="s">
        <v>5785</v>
      </c>
      <c r="B767" s="207" t="s">
        <v>1905</v>
      </c>
      <c r="C767" s="14"/>
      <c r="D767" s="15"/>
      <c r="E767" s="16"/>
      <c r="F767" s="17"/>
      <c r="G767" s="14"/>
      <c r="H767" s="15"/>
      <c r="I767" s="16"/>
      <c r="J767" s="17"/>
      <c r="K767" s="14"/>
      <c r="L767" s="15"/>
      <c r="M767" s="16"/>
      <c r="N767" s="17"/>
      <c r="O767" s="2823" t="s">
        <v>5786</v>
      </c>
      <c r="P767" s="2823"/>
      <c r="Q767" s="2646"/>
      <c r="R767" s="17"/>
      <c r="S767" s="14"/>
      <c r="T767" s="15"/>
      <c r="U767" s="16"/>
      <c r="V767" s="17"/>
      <c r="W767" s="14"/>
      <c r="X767" s="15"/>
      <c r="Y767" s="16"/>
      <c r="Z767" s="17"/>
      <c r="AA767" s="30"/>
      <c r="AB767" s="15"/>
    </row>
    <row r="768" spans="1:28">
      <c r="A768" s="139" t="s">
        <v>5787</v>
      </c>
      <c r="B768" s="207" t="s">
        <v>1905</v>
      </c>
      <c r="C768" s="14"/>
      <c r="D768" s="15"/>
      <c r="E768" s="16"/>
      <c r="F768" s="17"/>
      <c r="G768" s="14"/>
      <c r="H768" s="15"/>
      <c r="I768" s="16"/>
      <c r="J768" s="17"/>
      <c r="K768" s="14"/>
      <c r="L768" s="15"/>
      <c r="M768" s="16"/>
      <c r="N768" s="17"/>
      <c r="O768" s="2823" t="s">
        <v>5788</v>
      </c>
      <c r="P768" s="2823"/>
      <c r="Q768" s="2646"/>
      <c r="R768" s="17"/>
      <c r="S768" s="14"/>
      <c r="T768" s="15"/>
      <c r="U768" s="16"/>
      <c r="V768" s="17"/>
      <c r="W768" s="14"/>
      <c r="X768" s="15"/>
      <c r="Y768" s="16"/>
      <c r="Z768" s="17"/>
      <c r="AA768" s="30"/>
      <c r="AB768" s="15"/>
    </row>
    <row r="769" spans="1:28" ht="40.5" thickBot="1">
      <c r="A769" s="2134" t="s">
        <v>5789</v>
      </c>
      <c r="B769" s="2580" t="s">
        <v>1905</v>
      </c>
      <c r="C769" s="14"/>
      <c r="D769" s="15"/>
      <c r="E769" s="16"/>
      <c r="F769" s="17"/>
      <c r="G769" s="14"/>
      <c r="H769" s="15"/>
      <c r="I769" s="16"/>
      <c r="J769" s="17"/>
      <c r="K769" s="14"/>
      <c r="L769" s="15"/>
      <c r="M769" s="16"/>
      <c r="N769" s="17"/>
      <c r="O769" s="2823" t="s">
        <v>5790</v>
      </c>
      <c r="P769" s="2823"/>
      <c r="Q769" s="2646"/>
      <c r="R769" s="17"/>
      <c r="S769" s="14"/>
      <c r="T769" s="15"/>
      <c r="U769" s="16"/>
      <c r="V769" s="17"/>
      <c r="W769" s="14"/>
      <c r="X769" s="15"/>
      <c r="Y769" s="16"/>
      <c r="Z769" s="17"/>
      <c r="AA769" s="30"/>
      <c r="AB769" s="15"/>
    </row>
    <row r="770" spans="1:28" ht="40.5" thickTop="1">
      <c r="A770" s="2581" t="s">
        <v>5791</v>
      </c>
      <c r="B770" s="2318" t="s">
        <v>5792</v>
      </c>
      <c r="C770" s="14"/>
      <c r="D770" s="15"/>
      <c r="E770" s="16"/>
      <c r="F770" s="17"/>
      <c r="G770" s="14"/>
      <c r="H770" s="15"/>
      <c r="I770" s="16"/>
      <c r="J770" s="17"/>
      <c r="K770" s="14"/>
      <c r="L770" s="15"/>
      <c r="M770" s="16"/>
      <c r="N770" s="17"/>
      <c r="O770" s="2823" t="s">
        <v>5793</v>
      </c>
      <c r="P770" s="2823"/>
      <c r="Q770" s="2646"/>
      <c r="R770" s="17"/>
      <c r="S770" s="14"/>
      <c r="T770" s="15"/>
      <c r="U770" s="16"/>
      <c r="V770" s="17"/>
      <c r="W770" s="14"/>
      <c r="X770" s="15"/>
      <c r="Y770" s="16"/>
      <c r="Z770" s="17"/>
      <c r="AA770" s="30"/>
      <c r="AB770" s="15"/>
    </row>
    <row r="771" spans="1:28">
      <c r="A771" s="2582" t="s">
        <v>5794</v>
      </c>
      <c r="B771" s="1541" t="s">
        <v>5792</v>
      </c>
      <c r="C771" s="14"/>
      <c r="D771" s="15"/>
      <c r="E771" s="16"/>
      <c r="F771" s="17"/>
      <c r="G771" s="14"/>
      <c r="H771" s="15"/>
      <c r="I771" s="16"/>
      <c r="J771" s="17"/>
      <c r="K771" s="14"/>
      <c r="L771" s="15"/>
      <c r="M771" s="16"/>
      <c r="N771" s="17"/>
      <c r="O771" s="2823" t="s">
        <v>5795</v>
      </c>
      <c r="P771" s="2823"/>
      <c r="Q771" s="2646"/>
      <c r="R771" s="17"/>
      <c r="S771" s="14"/>
      <c r="T771" s="15"/>
      <c r="U771" s="16"/>
      <c r="V771" s="17"/>
      <c r="W771" s="14"/>
      <c r="X771" s="15"/>
      <c r="Y771" s="16"/>
      <c r="Z771" s="17"/>
      <c r="AA771" s="30"/>
      <c r="AB771" s="15"/>
    </row>
    <row r="772" spans="1:28">
      <c r="A772" s="2199" t="s">
        <v>5796</v>
      </c>
      <c r="B772" s="1541" t="s">
        <v>5792</v>
      </c>
      <c r="C772" s="14"/>
      <c r="D772" s="15"/>
      <c r="E772" s="16"/>
      <c r="F772" s="17"/>
      <c r="G772" s="14"/>
      <c r="H772" s="15"/>
      <c r="I772" s="16"/>
      <c r="J772" s="17"/>
      <c r="K772" s="14"/>
      <c r="L772" s="15"/>
      <c r="M772" s="16"/>
      <c r="N772" s="17"/>
      <c r="O772" s="2824" t="s">
        <v>5797</v>
      </c>
      <c r="P772" s="2824"/>
      <c r="Q772" s="2646"/>
      <c r="R772" s="17"/>
      <c r="S772" s="14"/>
      <c r="T772" s="15"/>
      <c r="U772" s="16"/>
      <c r="V772" s="17"/>
      <c r="W772" s="14"/>
      <c r="X772" s="15"/>
      <c r="Y772" s="16"/>
      <c r="Z772" s="17"/>
      <c r="AA772" s="30"/>
      <c r="AB772" s="15"/>
    </row>
    <row r="773" spans="1:28">
      <c r="A773" s="2582" t="s">
        <v>5787</v>
      </c>
      <c r="B773" s="1541" t="s">
        <v>5792</v>
      </c>
      <c r="C773" s="14"/>
      <c r="D773" s="15"/>
      <c r="E773" s="16"/>
      <c r="F773" s="17"/>
      <c r="G773" s="14"/>
      <c r="H773" s="15"/>
      <c r="I773" s="16"/>
      <c r="J773" s="17"/>
      <c r="K773" s="14"/>
      <c r="L773" s="15"/>
      <c r="M773" s="16"/>
      <c r="N773" s="17"/>
      <c r="O773" s="2994" t="s">
        <v>5798</v>
      </c>
      <c r="P773" s="2826"/>
      <c r="Q773" s="2645"/>
      <c r="R773" s="1795"/>
      <c r="S773" s="14"/>
      <c r="T773" s="15"/>
      <c r="U773" s="16"/>
      <c r="V773" s="17"/>
      <c r="W773" s="14"/>
      <c r="X773" s="15"/>
      <c r="Y773" s="16"/>
      <c r="Z773" s="17"/>
      <c r="AA773" s="30"/>
      <c r="AB773" s="15"/>
    </row>
    <row r="774" spans="1:28" ht="40.5" thickBot="1">
      <c r="A774" s="2583" t="s">
        <v>5789</v>
      </c>
      <c r="B774" s="2584" t="s">
        <v>5792</v>
      </c>
      <c r="C774" s="14"/>
      <c r="D774" s="15"/>
      <c r="E774" s="16"/>
      <c r="F774" s="17"/>
      <c r="G774" s="14"/>
      <c r="H774" s="15"/>
      <c r="I774" s="16"/>
      <c r="J774" s="17"/>
      <c r="K774" s="14"/>
      <c r="L774" s="15"/>
      <c r="M774" s="16"/>
      <c r="N774" s="17"/>
      <c r="O774" s="2994" t="s">
        <v>5799</v>
      </c>
      <c r="P774" s="2826"/>
      <c r="Q774" s="2649"/>
      <c r="R774" s="2650"/>
      <c r="S774" s="2651"/>
      <c r="T774" s="2648"/>
      <c r="U774" s="16"/>
      <c r="V774" s="17"/>
      <c r="W774" s="14"/>
      <c r="X774" s="15"/>
      <c r="Y774" s="16"/>
      <c r="Z774" s="17"/>
      <c r="AA774" s="30"/>
      <c r="AB774" s="15"/>
    </row>
    <row r="775" spans="1:28" ht="41.25" thickTop="1" thickBot="1">
      <c r="A775" s="233" t="s">
        <v>5774</v>
      </c>
      <c r="B775" s="117" t="s">
        <v>5800</v>
      </c>
      <c r="C775" s="6"/>
      <c r="D775" s="32"/>
      <c r="E775" s="7"/>
      <c r="F775" s="40"/>
      <c r="G775" s="6"/>
      <c r="H775" s="32"/>
      <c r="I775" s="7"/>
      <c r="J775" s="40"/>
      <c r="K775" s="6"/>
      <c r="L775" s="32"/>
      <c r="M775" s="7"/>
      <c r="N775" s="40"/>
      <c r="O775" s="2823" t="s">
        <v>5801</v>
      </c>
      <c r="P775" s="2823"/>
      <c r="Q775" s="2647"/>
      <c r="R775" s="40"/>
      <c r="S775" s="6"/>
      <c r="T775" s="32"/>
      <c r="U775" s="7"/>
      <c r="V775" s="40"/>
      <c r="W775" s="6"/>
      <c r="X775" s="32"/>
      <c r="Y775" s="7"/>
      <c r="Z775" s="40"/>
      <c r="AA775" s="2630"/>
      <c r="AB775" s="2631"/>
    </row>
    <row r="776" spans="1:28" ht="40.5" thickBot="1">
      <c r="A776" s="139" t="s">
        <v>5776</v>
      </c>
      <c r="B776" s="207" t="s">
        <v>5800</v>
      </c>
      <c r="C776" s="6"/>
      <c r="D776" s="32"/>
      <c r="E776" s="7"/>
      <c r="F776" s="40"/>
      <c r="G776" s="6"/>
      <c r="H776" s="32"/>
      <c r="I776" s="7"/>
      <c r="J776" s="40"/>
      <c r="K776" s="6"/>
      <c r="L776" s="32"/>
      <c r="M776" s="7"/>
      <c r="N776" s="40"/>
      <c r="O776" s="3008" t="s">
        <v>5802</v>
      </c>
      <c r="P776" s="2906"/>
      <c r="Q776" s="7"/>
      <c r="R776" s="40"/>
      <c r="S776" s="6"/>
      <c r="T776" s="32"/>
      <c r="U776" s="7"/>
      <c r="V776" s="40"/>
      <c r="W776" s="6"/>
      <c r="X776" s="32"/>
      <c r="Y776" s="7"/>
      <c r="Z776" s="32"/>
      <c r="AA776" s="31"/>
      <c r="AB776" s="32"/>
    </row>
    <row r="777" spans="1:28" ht="40.5">
      <c r="A777" s="3"/>
      <c r="B777" s="23"/>
      <c r="C777" s="3"/>
      <c r="D777" s="3"/>
      <c r="E777" s="3"/>
      <c r="F777" s="3"/>
      <c r="G777" s="3"/>
      <c r="H777" s="3"/>
      <c r="I777" s="3"/>
      <c r="J777" s="3"/>
      <c r="K777" s="3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B777" s="4"/>
    </row>
    <row r="778" spans="1:28" ht="40.5" thickBot="1">
      <c r="A778" s="5" t="s">
        <v>5064</v>
      </c>
    </row>
    <row r="779" spans="1:28">
      <c r="A779" s="3544" t="s">
        <v>2</v>
      </c>
      <c r="B779" s="3546" t="s">
        <v>3</v>
      </c>
      <c r="C779" s="3537" t="s">
        <v>5065</v>
      </c>
      <c r="D779" s="3538"/>
      <c r="E779" s="3536" t="s">
        <v>5066</v>
      </c>
      <c r="F779" s="3536"/>
      <c r="G779" s="3537" t="s">
        <v>5067</v>
      </c>
      <c r="H779" s="3538"/>
      <c r="I779" s="3536" t="s">
        <v>5068</v>
      </c>
      <c r="J779" s="3536"/>
      <c r="K779" s="3537" t="s">
        <v>5069</v>
      </c>
      <c r="L779" s="3538"/>
      <c r="M779" s="3536" t="s">
        <v>5070</v>
      </c>
      <c r="N779" s="3536"/>
      <c r="O779" s="3542"/>
      <c r="P779" s="3542"/>
      <c r="Q779" s="3536" t="s">
        <v>5071</v>
      </c>
      <c r="R779" s="3536"/>
      <c r="S779" s="3536" t="s">
        <v>5072</v>
      </c>
      <c r="T779" s="3536"/>
      <c r="U779" s="3472" t="s">
        <v>5073</v>
      </c>
      <c r="V779" s="3473"/>
      <c r="W779" s="3536" t="s">
        <v>5074</v>
      </c>
      <c r="X779" s="3536"/>
      <c r="Y779" s="3472" t="s">
        <v>5075</v>
      </c>
      <c r="Z779" s="3475"/>
      <c r="AA779" s="3537" t="s">
        <v>5076</v>
      </c>
      <c r="AB779" s="3538"/>
    </row>
    <row r="780" spans="1:28" ht="40.5" thickBot="1">
      <c r="A780" s="3545"/>
      <c r="B780" s="3547"/>
      <c r="C780" s="1" t="s">
        <v>5078</v>
      </c>
      <c r="D780" s="35" t="s">
        <v>5079</v>
      </c>
      <c r="E780" s="2" t="s">
        <v>5078</v>
      </c>
      <c r="F780" s="36" t="s">
        <v>5079</v>
      </c>
      <c r="G780" s="1" t="s">
        <v>5078</v>
      </c>
      <c r="H780" s="35" t="s">
        <v>5079</v>
      </c>
      <c r="I780" s="2" t="s">
        <v>5078</v>
      </c>
      <c r="J780" s="36" t="s">
        <v>5079</v>
      </c>
      <c r="K780" s="1" t="s">
        <v>5078</v>
      </c>
      <c r="L780" s="35" t="s">
        <v>5079</v>
      </c>
      <c r="M780" s="2" t="s">
        <v>5078</v>
      </c>
      <c r="N780" s="36" t="s">
        <v>5079</v>
      </c>
      <c r="O780" s="2769"/>
      <c r="P780" s="2820"/>
      <c r="Q780" s="2" t="s">
        <v>5078</v>
      </c>
      <c r="R780" s="36" t="s">
        <v>5079</v>
      </c>
      <c r="S780" s="1" t="s">
        <v>5078</v>
      </c>
      <c r="T780" s="35" t="s">
        <v>5079</v>
      </c>
      <c r="U780" s="2" t="s">
        <v>5078</v>
      </c>
      <c r="V780" s="36" t="s">
        <v>5079</v>
      </c>
      <c r="W780" s="1" t="s">
        <v>5078</v>
      </c>
      <c r="X780" s="35" t="s">
        <v>5079</v>
      </c>
      <c r="Y780" s="2" t="s">
        <v>5078</v>
      </c>
      <c r="Z780" s="36" t="s">
        <v>5079</v>
      </c>
      <c r="AA780" s="1" t="s">
        <v>5078</v>
      </c>
      <c r="AB780" s="35" t="s">
        <v>5079</v>
      </c>
    </row>
    <row r="781" spans="1:28">
      <c r="A781" s="233" t="s">
        <v>5774</v>
      </c>
      <c r="B781" s="117" t="s">
        <v>5800</v>
      </c>
      <c r="C781" s="9"/>
      <c r="D781" s="10"/>
      <c r="E781" s="11"/>
      <c r="F781" s="12"/>
      <c r="G781" s="9"/>
      <c r="H781" s="10"/>
      <c r="I781" s="11"/>
      <c r="J781" s="12"/>
      <c r="K781" s="9"/>
      <c r="L781" s="10"/>
      <c r="M781" s="11"/>
      <c r="N781" s="12"/>
      <c r="O781" s="2821" t="s">
        <v>5801</v>
      </c>
      <c r="P781" s="2822"/>
      <c r="Q781" s="11"/>
      <c r="R781" s="12"/>
      <c r="S781" s="9"/>
      <c r="T781" s="10"/>
      <c r="U781" s="11"/>
      <c r="V781" s="12"/>
      <c r="W781" s="9"/>
      <c r="X781" s="10"/>
      <c r="Y781" s="11"/>
      <c r="Z781" s="12"/>
      <c r="AA781" s="33"/>
      <c r="AB781" s="10"/>
    </row>
    <row r="782" spans="1:28">
      <c r="A782" s="139" t="s">
        <v>5776</v>
      </c>
      <c r="B782" s="207" t="s">
        <v>5800</v>
      </c>
      <c r="C782" s="14"/>
      <c r="D782" s="15"/>
      <c r="E782" s="16"/>
      <c r="F782" s="17"/>
      <c r="G782" s="14"/>
      <c r="H782" s="15"/>
      <c r="I782" s="16"/>
      <c r="J782" s="17"/>
      <c r="K782" s="14"/>
      <c r="L782" s="15"/>
      <c r="M782" s="16"/>
      <c r="N782" s="17"/>
      <c r="O782" s="2823" t="s">
        <v>5802</v>
      </c>
      <c r="P782" s="2823"/>
      <c r="Q782" s="2646"/>
      <c r="R782" s="17"/>
      <c r="S782" s="14"/>
      <c r="T782" s="15"/>
      <c r="U782" s="16"/>
      <c r="V782" s="17"/>
      <c r="W782" s="14"/>
      <c r="X782" s="15"/>
      <c r="Y782" s="16"/>
      <c r="Z782" s="17"/>
      <c r="AA782" s="30"/>
      <c r="AB782" s="15"/>
    </row>
    <row r="783" spans="1:28">
      <c r="A783" s="233" t="s">
        <v>5781</v>
      </c>
      <c r="B783" s="117" t="s">
        <v>5800</v>
      </c>
      <c r="C783" s="14"/>
      <c r="D783" s="15"/>
      <c r="E783" s="16"/>
      <c r="F783" s="17"/>
      <c r="G783" s="14"/>
      <c r="H783" s="15"/>
      <c r="I783" s="16"/>
      <c r="J783" s="17"/>
      <c r="K783" s="14"/>
      <c r="L783" s="15"/>
      <c r="M783" s="16"/>
      <c r="N783" s="17"/>
      <c r="O783" s="2823" t="s">
        <v>5803</v>
      </c>
      <c r="P783" s="2823"/>
      <c r="Q783" s="2646"/>
      <c r="R783" s="17"/>
      <c r="S783" s="14"/>
      <c r="T783" s="15"/>
      <c r="U783" s="16"/>
      <c r="V783" s="17"/>
      <c r="W783" s="14"/>
      <c r="X783" s="15"/>
      <c r="Y783" s="16"/>
      <c r="Z783" s="17"/>
      <c r="AA783" s="30"/>
      <c r="AB783" s="15"/>
    </row>
    <row r="784" spans="1:28">
      <c r="A784" s="139" t="s">
        <v>5778</v>
      </c>
      <c r="B784" s="207" t="s">
        <v>5800</v>
      </c>
      <c r="C784" s="14"/>
      <c r="D784" s="15"/>
      <c r="E784" s="16"/>
      <c r="F784" s="17"/>
      <c r="G784" s="14"/>
      <c r="H784" s="15"/>
      <c r="I784" s="16"/>
      <c r="J784" s="17"/>
      <c r="K784" s="14"/>
      <c r="L784" s="15"/>
      <c r="M784" s="16"/>
      <c r="N784" s="17"/>
      <c r="O784" s="2823" t="s">
        <v>5804</v>
      </c>
      <c r="P784" s="2823"/>
      <c r="Q784" s="2646"/>
      <c r="R784" s="17"/>
      <c r="S784" s="14"/>
      <c r="T784" s="15"/>
      <c r="U784" s="16"/>
      <c r="V784" s="17"/>
      <c r="W784" s="14"/>
      <c r="X784" s="15"/>
      <c r="Y784" s="16"/>
      <c r="Z784" s="17"/>
      <c r="AA784" s="30"/>
      <c r="AB784" s="15"/>
    </row>
    <row r="785" spans="1:28" ht="40.5" thickBot="1">
      <c r="A785" s="2134" t="s">
        <v>5805</v>
      </c>
      <c r="B785" s="2580" t="s">
        <v>5800</v>
      </c>
      <c r="C785" s="14"/>
      <c r="D785" s="15"/>
      <c r="E785" s="16"/>
      <c r="F785" s="17"/>
      <c r="G785" s="14"/>
      <c r="H785" s="15"/>
      <c r="I785" s="16"/>
      <c r="J785" s="17"/>
      <c r="K785" s="14"/>
      <c r="L785" s="15"/>
      <c r="M785" s="16"/>
      <c r="N785" s="17"/>
      <c r="O785" s="2823" t="s">
        <v>5806</v>
      </c>
      <c r="P785" s="2823"/>
      <c r="Q785" s="2646"/>
      <c r="R785" s="17"/>
      <c r="S785" s="14"/>
      <c r="T785" s="15"/>
      <c r="U785" s="16"/>
      <c r="V785" s="17"/>
      <c r="W785" s="14"/>
      <c r="X785" s="15"/>
      <c r="Y785" s="16"/>
      <c r="Z785" s="17"/>
      <c r="AA785" s="30"/>
      <c r="AB785" s="15"/>
    </row>
    <row r="786" spans="1:28" ht="40.5" thickTop="1">
      <c r="A786" s="105" t="s">
        <v>5774</v>
      </c>
      <c r="B786" s="2585" t="s">
        <v>3739</v>
      </c>
      <c r="C786" s="14"/>
      <c r="D786" s="15"/>
      <c r="E786" s="16"/>
      <c r="F786" s="17"/>
      <c r="G786" s="14"/>
      <c r="H786" s="15"/>
      <c r="I786" s="16"/>
      <c r="J786" s="17"/>
      <c r="K786" s="14"/>
      <c r="L786" s="15"/>
      <c r="M786" s="16"/>
      <c r="N786" s="17"/>
      <c r="O786" s="2823" t="s">
        <v>5807</v>
      </c>
      <c r="P786" s="2823"/>
      <c r="Q786" s="2646"/>
      <c r="R786" s="17"/>
      <c r="S786" s="14"/>
      <c r="T786" s="15"/>
      <c r="U786" s="16"/>
      <c r="V786" s="17"/>
      <c r="W786" s="14"/>
      <c r="X786" s="15"/>
      <c r="Y786" s="16"/>
      <c r="Z786" s="17"/>
      <c r="AA786" s="30"/>
      <c r="AB786" s="15"/>
    </row>
    <row r="787" spans="1:28">
      <c r="A787" s="2106" t="s">
        <v>5796</v>
      </c>
      <c r="B787" s="341" t="s">
        <v>3739</v>
      </c>
      <c r="C787" s="14"/>
      <c r="D787" s="15"/>
      <c r="E787" s="16"/>
      <c r="F787" s="17"/>
      <c r="G787" s="14"/>
      <c r="H787" s="15"/>
      <c r="I787" s="16"/>
      <c r="J787" s="17"/>
      <c r="K787" s="14"/>
      <c r="L787" s="15"/>
      <c r="M787" s="16"/>
      <c r="N787" s="17"/>
      <c r="O787" s="2823" t="s">
        <v>5808</v>
      </c>
      <c r="P787" s="2823"/>
      <c r="Q787" s="2646"/>
      <c r="R787" s="17"/>
      <c r="S787" s="14"/>
      <c r="T787" s="15"/>
      <c r="U787" s="16"/>
      <c r="V787" s="17"/>
      <c r="W787" s="14"/>
      <c r="X787" s="15"/>
      <c r="Y787" s="16"/>
      <c r="Z787" s="17"/>
      <c r="AA787" s="30"/>
      <c r="AB787" s="15"/>
    </row>
    <row r="788" spans="1:28">
      <c r="A788" s="3009" t="s">
        <v>5778</v>
      </c>
      <c r="B788" s="3010" t="s">
        <v>3739</v>
      </c>
      <c r="C788" s="16"/>
      <c r="D788" s="15"/>
      <c r="E788" s="16"/>
      <c r="F788" s="17"/>
      <c r="G788" s="14"/>
      <c r="H788" s="15"/>
      <c r="I788" s="16"/>
      <c r="J788" s="17"/>
      <c r="K788" s="14"/>
      <c r="L788" s="15"/>
      <c r="M788" s="16"/>
      <c r="N788" s="17"/>
      <c r="O788" s="2823" t="s">
        <v>5809</v>
      </c>
      <c r="P788" s="2823"/>
      <c r="Q788" s="2646"/>
      <c r="R788" s="17"/>
      <c r="S788" s="14"/>
      <c r="T788" s="15"/>
      <c r="U788" s="16"/>
      <c r="V788" s="17"/>
      <c r="W788" s="14"/>
      <c r="X788" s="15"/>
      <c r="Y788" s="16"/>
      <c r="Z788" s="17"/>
      <c r="AA788" s="30"/>
      <c r="AB788" s="15"/>
    </row>
    <row r="789" spans="1:28">
      <c r="A789" s="105" t="s">
        <v>5774</v>
      </c>
      <c r="B789" s="207" t="s">
        <v>5810</v>
      </c>
      <c r="C789" s="16"/>
      <c r="D789" s="15"/>
      <c r="E789" s="16"/>
      <c r="F789" s="17"/>
      <c r="G789" s="14"/>
      <c r="H789" s="15"/>
      <c r="I789" s="16"/>
      <c r="J789" s="17"/>
      <c r="K789" s="14"/>
      <c r="L789" s="15"/>
      <c r="M789" s="16"/>
      <c r="N789" s="17"/>
      <c r="O789" s="2823" t="s">
        <v>5811</v>
      </c>
      <c r="P789" s="2823"/>
      <c r="Q789" s="2646"/>
      <c r="R789" s="17"/>
      <c r="S789" s="14"/>
      <c r="T789" s="15"/>
      <c r="U789" s="16"/>
      <c r="V789" s="17"/>
      <c r="W789" s="14"/>
      <c r="X789" s="15"/>
      <c r="Y789" s="16"/>
      <c r="Z789" s="17"/>
      <c r="AA789" s="30"/>
      <c r="AB789" s="15"/>
    </row>
    <row r="790" spans="1:28">
      <c r="A790" s="460" t="s">
        <v>5796</v>
      </c>
      <c r="B790" s="207" t="s">
        <v>5810</v>
      </c>
      <c r="C790" s="14"/>
      <c r="D790" s="15"/>
      <c r="E790" s="16"/>
      <c r="F790" s="17"/>
      <c r="G790" s="14"/>
      <c r="H790" s="15"/>
      <c r="I790" s="16"/>
      <c r="J790" s="17"/>
      <c r="K790" s="14"/>
      <c r="L790" s="15"/>
      <c r="M790" s="16"/>
      <c r="N790" s="17"/>
      <c r="O790" s="2823" t="s">
        <v>5812</v>
      </c>
      <c r="P790" s="2823"/>
      <c r="Q790" s="2646"/>
      <c r="R790" s="17"/>
      <c r="S790" s="14"/>
      <c r="T790" s="15"/>
      <c r="U790" s="16"/>
      <c r="V790" s="17"/>
      <c r="W790" s="14"/>
      <c r="X790" s="15"/>
      <c r="Y790" s="16"/>
      <c r="Z790" s="17"/>
      <c r="AA790" s="30"/>
      <c r="AB790" s="15"/>
    </row>
    <row r="791" spans="1:28" ht="40.5" thickBot="1">
      <c r="A791" s="2134" t="s">
        <v>5778</v>
      </c>
      <c r="B791" s="2580" t="s">
        <v>5810</v>
      </c>
      <c r="C791" s="14"/>
      <c r="D791" s="15"/>
      <c r="E791" s="16"/>
      <c r="F791" s="17"/>
      <c r="G791" s="14"/>
      <c r="H791" s="15"/>
      <c r="I791" s="16"/>
      <c r="J791" s="17"/>
      <c r="K791" s="14"/>
      <c r="L791" s="15"/>
      <c r="M791" s="16"/>
      <c r="N791" s="17"/>
      <c r="O791" s="2823" t="s">
        <v>5813</v>
      </c>
      <c r="P791" s="2823"/>
      <c r="Q791" s="2646"/>
      <c r="R791" s="17"/>
      <c r="S791" s="14"/>
      <c r="T791" s="15"/>
      <c r="U791" s="16"/>
      <c r="V791" s="17"/>
      <c r="W791" s="14"/>
      <c r="X791" s="15"/>
      <c r="Y791" s="16"/>
      <c r="Z791" s="17"/>
      <c r="AA791" s="30"/>
      <c r="AB791" s="15"/>
    </row>
    <row r="792" spans="1:28" ht="40.5" thickTop="1">
      <c r="A792" s="1000" t="s">
        <v>5814</v>
      </c>
      <c r="B792" s="1106"/>
      <c r="C792" s="14"/>
      <c r="D792" s="15"/>
      <c r="E792" s="16"/>
      <c r="F792" s="17"/>
      <c r="G792" s="14"/>
      <c r="H792" s="15"/>
      <c r="I792" s="16"/>
      <c r="J792" s="17"/>
      <c r="K792" s="14"/>
      <c r="L792" s="15"/>
      <c r="M792" s="16"/>
      <c r="N792" s="17"/>
      <c r="O792" s="2823" t="s">
        <v>5814</v>
      </c>
      <c r="P792" s="2823"/>
      <c r="Q792" s="2646"/>
      <c r="R792" s="17"/>
      <c r="S792" s="14"/>
      <c r="T792" s="15"/>
      <c r="U792" s="16"/>
      <c r="V792" s="17"/>
      <c r="W792" s="14"/>
      <c r="X792" s="15"/>
      <c r="Y792" s="16"/>
      <c r="Z792" s="17"/>
      <c r="AA792" s="30"/>
      <c r="AB792" s="15"/>
    </row>
    <row r="793" spans="1:28">
      <c r="A793" s="1000" t="s">
        <v>5815</v>
      </c>
      <c r="B793" s="320"/>
      <c r="C793" s="14"/>
      <c r="D793" s="15"/>
      <c r="E793" s="16"/>
      <c r="F793" s="17"/>
      <c r="G793" s="14"/>
      <c r="H793" s="15"/>
      <c r="I793" s="16"/>
      <c r="J793" s="17"/>
      <c r="K793" s="14"/>
      <c r="L793" s="15"/>
      <c r="M793" s="16"/>
      <c r="N793" s="17"/>
      <c r="O793" s="2823" t="s">
        <v>5816</v>
      </c>
      <c r="P793" s="2823"/>
      <c r="Q793" s="2646"/>
      <c r="R793" s="17"/>
      <c r="S793" s="14"/>
      <c r="T793" s="15"/>
      <c r="U793" s="16"/>
      <c r="V793" s="17"/>
      <c r="W793" s="14"/>
      <c r="X793" s="15"/>
      <c r="Y793" s="16"/>
      <c r="Z793" s="17"/>
      <c r="AA793" s="30"/>
      <c r="AB793" s="15"/>
    </row>
    <row r="794" spans="1:28">
      <c r="A794" s="1000" t="s">
        <v>5817</v>
      </c>
      <c r="B794" s="320"/>
      <c r="C794" s="14"/>
      <c r="D794" s="15"/>
      <c r="E794" s="16"/>
      <c r="F794" s="17"/>
      <c r="G794" s="14"/>
      <c r="H794" s="15"/>
      <c r="I794" s="16"/>
      <c r="J794" s="17"/>
      <c r="K794" s="14"/>
      <c r="L794" s="15"/>
      <c r="M794" s="16"/>
      <c r="N794" s="17"/>
      <c r="O794" s="2823" t="s">
        <v>5817</v>
      </c>
      <c r="P794" s="2823"/>
      <c r="Q794" s="2646"/>
      <c r="R794" s="17"/>
      <c r="S794" s="14"/>
      <c r="T794" s="15"/>
      <c r="U794" s="16"/>
      <c r="V794" s="17"/>
      <c r="W794" s="14"/>
      <c r="X794" s="15"/>
      <c r="Y794" s="16"/>
      <c r="Z794" s="17"/>
      <c r="AA794" s="30"/>
      <c r="AB794" s="15"/>
    </row>
    <row r="795" spans="1:28">
      <c r="A795" s="1000" t="s">
        <v>5818</v>
      </c>
      <c r="B795" s="320"/>
      <c r="C795" s="14"/>
      <c r="D795" s="15"/>
      <c r="E795" s="16"/>
      <c r="F795" s="17"/>
      <c r="G795" s="14"/>
      <c r="H795" s="15"/>
      <c r="I795" s="16"/>
      <c r="J795" s="17"/>
      <c r="K795" s="14"/>
      <c r="L795" s="15"/>
      <c r="M795" s="16"/>
      <c r="N795" s="17"/>
      <c r="O795" s="2824" t="s">
        <v>5818</v>
      </c>
      <c r="P795" s="2824"/>
      <c r="Q795" s="2646"/>
      <c r="R795" s="17"/>
      <c r="S795" s="14"/>
      <c r="T795" s="15"/>
      <c r="U795" s="16"/>
      <c r="V795" s="17"/>
      <c r="W795" s="14"/>
      <c r="X795" s="15"/>
      <c r="Y795" s="16"/>
      <c r="Z795" s="17"/>
      <c r="AA795" s="30"/>
      <c r="AB795" s="15"/>
    </row>
    <row r="796" spans="1:28">
      <c r="A796" s="117" t="s">
        <v>5819</v>
      </c>
      <c r="B796" s="852"/>
      <c r="C796" s="14"/>
      <c r="D796" s="15"/>
      <c r="E796" s="16"/>
      <c r="F796" s="17"/>
      <c r="G796" s="14"/>
      <c r="H796" s="15"/>
      <c r="I796" s="16"/>
      <c r="J796" s="17"/>
      <c r="K796" s="14"/>
      <c r="L796" s="15"/>
      <c r="M796" s="16"/>
      <c r="N796" s="17"/>
      <c r="O796" s="2825" t="s">
        <v>5819</v>
      </c>
      <c r="P796" s="2826"/>
      <c r="Q796" s="2645"/>
      <c r="R796" s="1795"/>
      <c r="S796" s="14"/>
      <c r="T796" s="15"/>
      <c r="U796" s="16"/>
      <c r="V796" s="17"/>
      <c r="W796" s="14"/>
      <c r="X796" s="15"/>
      <c r="Y796" s="16"/>
      <c r="Z796" s="17"/>
      <c r="AA796" s="30"/>
      <c r="AB796" s="15"/>
    </row>
    <row r="797" spans="1:28">
      <c r="A797" s="207" t="s">
        <v>5820</v>
      </c>
      <c r="B797" s="852"/>
      <c r="C797" s="14"/>
      <c r="D797" s="15"/>
      <c r="E797" s="16"/>
      <c r="F797" s="17"/>
      <c r="G797" s="14"/>
      <c r="H797" s="15"/>
      <c r="I797" s="16"/>
      <c r="J797" s="17"/>
      <c r="K797" s="14"/>
      <c r="L797" s="15"/>
      <c r="M797" s="16"/>
      <c r="N797" s="17"/>
      <c r="O797" s="2994" t="s">
        <v>5820</v>
      </c>
      <c r="P797" s="2826"/>
      <c r="Q797" s="2649"/>
      <c r="R797" s="2650"/>
      <c r="S797" s="2651"/>
      <c r="T797" s="2648"/>
      <c r="U797" s="16"/>
      <c r="V797" s="17"/>
      <c r="W797" s="14"/>
      <c r="X797" s="15"/>
      <c r="Y797" s="16"/>
      <c r="Z797" s="17"/>
      <c r="AA797" s="30"/>
      <c r="AB797" s="15"/>
    </row>
    <row r="798" spans="1:28" ht="40.5" thickBot="1">
      <c r="A798" s="207" t="s">
        <v>5821</v>
      </c>
      <c r="B798" s="852"/>
      <c r="C798" s="6"/>
      <c r="D798" s="32"/>
      <c r="E798" s="7"/>
      <c r="F798" s="40"/>
      <c r="G798" s="6"/>
      <c r="H798" s="32"/>
      <c r="I798" s="7"/>
      <c r="J798" s="40"/>
      <c r="K798" s="6"/>
      <c r="L798" s="32"/>
      <c r="M798" s="7"/>
      <c r="N798" s="40"/>
      <c r="O798" s="2823" t="s">
        <v>5821</v>
      </c>
      <c r="P798" s="2823"/>
      <c r="Q798" s="2647"/>
      <c r="R798" s="40"/>
      <c r="S798" s="6"/>
      <c r="T798" s="32"/>
      <c r="U798" s="7"/>
      <c r="V798" s="40"/>
      <c r="W798" s="6"/>
      <c r="X798" s="32"/>
      <c r="Y798" s="7"/>
      <c r="Z798" s="40"/>
      <c r="AA798" s="2630"/>
      <c r="AB798" s="2631"/>
    </row>
    <row r="799" spans="1:28" ht="40.5" thickBot="1">
      <c r="A799" s="207"/>
      <c r="B799" s="1788"/>
      <c r="C799" s="6"/>
      <c r="D799" s="32"/>
      <c r="E799" s="7"/>
      <c r="F799" s="40"/>
      <c r="G799" s="6"/>
      <c r="H799" s="32"/>
      <c r="I799" s="7"/>
      <c r="J799" s="40"/>
      <c r="K799" s="6"/>
      <c r="L799" s="32"/>
      <c r="M799" s="7"/>
      <c r="N799" s="40"/>
      <c r="O799" s="6"/>
      <c r="P799" s="32"/>
      <c r="Q799" s="7"/>
      <c r="R799" s="40"/>
      <c r="S799" s="6"/>
      <c r="T799" s="32"/>
      <c r="U799" s="7"/>
      <c r="V799" s="40"/>
      <c r="W799" s="6"/>
      <c r="X799" s="32"/>
      <c r="Y799" s="7"/>
      <c r="Z799" s="32"/>
      <c r="AA799" s="31"/>
      <c r="AB799" s="32"/>
    </row>
    <row r="800" spans="1:28">
      <c r="A800" s="2080"/>
      <c r="B800" s="2573"/>
    </row>
    <row r="801" spans="1:28" ht="40.5">
      <c r="A801" s="3" t="s">
        <v>5063</v>
      </c>
      <c r="B801" s="23"/>
      <c r="C801" s="3"/>
      <c r="D801" s="3"/>
      <c r="E801" s="3"/>
      <c r="F801" s="3"/>
      <c r="G801" s="3"/>
      <c r="H801" s="3"/>
      <c r="I801" s="3"/>
      <c r="J801" s="3"/>
      <c r="K801" s="3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B801" s="4"/>
    </row>
    <row r="802" spans="1:28" ht="40.5" thickBot="1">
      <c r="A802" s="5" t="s">
        <v>5064</v>
      </c>
    </row>
    <row r="803" spans="1:28">
      <c r="A803" s="3544" t="s">
        <v>2</v>
      </c>
      <c r="B803" s="3546" t="s">
        <v>3</v>
      </c>
      <c r="C803" s="3537" t="s">
        <v>5065</v>
      </c>
      <c r="D803" s="3538"/>
      <c r="E803" s="3536" t="s">
        <v>5066</v>
      </c>
      <c r="F803" s="3536"/>
      <c r="G803" s="3537" t="s">
        <v>5067</v>
      </c>
      <c r="H803" s="3538"/>
      <c r="I803" s="3536" t="s">
        <v>5068</v>
      </c>
      <c r="J803" s="3536"/>
      <c r="K803" s="3537" t="s">
        <v>5069</v>
      </c>
      <c r="L803" s="3538"/>
      <c r="M803" s="3536" t="s">
        <v>5070</v>
      </c>
      <c r="N803" s="3536"/>
      <c r="O803" s="3542"/>
      <c r="P803" s="3542"/>
      <c r="Q803" s="3536" t="s">
        <v>5071</v>
      </c>
      <c r="R803" s="3536"/>
      <c r="S803" s="3536" t="s">
        <v>5072</v>
      </c>
      <c r="T803" s="3536"/>
      <c r="U803" s="3472" t="s">
        <v>5073</v>
      </c>
      <c r="V803" s="3473"/>
      <c r="W803" s="3536" t="s">
        <v>5074</v>
      </c>
      <c r="X803" s="3536"/>
      <c r="Y803" s="3472" t="s">
        <v>5075</v>
      </c>
      <c r="Z803" s="3475"/>
      <c r="AA803" s="3537" t="s">
        <v>5076</v>
      </c>
      <c r="AB803" s="3538"/>
    </row>
    <row r="804" spans="1:28" ht="40.5" thickBot="1">
      <c r="A804" s="3545"/>
      <c r="B804" s="3547"/>
      <c r="C804" s="1" t="s">
        <v>5078</v>
      </c>
      <c r="D804" s="35" t="s">
        <v>5079</v>
      </c>
      <c r="E804" s="2" t="s">
        <v>5078</v>
      </c>
      <c r="F804" s="36" t="s">
        <v>5079</v>
      </c>
      <c r="G804" s="1" t="s">
        <v>5078</v>
      </c>
      <c r="H804" s="35" t="s">
        <v>5079</v>
      </c>
      <c r="I804" s="2" t="s">
        <v>5078</v>
      </c>
      <c r="J804" s="36" t="s">
        <v>5079</v>
      </c>
      <c r="K804" s="1" t="s">
        <v>5078</v>
      </c>
      <c r="L804" s="35" t="s">
        <v>5079</v>
      </c>
      <c r="M804" s="2" t="s">
        <v>5078</v>
      </c>
      <c r="N804" s="36" t="s">
        <v>5079</v>
      </c>
      <c r="O804" s="2769"/>
      <c r="P804" s="2820"/>
      <c r="Q804" s="2" t="s">
        <v>5078</v>
      </c>
      <c r="R804" s="36" t="s">
        <v>5079</v>
      </c>
      <c r="S804" s="1" t="s">
        <v>5078</v>
      </c>
      <c r="T804" s="35" t="s">
        <v>5079</v>
      </c>
      <c r="U804" s="2" t="s">
        <v>5078</v>
      </c>
      <c r="V804" s="36" t="s">
        <v>5079</v>
      </c>
      <c r="W804" s="1" t="s">
        <v>5078</v>
      </c>
      <c r="X804" s="35" t="s">
        <v>5079</v>
      </c>
      <c r="Y804" s="2" t="s">
        <v>5078</v>
      </c>
      <c r="Z804" s="36" t="s">
        <v>5079</v>
      </c>
      <c r="AA804" s="1" t="s">
        <v>5078</v>
      </c>
      <c r="AB804" s="35" t="s">
        <v>5079</v>
      </c>
    </row>
    <row r="805" spans="1:28">
      <c r="A805" s="599" t="s">
        <v>5822</v>
      </c>
      <c r="B805" s="2586" t="s">
        <v>5823</v>
      </c>
      <c r="C805" s="9"/>
      <c r="D805" s="10"/>
      <c r="E805" s="11"/>
      <c r="F805" s="12"/>
      <c r="G805" s="9"/>
      <c r="H805" s="10"/>
      <c r="I805" s="11"/>
      <c r="J805" s="12"/>
      <c r="K805" s="9"/>
      <c r="L805" s="10"/>
      <c r="M805" s="11"/>
      <c r="N805" s="12"/>
      <c r="O805" s="2821" t="s">
        <v>5822</v>
      </c>
      <c r="P805" s="2822"/>
      <c r="Q805" s="11"/>
      <c r="R805" s="12"/>
      <c r="S805" s="9"/>
      <c r="T805" s="10"/>
      <c r="U805" s="11"/>
      <c r="V805" s="12"/>
      <c r="W805" s="9"/>
      <c r="X805" s="10"/>
      <c r="Y805" s="11"/>
      <c r="Z805" s="12"/>
      <c r="AA805" s="33"/>
      <c r="AB805" s="10"/>
    </row>
    <row r="806" spans="1:28">
      <c r="A806" s="599" t="s">
        <v>5824</v>
      </c>
      <c r="B806" s="2586" t="s">
        <v>5823</v>
      </c>
      <c r="C806" s="14"/>
      <c r="D806" s="15"/>
      <c r="E806" s="16"/>
      <c r="F806" s="17"/>
      <c r="G806" s="14"/>
      <c r="H806" s="15"/>
      <c r="I806" s="16"/>
      <c r="J806" s="17"/>
      <c r="K806" s="14"/>
      <c r="L806" s="15"/>
      <c r="M806" s="16"/>
      <c r="N806" s="17"/>
      <c r="O806" s="2823" t="s">
        <v>5824</v>
      </c>
      <c r="P806" s="2823"/>
      <c r="Q806" s="2646"/>
      <c r="R806" s="17"/>
      <c r="S806" s="14"/>
      <c r="T806" s="15"/>
      <c r="U806" s="16"/>
      <c r="V806" s="17"/>
      <c r="W806" s="14"/>
      <c r="X806" s="15"/>
      <c r="Y806" s="16"/>
      <c r="Z806" s="17"/>
      <c r="AA806" s="30"/>
      <c r="AB806" s="15"/>
    </row>
    <row r="807" spans="1:28">
      <c r="A807" s="599" t="s">
        <v>5825</v>
      </c>
      <c r="B807" s="733" t="s">
        <v>5477</v>
      </c>
      <c r="C807" s="14"/>
      <c r="D807" s="15"/>
      <c r="E807" s="16"/>
      <c r="F807" s="17"/>
      <c r="G807" s="14"/>
      <c r="H807" s="15"/>
      <c r="I807" s="16"/>
      <c r="J807" s="17"/>
      <c r="K807" s="14"/>
      <c r="L807" s="15"/>
      <c r="M807" s="16"/>
      <c r="N807" s="17"/>
      <c r="O807" s="2823" t="s">
        <v>5826</v>
      </c>
      <c r="P807" s="2823"/>
      <c r="Q807" s="2646"/>
      <c r="R807" s="17"/>
      <c r="S807" s="14"/>
      <c r="T807" s="15"/>
      <c r="U807" s="16"/>
      <c r="V807" s="17"/>
      <c r="W807" s="14"/>
      <c r="X807" s="15"/>
      <c r="Y807" s="16"/>
      <c r="Z807" s="17"/>
      <c r="AA807" s="30"/>
      <c r="AB807" s="15"/>
    </row>
    <row r="808" spans="1:28">
      <c r="A808" s="599" t="s">
        <v>5827</v>
      </c>
      <c r="B808" s="733" t="s">
        <v>5477</v>
      </c>
      <c r="C808" s="14"/>
      <c r="D808" s="15"/>
      <c r="E808" s="16"/>
      <c r="F808" s="17"/>
      <c r="G808" s="14"/>
      <c r="H808" s="15"/>
      <c r="I808" s="16"/>
      <c r="J808" s="17"/>
      <c r="K808" s="14"/>
      <c r="L808" s="15"/>
      <c r="M808" s="16"/>
      <c r="N808" s="17"/>
      <c r="O808" s="2823" t="s">
        <v>5827</v>
      </c>
      <c r="P808" s="2823"/>
      <c r="Q808" s="2646"/>
      <c r="R808" s="17"/>
      <c r="S808" s="14"/>
      <c r="T808" s="15"/>
      <c r="U808" s="16"/>
      <c r="V808" s="17"/>
      <c r="W808" s="14"/>
      <c r="X808" s="15"/>
      <c r="Y808" s="16"/>
      <c r="Z808" s="17"/>
      <c r="AA808" s="30"/>
      <c r="AB808" s="15"/>
    </row>
    <row r="809" spans="1:28">
      <c r="A809" s="2587" t="s">
        <v>5828</v>
      </c>
      <c r="B809" s="2588" t="s">
        <v>5829</v>
      </c>
      <c r="C809" s="14"/>
      <c r="D809" s="15"/>
      <c r="E809" s="16"/>
      <c r="F809" s="17"/>
      <c r="G809" s="14"/>
      <c r="H809" s="15"/>
      <c r="I809" s="16"/>
      <c r="J809" s="17"/>
      <c r="K809" s="14"/>
      <c r="L809" s="15"/>
      <c r="M809" s="16"/>
      <c r="N809" s="17"/>
      <c r="O809" s="2823" t="s">
        <v>5828</v>
      </c>
      <c r="P809" s="2823"/>
      <c r="Q809" s="2646"/>
      <c r="R809" s="17"/>
      <c r="S809" s="14"/>
      <c r="T809" s="15"/>
      <c r="U809" s="16"/>
      <c r="V809" s="17"/>
      <c r="W809" s="14"/>
      <c r="X809" s="15"/>
      <c r="Y809" s="16"/>
      <c r="Z809" s="17"/>
      <c r="AA809" s="30"/>
      <c r="AB809" s="15"/>
    </row>
    <row r="810" spans="1:28">
      <c r="A810" s="1941" t="s">
        <v>5830</v>
      </c>
      <c r="B810" s="1047" t="s">
        <v>320</v>
      </c>
      <c r="C810" s="14"/>
      <c r="D810" s="15"/>
      <c r="E810" s="16"/>
      <c r="F810" s="17"/>
      <c r="G810" s="14"/>
      <c r="H810" s="15"/>
      <c r="I810" s="16"/>
      <c r="J810" s="17"/>
      <c r="K810" s="14"/>
      <c r="L810" s="15"/>
      <c r="M810" s="16"/>
      <c r="N810" s="17"/>
      <c r="O810" s="2823" t="s">
        <v>5831</v>
      </c>
      <c r="P810" s="2823"/>
      <c r="Q810" s="2646"/>
      <c r="R810" s="17"/>
      <c r="S810" s="14"/>
      <c r="T810" s="15"/>
      <c r="U810" s="16"/>
      <c r="V810" s="17"/>
      <c r="W810" s="14"/>
      <c r="X810" s="15"/>
      <c r="Y810" s="16"/>
      <c r="Z810" s="17"/>
      <c r="AA810" s="30"/>
      <c r="AB810" s="15"/>
    </row>
    <row r="811" spans="1:28">
      <c r="A811" s="1941" t="s">
        <v>5832</v>
      </c>
      <c r="B811" s="1047" t="s">
        <v>316</v>
      </c>
      <c r="C811" s="14"/>
      <c r="D811" s="15"/>
      <c r="E811" s="16"/>
      <c r="F811" s="17"/>
      <c r="G811" s="14"/>
      <c r="H811" s="15"/>
      <c r="I811" s="16"/>
      <c r="J811" s="17"/>
      <c r="K811" s="14"/>
      <c r="L811" s="15"/>
      <c r="M811" s="16"/>
      <c r="N811" s="17"/>
      <c r="O811" s="2823" t="s">
        <v>5833</v>
      </c>
      <c r="P811" s="2823"/>
      <c r="Q811" s="2646"/>
      <c r="R811" s="17"/>
      <c r="S811" s="14"/>
      <c r="T811" s="15"/>
      <c r="U811" s="16"/>
      <c r="V811" s="17"/>
      <c r="W811" s="14"/>
      <c r="X811" s="15"/>
      <c r="Y811" s="16"/>
      <c r="Z811" s="17"/>
      <c r="AA811" s="30"/>
      <c r="AB811" s="15"/>
    </row>
    <row r="812" spans="1:28">
      <c r="A812" s="1941" t="s">
        <v>5832</v>
      </c>
      <c r="B812" s="1047" t="s">
        <v>980</v>
      </c>
      <c r="C812" s="14"/>
      <c r="D812" s="15"/>
      <c r="E812" s="16"/>
      <c r="F812" s="17"/>
      <c r="G812" s="14"/>
      <c r="H812" s="15"/>
      <c r="I812" s="16"/>
      <c r="J812" s="17"/>
      <c r="K812" s="14"/>
      <c r="L812" s="15"/>
      <c r="M812" s="16"/>
      <c r="N812" s="17"/>
      <c r="O812" s="2823" t="s">
        <v>5834</v>
      </c>
      <c r="P812" s="2823"/>
      <c r="Q812" s="2646"/>
      <c r="R812" s="17"/>
      <c r="S812" s="14"/>
      <c r="T812" s="15"/>
      <c r="U812" s="16"/>
      <c r="V812" s="17"/>
      <c r="W812" s="14"/>
      <c r="X812" s="15"/>
      <c r="Y812" s="16"/>
      <c r="Z812" s="17"/>
      <c r="AA812" s="30"/>
      <c r="AB812" s="15"/>
    </row>
    <row r="813" spans="1:28">
      <c r="A813" s="1941" t="s">
        <v>5832</v>
      </c>
      <c r="B813" s="1047" t="s">
        <v>5835</v>
      </c>
      <c r="C813" s="14"/>
      <c r="D813" s="15"/>
      <c r="E813" s="16"/>
      <c r="F813" s="17"/>
      <c r="G813" s="14"/>
      <c r="H813" s="15"/>
      <c r="I813" s="16"/>
      <c r="J813" s="17"/>
      <c r="K813" s="14"/>
      <c r="L813" s="15"/>
      <c r="M813" s="16"/>
      <c r="N813" s="17"/>
      <c r="O813" s="2823"/>
      <c r="P813" s="2823"/>
      <c r="Q813" s="2646"/>
      <c r="R813" s="17"/>
      <c r="S813" s="14"/>
      <c r="T813" s="15"/>
      <c r="U813" s="16"/>
      <c r="V813" s="17"/>
      <c r="W813" s="14"/>
      <c r="X813" s="15"/>
      <c r="Y813" s="16"/>
      <c r="Z813" s="17"/>
      <c r="AA813" s="30"/>
      <c r="AB813" s="15"/>
    </row>
    <row r="814" spans="1:28">
      <c r="A814" s="115" t="s">
        <v>5836</v>
      </c>
      <c r="B814" s="787" t="s">
        <v>5837</v>
      </c>
      <c r="C814" s="14"/>
      <c r="D814" s="15"/>
      <c r="E814" s="16"/>
      <c r="F814" s="17"/>
      <c r="G814" s="14"/>
      <c r="H814" s="15"/>
      <c r="I814" s="16"/>
      <c r="J814" s="17"/>
      <c r="K814" s="14"/>
      <c r="L814" s="15"/>
      <c r="M814" s="16"/>
      <c r="N814" s="17"/>
      <c r="O814" s="2823" t="s">
        <v>5838</v>
      </c>
      <c r="P814" s="2823"/>
      <c r="Q814" s="2646"/>
      <c r="R814" s="17"/>
      <c r="S814" s="14"/>
      <c r="T814" s="15"/>
      <c r="U814" s="16"/>
      <c r="V814" s="17"/>
      <c r="W814" s="14"/>
      <c r="X814" s="15"/>
      <c r="Y814" s="16"/>
      <c r="Z814" s="17"/>
      <c r="AA814" s="30"/>
      <c r="AB814" s="15"/>
    </row>
    <row r="815" spans="1:28">
      <c r="A815" s="115" t="s">
        <v>5836</v>
      </c>
      <c r="B815" s="787" t="s">
        <v>5839</v>
      </c>
      <c r="C815" s="14"/>
      <c r="D815" s="15"/>
      <c r="E815" s="16"/>
      <c r="F815" s="17"/>
      <c r="G815" s="14"/>
      <c r="H815" s="15"/>
      <c r="I815" s="16"/>
      <c r="J815" s="17"/>
      <c r="K815" s="14"/>
      <c r="L815" s="15"/>
      <c r="M815" s="16"/>
      <c r="N815" s="17"/>
      <c r="O815" s="2823" t="s">
        <v>5840</v>
      </c>
      <c r="P815" s="2823"/>
      <c r="Q815" s="2646"/>
      <c r="R815" s="17"/>
      <c r="S815" s="14"/>
      <c r="T815" s="15"/>
      <c r="U815" s="16"/>
      <c r="V815" s="17"/>
      <c r="W815" s="14"/>
      <c r="X815" s="15"/>
      <c r="Y815" s="16"/>
      <c r="Z815" s="17"/>
      <c r="AA815" s="30"/>
      <c r="AB815" s="15"/>
    </row>
    <row r="816" spans="1:28" ht="40.5" thickBot="1">
      <c r="A816" s="2589" t="s">
        <v>5841</v>
      </c>
      <c r="B816" s="2590" t="s">
        <v>5842</v>
      </c>
      <c r="C816" s="14"/>
      <c r="D816" s="15"/>
      <c r="E816" s="16"/>
      <c r="F816" s="17"/>
      <c r="G816" s="14"/>
      <c r="H816" s="15"/>
      <c r="I816" s="16"/>
      <c r="J816" s="17"/>
      <c r="K816" s="14"/>
      <c r="L816" s="15"/>
      <c r="M816" s="16"/>
      <c r="N816" s="17"/>
      <c r="O816" s="2823" t="s">
        <v>5843</v>
      </c>
      <c r="P816" s="2823"/>
      <c r="Q816" s="2646"/>
      <c r="R816" s="17"/>
      <c r="S816" s="14"/>
      <c r="T816" s="15"/>
      <c r="U816" s="16"/>
      <c r="V816" s="17"/>
      <c r="W816" s="14"/>
      <c r="X816" s="15"/>
      <c r="Y816" s="16"/>
      <c r="Z816" s="17"/>
      <c r="AA816" s="30"/>
      <c r="AB816" s="15"/>
    </row>
    <row r="817" spans="1:28" ht="40.5" thickTop="1">
      <c r="A817" s="1941" t="s">
        <v>5844</v>
      </c>
      <c r="B817" s="1047" t="s">
        <v>980</v>
      </c>
      <c r="C817" s="14"/>
      <c r="D817" s="15"/>
      <c r="E817" s="16"/>
      <c r="F817" s="17"/>
      <c r="G817" s="14"/>
      <c r="H817" s="15"/>
      <c r="I817" s="16"/>
      <c r="J817" s="17"/>
      <c r="K817" s="14"/>
      <c r="L817" s="15"/>
      <c r="M817" s="16"/>
      <c r="N817" s="17"/>
      <c r="O817" s="2823" t="s">
        <v>5845</v>
      </c>
      <c r="P817" s="2823"/>
      <c r="Q817" s="2646"/>
      <c r="R817" s="17"/>
      <c r="S817" s="14"/>
      <c r="T817" s="15"/>
      <c r="U817" s="16"/>
      <c r="V817" s="17"/>
      <c r="W817" s="14"/>
      <c r="X817" s="15"/>
      <c r="Y817" s="16"/>
      <c r="Z817" s="17"/>
      <c r="AA817" s="30"/>
      <c r="AB817" s="15"/>
    </row>
    <row r="818" spans="1:28">
      <c r="A818" s="1941" t="s">
        <v>5844</v>
      </c>
      <c r="B818" s="1047" t="s">
        <v>316</v>
      </c>
      <c r="C818" s="14"/>
      <c r="D818" s="15"/>
      <c r="E818" s="16"/>
      <c r="F818" s="17"/>
      <c r="G818" s="14"/>
      <c r="H818" s="15"/>
      <c r="I818" s="16"/>
      <c r="J818" s="17"/>
      <c r="K818" s="14"/>
      <c r="L818" s="15"/>
      <c r="M818" s="16"/>
      <c r="N818" s="17"/>
      <c r="O818" s="2823" t="s">
        <v>5846</v>
      </c>
      <c r="P818" s="2823"/>
      <c r="Q818" s="2646"/>
      <c r="R818" s="17"/>
      <c r="S818" s="14"/>
      <c r="T818" s="15"/>
      <c r="U818" s="16"/>
      <c r="V818" s="17"/>
      <c r="W818" s="14"/>
      <c r="X818" s="15"/>
      <c r="Y818" s="16"/>
      <c r="Z818" s="17"/>
      <c r="AA818" s="30"/>
      <c r="AB818" s="15"/>
    </row>
    <row r="819" spans="1:28">
      <c r="A819" s="2587" t="s">
        <v>5847</v>
      </c>
      <c r="B819" s="2591" t="s">
        <v>5848</v>
      </c>
      <c r="C819" s="14"/>
      <c r="D819" s="15"/>
      <c r="E819" s="16"/>
      <c r="F819" s="17"/>
      <c r="G819" s="14"/>
      <c r="H819" s="15"/>
      <c r="I819" s="16"/>
      <c r="J819" s="17"/>
      <c r="K819" s="14"/>
      <c r="L819" s="15"/>
      <c r="M819" s="16"/>
      <c r="N819" s="17"/>
      <c r="O819" s="2824" t="s">
        <v>5849</v>
      </c>
      <c r="P819" s="2824"/>
      <c r="Q819" s="2646"/>
      <c r="R819" s="17"/>
      <c r="S819" s="14"/>
      <c r="T819" s="15"/>
      <c r="U819" s="16"/>
      <c r="V819" s="17"/>
      <c r="W819" s="14"/>
      <c r="X819" s="15"/>
      <c r="Y819" s="16"/>
      <c r="Z819" s="17"/>
      <c r="AA819" s="30"/>
      <c r="AB819" s="15"/>
    </row>
    <row r="820" spans="1:28">
      <c r="A820" s="2587" t="s">
        <v>5850</v>
      </c>
      <c r="B820" s="2591" t="s">
        <v>5851</v>
      </c>
      <c r="C820" s="14"/>
      <c r="D820" s="15"/>
      <c r="E820" s="16"/>
      <c r="F820" s="17"/>
      <c r="G820" s="14"/>
      <c r="H820" s="15"/>
      <c r="I820" s="16"/>
      <c r="J820" s="17"/>
      <c r="K820" s="14"/>
      <c r="L820" s="15"/>
      <c r="M820" s="16"/>
      <c r="N820" s="17"/>
      <c r="O820" s="2994" t="s">
        <v>5852</v>
      </c>
      <c r="P820" s="2826"/>
      <c r="Q820" s="2645"/>
      <c r="R820" s="1795"/>
      <c r="S820" s="14"/>
      <c r="T820" s="15"/>
      <c r="U820" s="16"/>
      <c r="V820" s="17"/>
      <c r="W820" s="14"/>
      <c r="X820" s="15"/>
      <c r="Y820" s="16"/>
      <c r="Z820" s="17"/>
      <c r="AA820" s="30"/>
      <c r="AB820" s="15"/>
    </row>
    <row r="821" spans="1:28">
      <c r="A821" s="2587" t="s">
        <v>5853</v>
      </c>
      <c r="B821" s="390" t="s">
        <v>5854</v>
      </c>
      <c r="C821" s="14"/>
      <c r="D821" s="15"/>
      <c r="E821" s="16"/>
      <c r="F821" s="17"/>
      <c r="G821" s="14"/>
      <c r="H821" s="15"/>
      <c r="I821" s="16"/>
      <c r="J821" s="17"/>
      <c r="K821" s="14"/>
      <c r="L821" s="15"/>
      <c r="M821" s="16"/>
      <c r="N821" s="17"/>
      <c r="O821" s="2994" t="s">
        <v>5855</v>
      </c>
      <c r="P821" s="2826"/>
      <c r="Q821" s="2649"/>
      <c r="R821" s="2650"/>
      <c r="S821" s="2651"/>
      <c r="T821" s="2648"/>
      <c r="U821" s="16"/>
      <c r="V821" s="17"/>
      <c r="W821" s="14"/>
      <c r="X821" s="15"/>
      <c r="Y821" s="16"/>
      <c r="Z821" s="17"/>
      <c r="AA821" s="30"/>
      <c r="AB821" s="15"/>
    </row>
    <row r="822" spans="1:28" ht="40.5" thickBot="1">
      <c r="A822" s="2587" t="s">
        <v>5856</v>
      </c>
      <c r="B822" s="2592" t="s">
        <v>5857</v>
      </c>
      <c r="C822" s="6"/>
      <c r="D822" s="32"/>
      <c r="E822" s="7"/>
      <c r="F822" s="40"/>
      <c r="G822" s="6"/>
      <c r="H822" s="32"/>
      <c r="I822" s="7"/>
      <c r="J822" s="40"/>
      <c r="K822" s="6"/>
      <c r="L822" s="32"/>
      <c r="M822" s="7"/>
      <c r="N822" s="40"/>
      <c r="O822" s="2823" t="s">
        <v>5858</v>
      </c>
      <c r="P822" s="2823"/>
      <c r="Q822" s="2647"/>
      <c r="R822" s="40"/>
      <c r="S822" s="6"/>
      <c r="T822" s="32"/>
      <c r="U822" s="7"/>
      <c r="V822" s="40"/>
      <c r="W822" s="6"/>
      <c r="X822" s="32"/>
      <c r="Y822" s="7"/>
      <c r="Z822" s="40"/>
      <c r="AA822" s="2630"/>
      <c r="AB822" s="2631"/>
    </row>
    <row r="823" spans="1:28" ht="40.5" thickBot="1">
      <c r="A823" s="2587" t="s">
        <v>5859</v>
      </c>
      <c r="B823" s="2586" t="s">
        <v>5860</v>
      </c>
      <c r="C823" s="6"/>
      <c r="D823" s="32"/>
      <c r="E823" s="7"/>
      <c r="F823" s="40"/>
      <c r="G823" s="6"/>
      <c r="H823" s="32"/>
      <c r="I823" s="7"/>
      <c r="J823" s="40"/>
      <c r="K823" s="6"/>
      <c r="L823" s="32"/>
      <c r="M823" s="7"/>
      <c r="N823" s="40"/>
      <c r="O823" s="3011" t="s">
        <v>5861</v>
      </c>
      <c r="P823" s="2906"/>
      <c r="Q823" s="7"/>
      <c r="R823" s="40"/>
      <c r="S823" s="6"/>
      <c r="T823" s="32"/>
      <c r="U823" s="7"/>
      <c r="V823" s="40"/>
      <c r="W823" s="6"/>
      <c r="X823" s="32"/>
      <c r="Y823" s="7"/>
      <c r="Z823" s="32"/>
      <c r="AA823" s="31"/>
      <c r="AB823" s="32"/>
    </row>
    <row r="824" spans="1:28">
      <c r="A824" s="2080"/>
      <c r="B824" s="2573"/>
    </row>
    <row r="825" spans="1:28" ht="40.5">
      <c r="A825" s="3" t="s">
        <v>5063</v>
      </c>
      <c r="B825" s="23"/>
      <c r="C825" s="3"/>
      <c r="D825" s="3"/>
      <c r="E825" s="3"/>
      <c r="F825" s="3"/>
      <c r="G825" s="3"/>
      <c r="H825" s="3"/>
      <c r="I825" s="3"/>
      <c r="J825" s="3"/>
      <c r="K825" s="3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B825" s="4"/>
    </row>
    <row r="826" spans="1:28" ht="40.5" thickBot="1">
      <c r="A826" s="5" t="s">
        <v>5064</v>
      </c>
    </row>
    <row r="827" spans="1:28">
      <c r="A827" s="3544" t="s">
        <v>2</v>
      </c>
      <c r="B827" s="3546" t="s">
        <v>3</v>
      </c>
      <c r="C827" s="3537" t="s">
        <v>5065</v>
      </c>
      <c r="D827" s="3538"/>
      <c r="E827" s="3536" t="s">
        <v>5066</v>
      </c>
      <c r="F827" s="3536"/>
      <c r="G827" s="3537" t="s">
        <v>5067</v>
      </c>
      <c r="H827" s="3538"/>
      <c r="I827" s="3536" t="s">
        <v>5068</v>
      </c>
      <c r="J827" s="3536"/>
      <c r="K827" s="3537" t="s">
        <v>5069</v>
      </c>
      <c r="L827" s="3538"/>
      <c r="M827" s="3536" t="s">
        <v>5070</v>
      </c>
      <c r="N827" s="3536"/>
      <c r="O827" s="3542"/>
      <c r="P827" s="3542"/>
      <c r="Q827" s="3536" t="s">
        <v>5071</v>
      </c>
      <c r="R827" s="3536"/>
      <c r="S827" s="3536" t="s">
        <v>5072</v>
      </c>
      <c r="T827" s="3536"/>
      <c r="U827" s="3472" t="s">
        <v>5073</v>
      </c>
      <c r="V827" s="3473"/>
      <c r="W827" s="3536" t="s">
        <v>5074</v>
      </c>
      <c r="X827" s="3536"/>
      <c r="Y827" s="3472" t="s">
        <v>5075</v>
      </c>
      <c r="Z827" s="3475"/>
      <c r="AA827" s="3537" t="s">
        <v>5076</v>
      </c>
      <c r="AB827" s="3538"/>
    </row>
    <row r="828" spans="1:28" ht="40.5" thickBot="1">
      <c r="A828" s="3545"/>
      <c r="B828" s="3547"/>
      <c r="C828" s="1" t="s">
        <v>5078</v>
      </c>
      <c r="D828" s="35" t="s">
        <v>5079</v>
      </c>
      <c r="E828" s="2" t="s">
        <v>5078</v>
      </c>
      <c r="F828" s="36" t="s">
        <v>5079</v>
      </c>
      <c r="G828" s="1" t="s">
        <v>5078</v>
      </c>
      <c r="H828" s="35" t="s">
        <v>5079</v>
      </c>
      <c r="I828" s="2" t="s">
        <v>5078</v>
      </c>
      <c r="J828" s="36" t="s">
        <v>5079</v>
      </c>
      <c r="K828" s="1" t="s">
        <v>5078</v>
      </c>
      <c r="L828" s="35" t="s">
        <v>5079</v>
      </c>
      <c r="M828" s="2" t="s">
        <v>5078</v>
      </c>
      <c r="N828" s="36" t="s">
        <v>5079</v>
      </c>
      <c r="O828" s="2769"/>
      <c r="P828" s="2820"/>
      <c r="Q828" s="2" t="s">
        <v>5078</v>
      </c>
      <c r="R828" s="36" t="s">
        <v>5079</v>
      </c>
      <c r="S828" s="1" t="s">
        <v>5078</v>
      </c>
      <c r="T828" s="35" t="s">
        <v>5079</v>
      </c>
      <c r="U828" s="2" t="s">
        <v>5078</v>
      </c>
      <c r="V828" s="36" t="s">
        <v>5079</v>
      </c>
      <c r="W828" s="1" t="s">
        <v>5078</v>
      </c>
      <c r="X828" s="35" t="s">
        <v>5079</v>
      </c>
      <c r="Y828" s="2" t="s">
        <v>5078</v>
      </c>
      <c r="Z828" s="36" t="s">
        <v>5079</v>
      </c>
      <c r="AA828" s="1" t="s">
        <v>5078</v>
      </c>
      <c r="AB828" s="35" t="s">
        <v>5079</v>
      </c>
    </row>
    <row r="829" spans="1:28">
      <c r="A829" s="116" t="s">
        <v>5862</v>
      </c>
      <c r="B829" s="117" t="s">
        <v>980</v>
      </c>
      <c r="C829" s="9"/>
      <c r="D829" s="10"/>
      <c r="E829" s="11"/>
      <c r="F829" s="12"/>
      <c r="G829" s="9"/>
      <c r="H829" s="10"/>
      <c r="I829" s="11"/>
      <c r="J829" s="12"/>
      <c r="K829" s="9"/>
      <c r="L829" s="10"/>
      <c r="M829" s="11"/>
      <c r="N829" s="12"/>
      <c r="O829" s="2821"/>
      <c r="P829" s="2822"/>
      <c r="Q829" s="11"/>
      <c r="R829" s="12"/>
      <c r="S829" s="9"/>
      <c r="T829" s="10"/>
      <c r="U829" s="11"/>
      <c r="V829" s="12"/>
      <c r="W829" s="9"/>
      <c r="X829" s="10"/>
      <c r="Y829" s="11"/>
      <c r="Z829" s="12"/>
      <c r="AA829" s="33"/>
      <c r="AB829" s="10"/>
    </row>
    <row r="830" spans="1:28">
      <c r="A830" s="116" t="s">
        <v>5863</v>
      </c>
      <c r="B830" s="207" t="s">
        <v>316</v>
      </c>
      <c r="C830" s="14"/>
      <c r="D830" s="15"/>
      <c r="E830" s="16"/>
      <c r="F830" s="17"/>
      <c r="G830" s="14"/>
      <c r="H830" s="15"/>
      <c r="I830" s="16"/>
      <c r="J830" s="17"/>
      <c r="K830" s="14"/>
      <c r="L830" s="15"/>
      <c r="M830" s="16"/>
      <c r="N830" s="17"/>
      <c r="O830" s="2823"/>
      <c r="P830" s="2823"/>
      <c r="Q830" s="2646"/>
      <c r="R830" s="17"/>
      <c r="S830" s="14"/>
      <c r="T830" s="15"/>
      <c r="U830" s="16"/>
      <c r="V830" s="17"/>
      <c r="W830" s="14"/>
      <c r="X830" s="15"/>
      <c r="Y830" s="16"/>
      <c r="Z830" s="17"/>
      <c r="AA830" s="30"/>
      <c r="AB830" s="15"/>
    </row>
    <row r="831" spans="1:28">
      <c r="A831" s="3024" t="s">
        <v>5864</v>
      </c>
      <c r="B831" s="3025" t="s">
        <v>980</v>
      </c>
      <c r="C831" s="3026"/>
      <c r="D831" s="3027"/>
      <c r="E831" s="3028"/>
      <c r="F831" s="3029"/>
      <c r="G831" s="3026"/>
      <c r="H831" s="3027"/>
      <c r="I831" s="3028"/>
      <c r="J831" s="3029"/>
      <c r="K831" s="3026"/>
      <c r="L831" s="3027"/>
      <c r="M831" s="3028"/>
      <c r="N831" s="3029"/>
      <c r="O831" s="3030" t="s">
        <v>5865</v>
      </c>
      <c r="P831" s="3030"/>
      <c r="Q831" s="3031"/>
      <c r="R831" s="3029"/>
      <c r="S831" s="3026"/>
      <c r="T831" s="3027"/>
      <c r="U831" s="3028"/>
      <c r="V831" s="3029"/>
      <c r="W831" s="3026"/>
      <c r="X831" s="3027"/>
      <c r="Y831" s="3028"/>
      <c r="Z831" s="3029"/>
      <c r="AA831" s="3032"/>
      <c r="AB831" s="3027"/>
    </row>
    <row r="832" spans="1:28">
      <c r="A832" s="3024" t="s">
        <v>5866</v>
      </c>
      <c r="B832" s="3033" t="s">
        <v>316</v>
      </c>
      <c r="C832" s="3026"/>
      <c r="D832" s="3027"/>
      <c r="E832" s="3028"/>
      <c r="F832" s="3029"/>
      <c r="G832" s="3026"/>
      <c r="H832" s="3027"/>
      <c r="I832" s="3028"/>
      <c r="J832" s="3029"/>
      <c r="K832" s="3026"/>
      <c r="L832" s="3027"/>
      <c r="M832" s="3028"/>
      <c r="N832" s="3029"/>
      <c r="O832" s="3030" t="s">
        <v>5867</v>
      </c>
      <c r="P832" s="3030"/>
      <c r="Q832" s="3031"/>
      <c r="R832" s="3029"/>
      <c r="S832" s="3026"/>
      <c r="T832" s="3027"/>
      <c r="U832" s="3028"/>
      <c r="V832" s="3029"/>
      <c r="W832" s="3026"/>
      <c r="X832" s="3027"/>
      <c r="Y832" s="3028"/>
      <c r="Z832" s="3029"/>
      <c r="AA832" s="3032"/>
      <c r="AB832" s="3027"/>
    </row>
    <row r="833" spans="1:28">
      <c r="A833" s="2593" t="s">
        <v>5868</v>
      </c>
      <c r="B833" s="2594" t="s">
        <v>320</v>
      </c>
      <c r="C833" s="14"/>
      <c r="D833" s="15"/>
      <c r="E833" s="16"/>
      <c r="F833" s="17"/>
      <c r="G833" s="14"/>
      <c r="H833" s="15"/>
      <c r="I833" s="16"/>
      <c r="J833" s="17"/>
      <c r="K833" s="14"/>
      <c r="L833" s="15"/>
      <c r="M833" s="16"/>
      <c r="N833" s="17"/>
      <c r="O833" s="2823"/>
      <c r="P833" s="2823"/>
      <c r="Q833" s="2646"/>
      <c r="R833" s="17"/>
      <c r="S833" s="14"/>
      <c r="T833" s="15"/>
      <c r="U833" s="16"/>
      <c r="V833" s="17"/>
      <c r="W833" s="14"/>
      <c r="X833" s="15"/>
      <c r="Y833" s="16"/>
      <c r="Z833" s="17"/>
      <c r="AA833" s="30"/>
      <c r="AB833" s="15"/>
    </row>
    <row r="834" spans="1:28">
      <c r="A834" s="116" t="s">
        <v>5869</v>
      </c>
      <c r="B834" s="117" t="s">
        <v>980</v>
      </c>
      <c r="C834" s="14"/>
      <c r="D834" s="15"/>
      <c r="E834" s="16"/>
      <c r="F834" s="17"/>
      <c r="G834" s="14"/>
      <c r="H834" s="15"/>
      <c r="I834" s="16"/>
      <c r="J834" s="17"/>
      <c r="K834" s="14"/>
      <c r="L834" s="15"/>
      <c r="M834" s="16"/>
      <c r="N834" s="17"/>
      <c r="O834" s="2823"/>
      <c r="P834" s="2823"/>
      <c r="Q834" s="2646"/>
      <c r="R834" s="17"/>
      <c r="S834" s="14"/>
      <c r="T834" s="15"/>
      <c r="U834" s="16"/>
      <c r="V834" s="17"/>
      <c r="W834" s="14"/>
      <c r="X834" s="15"/>
      <c r="Y834" s="16"/>
      <c r="Z834" s="17"/>
      <c r="AA834" s="30"/>
      <c r="AB834" s="15"/>
    </row>
    <row r="835" spans="1:28">
      <c r="A835" s="3012" t="s">
        <v>5870</v>
      </c>
      <c r="B835" s="3013" t="s">
        <v>980</v>
      </c>
      <c r="C835" s="3014"/>
      <c r="D835" s="3015"/>
      <c r="E835" s="3016"/>
      <c r="F835" s="3017"/>
      <c r="G835" s="3014"/>
      <c r="H835" s="3015"/>
      <c r="I835" s="3016"/>
      <c r="J835" s="3017"/>
      <c r="K835" s="3014"/>
      <c r="L835" s="3015"/>
      <c r="M835" s="3016"/>
      <c r="N835" s="3017"/>
      <c r="O835" s="3018" t="s">
        <v>5871</v>
      </c>
      <c r="P835" s="3019"/>
      <c r="Q835" s="3020"/>
      <c r="R835" s="3017"/>
      <c r="S835" s="3014"/>
      <c r="T835" s="3015"/>
      <c r="U835" s="3016"/>
      <c r="V835" s="3017"/>
      <c r="W835" s="3014"/>
      <c r="X835" s="3015"/>
      <c r="Y835" s="3016"/>
      <c r="Z835" s="3017"/>
      <c r="AA835" s="3021"/>
      <c r="AB835" s="3015"/>
    </row>
    <row r="836" spans="1:28">
      <c r="A836" s="3022" t="s">
        <v>5872</v>
      </c>
      <c r="B836" s="3023" t="s">
        <v>316</v>
      </c>
      <c r="C836" s="3014"/>
      <c r="D836" s="3015"/>
      <c r="E836" s="3016"/>
      <c r="F836" s="3017"/>
      <c r="G836" s="3014"/>
      <c r="H836" s="3015"/>
      <c r="I836" s="3016"/>
      <c r="J836" s="3017"/>
      <c r="K836" s="3014"/>
      <c r="L836" s="3015"/>
      <c r="M836" s="3016"/>
      <c r="N836" s="3017"/>
      <c r="O836" s="3018" t="s">
        <v>5873</v>
      </c>
      <c r="P836" s="3019"/>
      <c r="Q836" s="3020"/>
      <c r="R836" s="3017"/>
      <c r="S836" s="3014"/>
      <c r="T836" s="3015"/>
      <c r="U836" s="3016"/>
      <c r="V836" s="3017"/>
      <c r="W836" s="3014"/>
      <c r="X836" s="3015"/>
      <c r="Y836" s="3016"/>
      <c r="Z836" s="3017"/>
      <c r="AA836" s="3021"/>
      <c r="AB836" s="3015"/>
    </row>
    <row r="837" spans="1:28" ht="40.5" thickBot="1">
      <c r="A837" s="2595" t="s">
        <v>5874</v>
      </c>
      <c r="B837" s="1906" t="s">
        <v>320</v>
      </c>
      <c r="C837" s="14"/>
      <c r="D837" s="15"/>
      <c r="E837" s="16"/>
      <c r="F837" s="17"/>
      <c r="G837" s="14"/>
      <c r="H837" s="15"/>
      <c r="I837" s="16"/>
      <c r="J837" s="17"/>
      <c r="K837" s="14"/>
      <c r="L837" s="15"/>
      <c r="M837" s="16"/>
      <c r="N837" s="17"/>
      <c r="O837" s="2823"/>
      <c r="P837" s="2823"/>
      <c r="Q837" s="2646"/>
      <c r="R837" s="17"/>
      <c r="S837" s="14"/>
      <c r="T837" s="15"/>
      <c r="U837" s="16"/>
      <c r="V837" s="17"/>
      <c r="W837" s="14"/>
      <c r="X837" s="15"/>
      <c r="Y837" s="16"/>
      <c r="Z837" s="17"/>
      <c r="AA837" s="30"/>
      <c r="AB837" s="15"/>
    </row>
    <row r="838" spans="1:28" ht="41.25" thickTop="1" thickBot="1">
      <c r="A838" s="2595" t="s">
        <v>5874</v>
      </c>
      <c r="B838" s="1906" t="s">
        <v>320</v>
      </c>
      <c r="C838" s="14"/>
      <c r="D838" s="15"/>
      <c r="E838" s="16"/>
      <c r="F838" s="17"/>
      <c r="G838" s="14"/>
      <c r="H838" s="15"/>
      <c r="I838" s="16"/>
      <c r="J838" s="17"/>
      <c r="K838" s="14"/>
      <c r="L838" s="15"/>
      <c r="M838" s="16"/>
      <c r="N838" s="17"/>
      <c r="O838" s="2823"/>
      <c r="P838" s="2823"/>
      <c r="Q838" s="2646"/>
      <c r="R838" s="17"/>
      <c r="S838" s="14"/>
      <c r="T838" s="15"/>
      <c r="U838" s="16"/>
      <c r="V838" s="17"/>
      <c r="W838" s="14"/>
      <c r="X838" s="15"/>
      <c r="Y838" s="16"/>
      <c r="Z838" s="17"/>
      <c r="AA838" s="30"/>
      <c r="AB838" s="15"/>
    </row>
    <row r="839" spans="1:28" ht="40.5" thickTop="1">
      <c r="A839" s="2285" t="s">
        <v>5875</v>
      </c>
      <c r="B839" s="2567"/>
      <c r="C839" s="14"/>
      <c r="D839" s="15"/>
      <c r="E839" s="16"/>
      <c r="F839" s="17"/>
      <c r="G839" s="14"/>
      <c r="H839" s="15"/>
      <c r="I839" s="16"/>
      <c r="J839" s="17"/>
      <c r="K839" s="14"/>
      <c r="L839" s="15"/>
      <c r="M839" s="16"/>
      <c r="N839" s="17"/>
      <c r="O839" s="2823" t="s">
        <v>5875</v>
      </c>
      <c r="P839" s="2823"/>
      <c r="Q839" s="2646"/>
      <c r="R839" s="17"/>
      <c r="S839" s="14"/>
      <c r="T839" s="15"/>
      <c r="U839" s="16"/>
      <c r="V839" s="17"/>
      <c r="W839" s="14"/>
      <c r="X839" s="15"/>
      <c r="Y839" s="16"/>
      <c r="Z839" s="17"/>
      <c r="AA839" s="30"/>
      <c r="AB839" s="15"/>
    </row>
    <row r="840" spans="1:28">
      <c r="A840" s="2285" t="s">
        <v>5876</v>
      </c>
      <c r="B840" s="1106"/>
      <c r="C840" s="14"/>
      <c r="D840" s="15"/>
      <c r="E840" s="16"/>
      <c r="F840" s="17"/>
      <c r="G840" s="14"/>
      <c r="H840" s="15"/>
      <c r="I840" s="16"/>
      <c r="J840" s="17"/>
      <c r="K840" s="14"/>
      <c r="L840" s="15"/>
      <c r="M840" s="16"/>
      <c r="N840" s="17"/>
      <c r="O840" s="2823" t="s">
        <v>5876</v>
      </c>
      <c r="P840" s="2823"/>
      <c r="Q840" s="2646"/>
      <c r="R840" s="17"/>
      <c r="S840" s="14"/>
      <c r="T840" s="15"/>
      <c r="U840" s="16"/>
      <c r="V840" s="17"/>
      <c r="W840" s="14"/>
      <c r="X840" s="15"/>
      <c r="Y840" s="16"/>
      <c r="Z840" s="17"/>
      <c r="AA840" s="30"/>
      <c r="AB840" s="15"/>
    </row>
    <row r="841" spans="1:28">
      <c r="A841" s="2285" t="s">
        <v>5877</v>
      </c>
      <c r="B841" s="320"/>
      <c r="C841" s="14"/>
      <c r="D841" s="15"/>
      <c r="E841" s="16"/>
      <c r="F841" s="17"/>
      <c r="G841" s="14"/>
      <c r="H841" s="15"/>
      <c r="I841" s="16"/>
      <c r="J841" s="17"/>
      <c r="K841" s="14"/>
      <c r="L841" s="15"/>
      <c r="M841" s="16"/>
      <c r="N841" s="17"/>
      <c r="O841" s="2823" t="s">
        <v>5877</v>
      </c>
      <c r="P841" s="2823"/>
      <c r="Q841" s="2646"/>
      <c r="R841" s="17"/>
      <c r="S841" s="14"/>
      <c r="T841" s="15"/>
      <c r="U841" s="16"/>
      <c r="V841" s="17"/>
      <c r="W841" s="14"/>
      <c r="X841" s="15"/>
      <c r="Y841" s="16"/>
      <c r="Z841" s="17"/>
      <c r="AA841" s="30"/>
      <c r="AB841" s="15"/>
    </row>
    <row r="842" spans="1:28">
      <c r="A842" s="233" t="s">
        <v>5878</v>
      </c>
      <c r="B842" s="2288" t="s">
        <v>5879</v>
      </c>
      <c r="C842" s="14"/>
      <c r="D842" s="15"/>
      <c r="E842" s="16"/>
      <c r="F842" s="17"/>
      <c r="G842" s="14"/>
      <c r="H842" s="15"/>
      <c r="I842" s="16"/>
      <c r="J842" s="17"/>
      <c r="K842" s="14"/>
      <c r="L842" s="15"/>
      <c r="M842" s="16"/>
      <c r="N842" s="17"/>
      <c r="O842" s="2823"/>
      <c r="P842" s="2823"/>
      <c r="Q842" s="2646"/>
      <c r="R842" s="17"/>
      <c r="S842" s="14"/>
      <c r="T842" s="15"/>
      <c r="U842" s="16"/>
      <c r="V842" s="17"/>
      <c r="W842" s="14"/>
      <c r="X842" s="15"/>
      <c r="Y842" s="16"/>
      <c r="Z842" s="17"/>
      <c r="AA842" s="30"/>
      <c r="AB842" s="15"/>
    </row>
    <row r="843" spans="1:28">
      <c r="A843" s="233" t="s">
        <v>5880</v>
      </c>
      <c r="B843" s="2596" t="s">
        <v>5881</v>
      </c>
      <c r="C843" s="14"/>
      <c r="D843" s="15"/>
      <c r="E843" s="16"/>
      <c r="F843" s="17"/>
      <c r="G843" s="14"/>
      <c r="H843" s="15"/>
      <c r="I843" s="16"/>
      <c r="J843" s="17"/>
      <c r="K843" s="14"/>
      <c r="L843" s="15"/>
      <c r="M843" s="16"/>
      <c r="N843" s="17"/>
      <c r="O843" s="2824"/>
      <c r="P843" s="2824"/>
      <c r="Q843" s="2646"/>
      <c r="R843" s="17"/>
      <c r="S843" s="14"/>
      <c r="T843" s="15"/>
      <c r="U843" s="16"/>
      <c r="V843" s="17"/>
      <c r="W843" s="14"/>
      <c r="X843" s="15"/>
      <c r="Y843" s="16"/>
      <c r="Z843" s="17"/>
      <c r="AA843" s="30"/>
      <c r="AB843" s="15"/>
    </row>
    <row r="844" spans="1:28">
      <c r="A844" s="233" t="s">
        <v>5880</v>
      </c>
      <c r="B844" s="2596" t="s">
        <v>5882</v>
      </c>
      <c r="C844" s="14"/>
      <c r="D844" s="15"/>
      <c r="E844" s="16"/>
      <c r="F844" s="17"/>
      <c r="G844" s="14"/>
      <c r="H844" s="15"/>
      <c r="I844" s="16"/>
      <c r="J844" s="17"/>
      <c r="K844" s="14"/>
      <c r="L844" s="15"/>
      <c r="M844" s="16"/>
      <c r="N844" s="17"/>
      <c r="O844" s="2825"/>
      <c r="P844" s="2826"/>
      <c r="Q844" s="2645"/>
      <c r="R844" s="1795"/>
      <c r="S844" s="14"/>
      <c r="T844" s="15"/>
      <c r="U844" s="16"/>
      <c r="V844" s="17"/>
      <c r="W844" s="14"/>
      <c r="X844" s="15"/>
      <c r="Y844" s="16"/>
      <c r="Z844" s="17"/>
      <c r="AA844" s="30"/>
      <c r="AB844" s="15"/>
    </row>
    <row r="845" spans="1:28">
      <c r="A845" s="224"/>
      <c r="B845" s="852"/>
      <c r="C845" s="14"/>
      <c r="D845" s="15"/>
      <c r="E845" s="16"/>
      <c r="F845" s="17"/>
      <c r="G845" s="14"/>
      <c r="H845" s="15"/>
      <c r="I845" s="16"/>
      <c r="J845" s="17"/>
      <c r="K845" s="14"/>
      <c r="L845" s="15"/>
      <c r="M845" s="16"/>
      <c r="N845" s="17"/>
      <c r="O845" s="2825"/>
      <c r="P845" s="2826"/>
      <c r="Q845" s="2649"/>
      <c r="R845" s="2650"/>
      <c r="S845" s="2651"/>
      <c r="T845" s="2648"/>
      <c r="U845" s="16"/>
      <c r="V845" s="17"/>
      <c r="W845" s="14"/>
      <c r="X845" s="15"/>
      <c r="Y845" s="16"/>
      <c r="Z845" s="17"/>
      <c r="AA845" s="30"/>
      <c r="AB845" s="15"/>
    </row>
    <row r="846" spans="1:28" ht="40.5" thickBot="1">
      <c r="A846" s="224"/>
      <c r="B846" s="852"/>
      <c r="C846" s="6"/>
      <c r="D846" s="32"/>
      <c r="E846" s="7"/>
      <c r="F846" s="40"/>
      <c r="G846" s="6"/>
      <c r="H846" s="32"/>
      <c r="I846" s="7"/>
      <c r="J846" s="40"/>
      <c r="K846" s="6"/>
      <c r="L846" s="32"/>
      <c r="M846" s="7"/>
      <c r="N846" s="40"/>
      <c r="O846" s="2823"/>
      <c r="P846" s="2823"/>
      <c r="Q846" s="2647"/>
      <c r="R846" s="40"/>
      <c r="S846" s="6"/>
      <c r="T846" s="32"/>
      <c r="U846" s="7"/>
      <c r="V846" s="40"/>
      <c r="W846" s="6"/>
      <c r="X846" s="32"/>
      <c r="Y846" s="7"/>
      <c r="Z846" s="40"/>
      <c r="AA846" s="2630"/>
      <c r="AB846" s="2631"/>
    </row>
    <row r="847" spans="1:28" ht="40.5" thickBot="1">
      <c r="A847" s="627"/>
      <c r="B847" s="1788"/>
      <c r="C847" s="6"/>
      <c r="D847" s="32"/>
      <c r="E847" s="7"/>
      <c r="F847" s="40"/>
      <c r="G847" s="6"/>
      <c r="H847" s="32"/>
      <c r="I847" s="7"/>
      <c r="J847" s="40"/>
      <c r="K847" s="6"/>
      <c r="L847" s="32"/>
      <c r="M847" s="7"/>
      <c r="N847" s="40"/>
      <c r="O847" s="6"/>
      <c r="P847" s="32"/>
      <c r="Q847" s="7"/>
      <c r="R847" s="40"/>
      <c r="S847" s="6"/>
      <c r="T847" s="32"/>
      <c r="U847" s="7"/>
      <c r="V847" s="40"/>
      <c r="W847" s="6"/>
      <c r="X847" s="32"/>
      <c r="Y847" s="7"/>
      <c r="Z847" s="32"/>
      <c r="AA847" s="31"/>
      <c r="AB847" s="32"/>
    </row>
    <row r="848" spans="1:28">
      <c r="A848" s="2080"/>
      <c r="B848" s="2573"/>
    </row>
    <row r="849" spans="1:28" ht="40.5">
      <c r="A849" s="3" t="s">
        <v>5063</v>
      </c>
      <c r="B849" s="23"/>
      <c r="C849" s="3"/>
      <c r="D849" s="3"/>
      <c r="E849" s="3"/>
      <c r="F849" s="3"/>
      <c r="G849" s="3"/>
      <c r="H849" s="3"/>
      <c r="I849" s="3"/>
      <c r="J849" s="3"/>
      <c r="K849" s="3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B849" s="4"/>
    </row>
    <row r="850" spans="1:28" ht="40.5" thickBot="1">
      <c r="A850" s="5" t="s">
        <v>5064</v>
      </c>
    </row>
    <row r="851" spans="1:28">
      <c r="A851" s="3544" t="s">
        <v>2</v>
      </c>
      <c r="B851" s="3546" t="s">
        <v>3</v>
      </c>
      <c r="C851" s="3537" t="s">
        <v>5065</v>
      </c>
      <c r="D851" s="3538"/>
      <c r="E851" s="3536" t="s">
        <v>5066</v>
      </c>
      <c r="F851" s="3536"/>
      <c r="G851" s="3537" t="s">
        <v>5067</v>
      </c>
      <c r="H851" s="3538"/>
      <c r="I851" s="3536" t="s">
        <v>5068</v>
      </c>
      <c r="J851" s="3536"/>
      <c r="K851" s="3537" t="s">
        <v>5069</v>
      </c>
      <c r="L851" s="3538"/>
      <c r="M851" s="3536" t="s">
        <v>5070</v>
      </c>
      <c r="N851" s="3536"/>
      <c r="O851" s="3542"/>
      <c r="P851" s="3542"/>
      <c r="Q851" s="3536" t="s">
        <v>5071</v>
      </c>
      <c r="R851" s="3536"/>
      <c r="S851" s="3536" t="s">
        <v>5072</v>
      </c>
      <c r="T851" s="3536"/>
      <c r="U851" s="3472" t="s">
        <v>5073</v>
      </c>
      <c r="V851" s="3473"/>
      <c r="W851" s="3536" t="s">
        <v>5074</v>
      </c>
      <c r="X851" s="3536"/>
      <c r="Y851" s="3472" t="s">
        <v>5075</v>
      </c>
      <c r="Z851" s="3475"/>
      <c r="AA851" s="3537" t="s">
        <v>5076</v>
      </c>
      <c r="AB851" s="3538"/>
    </row>
    <row r="852" spans="1:28" ht="40.5" thickBot="1">
      <c r="A852" s="3545"/>
      <c r="B852" s="3547"/>
      <c r="C852" s="1" t="s">
        <v>5078</v>
      </c>
      <c r="D852" s="35" t="s">
        <v>5079</v>
      </c>
      <c r="E852" s="2" t="s">
        <v>5078</v>
      </c>
      <c r="F852" s="36" t="s">
        <v>5079</v>
      </c>
      <c r="G852" s="1" t="s">
        <v>5078</v>
      </c>
      <c r="H852" s="35" t="s">
        <v>5079</v>
      </c>
      <c r="I852" s="2" t="s">
        <v>5078</v>
      </c>
      <c r="J852" s="36" t="s">
        <v>5079</v>
      </c>
      <c r="K852" s="1" t="s">
        <v>5078</v>
      </c>
      <c r="L852" s="35" t="s">
        <v>5079</v>
      </c>
      <c r="M852" s="2" t="s">
        <v>5078</v>
      </c>
      <c r="N852" s="36" t="s">
        <v>5079</v>
      </c>
      <c r="O852" s="2769"/>
      <c r="P852" s="2820"/>
      <c r="Q852" s="2" t="s">
        <v>5078</v>
      </c>
      <c r="R852" s="36" t="s">
        <v>5079</v>
      </c>
      <c r="S852" s="1" t="s">
        <v>5078</v>
      </c>
      <c r="T852" s="35" t="s">
        <v>5079</v>
      </c>
      <c r="U852" s="2" t="s">
        <v>5078</v>
      </c>
      <c r="V852" s="36" t="s">
        <v>5079</v>
      </c>
      <c r="W852" s="1" t="s">
        <v>5078</v>
      </c>
      <c r="X852" s="35" t="s">
        <v>5079</v>
      </c>
      <c r="Y852" s="2" t="s">
        <v>5078</v>
      </c>
      <c r="Z852" s="36" t="s">
        <v>5079</v>
      </c>
      <c r="AA852" s="1" t="s">
        <v>5078</v>
      </c>
      <c r="AB852" s="35" t="s">
        <v>5079</v>
      </c>
    </row>
    <row r="853" spans="1:28">
      <c r="A853" s="2599" t="s">
        <v>5883</v>
      </c>
      <c r="B853" s="101"/>
      <c r="C853" s="9"/>
      <c r="D853" s="10"/>
      <c r="E853" s="11"/>
      <c r="F853" s="12"/>
      <c r="G853" s="9"/>
      <c r="H853" s="10"/>
      <c r="I853" s="11"/>
      <c r="J853" s="12"/>
      <c r="K853" s="9"/>
      <c r="L853" s="10"/>
      <c r="M853" s="11"/>
      <c r="N853" s="12"/>
      <c r="O853" s="2821"/>
      <c r="P853" s="2822"/>
      <c r="Q853" s="11"/>
      <c r="R853" s="12"/>
      <c r="S853" s="9"/>
      <c r="T853" s="10"/>
      <c r="U853" s="11"/>
      <c r="V853" s="12"/>
      <c r="W853" s="9"/>
      <c r="X853" s="10"/>
      <c r="Y853" s="11"/>
      <c r="Z853" s="12"/>
      <c r="AA853" s="33"/>
      <c r="AB853" s="10"/>
    </row>
    <row r="854" spans="1:28">
      <c r="A854" s="2599" t="s">
        <v>5884</v>
      </c>
      <c r="B854" s="101"/>
      <c r="C854" s="14"/>
      <c r="D854" s="15"/>
      <c r="E854" s="16"/>
      <c r="F854" s="17"/>
      <c r="G854" s="14"/>
      <c r="H854" s="15"/>
      <c r="I854" s="16"/>
      <c r="J854" s="17"/>
      <c r="K854" s="14"/>
      <c r="L854" s="15"/>
      <c r="M854" s="16"/>
      <c r="N854" s="17"/>
      <c r="O854" s="2823"/>
      <c r="P854" s="2823"/>
      <c r="Q854" s="2646"/>
      <c r="R854" s="17"/>
      <c r="S854" s="14"/>
      <c r="T854" s="15"/>
      <c r="U854" s="16"/>
      <c r="V854" s="17"/>
      <c r="W854" s="14"/>
      <c r="X854" s="15"/>
      <c r="Y854" s="16"/>
      <c r="Z854" s="17"/>
      <c r="AA854" s="30"/>
      <c r="AB854" s="15"/>
    </row>
    <row r="855" spans="1:28">
      <c r="A855" s="2599" t="s">
        <v>5885</v>
      </c>
      <c r="B855" s="101"/>
      <c r="C855" s="14"/>
      <c r="D855" s="15"/>
      <c r="E855" s="16"/>
      <c r="F855" s="17"/>
      <c r="G855" s="14"/>
      <c r="H855" s="15"/>
      <c r="I855" s="16"/>
      <c r="J855" s="17"/>
      <c r="K855" s="14"/>
      <c r="L855" s="15"/>
      <c r="M855" s="16"/>
      <c r="N855" s="17"/>
      <c r="O855" s="2823"/>
      <c r="P855" s="2823"/>
      <c r="Q855" s="2646"/>
      <c r="R855" s="17"/>
      <c r="S855" s="14"/>
      <c r="T855" s="15"/>
      <c r="U855" s="16"/>
      <c r="V855" s="17"/>
      <c r="W855" s="14"/>
      <c r="X855" s="15"/>
      <c r="Y855" s="16"/>
      <c r="Z855" s="17"/>
      <c r="AA855" s="30"/>
      <c r="AB855" s="15"/>
    </row>
    <row r="856" spans="1:28">
      <c r="A856" s="2599" t="s">
        <v>5886</v>
      </c>
      <c r="B856" s="101"/>
      <c r="C856" s="14"/>
      <c r="D856" s="15"/>
      <c r="E856" s="16"/>
      <c r="F856" s="17"/>
      <c r="G856" s="14"/>
      <c r="H856" s="15"/>
      <c r="I856" s="16"/>
      <c r="J856" s="17"/>
      <c r="K856" s="14"/>
      <c r="L856" s="15"/>
      <c r="M856" s="16"/>
      <c r="N856" s="17"/>
      <c r="O856" s="2823"/>
      <c r="P856" s="2823"/>
      <c r="Q856" s="2646"/>
      <c r="R856" s="17"/>
      <c r="S856" s="14"/>
      <c r="T856" s="15"/>
      <c r="U856" s="16"/>
      <c r="V856" s="17"/>
      <c r="W856" s="14"/>
      <c r="X856" s="15"/>
      <c r="Y856" s="16"/>
      <c r="Z856" s="17"/>
      <c r="AA856" s="30"/>
      <c r="AB856" s="15"/>
    </row>
    <row r="857" spans="1:28">
      <c r="A857" s="81" t="s">
        <v>5887</v>
      </c>
      <c r="B857" s="101"/>
      <c r="C857" s="14"/>
      <c r="D857" s="15"/>
      <c r="E857" s="16"/>
      <c r="F857" s="17"/>
      <c r="G857" s="14"/>
      <c r="H857" s="15"/>
      <c r="I857" s="16"/>
      <c r="J857" s="17"/>
      <c r="K857" s="14"/>
      <c r="L857" s="15"/>
      <c r="M857" s="16"/>
      <c r="N857" s="17"/>
      <c r="O857" s="2823"/>
      <c r="P857" s="2823"/>
      <c r="Q857" s="2646"/>
      <c r="R857" s="17"/>
      <c r="S857" s="14"/>
      <c r="T857" s="15"/>
      <c r="U857" s="16"/>
      <c r="V857" s="17"/>
      <c r="W857" s="14"/>
      <c r="X857" s="15"/>
      <c r="Y857" s="16"/>
      <c r="Z857" s="17"/>
      <c r="AA857" s="30"/>
      <c r="AB857" s="15"/>
    </row>
    <row r="858" spans="1:28">
      <c r="A858" s="750" t="s">
        <v>5888</v>
      </c>
      <c r="B858" s="101"/>
      <c r="C858" s="14"/>
      <c r="D858" s="15"/>
      <c r="E858" s="16"/>
      <c r="F858" s="17"/>
      <c r="G858" s="14"/>
      <c r="H858" s="15"/>
      <c r="I858" s="16"/>
      <c r="J858" s="17"/>
      <c r="K858" s="14"/>
      <c r="L858" s="15"/>
      <c r="M858" s="16"/>
      <c r="N858" s="17"/>
      <c r="O858" s="2823"/>
      <c r="P858" s="2823"/>
      <c r="Q858" s="2646"/>
      <c r="R858" s="17"/>
      <c r="S858" s="14"/>
      <c r="T858" s="15"/>
      <c r="U858" s="16"/>
      <c r="V858" s="17"/>
      <c r="W858" s="14"/>
      <c r="X858" s="15"/>
      <c r="Y858" s="16"/>
      <c r="Z858" s="17"/>
      <c r="AA858" s="30"/>
      <c r="AB858" s="15"/>
    </row>
    <row r="859" spans="1:28">
      <c r="A859" s="750" t="s">
        <v>5889</v>
      </c>
      <c r="B859" s="101"/>
      <c r="C859" s="14"/>
      <c r="D859" s="15"/>
      <c r="E859" s="16"/>
      <c r="F859" s="17"/>
      <c r="G859" s="14"/>
      <c r="H859" s="15"/>
      <c r="I859" s="16"/>
      <c r="J859" s="17"/>
      <c r="K859" s="14"/>
      <c r="L859" s="15"/>
      <c r="M859" s="16"/>
      <c r="N859" s="17"/>
      <c r="O859" s="2823"/>
      <c r="P859" s="2823"/>
      <c r="Q859" s="2646"/>
      <c r="R859" s="17"/>
      <c r="S859" s="14"/>
      <c r="T859" s="15"/>
      <c r="U859" s="16"/>
      <c r="V859" s="17"/>
      <c r="W859" s="14"/>
      <c r="X859" s="15"/>
      <c r="Y859" s="16"/>
      <c r="Z859" s="17"/>
      <c r="AA859" s="30"/>
      <c r="AB859" s="15"/>
    </row>
    <row r="860" spans="1:28">
      <c r="A860" s="551" t="s">
        <v>5890</v>
      </c>
      <c r="B860" s="2596" t="s">
        <v>5891</v>
      </c>
      <c r="C860" s="14"/>
      <c r="D860" s="15"/>
      <c r="E860" s="16"/>
      <c r="F860" s="17"/>
      <c r="G860" s="14"/>
      <c r="H860" s="15"/>
      <c r="I860" s="16"/>
      <c r="J860" s="17"/>
      <c r="K860" s="14"/>
      <c r="L860" s="15"/>
      <c r="M860" s="16"/>
      <c r="N860" s="17"/>
      <c r="O860" s="2823"/>
      <c r="P860" s="2823"/>
      <c r="Q860" s="2646"/>
      <c r="R860" s="17"/>
      <c r="S860" s="14"/>
      <c r="T860" s="15"/>
      <c r="U860" s="16"/>
      <c r="V860" s="17"/>
      <c r="W860" s="14"/>
      <c r="X860" s="15"/>
      <c r="Y860" s="16"/>
      <c r="Z860" s="17"/>
      <c r="AA860" s="30"/>
      <c r="AB860" s="15"/>
    </row>
    <row r="861" spans="1:28">
      <c r="A861" s="551" t="s">
        <v>5890</v>
      </c>
      <c r="B861" s="2567" t="s">
        <v>5892</v>
      </c>
      <c r="C861" s="14"/>
      <c r="D861" s="15"/>
      <c r="E861" s="16"/>
      <c r="F861" s="17"/>
      <c r="G861" s="14"/>
      <c r="H861" s="15"/>
      <c r="I861" s="16"/>
      <c r="J861" s="17"/>
      <c r="K861" s="14"/>
      <c r="L861" s="15"/>
      <c r="M861" s="16"/>
      <c r="N861" s="17"/>
      <c r="O861" s="2823"/>
      <c r="P861" s="2823"/>
      <c r="Q861" s="2646"/>
      <c r="R861" s="17"/>
      <c r="S861" s="14"/>
      <c r="T861" s="15"/>
      <c r="U861" s="16"/>
      <c r="V861" s="17"/>
      <c r="W861" s="14"/>
      <c r="X861" s="15"/>
      <c r="Y861" s="16"/>
      <c r="Z861" s="17"/>
      <c r="AA861" s="30"/>
      <c r="AB861" s="15"/>
    </row>
    <row r="862" spans="1:28">
      <c r="A862" s="1479" t="s">
        <v>5893</v>
      </c>
      <c r="B862" s="1106" t="s">
        <v>5894</v>
      </c>
      <c r="C862" s="14"/>
      <c r="D862" s="15"/>
      <c r="E862" s="16"/>
      <c r="F862" s="17"/>
      <c r="G862" s="14"/>
      <c r="H862" s="15"/>
      <c r="I862" s="16"/>
      <c r="J862" s="17"/>
      <c r="K862" s="14"/>
      <c r="L862" s="15"/>
      <c r="M862" s="16"/>
      <c r="N862" s="17"/>
      <c r="O862" s="2823"/>
      <c r="P862" s="2823"/>
      <c r="Q862" s="2646"/>
      <c r="R862" s="17"/>
      <c r="S862" s="14"/>
      <c r="T862" s="15"/>
      <c r="U862" s="16"/>
      <c r="V862" s="17"/>
      <c r="W862" s="14"/>
      <c r="X862" s="15"/>
      <c r="Y862" s="16"/>
      <c r="Z862" s="17"/>
      <c r="AA862" s="30"/>
      <c r="AB862" s="15"/>
    </row>
    <row r="863" spans="1:28">
      <c r="A863" s="1479" t="s">
        <v>5893</v>
      </c>
      <c r="B863" s="320" t="s">
        <v>2974</v>
      </c>
      <c r="C863" s="14"/>
      <c r="D863" s="15"/>
      <c r="E863" s="16"/>
      <c r="F863" s="17"/>
      <c r="G863" s="14"/>
      <c r="H863" s="15"/>
      <c r="I863" s="16"/>
      <c r="J863" s="17"/>
      <c r="K863" s="14"/>
      <c r="L863" s="15"/>
      <c r="M863" s="16"/>
      <c r="N863" s="17"/>
      <c r="O863" s="2823"/>
      <c r="P863" s="2823"/>
      <c r="Q863" s="2646"/>
      <c r="R863" s="17"/>
      <c r="S863" s="14"/>
      <c r="T863" s="15"/>
      <c r="U863" s="16"/>
      <c r="V863" s="17"/>
      <c r="W863" s="14"/>
      <c r="X863" s="15"/>
      <c r="Y863" s="16"/>
      <c r="Z863" s="17"/>
      <c r="AA863" s="30"/>
      <c r="AB863" s="15"/>
    </row>
    <row r="864" spans="1:28">
      <c r="A864" s="224" t="s">
        <v>5895</v>
      </c>
      <c r="B864" s="320" t="s">
        <v>2974</v>
      </c>
      <c r="C864" s="14"/>
      <c r="D864" s="15"/>
      <c r="E864" s="16"/>
      <c r="F864" s="17"/>
      <c r="G864" s="14"/>
      <c r="H864" s="15"/>
      <c r="I864" s="16"/>
      <c r="J864" s="17"/>
      <c r="K864" s="14"/>
      <c r="L864" s="15"/>
      <c r="M864" s="16"/>
      <c r="N864" s="17"/>
      <c r="O864" s="2823"/>
      <c r="P864" s="2823"/>
      <c r="Q864" s="2646"/>
      <c r="R864" s="17"/>
      <c r="S864" s="14"/>
      <c r="T864" s="15"/>
      <c r="U864" s="16"/>
      <c r="V864" s="17"/>
      <c r="W864" s="14"/>
      <c r="X864" s="15"/>
      <c r="Y864" s="16"/>
      <c r="Z864" s="17"/>
      <c r="AA864" s="30"/>
      <c r="AB864" s="15"/>
    </row>
    <row r="865" spans="1:28">
      <c r="A865" s="233" t="s">
        <v>5896</v>
      </c>
      <c r="B865" s="2288" t="s">
        <v>5879</v>
      </c>
      <c r="C865" s="14"/>
      <c r="D865" s="15"/>
      <c r="E865" s="16"/>
      <c r="F865" s="17"/>
      <c r="G865" s="14"/>
      <c r="H865" s="15"/>
      <c r="I865" s="16"/>
      <c r="J865" s="17"/>
      <c r="K865" s="14"/>
      <c r="L865" s="15"/>
      <c r="M865" s="16"/>
      <c r="N865" s="17"/>
      <c r="O865" s="2823"/>
      <c r="P865" s="2823"/>
      <c r="Q865" s="2646"/>
      <c r="R865" s="17"/>
      <c r="S865" s="14"/>
      <c r="T865" s="15"/>
      <c r="U865" s="16"/>
      <c r="V865" s="17"/>
      <c r="W865" s="14"/>
      <c r="X865" s="15"/>
      <c r="Y865" s="16"/>
      <c r="Z865" s="17"/>
      <c r="AA865" s="30"/>
      <c r="AB865" s="15"/>
    </row>
    <row r="866" spans="1:28">
      <c r="A866" s="233" t="s">
        <v>5896</v>
      </c>
      <c r="B866" s="2596" t="s">
        <v>2974</v>
      </c>
      <c r="C866" s="14"/>
      <c r="D866" s="15"/>
      <c r="E866" s="16"/>
      <c r="F866" s="17"/>
      <c r="G866" s="14"/>
      <c r="H866" s="15"/>
      <c r="I866" s="16"/>
      <c r="J866" s="17"/>
      <c r="K866" s="14"/>
      <c r="L866" s="15"/>
      <c r="M866" s="16"/>
      <c r="N866" s="17"/>
      <c r="O866" s="2823"/>
      <c r="P866" s="2823"/>
      <c r="Q866" s="2646"/>
      <c r="R866" s="17"/>
      <c r="S866" s="14"/>
      <c r="T866" s="15"/>
      <c r="U866" s="16"/>
      <c r="V866" s="17"/>
      <c r="W866" s="14"/>
      <c r="X866" s="15"/>
      <c r="Y866" s="16"/>
      <c r="Z866" s="17"/>
      <c r="AA866" s="30"/>
      <c r="AB866" s="15"/>
    </row>
    <row r="867" spans="1:28">
      <c r="A867" s="233" t="s">
        <v>5897</v>
      </c>
      <c r="B867" s="2288" t="s">
        <v>5879</v>
      </c>
      <c r="C867" s="14"/>
      <c r="D867" s="15"/>
      <c r="E867" s="16"/>
      <c r="F867" s="17"/>
      <c r="G867" s="14"/>
      <c r="H867" s="15"/>
      <c r="I867" s="16"/>
      <c r="J867" s="17"/>
      <c r="K867" s="14"/>
      <c r="L867" s="15"/>
      <c r="M867" s="16"/>
      <c r="N867" s="17"/>
      <c r="O867" s="2824"/>
      <c r="P867" s="2824"/>
      <c r="Q867" s="2646"/>
      <c r="R867" s="17"/>
      <c r="S867" s="14"/>
      <c r="T867" s="15"/>
      <c r="U867" s="16"/>
      <c r="V867" s="17"/>
      <c r="W867" s="14"/>
      <c r="X867" s="15"/>
      <c r="Y867" s="16"/>
      <c r="Z867" s="17"/>
      <c r="AA867" s="30"/>
      <c r="AB867" s="15"/>
    </row>
    <row r="868" spans="1:28">
      <c r="A868" s="233" t="s">
        <v>5897</v>
      </c>
      <c r="B868" s="2596" t="s">
        <v>2974</v>
      </c>
      <c r="C868" s="14"/>
      <c r="D868" s="15"/>
      <c r="E868" s="16"/>
      <c r="F868" s="17"/>
      <c r="G868" s="14"/>
      <c r="H868" s="15"/>
      <c r="I868" s="16"/>
      <c r="J868" s="17"/>
      <c r="K868" s="14"/>
      <c r="L868" s="15"/>
      <c r="M868" s="16"/>
      <c r="N868" s="17"/>
      <c r="O868" s="2825"/>
      <c r="P868" s="2826"/>
      <c r="Q868" s="2645"/>
      <c r="R868" s="1795"/>
      <c r="S868" s="14"/>
      <c r="T868" s="15"/>
      <c r="U868" s="16"/>
      <c r="V868" s="17"/>
      <c r="W868" s="14"/>
      <c r="X868" s="15"/>
      <c r="Y868" s="16"/>
      <c r="Z868" s="17"/>
      <c r="AA868" s="30"/>
      <c r="AB868" s="15"/>
    </row>
    <row r="869" spans="1:28">
      <c r="A869" s="233"/>
      <c r="B869" s="2288"/>
      <c r="C869" s="14"/>
      <c r="D869" s="15"/>
      <c r="E869" s="16"/>
      <c r="F869" s="17"/>
      <c r="G869" s="14"/>
      <c r="H869" s="15"/>
      <c r="I869" s="16"/>
      <c r="J869" s="17"/>
      <c r="K869" s="14"/>
      <c r="L869" s="15"/>
      <c r="M869" s="16"/>
      <c r="N869" s="17"/>
      <c r="O869" s="2825"/>
      <c r="P869" s="2826"/>
      <c r="Q869" s="2649"/>
      <c r="R869" s="2650"/>
      <c r="S869" s="2651"/>
      <c r="T869" s="2648"/>
      <c r="U869" s="16"/>
      <c r="V869" s="17"/>
      <c r="W869" s="14"/>
      <c r="X869" s="15"/>
      <c r="Y869" s="16"/>
      <c r="Z869" s="17"/>
      <c r="AA869" s="30"/>
      <c r="AB869" s="15"/>
    </row>
    <row r="870" spans="1:28" ht="40.5" thickBot="1">
      <c r="A870" s="139"/>
      <c r="B870" s="2597"/>
      <c r="C870" s="6"/>
      <c r="D870" s="32"/>
      <c r="E870" s="7"/>
      <c r="F870" s="40"/>
      <c r="G870" s="6"/>
      <c r="H870" s="32"/>
      <c r="I870" s="7"/>
      <c r="J870" s="40"/>
      <c r="K870" s="6"/>
      <c r="L870" s="32"/>
      <c r="M870" s="7"/>
      <c r="N870" s="40"/>
      <c r="O870" s="2823"/>
      <c r="P870" s="2823"/>
      <c r="Q870" s="2647"/>
      <c r="R870" s="40"/>
      <c r="S870" s="6"/>
      <c r="T870" s="32"/>
      <c r="U870" s="7"/>
      <c r="V870" s="40"/>
      <c r="W870" s="6"/>
      <c r="X870" s="32"/>
      <c r="Y870" s="7"/>
      <c r="Z870" s="40"/>
      <c r="AA870" s="2630"/>
      <c r="AB870" s="2631"/>
    </row>
    <row r="871" spans="1:28" ht="40.5" thickBot="1">
      <c r="A871" s="494"/>
      <c r="B871" s="2598"/>
      <c r="C871" s="6"/>
      <c r="D871" s="32"/>
      <c r="E871" s="7"/>
      <c r="F871" s="40"/>
      <c r="G871" s="6"/>
      <c r="H871" s="32"/>
      <c r="I871" s="7"/>
      <c r="J871" s="40"/>
      <c r="K871" s="6"/>
      <c r="L871" s="32"/>
      <c r="M871" s="7"/>
      <c r="N871" s="40"/>
      <c r="O871" s="6"/>
      <c r="P871" s="32"/>
      <c r="Q871" s="7"/>
      <c r="R871" s="40"/>
      <c r="S871" s="6"/>
      <c r="T871" s="32"/>
      <c r="U871" s="7"/>
      <c r="V871" s="40"/>
      <c r="W871" s="6"/>
      <c r="X871" s="32"/>
      <c r="Y871" s="7"/>
      <c r="Z871" s="32"/>
      <c r="AA871" s="31"/>
      <c r="AB871" s="32"/>
    </row>
    <row r="872" spans="1:28">
      <c r="A872" s="109"/>
      <c r="B872" s="988"/>
    </row>
    <row r="873" spans="1:28" ht="40.5">
      <c r="A873" s="3" t="s">
        <v>5063</v>
      </c>
      <c r="B873" s="23"/>
      <c r="C873" s="3"/>
      <c r="D873" s="3"/>
      <c r="E873" s="3"/>
      <c r="F873" s="3"/>
      <c r="G873" s="3"/>
      <c r="H873" s="3"/>
      <c r="I873" s="3"/>
      <c r="J873" s="3"/>
      <c r="K873" s="3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B873" s="4"/>
    </row>
    <row r="874" spans="1:28" ht="40.5" thickBot="1">
      <c r="A874" s="5" t="s">
        <v>5064</v>
      </c>
    </row>
    <row r="875" spans="1:28">
      <c r="A875" s="3544" t="s">
        <v>2</v>
      </c>
      <c r="B875" s="3546" t="s">
        <v>3</v>
      </c>
      <c r="C875" s="3537" t="s">
        <v>5065</v>
      </c>
      <c r="D875" s="3538"/>
      <c r="E875" s="3536" t="s">
        <v>5066</v>
      </c>
      <c r="F875" s="3536"/>
      <c r="G875" s="3537" t="s">
        <v>5067</v>
      </c>
      <c r="H875" s="3538"/>
      <c r="I875" s="3536" t="s">
        <v>5068</v>
      </c>
      <c r="J875" s="3536"/>
      <c r="K875" s="3537" t="s">
        <v>5069</v>
      </c>
      <c r="L875" s="3538"/>
      <c r="M875" s="3536" t="s">
        <v>5070</v>
      </c>
      <c r="N875" s="3536"/>
      <c r="O875" s="3542"/>
      <c r="P875" s="3542"/>
      <c r="Q875" s="3536" t="s">
        <v>5071</v>
      </c>
      <c r="R875" s="3536"/>
      <c r="S875" s="3536" t="s">
        <v>5072</v>
      </c>
      <c r="T875" s="3536"/>
      <c r="U875" s="3472" t="s">
        <v>5073</v>
      </c>
      <c r="V875" s="3473"/>
      <c r="W875" s="3536" t="s">
        <v>5074</v>
      </c>
      <c r="X875" s="3536"/>
      <c r="Y875" s="3472" t="s">
        <v>5075</v>
      </c>
      <c r="Z875" s="3475"/>
      <c r="AA875" s="3537" t="s">
        <v>5076</v>
      </c>
      <c r="AB875" s="3538"/>
    </row>
    <row r="876" spans="1:28" ht="40.5" thickBot="1">
      <c r="A876" s="3545"/>
      <c r="B876" s="3547"/>
      <c r="C876" s="1" t="s">
        <v>5078</v>
      </c>
      <c r="D876" s="35" t="s">
        <v>5079</v>
      </c>
      <c r="E876" s="2" t="s">
        <v>5078</v>
      </c>
      <c r="F876" s="36" t="s">
        <v>5079</v>
      </c>
      <c r="G876" s="1" t="s">
        <v>5078</v>
      </c>
      <c r="H876" s="35" t="s">
        <v>5079</v>
      </c>
      <c r="I876" s="2" t="s">
        <v>5078</v>
      </c>
      <c r="J876" s="36" t="s">
        <v>5079</v>
      </c>
      <c r="K876" s="1" t="s">
        <v>5078</v>
      </c>
      <c r="L876" s="35" t="s">
        <v>5079</v>
      </c>
      <c r="M876" s="2" t="s">
        <v>5078</v>
      </c>
      <c r="N876" s="36" t="s">
        <v>5079</v>
      </c>
      <c r="O876" s="2769"/>
      <c r="P876" s="2820"/>
      <c r="Q876" s="2" t="s">
        <v>5078</v>
      </c>
      <c r="R876" s="36" t="s">
        <v>5079</v>
      </c>
      <c r="S876" s="1" t="s">
        <v>5078</v>
      </c>
      <c r="T876" s="35" t="s">
        <v>5079</v>
      </c>
      <c r="U876" s="2" t="s">
        <v>5078</v>
      </c>
      <c r="V876" s="36" t="s">
        <v>5079</v>
      </c>
      <c r="W876" s="1" t="s">
        <v>5078</v>
      </c>
      <c r="X876" s="35" t="s">
        <v>5079</v>
      </c>
      <c r="Y876" s="2" t="s">
        <v>5078</v>
      </c>
      <c r="Z876" s="36" t="s">
        <v>5079</v>
      </c>
      <c r="AA876" s="1" t="s">
        <v>5078</v>
      </c>
      <c r="AB876" s="35" t="s">
        <v>5079</v>
      </c>
    </row>
    <row r="877" spans="1:28">
      <c r="A877" s="962" t="s">
        <v>5898</v>
      </c>
      <c r="B877" s="1220" t="s">
        <v>284</v>
      </c>
      <c r="C877" s="9"/>
      <c r="D877" s="10"/>
      <c r="E877" s="11"/>
      <c r="F877" s="12"/>
      <c r="G877" s="9"/>
      <c r="H877" s="10"/>
      <c r="I877" s="11"/>
      <c r="J877" s="12"/>
      <c r="K877" s="9"/>
      <c r="L877" s="10"/>
      <c r="M877" s="11"/>
      <c r="N877" s="12"/>
      <c r="O877" s="2821" t="s">
        <v>5899</v>
      </c>
      <c r="P877" s="2822"/>
      <c r="Q877" s="11"/>
      <c r="R877" s="12"/>
      <c r="S877" s="9"/>
      <c r="T877" s="10"/>
      <c r="U877" s="11"/>
      <c r="V877" s="12"/>
      <c r="W877" s="9"/>
      <c r="X877" s="10"/>
      <c r="Y877" s="11"/>
      <c r="Z877" s="12"/>
      <c r="AA877" s="33"/>
      <c r="AB877" s="10"/>
    </row>
    <row r="878" spans="1:28">
      <c r="A878" s="406" t="s">
        <v>5038</v>
      </c>
      <c r="B878" s="1220" t="s">
        <v>284</v>
      </c>
      <c r="C878" s="14"/>
      <c r="D878" s="15"/>
      <c r="E878" s="16"/>
      <c r="F878" s="17"/>
      <c r="G878" s="14"/>
      <c r="H878" s="15"/>
      <c r="I878" s="16"/>
      <c r="J878" s="17"/>
      <c r="K878" s="14"/>
      <c r="L878" s="15"/>
      <c r="M878" s="16"/>
      <c r="N878" s="17"/>
      <c r="O878" s="2823" t="s">
        <v>5900</v>
      </c>
      <c r="P878" s="2823"/>
      <c r="Q878" s="2646"/>
      <c r="R878" s="17"/>
      <c r="S878" s="14"/>
      <c r="T878" s="15"/>
      <c r="U878" s="16"/>
      <c r="V878" s="17"/>
      <c r="W878" s="14"/>
      <c r="X878" s="15"/>
      <c r="Y878" s="16"/>
      <c r="Z878" s="17"/>
      <c r="AA878" s="30"/>
      <c r="AB878" s="15"/>
    </row>
    <row r="879" spans="1:28">
      <c r="A879" s="1336" t="s">
        <v>5039</v>
      </c>
      <c r="B879" s="1220" t="s">
        <v>284</v>
      </c>
      <c r="C879" s="14"/>
      <c r="D879" s="15"/>
      <c r="E879" s="16"/>
      <c r="F879" s="17"/>
      <c r="G879" s="14"/>
      <c r="H879" s="15"/>
      <c r="I879" s="16"/>
      <c r="J879" s="17"/>
      <c r="K879" s="14"/>
      <c r="L879" s="15"/>
      <c r="M879" s="16"/>
      <c r="N879" s="17"/>
      <c r="O879" s="2823" t="s">
        <v>5901</v>
      </c>
      <c r="P879" s="2823"/>
      <c r="Q879" s="2646"/>
      <c r="R879" s="17"/>
      <c r="S879" s="14"/>
      <c r="T879" s="15"/>
      <c r="U879" s="16"/>
      <c r="V879" s="17"/>
      <c r="W879" s="14"/>
      <c r="X879" s="15"/>
      <c r="Y879" s="16"/>
      <c r="Z879" s="17"/>
      <c r="AA879" s="30"/>
      <c r="AB879" s="15"/>
    </row>
    <row r="880" spans="1:28">
      <c r="A880" s="1336" t="s">
        <v>5040</v>
      </c>
      <c r="B880" s="1220" t="s">
        <v>284</v>
      </c>
      <c r="C880" s="14"/>
      <c r="D880" s="15"/>
      <c r="E880" s="16"/>
      <c r="F880" s="17"/>
      <c r="G880" s="14"/>
      <c r="H880" s="15"/>
      <c r="I880" s="16"/>
      <c r="J880" s="17"/>
      <c r="K880" s="14"/>
      <c r="L880" s="15"/>
      <c r="M880" s="16"/>
      <c r="N880" s="17"/>
      <c r="O880" s="2823" t="s">
        <v>5902</v>
      </c>
      <c r="P880" s="2823"/>
      <c r="Q880" s="2646"/>
      <c r="R880" s="17"/>
      <c r="S880" s="14"/>
      <c r="T880" s="15"/>
      <c r="U880" s="16"/>
      <c r="V880" s="17"/>
      <c r="W880" s="14"/>
      <c r="X880" s="15"/>
      <c r="Y880" s="16"/>
      <c r="Z880" s="17"/>
      <c r="AA880" s="30"/>
      <c r="AB880" s="15"/>
    </row>
    <row r="881" spans="1:28">
      <c r="A881" s="962" t="s">
        <v>5041</v>
      </c>
      <c r="B881" s="1220" t="s">
        <v>284</v>
      </c>
      <c r="C881" s="14"/>
      <c r="D881" s="15"/>
      <c r="E881" s="16"/>
      <c r="F881" s="17"/>
      <c r="G881" s="14"/>
      <c r="H881" s="15"/>
      <c r="I881" s="16"/>
      <c r="J881" s="17"/>
      <c r="K881" s="14"/>
      <c r="L881" s="15"/>
      <c r="M881" s="16"/>
      <c r="N881" s="17"/>
      <c r="O881" s="2823" t="s">
        <v>5903</v>
      </c>
      <c r="P881" s="2823"/>
      <c r="Q881" s="2646"/>
      <c r="R881" s="17"/>
      <c r="S881" s="14"/>
      <c r="T881" s="15"/>
      <c r="U881" s="16"/>
      <c r="V881" s="17"/>
      <c r="W881" s="14"/>
      <c r="X881" s="15"/>
      <c r="Y881" s="16"/>
      <c r="Z881" s="17"/>
      <c r="AA881" s="30"/>
      <c r="AB881" s="15"/>
    </row>
    <row r="882" spans="1:28">
      <c r="A882" s="962" t="s">
        <v>5042</v>
      </c>
      <c r="B882" s="1220" t="s">
        <v>284</v>
      </c>
      <c r="C882" s="14"/>
      <c r="D882" s="15"/>
      <c r="E882" s="16"/>
      <c r="F882" s="17"/>
      <c r="G882" s="14"/>
      <c r="H882" s="15"/>
      <c r="I882" s="16"/>
      <c r="J882" s="17"/>
      <c r="K882" s="14"/>
      <c r="L882" s="15"/>
      <c r="M882" s="16"/>
      <c r="N882" s="17"/>
      <c r="O882" s="2823" t="s">
        <v>5904</v>
      </c>
      <c r="P882" s="2823"/>
      <c r="Q882" s="2646"/>
      <c r="R882" s="17"/>
      <c r="S882" s="14"/>
      <c r="T882" s="15"/>
      <c r="U882" s="16"/>
      <c r="V882" s="17"/>
      <c r="W882" s="14"/>
      <c r="X882" s="15"/>
      <c r="Y882" s="16"/>
      <c r="Z882" s="17"/>
      <c r="AA882" s="30"/>
      <c r="AB882" s="15"/>
    </row>
    <row r="883" spans="1:28">
      <c r="A883" s="962" t="s">
        <v>5043</v>
      </c>
      <c r="B883" s="1220" t="s">
        <v>284</v>
      </c>
      <c r="C883" s="14"/>
      <c r="D883" s="15"/>
      <c r="E883" s="16"/>
      <c r="F883" s="17"/>
      <c r="G883" s="14"/>
      <c r="H883" s="15"/>
      <c r="I883" s="16"/>
      <c r="J883" s="17"/>
      <c r="K883" s="14"/>
      <c r="L883" s="15"/>
      <c r="M883" s="16"/>
      <c r="N883" s="17"/>
      <c r="O883" s="2823" t="s">
        <v>5905</v>
      </c>
      <c r="P883" s="2823"/>
      <c r="Q883" s="2646"/>
      <c r="R883" s="17"/>
      <c r="S883" s="14"/>
      <c r="T883" s="15"/>
      <c r="U883" s="16"/>
      <c r="V883" s="17"/>
      <c r="W883" s="14"/>
      <c r="X883" s="15"/>
      <c r="Y883" s="16"/>
      <c r="Z883" s="17"/>
      <c r="AA883" s="30"/>
      <c r="AB883" s="15"/>
    </row>
    <row r="884" spans="1:28">
      <c r="A884" s="962" t="s">
        <v>5044</v>
      </c>
      <c r="B884" s="1220" t="s">
        <v>284</v>
      </c>
      <c r="C884" s="14"/>
      <c r="D884" s="15"/>
      <c r="E884" s="16"/>
      <c r="F884" s="17"/>
      <c r="G884" s="14"/>
      <c r="H884" s="15"/>
      <c r="I884" s="16"/>
      <c r="J884" s="17"/>
      <c r="K884" s="14"/>
      <c r="L884" s="15"/>
      <c r="M884" s="16"/>
      <c r="N884" s="17"/>
      <c r="O884" s="2823" t="s">
        <v>5906</v>
      </c>
      <c r="P884" s="2823"/>
      <c r="Q884" s="2646"/>
      <c r="R884" s="17"/>
      <c r="S884" s="14"/>
      <c r="T884" s="15"/>
      <c r="U884" s="16"/>
      <c r="V884" s="17"/>
      <c r="W884" s="14"/>
      <c r="X884" s="15"/>
      <c r="Y884" s="16"/>
      <c r="Z884" s="17"/>
      <c r="AA884" s="30"/>
      <c r="AB884" s="15"/>
    </row>
    <row r="885" spans="1:28">
      <c r="A885" s="962" t="s">
        <v>5045</v>
      </c>
      <c r="B885" s="1220" t="s">
        <v>284</v>
      </c>
      <c r="C885" s="14"/>
      <c r="D885" s="15"/>
      <c r="E885" s="16"/>
      <c r="F885" s="17"/>
      <c r="G885" s="14"/>
      <c r="H885" s="15"/>
      <c r="I885" s="16"/>
      <c r="J885" s="17"/>
      <c r="K885" s="14"/>
      <c r="L885" s="15"/>
      <c r="M885" s="16"/>
      <c r="N885" s="17"/>
      <c r="O885" s="2823" t="s">
        <v>5907</v>
      </c>
      <c r="P885" s="2823"/>
      <c r="Q885" s="2646"/>
      <c r="R885" s="17"/>
      <c r="S885" s="14"/>
      <c r="T885" s="15"/>
      <c r="U885" s="16"/>
      <c r="V885" s="17"/>
      <c r="W885" s="14"/>
      <c r="X885" s="15"/>
      <c r="Y885" s="16"/>
      <c r="Z885" s="17"/>
      <c r="AA885" s="30"/>
      <c r="AB885" s="15"/>
    </row>
    <row r="886" spans="1:28">
      <c r="A886" s="962" t="s">
        <v>1863</v>
      </c>
      <c r="B886" s="1220" t="s">
        <v>284</v>
      </c>
      <c r="C886" s="14"/>
      <c r="D886" s="15"/>
      <c r="E886" s="16"/>
      <c r="F886" s="17"/>
      <c r="G886" s="14"/>
      <c r="H886" s="15"/>
      <c r="I886" s="16"/>
      <c r="J886" s="17"/>
      <c r="K886" s="14"/>
      <c r="L886" s="15"/>
      <c r="M886" s="16"/>
      <c r="N886" s="17"/>
      <c r="O886" s="2823" t="s">
        <v>5908</v>
      </c>
      <c r="P886" s="2823"/>
      <c r="Q886" s="2646"/>
      <c r="R886" s="17"/>
      <c r="S886" s="14"/>
      <c r="T886" s="15"/>
      <c r="U886" s="16"/>
      <c r="V886" s="17"/>
      <c r="W886" s="14"/>
      <c r="X886" s="15"/>
      <c r="Y886" s="16"/>
      <c r="Z886" s="17"/>
      <c r="AA886" s="30"/>
      <c r="AB886" s="15"/>
    </row>
    <row r="887" spans="1:28">
      <c r="A887" s="74" t="s">
        <v>5046</v>
      </c>
      <c r="B887" s="101"/>
      <c r="C887" s="14"/>
      <c r="D887" s="15"/>
      <c r="E887" s="16"/>
      <c r="F887" s="17"/>
      <c r="G887" s="14"/>
      <c r="H887" s="15"/>
      <c r="I887" s="16"/>
      <c r="J887" s="17"/>
      <c r="K887" s="14"/>
      <c r="L887" s="15"/>
      <c r="M887" s="16"/>
      <c r="N887" s="17"/>
      <c r="O887" s="2823" t="s">
        <v>5909</v>
      </c>
      <c r="P887" s="2823"/>
      <c r="Q887" s="2646"/>
      <c r="R887" s="17"/>
      <c r="S887" s="14"/>
      <c r="T887" s="15"/>
      <c r="U887" s="16"/>
      <c r="V887" s="17"/>
      <c r="W887" s="14"/>
      <c r="X887" s="15"/>
      <c r="Y887" s="16"/>
      <c r="Z887" s="17"/>
      <c r="AA887" s="30"/>
      <c r="AB887" s="15"/>
    </row>
    <row r="888" spans="1:28">
      <c r="A888" s="74" t="s">
        <v>5047</v>
      </c>
      <c r="B888" s="101"/>
      <c r="C888" s="14"/>
      <c r="D888" s="15"/>
      <c r="E888" s="16"/>
      <c r="F888" s="17"/>
      <c r="G888" s="14"/>
      <c r="H888" s="15"/>
      <c r="I888" s="16"/>
      <c r="J888" s="17"/>
      <c r="K888" s="14"/>
      <c r="L888" s="15"/>
      <c r="M888" s="16"/>
      <c r="N888" s="17"/>
      <c r="O888" s="2823" t="s">
        <v>5910</v>
      </c>
      <c r="P888" s="2823"/>
      <c r="Q888" s="2646"/>
      <c r="R888" s="17"/>
      <c r="S888" s="14"/>
      <c r="T888" s="15"/>
      <c r="U888" s="16"/>
      <c r="V888" s="17"/>
      <c r="W888" s="14"/>
      <c r="X888" s="15"/>
      <c r="Y888" s="16"/>
      <c r="Z888" s="17"/>
      <c r="AA888" s="30"/>
      <c r="AB888" s="15"/>
    </row>
    <row r="889" spans="1:28">
      <c r="A889" s="268"/>
      <c r="B889" s="101"/>
      <c r="C889" s="14"/>
      <c r="D889" s="15"/>
      <c r="E889" s="16"/>
      <c r="F889" s="17"/>
      <c r="G889" s="14"/>
      <c r="H889" s="15"/>
      <c r="I889" s="16"/>
      <c r="J889" s="17"/>
      <c r="K889" s="14"/>
      <c r="L889" s="15"/>
      <c r="M889" s="16"/>
      <c r="N889" s="17"/>
      <c r="O889" s="2823"/>
      <c r="P889" s="2823"/>
      <c r="Q889" s="2646"/>
      <c r="R889" s="17"/>
      <c r="S889" s="14"/>
      <c r="T889" s="15"/>
      <c r="U889" s="16"/>
      <c r="V889" s="17"/>
      <c r="W889" s="14"/>
      <c r="X889" s="15"/>
      <c r="Y889" s="16"/>
      <c r="Z889" s="17"/>
      <c r="AA889" s="30"/>
      <c r="AB889" s="15"/>
    </row>
    <row r="890" spans="1:28">
      <c r="A890" s="95"/>
      <c r="B890" s="101"/>
      <c r="C890" s="14"/>
      <c r="D890" s="15"/>
      <c r="E890" s="16"/>
      <c r="F890" s="17"/>
      <c r="G890" s="14"/>
      <c r="H890" s="15"/>
      <c r="I890" s="16"/>
      <c r="J890" s="17"/>
      <c r="K890" s="14"/>
      <c r="L890" s="15"/>
      <c r="M890" s="16"/>
      <c r="N890" s="17"/>
      <c r="O890" s="2823"/>
      <c r="P890" s="2823"/>
      <c r="Q890" s="2646"/>
      <c r="R890" s="17"/>
      <c r="S890" s="14"/>
      <c r="T890" s="15"/>
      <c r="U890" s="16"/>
      <c r="V890" s="17"/>
      <c r="W890" s="14"/>
      <c r="X890" s="15"/>
      <c r="Y890" s="16"/>
      <c r="Z890" s="17"/>
      <c r="AA890" s="30"/>
      <c r="AB890" s="15"/>
    </row>
    <row r="891" spans="1:28">
      <c r="A891" s="962" t="s">
        <v>5911</v>
      </c>
      <c r="B891" s="1220" t="s">
        <v>284</v>
      </c>
      <c r="C891" s="14"/>
      <c r="D891" s="15"/>
      <c r="E891" s="16"/>
      <c r="F891" s="17"/>
      <c r="G891" s="14"/>
      <c r="H891" s="15"/>
      <c r="I891" s="16"/>
      <c r="J891" s="17"/>
      <c r="K891" s="14"/>
      <c r="L891" s="15"/>
      <c r="M891" s="16"/>
      <c r="N891" s="17"/>
      <c r="O891" s="2824" t="s">
        <v>5912</v>
      </c>
      <c r="P891" s="2824"/>
      <c r="Q891" s="2646"/>
      <c r="R891" s="17"/>
      <c r="S891" s="14"/>
      <c r="T891" s="15"/>
      <c r="U891" s="16"/>
      <c r="V891" s="17"/>
      <c r="W891" s="14"/>
      <c r="X891" s="15"/>
      <c r="Y891" s="16"/>
      <c r="Z891" s="17"/>
      <c r="AA891" s="30"/>
      <c r="AB891" s="15"/>
    </row>
    <row r="892" spans="1:28">
      <c r="A892" s="406" t="s">
        <v>5049</v>
      </c>
      <c r="B892" s="1220" t="s">
        <v>284</v>
      </c>
      <c r="C892" s="14"/>
      <c r="D892" s="15"/>
      <c r="E892" s="16"/>
      <c r="F892" s="17"/>
      <c r="G892" s="14"/>
      <c r="H892" s="15"/>
      <c r="I892" s="16"/>
      <c r="J892" s="17"/>
      <c r="K892" s="14"/>
      <c r="L892" s="15"/>
      <c r="M892" s="16"/>
      <c r="N892" s="17"/>
      <c r="O892" s="2920" t="s">
        <v>5900</v>
      </c>
      <c r="P892" s="2826"/>
      <c r="Q892" s="2645"/>
      <c r="R892" s="1795"/>
      <c r="S892" s="14"/>
      <c r="T892" s="15"/>
      <c r="U892" s="16"/>
      <c r="V892" s="17"/>
      <c r="W892" s="14"/>
      <c r="X892" s="15"/>
      <c r="Y892" s="16"/>
      <c r="Z892" s="17"/>
      <c r="AA892" s="30"/>
      <c r="AB892" s="15"/>
    </row>
    <row r="893" spans="1:28">
      <c r="A893" s="1336" t="s">
        <v>5050</v>
      </c>
      <c r="B893" s="1220" t="s">
        <v>284</v>
      </c>
      <c r="C893" s="14"/>
      <c r="D893" s="15"/>
      <c r="E893" s="16"/>
      <c r="F893" s="17"/>
      <c r="G893" s="14"/>
      <c r="H893" s="15"/>
      <c r="I893" s="16"/>
      <c r="J893" s="17"/>
      <c r="K893" s="14"/>
      <c r="L893" s="15"/>
      <c r="M893" s="16"/>
      <c r="N893" s="17"/>
      <c r="O893" s="2920" t="s">
        <v>5901</v>
      </c>
      <c r="P893" s="2826"/>
      <c r="Q893" s="2649"/>
      <c r="R893" s="2650"/>
      <c r="S893" s="2651"/>
      <c r="T893" s="2648"/>
      <c r="U893" s="16"/>
      <c r="V893" s="17"/>
      <c r="W893" s="14"/>
      <c r="X893" s="15"/>
      <c r="Y893" s="16"/>
      <c r="Z893" s="17"/>
      <c r="AA893" s="30"/>
      <c r="AB893" s="15"/>
    </row>
    <row r="894" spans="1:28" ht="40.5" thickBot="1">
      <c r="A894" s="1336" t="s">
        <v>5051</v>
      </c>
      <c r="B894" s="1220" t="s">
        <v>284</v>
      </c>
      <c r="C894" s="6"/>
      <c r="D894" s="32"/>
      <c r="E894" s="7"/>
      <c r="F894" s="40"/>
      <c r="G894" s="6"/>
      <c r="H894" s="32"/>
      <c r="I894" s="7"/>
      <c r="J894" s="40"/>
      <c r="K894" s="6"/>
      <c r="L894" s="32"/>
      <c r="M894" s="7"/>
      <c r="N894" s="40"/>
      <c r="O894" s="2823" t="s">
        <v>5902</v>
      </c>
      <c r="P894" s="2823"/>
      <c r="Q894" s="2647"/>
      <c r="R894" s="40"/>
      <c r="S894" s="6"/>
      <c r="T894" s="32"/>
      <c r="U894" s="7"/>
      <c r="V894" s="40"/>
      <c r="W894" s="6"/>
      <c r="X894" s="32"/>
      <c r="Y894" s="7"/>
      <c r="Z894" s="40"/>
      <c r="AA894" s="2630"/>
      <c r="AB894" s="2631"/>
    </row>
    <row r="895" spans="1:28" ht="40.5" thickBot="1">
      <c r="A895" s="627"/>
      <c r="B895" s="1788"/>
      <c r="C895" s="6"/>
      <c r="D895" s="32"/>
      <c r="E895" s="7"/>
      <c r="F895" s="40"/>
      <c r="G895" s="6"/>
      <c r="H895" s="32"/>
      <c r="I895" s="7"/>
      <c r="J895" s="40"/>
      <c r="K895" s="6"/>
      <c r="L895" s="32"/>
      <c r="M895" s="7"/>
      <c r="N895" s="40"/>
      <c r="O895" s="6"/>
      <c r="P895" s="32"/>
      <c r="Q895" s="7"/>
      <c r="R895" s="40"/>
      <c r="S895" s="6"/>
      <c r="T895" s="32"/>
      <c r="U895" s="7"/>
      <c r="V895" s="40"/>
      <c r="W895" s="6"/>
      <c r="X895" s="32"/>
      <c r="Y895" s="7"/>
      <c r="Z895" s="32"/>
      <c r="AA895" s="31"/>
      <c r="AB895" s="32"/>
    </row>
    <row r="896" spans="1:28">
      <c r="A896" s="2080"/>
      <c r="B896" s="2573"/>
    </row>
    <row r="897" spans="1:28" ht="40.5">
      <c r="A897" s="3" t="s">
        <v>5063</v>
      </c>
      <c r="B897" s="23"/>
      <c r="C897" s="3"/>
      <c r="D897" s="3"/>
      <c r="E897" s="3"/>
      <c r="F897" s="3"/>
      <c r="G897" s="3"/>
      <c r="H897" s="3"/>
      <c r="I897" s="3"/>
      <c r="J897" s="3"/>
      <c r="K897" s="3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B897" s="4"/>
    </row>
    <row r="898" spans="1:28" ht="40.5" thickBot="1">
      <c r="A898" s="5" t="s">
        <v>5064</v>
      </c>
    </row>
    <row r="899" spans="1:28">
      <c r="A899" s="3544" t="s">
        <v>2</v>
      </c>
      <c r="B899" s="3546" t="s">
        <v>3</v>
      </c>
      <c r="C899" s="3537" t="s">
        <v>5065</v>
      </c>
      <c r="D899" s="3538"/>
      <c r="E899" s="3536" t="s">
        <v>5066</v>
      </c>
      <c r="F899" s="3536"/>
      <c r="G899" s="3537" t="s">
        <v>5067</v>
      </c>
      <c r="H899" s="3538"/>
      <c r="I899" s="3536" t="s">
        <v>5068</v>
      </c>
      <c r="J899" s="3536"/>
      <c r="K899" s="3537" t="s">
        <v>5069</v>
      </c>
      <c r="L899" s="3538"/>
      <c r="M899" s="3536" t="s">
        <v>5070</v>
      </c>
      <c r="N899" s="3536"/>
      <c r="O899" s="3542"/>
      <c r="P899" s="3542"/>
      <c r="Q899" s="3536" t="s">
        <v>5071</v>
      </c>
      <c r="R899" s="3536"/>
      <c r="S899" s="3536" t="s">
        <v>5072</v>
      </c>
      <c r="T899" s="3536"/>
      <c r="U899" s="3472" t="s">
        <v>5073</v>
      </c>
      <c r="V899" s="3473"/>
      <c r="W899" s="3536" t="s">
        <v>5074</v>
      </c>
      <c r="X899" s="3536"/>
      <c r="Y899" s="3472" t="s">
        <v>5075</v>
      </c>
      <c r="Z899" s="3475"/>
      <c r="AA899" s="3537" t="s">
        <v>5076</v>
      </c>
      <c r="AB899" s="3538"/>
    </row>
    <row r="900" spans="1:28" ht="40.5" thickBot="1">
      <c r="A900" s="3545"/>
      <c r="B900" s="3547"/>
      <c r="C900" s="1" t="s">
        <v>5078</v>
      </c>
      <c r="D900" s="35" t="s">
        <v>5079</v>
      </c>
      <c r="E900" s="2" t="s">
        <v>5078</v>
      </c>
      <c r="F900" s="36" t="s">
        <v>5079</v>
      </c>
      <c r="G900" s="1" t="s">
        <v>5078</v>
      </c>
      <c r="H900" s="35" t="s">
        <v>5079</v>
      </c>
      <c r="I900" s="2" t="s">
        <v>5078</v>
      </c>
      <c r="J900" s="36" t="s">
        <v>5079</v>
      </c>
      <c r="K900" s="1" t="s">
        <v>5078</v>
      </c>
      <c r="L900" s="35" t="s">
        <v>5079</v>
      </c>
      <c r="M900" s="2" t="s">
        <v>5078</v>
      </c>
      <c r="N900" s="36" t="s">
        <v>5079</v>
      </c>
      <c r="O900" s="2769"/>
      <c r="P900" s="2820"/>
      <c r="Q900" s="2" t="s">
        <v>5078</v>
      </c>
      <c r="R900" s="36" t="s">
        <v>5079</v>
      </c>
      <c r="S900" s="1" t="s">
        <v>5078</v>
      </c>
      <c r="T900" s="35" t="s">
        <v>5079</v>
      </c>
      <c r="U900" s="2" t="s">
        <v>5078</v>
      </c>
      <c r="V900" s="36" t="s">
        <v>5079</v>
      </c>
      <c r="W900" s="1" t="s">
        <v>5078</v>
      </c>
      <c r="X900" s="35" t="s">
        <v>5079</v>
      </c>
      <c r="Y900" s="2" t="s">
        <v>5078</v>
      </c>
      <c r="Z900" s="36" t="s">
        <v>5079</v>
      </c>
      <c r="AA900" s="1" t="s">
        <v>5078</v>
      </c>
      <c r="AB900" s="35" t="s">
        <v>5079</v>
      </c>
    </row>
    <row r="901" spans="1:28">
      <c r="A901" s="406" t="s">
        <v>5913</v>
      </c>
      <c r="B901" s="1220" t="s">
        <v>284</v>
      </c>
      <c r="C901" s="9"/>
      <c r="D901" s="10"/>
      <c r="E901" s="11"/>
      <c r="F901" s="12"/>
      <c r="G901" s="9"/>
      <c r="H901" s="10"/>
      <c r="I901" s="11"/>
      <c r="J901" s="12"/>
      <c r="K901" s="9"/>
      <c r="L901" s="10"/>
      <c r="M901" s="11"/>
      <c r="N901" s="12"/>
      <c r="O901" s="2821" t="s">
        <v>5899</v>
      </c>
      <c r="P901" s="2822"/>
      <c r="Q901" s="11"/>
      <c r="R901" s="12"/>
      <c r="S901" s="9"/>
      <c r="T901" s="10"/>
      <c r="U901" s="11"/>
      <c r="V901" s="12"/>
      <c r="W901" s="9"/>
      <c r="X901" s="10"/>
      <c r="Y901" s="11"/>
      <c r="Z901" s="12"/>
      <c r="AA901" s="33"/>
      <c r="AB901" s="10"/>
    </row>
    <row r="902" spans="1:28">
      <c r="A902" s="406" t="s">
        <v>5053</v>
      </c>
      <c r="B902" s="1220" t="s">
        <v>284</v>
      </c>
      <c r="C902" s="14"/>
      <c r="D902" s="15"/>
      <c r="E902" s="16"/>
      <c r="F902" s="17"/>
      <c r="G902" s="14"/>
      <c r="H902" s="15"/>
      <c r="I902" s="16"/>
      <c r="J902" s="17"/>
      <c r="K902" s="14"/>
      <c r="L902" s="15"/>
      <c r="M902" s="16"/>
      <c r="N902" s="17"/>
      <c r="O902" s="2823" t="s">
        <v>5900</v>
      </c>
      <c r="P902" s="2823"/>
      <c r="Q902" s="2646"/>
      <c r="R902" s="17"/>
      <c r="S902" s="14"/>
      <c r="T902" s="15"/>
      <c r="U902" s="16"/>
      <c r="V902" s="17"/>
      <c r="W902" s="14"/>
      <c r="X902" s="15"/>
      <c r="Y902" s="16"/>
      <c r="Z902" s="17"/>
      <c r="AA902" s="30"/>
      <c r="AB902" s="15"/>
    </row>
    <row r="903" spans="1:28">
      <c r="A903" s="1336" t="s">
        <v>5054</v>
      </c>
      <c r="B903" s="1220" t="s">
        <v>284</v>
      </c>
      <c r="C903" s="14"/>
      <c r="D903" s="15"/>
      <c r="E903" s="16"/>
      <c r="F903" s="17"/>
      <c r="G903" s="14"/>
      <c r="H903" s="15"/>
      <c r="I903" s="16"/>
      <c r="J903" s="17"/>
      <c r="K903" s="14"/>
      <c r="L903" s="15"/>
      <c r="M903" s="16"/>
      <c r="N903" s="17"/>
      <c r="O903" s="2823" t="s">
        <v>5901</v>
      </c>
      <c r="P903" s="2823"/>
      <c r="Q903" s="2646"/>
      <c r="R903" s="17"/>
      <c r="S903" s="14"/>
      <c r="T903" s="15"/>
      <c r="U903" s="16"/>
      <c r="V903" s="17"/>
      <c r="W903" s="14"/>
      <c r="X903" s="15"/>
      <c r="Y903" s="16"/>
      <c r="Z903" s="17"/>
      <c r="AA903" s="30"/>
      <c r="AB903" s="15"/>
    </row>
    <row r="904" spans="1:28">
      <c r="A904" s="969" t="s">
        <v>5055</v>
      </c>
      <c r="B904" s="1220" t="s">
        <v>284</v>
      </c>
      <c r="C904" s="14"/>
      <c r="D904" s="15"/>
      <c r="E904" s="16"/>
      <c r="F904" s="17"/>
      <c r="G904" s="14"/>
      <c r="H904" s="15"/>
      <c r="I904" s="16"/>
      <c r="J904" s="17"/>
      <c r="K904" s="14"/>
      <c r="L904" s="15"/>
      <c r="M904" s="16"/>
      <c r="N904" s="17"/>
      <c r="O904" s="2823" t="s">
        <v>5902</v>
      </c>
      <c r="P904" s="2823"/>
      <c r="Q904" s="2646"/>
      <c r="R904" s="17"/>
      <c r="S904" s="14"/>
      <c r="T904" s="15"/>
      <c r="U904" s="16"/>
      <c r="V904" s="17"/>
      <c r="W904" s="14"/>
      <c r="X904" s="15"/>
      <c r="Y904" s="16"/>
      <c r="Z904" s="17"/>
      <c r="AA904" s="30"/>
      <c r="AB904" s="15"/>
    </row>
    <row r="905" spans="1:28">
      <c r="A905" s="962" t="s">
        <v>5056</v>
      </c>
      <c r="B905" s="1220" t="s">
        <v>284</v>
      </c>
      <c r="C905" s="14"/>
      <c r="D905" s="15"/>
      <c r="E905" s="16"/>
      <c r="F905" s="17"/>
      <c r="G905" s="14"/>
      <c r="H905" s="15"/>
      <c r="I905" s="16"/>
      <c r="J905" s="17"/>
      <c r="K905" s="14"/>
      <c r="L905" s="15"/>
      <c r="M905" s="16"/>
      <c r="N905" s="17"/>
      <c r="O905" s="2823" t="s">
        <v>5903</v>
      </c>
      <c r="P905" s="2823"/>
      <c r="Q905" s="2646"/>
      <c r="R905" s="17"/>
      <c r="S905" s="14"/>
      <c r="T905" s="15"/>
      <c r="U905" s="16"/>
      <c r="V905" s="17"/>
      <c r="W905" s="14"/>
      <c r="X905" s="15"/>
      <c r="Y905" s="16"/>
      <c r="Z905" s="17"/>
      <c r="AA905" s="30"/>
      <c r="AB905" s="15"/>
    </row>
    <row r="906" spans="1:28">
      <c r="A906" s="406" t="s">
        <v>5057</v>
      </c>
      <c r="B906" s="1220" t="s">
        <v>284</v>
      </c>
      <c r="C906" s="14"/>
      <c r="D906" s="15"/>
      <c r="E906" s="16"/>
      <c r="F906" s="17"/>
      <c r="G906" s="14"/>
      <c r="H906" s="15"/>
      <c r="I906" s="16"/>
      <c r="J906" s="17"/>
      <c r="K906" s="14"/>
      <c r="L906" s="15"/>
      <c r="M906" s="16"/>
      <c r="N906" s="17"/>
      <c r="O906" s="2823" t="s">
        <v>5904</v>
      </c>
      <c r="P906" s="2823"/>
      <c r="Q906" s="2646"/>
      <c r="R906" s="17"/>
      <c r="S906" s="14"/>
      <c r="T906" s="15"/>
      <c r="U906" s="16"/>
      <c r="V906" s="17"/>
      <c r="W906" s="14"/>
      <c r="X906" s="15"/>
      <c r="Y906" s="16"/>
      <c r="Z906" s="17"/>
      <c r="AA906" s="30"/>
      <c r="AB906" s="15"/>
    </row>
    <row r="907" spans="1:28">
      <c r="A907" s="962" t="s">
        <v>5058</v>
      </c>
      <c r="B907" s="1220" t="s">
        <v>284</v>
      </c>
      <c r="C907" s="14"/>
      <c r="D907" s="15"/>
      <c r="E907" s="16"/>
      <c r="F907" s="17"/>
      <c r="G907" s="14"/>
      <c r="H907" s="15"/>
      <c r="I907" s="16"/>
      <c r="J907" s="17"/>
      <c r="K907" s="14"/>
      <c r="L907" s="15"/>
      <c r="M907" s="16"/>
      <c r="N907" s="17"/>
      <c r="O907" s="2823" t="s">
        <v>5905</v>
      </c>
      <c r="P907" s="2823"/>
      <c r="Q907" s="2646"/>
      <c r="R907" s="17"/>
      <c r="S907" s="14"/>
      <c r="T907" s="15"/>
      <c r="U907" s="16"/>
      <c r="V907" s="17"/>
      <c r="W907" s="14"/>
      <c r="X907" s="15"/>
      <c r="Y907" s="16"/>
      <c r="Z907" s="17"/>
      <c r="AA907" s="30"/>
      <c r="AB907" s="15"/>
    </row>
    <row r="908" spans="1:28">
      <c r="A908" s="962" t="s">
        <v>5059</v>
      </c>
      <c r="B908" s="1220" t="s">
        <v>284</v>
      </c>
      <c r="C908" s="14"/>
      <c r="D908" s="15"/>
      <c r="E908" s="16"/>
      <c r="F908" s="17"/>
      <c r="G908" s="14"/>
      <c r="H908" s="15"/>
      <c r="I908" s="16"/>
      <c r="J908" s="17"/>
      <c r="K908" s="14"/>
      <c r="L908" s="15"/>
      <c r="M908" s="16"/>
      <c r="N908" s="17"/>
      <c r="O908" s="2823" t="s">
        <v>5906</v>
      </c>
      <c r="P908" s="2823"/>
      <c r="Q908" s="2646"/>
      <c r="R908" s="17"/>
      <c r="S908" s="14"/>
      <c r="T908" s="15"/>
      <c r="U908" s="16"/>
      <c r="V908" s="17"/>
      <c r="W908" s="14"/>
      <c r="X908" s="15"/>
      <c r="Y908" s="16"/>
      <c r="Z908" s="17"/>
      <c r="AA908" s="30"/>
      <c r="AB908" s="15"/>
    </row>
    <row r="909" spans="1:28">
      <c r="A909" s="962" t="s">
        <v>5060</v>
      </c>
      <c r="B909" s="1220" t="s">
        <v>284</v>
      </c>
      <c r="C909" s="14"/>
      <c r="D909" s="15"/>
      <c r="E909" s="16"/>
      <c r="F909" s="17"/>
      <c r="G909" s="14"/>
      <c r="H909" s="15"/>
      <c r="I909" s="16"/>
      <c r="J909" s="17"/>
      <c r="K909" s="14"/>
      <c r="L909" s="15"/>
      <c r="M909" s="16"/>
      <c r="N909" s="17"/>
      <c r="O909" s="2823" t="s">
        <v>5907</v>
      </c>
      <c r="P909" s="2823"/>
      <c r="Q909" s="2646"/>
      <c r="R909" s="17"/>
      <c r="S909" s="14"/>
      <c r="T909" s="15"/>
      <c r="U909" s="16"/>
      <c r="V909" s="17"/>
      <c r="W909" s="14"/>
      <c r="X909" s="15"/>
      <c r="Y909" s="16"/>
      <c r="Z909" s="17"/>
      <c r="AA909" s="30"/>
      <c r="AB909" s="15"/>
    </row>
    <row r="910" spans="1:28">
      <c r="A910" s="406" t="s">
        <v>5061</v>
      </c>
      <c r="B910" s="1220" t="s">
        <v>284</v>
      </c>
      <c r="C910" s="14"/>
      <c r="D910" s="15"/>
      <c r="E910" s="16"/>
      <c r="F910" s="17"/>
      <c r="G910" s="14"/>
      <c r="H910" s="15"/>
      <c r="I910" s="16"/>
      <c r="J910" s="17"/>
      <c r="K910" s="14"/>
      <c r="L910" s="15"/>
      <c r="M910" s="16"/>
      <c r="N910" s="17"/>
      <c r="O910" s="2823" t="s">
        <v>5914</v>
      </c>
      <c r="P910" s="2823"/>
      <c r="Q910" s="2646"/>
      <c r="R910" s="17"/>
      <c r="S910" s="14"/>
      <c r="T910" s="15"/>
      <c r="U910" s="16"/>
      <c r="V910" s="17"/>
      <c r="W910" s="14"/>
      <c r="X910" s="15"/>
      <c r="Y910" s="16"/>
      <c r="Z910" s="17"/>
      <c r="AA910" s="30"/>
      <c r="AB910" s="15"/>
    </row>
    <row r="911" spans="1:28">
      <c r="A911" s="406" t="s">
        <v>5062</v>
      </c>
      <c r="B911" s="1220" t="s">
        <v>284</v>
      </c>
      <c r="C911" s="14"/>
      <c r="D911" s="15"/>
      <c r="E911" s="16"/>
      <c r="F911" s="17"/>
      <c r="G911" s="14"/>
      <c r="H911" s="15"/>
      <c r="I911" s="16"/>
      <c r="J911" s="17"/>
      <c r="K911" s="14"/>
      <c r="L911" s="15"/>
      <c r="M911" s="16"/>
      <c r="N911" s="17"/>
      <c r="O911" s="2823" t="s">
        <v>5909</v>
      </c>
      <c r="P911" s="2823"/>
      <c r="Q911" s="2646"/>
      <c r="R911" s="17"/>
      <c r="S911" s="14"/>
      <c r="T911" s="15"/>
      <c r="U911" s="16"/>
      <c r="V911" s="17"/>
      <c r="W911" s="14"/>
      <c r="X911" s="15"/>
      <c r="Y911" s="16"/>
      <c r="Z911" s="17"/>
      <c r="AA911" s="30"/>
      <c r="AB911" s="15"/>
    </row>
    <row r="912" spans="1:28">
      <c r="A912" s="406" t="s">
        <v>5915</v>
      </c>
      <c r="B912" s="1220" t="s">
        <v>256</v>
      </c>
      <c r="C912" s="14"/>
      <c r="D912" s="15"/>
      <c r="E912" s="16"/>
      <c r="F912" s="17"/>
      <c r="G912" s="14"/>
      <c r="H912" s="15"/>
      <c r="I912" s="16"/>
      <c r="J912" s="17"/>
      <c r="K912" s="14"/>
      <c r="L912" s="15"/>
      <c r="M912" s="16"/>
      <c r="N912" s="17"/>
      <c r="O912" s="2823" t="s">
        <v>5899</v>
      </c>
      <c r="P912" s="2823"/>
      <c r="Q912" s="2646"/>
      <c r="R912" s="17"/>
      <c r="S912" s="14"/>
      <c r="T912" s="15"/>
      <c r="U912" s="16"/>
      <c r="V912" s="17"/>
      <c r="W912" s="14"/>
      <c r="X912" s="15"/>
      <c r="Y912" s="16"/>
      <c r="Z912" s="17"/>
      <c r="AA912" s="30"/>
      <c r="AB912" s="15"/>
    </row>
    <row r="913" spans="1:28">
      <c r="A913" s="406" t="s">
        <v>5053</v>
      </c>
      <c r="B913" s="1220" t="s">
        <v>256</v>
      </c>
      <c r="C913" s="14"/>
      <c r="D913" s="15"/>
      <c r="E913" s="16"/>
      <c r="F913" s="17"/>
      <c r="G913" s="14"/>
      <c r="H913" s="15"/>
      <c r="I913" s="16"/>
      <c r="J913" s="17"/>
      <c r="K913" s="14"/>
      <c r="L913" s="15"/>
      <c r="M913" s="16"/>
      <c r="N913" s="17"/>
      <c r="O913" s="2823" t="s">
        <v>5900</v>
      </c>
      <c r="P913" s="2823"/>
      <c r="Q913" s="2646"/>
      <c r="R913" s="17"/>
      <c r="S913" s="14"/>
      <c r="T913" s="15"/>
      <c r="U913" s="16"/>
      <c r="V913" s="17"/>
      <c r="W913" s="14"/>
      <c r="X913" s="15"/>
      <c r="Y913" s="16"/>
      <c r="Z913" s="17"/>
      <c r="AA913" s="30"/>
      <c r="AB913" s="15"/>
    </row>
    <row r="914" spans="1:28">
      <c r="A914" s="1336" t="s">
        <v>5054</v>
      </c>
      <c r="B914" s="1220" t="s">
        <v>256</v>
      </c>
      <c r="C914" s="14"/>
      <c r="D914" s="15"/>
      <c r="E914" s="16"/>
      <c r="F914" s="17"/>
      <c r="G914" s="14"/>
      <c r="H914" s="15"/>
      <c r="I914" s="16"/>
      <c r="J914" s="17"/>
      <c r="K914" s="14"/>
      <c r="L914" s="15"/>
      <c r="M914" s="16"/>
      <c r="N914" s="17"/>
      <c r="O914" s="2823" t="s">
        <v>5901</v>
      </c>
      <c r="P914" s="2823"/>
      <c r="Q914" s="2646"/>
      <c r="R914" s="17"/>
      <c r="S914" s="14"/>
      <c r="T914" s="15"/>
      <c r="U914" s="16"/>
      <c r="V914" s="17"/>
      <c r="W914" s="14"/>
      <c r="X914" s="15"/>
      <c r="Y914" s="16"/>
      <c r="Z914" s="17"/>
      <c r="AA914" s="30"/>
      <c r="AB914" s="15"/>
    </row>
    <row r="915" spans="1:28">
      <c r="A915" s="969" t="s">
        <v>5055</v>
      </c>
      <c r="B915" s="1220" t="s">
        <v>256</v>
      </c>
      <c r="C915" s="14"/>
      <c r="D915" s="15"/>
      <c r="E915" s="16"/>
      <c r="F915" s="17"/>
      <c r="G915" s="14"/>
      <c r="H915" s="15"/>
      <c r="I915" s="16"/>
      <c r="J915" s="17"/>
      <c r="K915" s="14"/>
      <c r="L915" s="15"/>
      <c r="M915" s="16"/>
      <c r="N915" s="17"/>
      <c r="O915" s="2824" t="s">
        <v>5902</v>
      </c>
      <c r="P915" s="2824"/>
      <c r="Q915" s="2646"/>
      <c r="R915" s="17"/>
      <c r="S915" s="14"/>
      <c r="T915" s="15"/>
      <c r="U915" s="16"/>
      <c r="V915" s="17"/>
      <c r="W915" s="14"/>
      <c r="X915" s="15"/>
      <c r="Y915" s="16"/>
      <c r="Z915" s="17"/>
      <c r="AA915" s="30"/>
      <c r="AB915" s="15"/>
    </row>
    <row r="916" spans="1:28">
      <c r="A916" s="406" t="s">
        <v>5057</v>
      </c>
      <c r="B916" s="1220" t="s">
        <v>256</v>
      </c>
      <c r="C916" s="14"/>
      <c r="D916" s="15"/>
      <c r="E916" s="16"/>
      <c r="F916" s="17"/>
      <c r="G916" s="14"/>
      <c r="H916" s="15"/>
      <c r="I916" s="16"/>
      <c r="J916" s="17"/>
      <c r="K916" s="14"/>
      <c r="L916" s="15"/>
      <c r="M916" s="16"/>
      <c r="N916" s="17"/>
      <c r="O916" s="2920" t="s">
        <v>5904</v>
      </c>
      <c r="P916" s="2826"/>
      <c r="Q916" s="2645"/>
      <c r="R916" s="1795"/>
      <c r="S916" s="14"/>
      <c r="T916" s="15"/>
      <c r="U916" s="16"/>
      <c r="V916" s="17"/>
      <c r="W916" s="14"/>
      <c r="X916" s="15"/>
      <c r="Y916" s="16"/>
      <c r="Z916" s="17"/>
      <c r="AA916" s="30"/>
      <c r="AB916" s="15"/>
    </row>
    <row r="917" spans="1:28">
      <c r="A917" s="962" t="s">
        <v>5058</v>
      </c>
      <c r="B917" s="1220" t="s">
        <v>256</v>
      </c>
      <c r="C917" s="14"/>
      <c r="D917" s="15"/>
      <c r="E917" s="16"/>
      <c r="F917" s="17"/>
      <c r="G917" s="14"/>
      <c r="H917" s="15"/>
      <c r="I917" s="16"/>
      <c r="J917" s="17"/>
      <c r="K917" s="14"/>
      <c r="L917" s="15"/>
      <c r="M917" s="16"/>
      <c r="N917" s="17"/>
      <c r="O917" s="2924" t="s">
        <v>5905</v>
      </c>
      <c r="P917" s="2826"/>
      <c r="Q917" s="2649"/>
      <c r="R917" s="2650"/>
      <c r="S917" s="2651"/>
      <c r="T917" s="2648"/>
      <c r="U917" s="16"/>
      <c r="V917" s="17"/>
      <c r="W917" s="14"/>
      <c r="X917" s="15"/>
      <c r="Y917" s="16"/>
      <c r="Z917" s="17"/>
      <c r="AA917" s="30"/>
      <c r="AB917" s="15"/>
    </row>
    <row r="918" spans="1:28" ht="40.5" thickBot="1">
      <c r="A918" s="962" t="s">
        <v>5059</v>
      </c>
      <c r="B918" s="1220" t="s">
        <v>256</v>
      </c>
      <c r="C918" s="6"/>
      <c r="D918" s="32"/>
      <c r="E918" s="7"/>
      <c r="F918" s="40"/>
      <c r="G918" s="6"/>
      <c r="H918" s="32"/>
      <c r="I918" s="7"/>
      <c r="J918" s="40"/>
      <c r="K918" s="6"/>
      <c r="L918" s="32"/>
      <c r="M918" s="7"/>
      <c r="N918" s="40"/>
      <c r="O918" s="2923" t="s">
        <v>5906</v>
      </c>
      <c r="P918" s="2823"/>
      <c r="Q918" s="2647"/>
      <c r="R918" s="40"/>
      <c r="S918" s="6"/>
      <c r="T918" s="32"/>
      <c r="U918" s="7"/>
      <c r="V918" s="40"/>
      <c r="W918" s="6"/>
      <c r="X918" s="32"/>
      <c r="Y918" s="7"/>
      <c r="Z918" s="40"/>
      <c r="AA918" s="2630"/>
      <c r="AB918" s="2631"/>
    </row>
    <row r="919" spans="1:28" ht="40.5" thickBot="1">
      <c r="A919" s="962" t="s">
        <v>5060</v>
      </c>
      <c r="B919" s="1220" t="s">
        <v>256</v>
      </c>
      <c r="C919" s="384"/>
      <c r="D919" s="32"/>
      <c r="E919" s="7"/>
      <c r="F919" s="40"/>
      <c r="G919" s="6"/>
      <c r="H919" s="32"/>
      <c r="I919" s="7"/>
      <c r="J919" s="40"/>
      <c r="K919" s="6"/>
      <c r="L919" s="32"/>
      <c r="M919" s="7"/>
      <c r="N919" s="40"/>
      <c r="O919" s="6"/>
      <c r="P919" s="32"/>
      <c r="Q919" s="7"/>
      <c r="R919" s="40"/>
      <c r="S919" s="6"/>
      <c r="T919" s="32"/>
      <c r="U919" s="7"/>
      <c r="V919" s="40"/>
      <c r="W919" s="6"/>
      <c r="X919" s="32"/>
      <c r="Y919" s="7"/>
      <c r="Z919" s="32"/>
      <c r="AA919" s="31"/>
      <c r="AB919" s="32"/>
    </row>
    <row r="920" spans="1:28">
      <c r="A920" s="962"/>
      <c r="B920" s="1220"/>
      <c r="C920" s="384"/>
    </row>
    <row r="921" spans="1:28">
      <c r="A921" s="2080"/>
      <c r="B921" s="2573"/>
    </row>
    <row r="922" spans="1:28" ht="40.5">
      <c r="A922" s="3" t="s">
        <v>5063</v>
      </c>
      <c r="B922" s="23"/>
      <c r="C922" s="3"/>
      <c r="D922" s="3"/>
      <c r="E922" s="3"/>
      <c r="F922" s="3"/>
      <c r="G922" s="3"/>
      <c r="H922" s="3"/>
      <c r="I922" s="3"/>
      <c r="J922" s="3"/>
      <c r="K922" s="3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B922" s="4"/>
    </row>
    <row r="923" spans="1:28" ht="40.5" thickBot="1">
      <c r="A923" s="5" t="s">
        <v>5064</v>
      </c>
    </row>
    <row r="924" spans="1:28">
      <c r="A924" s="3537" t="s">
        <v>2</v>
      </c>
      <c r="B924" s="3540" t="s">
        <v>3</v>
      </c>
      <c r="C924" s="3537" t="s">
        <v>5065</v>
      </c>
      <c r="D924" s="3538"/>
      <c r="E924" s="3536" t="s">
        <v>5066</v>
      </c>
      <c r="F924" s="3536"/>
      <c r="G924" s="3537" t="s">
        <v>5067</v>
      </c>
      <c r="H924" s="3538"/>
      <c r="I924" s="3536" t="s">
        <v>5068</v>
      </c>
      <c r="J924" s="3536"/>
      <c r="K924" s="3537" t="s">
        <v>5069</v>
      </c>
      <c r="L924" s="3538"/>
      <c r="M924" s="3536" t="s">
        <v>5070</v>
      </c>
      <c r="N924" s="3536"/>
      <c r="O924" s="3542"/>
      <c r="P924" s="3542"/>
      <c r="Q924" s="3536" t="s">
        <v>5071</v>
      </c>
      <c r="R924" s="3536"/>
      <c r="S924" s="3536" t="s">
        <v>5072</v>
      </c>
      <c r="T924" s="3536"/>
      <c r="U924" s="3472" t="s">
        <v>5073</v>
      </c>
      <c r="V924" s="3473"/>
      <c r="W924" s="3536" t="s">
        <v>5074</v>
      </c>
      <c r="X924" s="3536"/>
      <c r="Y924" s="3472" t="s">
        <v>5075</v>
      </c>
      <c r="Z924" s="3475"/>
      <c r="AA924" s="3537" t="s">
        <v>5076</v>
      </c>
      <c r="AB924" s="3538"/>
    </row>
    <row r="925" spans="1:28" ht="40.5" thickBot="1">
      <c r="A925" s="3539"/>
      <c r="B925" s="3541"/>
      <c r="C925" s="1" t="s">
        <v>5078</v>
      </c>
      <c r="D925" s="35" t="s">
        <v>5079</v>
      </c>
      <c r="E925" s="2" t="s">
        <v>5078</v>
      </c>
      <c r="F925" s="36" t="s">
        <v>5079</v>
      </c>
      <c r="G925" s="1" t="s">
        <v>5078</v>
      </c>
      <c r="H925" s="35" t="s">
        <v>5079</v>
      </c>
      <c r="I925" s="2" t="s">
        <v>5078</v>
      </c>
      <c r="J925" s="36" t="s">
        <v>5079</v>
      </c>
      <c r="K925" s="1" t="s">
        <v>5078</v>
      </c>
      <c r="L925" s="35" t="s">
        <v>5079</v>
      </c>
      <c r="M925" s="2" t="s">
        <v>5078</v>
      </c>
      <c r="N925" s="36" t="s">
        <v>5079</v>
      </c>
      <c r="O925" s="2769"/>
      <c r="P925" s="2820"/>
      <c r="Q925" s="2" t="s">
        <v>5078</v>
      </c>
      <c r="R925" s="36" t="s">
        <v>5079</v>
      </c>
      <c r="S925" s="1" t="s">
        <v>5078</v>
      </c>
      <c r="T925" s="35" t="s">
        <v>5079</v>
      </c>
      <c r="U925" s="2" t="s">
        <v>5078</v>
      </c>
      <c r="V925" s="36" t="s">
        <v>5079</v>
      </c>
      <c r="W925" s="1" t="s">
        <v>5078</v>
      </c>
      <c r="X925" s="35" t="s">
        <v>5079</v>
      </c>
      <c r="Y925" s="2" t="s">
        <v>5078</v>
      </c>
      <c r="Z925" s="36" t="s">
        <v>5079</v>
      </c>
      <c r="AA925" s="1" t="s">
        <v>5078</v>
      </c>
      <c r="AB925" s="35" t="s">
        <v>5079</v>
      </c>
    </row>
    <row r="926" spans="1:28">
      <c r="A926" s="89" t="s">
        <v>501</v>
      </c>
      <c r="B926" s="2632"/>
      <c r="C926" s="9"/>
      <c r="D926" s="10"/>
      <c r="E926" s="11"/>
      <c r="F926" s="12"/>
      <c r="G926" s="9"/>
      <c r="H926" s="10"/>
      <c r="I926" s="11"/>
      <c r="J926" s="12"/>
      <c r="K926" s="9"/>
      <c r="L926" s="10"/>
      <c r="M926" s="11"/>
      <c r="N926" s="12"/>
      <c r="O926" s="2821"/>
      <c r="P926" s="2822"/>
      <c r="Q926" s="11"/>
      <c r="R926" s="12"/>
      <c r="S926" s="9"/>
      <c r="T926" s="10"/>
      <c r="U926" s="11"/>
      <c r="V926" s="12"/>
      <c r="W926" s="9"/>
      <c r="X926" s="10"/>
      <c r="Y926" s="11"/>
      <c r="Z926" s="12"/>
      <c r="AA926" s="33"/>
      <c r="AB926" s="10"/>
    </row>
    <row r="927" spans="1:28">
      <c r="A927" s="89" t="s">
        <v>505</v>
      </c>
      <c r="B927" s="2621"/>
      <c r="C927" s="14"/>
      <c r="D927" s="15"/>
      <c r="E927" s="16"/>
      <c r="F927" s="17"/>
      <c r="G927" s="14"/>
      <c r="H927" s="15"/>
      <c r="I927" s="16"/>
      <c r="J927" s="17"/>
      <c r="K927" s="14"/>
      <c r="L927" s="15"/>
      <c r="M927" s="16"/>
      <c r="N927" s="17"/>
      <c r="O927" s="2823"/>
      <c r="P927" s="2823"/>
      <c r="Q927" s="2646"/>
      <c r="R927" s="17"/>
      <c r="S927" s="14"/>
      <c r="T927" s="15"/>
      <c r="U927" s="16"/>
      <c r="V927" s="17"/>
      <c r="W927" s="14"/>
      <c r="X927" s="15"/>
      <c r="Y927" s="16"/>
      <c r="Z927" s="17"/>
      <c r="AA927" s="30"/>
      <c r="AB927" s="15"/>
    </row>
    <row r="928" spans="1:28">
      <c r="A928" s="89" t="s">
        <v>506</v>
      </c>
      <c r="B928" s="2621"/>
      <c r="C928" s="14"/>
      <c r="D928" s="15"/>
      <c r="E928" s="16"/>
      <c r="F928" s="17"/>
      <c r="G928" s="14"/>
      <c r="H928" s="15"/>
      <c r="I928" s="16"/>
      <c r="J928" s="17"/>
      <c r="K928" s="14"/>
      <c r="L928" s="15"/>
      <c r="M928" s="16"/>
      <c r="N928" s="17"/>
      <c r="O928" s="2823"/>
      <c r="P928" s="2823"/>
      <c r="Q928" s="2646"/>
      <c r="R928" s="17"/>
      <c r="S928" s="14"/>
      <c r="T928" s="15"/>
      <c r="U928" s="16"/>
      <c r="V928" s="17"/>
      <c r="W928" s="14"/>
      <c r="X928" s="15"/>
      <c r="Y928" s="16"/>
      <c r="Z928" s="17"/>
      <c r="AA928" s="30"/>
      <c r="AB928" s="15"/>
    </row>
    <row r="929" spans="1:28">
      <c r="A929" s="89" t="s">
        <v>507</v>
      </c>
      <c r="B929" s="2621"/>
      <c r="C929" s="14"/>
      <c r="D929" s="15"/>
      <c r="E929" s="16"/>
      <c r="F929" s="17"/>
      <c r="G929" s="14"/>
      <c r="H929" s="15"/>
      <c r="I929" s="16"/>
      <c r="J929" s="17"/>
      <c r="K929" s="14"/>
      <c r="L929" s="15"/>
      <c r="M929" s="16"/>
      <c r="N929" s="17"/>
      <c r="O929" s="2823"/>
      <c r="P929" s="2823"/>
      <c r="Q929" s="2646"/>
      <c r="R929" s="17"/>
      <c r="S929" s="14"/>
      <c r="T929" s="15"/>
      <c r="U929" s="16"/>
      <c r="V929" s="17"/>
      <c r="W929" s="14"/>
      <c r="X929" s="15"/>
      <c r="Y929" s="16"/>
      <c r="Z929" s="17"/>
      <c r="AA929" s="30"/>
      <c r="AB929" s="15"/>
    </row>
    <row r="930" spans="1:28">
      <c r="A930" s="89" t="s">
        <v>508</v>
      </c>
      <c r="B930" s="2622"/>
      <c r="C930" s="14"/>
      <c r="D930" s="15"/>
      <c r="E930" s="16"/>
      <c r="F930" s="17"/>
      <c r="G930" s="14"/>
      <c r="H930" s="15"/>
      <c r="I930" s="16"/>
      <c r="J930" s="17"/>
      <c r="K930" s="14"/>
      <c r="L930" s="15"/>
      <c r="M930" s="16"/>
      <c r="N930" s="17"/>
      <c r="O930" s="2823"/>
      <c r="P930" s="2823"/>
      <c r="Q930" s="2646"/>
      <c r="R930" s="17"/>
      <c r="S930" s="14"/>
      <c r="T930" s="15"/>
      <c r="U930" s="16"/>
      <c r="V930" s="17"/>
      <c r="W930" s="14"/>
      <c r="X930" s="15"/>
      <c r="Y930" s="16"/>
      <c r="Z930" s="17"/>
      <c r="AA930" s="30"/>
      <c r="AB930" s="15"/>
    </row>
    <row r="931" spans="1:28">
      <c r="A931" s="89" t="s">
        <v>509</v>
      </c>
      <c r="B931" s="2621"/>
      <c r="C931" s="14"/>
      <c r="D931" s="15"/>
      <c r="E931" s="16"/>
      <c r="F931" s="17"/>
      <c r="G931" s="14"/>
      <c r="H931" s="15"/>
      <c r="I931" s="16"/>
      <c r="J931" s="17"/>
      <c r="K931" s="14"/>
      <c r="L931" s="15"/>
      <c r="M931" s="16"/>
      <c r="N931" s="17"/>
      <c r="O931" s="2823"/>
      <c r="P931" s="2823"/>
      <c r="Q931" s="2646"/>
      <c r="R931" s="17"/>
      <c r="S931" s="14"/>
      <c r="T931" s="15"/>
      <c r="U931" s="16"/>
      <c r="V931" s="17"/>
      <c r="W931" s="14"/>
      <c r="X931" s="15"/>
      <c r="Y931" s="16"/>
      <c r="Z931" s="17"/>
      <c r="AA931" s="30"/>
      <c r="AB931" s="15"/>
    </row>
    <row r="932" spans="1:28">
      <c r="A932" s="74" t="s">
        <v>510</v>
      </c>
      <c r="B932" s="421"/>
      <c r="C932" s="14"/>
      <c r="D932" s="15"/>
      <c r="E932" s="16"/>
      <c r="F932" s="17"/>
      <c r="G932" s="14"/>
      <c r="H932" s="15"/>
      <c r="I932" s="16"/>
      <c r="J932" s="17"/>
      <c r="K932" s="14"/>
      <c r="L932" s="15"/>
      <c r="M932" s="16"/>
      <c r="N932" s="17"/>
      <c r="O932" s="2823"/>
      <c r="P932" s="2823"/>
      <c r="Q932" s="2646"/>
      <c r="R932" s="17"/>
      <c r="S932" s="14"/>
      <c r="T932" s="15"/>
      <c r="U932" s="16"/>
      <c r="V932" s="17"/>
      <c r="W932" s="14"/>
      <c r="X932" s="15"/>
      <c r="Y932" s="16"/>
      <c r="Z932" s="17"/>
      <c r="AA932" s="30"/>
      <c r="AB932" s="15"/>
    </row>
    <row r="933" spans="1:28">
      <c r="A933" s="770" t="s">
        <v>511</v>
      </c>
      <c r="B933" s="2621"/>
      <c r="C933" s="14"/>
      <c r="D933" s="15"/>
      <c r="E933" s="16"/>
      <c r="F933" s="17"/>
      <c r="G933" s="14"/>
      <c r="H933" s="15"/>
      <c r="I933" s="16"/>
      <c r="J933" s="17"/>
      <c r="K933" s="14"/>
      <c r="L933" s="15"/>
      <c r="M933" s="16"/>
      <c r="N933" s="17"/>
      <c r="O933" s="2823"/>
      <c r="P933" s="2823"/>
      <c r="Q933" s="2646"/>
      <c r="R933" s="17"/>
      <c r="S933" s="14"/>
      <c r="T933" s="15"/>
      <c r="U933" s="16"/>
      <c r="V933" s="17"/>
      <c r="W933" s="14"/>
      <c r="X933" s="15"/>
      <c r="Y933" s="16"/>
      <c r="Z933" s="17"/>
      <c r="AA933" s="30"/>
      <c r="AB933" s="15"/>
    </row>
    <row r="934" spans="1:28">
      <c r="A934" s="770" t="s">
        <v>512</v>
      </c>
      <c r="B934" s="2622"/>
      <c r="C934" s="14"/>
      <c r="D934" s="15"/>
      <c r="E934" s="16"/>
      <c r="F934" s="17"/>
      <c r="G934" s="14"/>
      <c r="H934" s="15"/>
      <c r="I934" s="16"/>
      <c r="J934" s="17"/>
      <c r="K934" s="14"/>
      <c r="L934" s="15"/>
      <c r="M934" s="16"/>
      <c r="N934" s="17"/>
      <c r="O934" s="2823"/>
      <c r="P934" s="2823"/>
      <c r="Q934" s="2646"/>
      <c r="R934" s="17"/>
      <c r="S934" s="14"/>
      <c r="T934" s="15"/>
      <c r="U934" s="16"/>
      <c r="V934" s="17"/>
      <c r="W934" s="14"/>
      <c r="X934" s="15"/>
      <c r="Y934" s="16"/>
      <c r="Z934" s="17"/>
      <c r="AA934" s="30"/>
      <c r="AB934" s="15"/>
    </row>
    <row r="935" spans="1:28">
      <c r="A935" s="89" t="s">
        <v>513</v>
      </c>
      <c r="B935" s="2622"/>
      <c r="C935" s="14"/>
      <c r="D935" s="15"/>
      <c r="E935" s="16"/>
      <c r="F935" s="17"/>
      <c r="G935" s="14"/>
      <c r="H935" s="15"/>
      <c r="I935" s="16"/>
      <c r="J935" s="17"/>
      <c r="K935" s="14"/>
      <c r="L935" s="15"/>
      <c r="M935" s="16"/>
      <c r="N935" s="17"/>
      <c r="O935" s="2823"/>
      <c r="P935" s="2823"/>
      <c r="Q935" s="2646"/>
      <c r="R935" s="17"/>
      <c r="S935" s="14"/>
      <c r="T935" s="15"/>
      <c r="U935" s="16"/>
      <c r="V935" s="17"/>
      <c r="W935" s="14"/>
      <c r="X935" s="15"/>
      <c r="Y935" s="16"/>
      <c r="Z935" s="17"/>
      <c r="AA935" s="30"/>
      <c r="AB935" s="15"/>
    </row>
    <row r="936" spans="1:28">
      <c r="A936" s="89" t="s">
        <v>514</v>
      </c>
      <c r="B936" s="2623"/>
      <c r="C936" s="14"/>
      <c r="D936" s="15"/>
      <c r="E936" s="16"/>
      <c r="F936" s="17"/>
      <c r="G936" s="14"/>
      <c r="H936" s="15"/>
      <c r="I936" s="16"/>
      <c r="J936" s="17"/>
      <c r="K936" s="14"/>
      <c r="L936" s="15"/>
      <c r="M936" s="16"/>
      <c r="N936" s="17"/>
      <c r="O936" s="2823"/>
      <c r="P936" s="2823"/>
      <c r="Q936" s="2646"/>
      <c r="R936" s="17"/>
      <c r="S936" s="14"/>
      <c r="T936" s="15"/>
      <c r="U936" s="16"/>
      <c r="V936" s="17"/>
      <c r="W936" s="14"/>
      <c r="X936" s="15"/>
      <c r="Y936" s="16"/>
      <c r="Z936" s="17"/>
      <c r="AA936" s="30"/>
      <c r="AB936" s="15"/>
    </row>
    <row r="937" spans="1:28">
      <c r="A937" s="89" t="s">
        <v>515</v>
      </c>
      <c r="B937" s="2624"/>
      <c r="C937" s="14"/>
      <c r="D937" s="15"/>
      <c r="E937" s="16"/>
      <c r="F937" s="17"/>
      <c r="G937" s="14"/>
      <c r="H937" s="15"/>
      <c r="I937" s="16"/>
      <c r="J937" s="17"/>
      <c r="K937" s="14"/>
      <c r="L937" s="15"/>
      <c r="M937" s="16"/>
      <c r="N937" s="17"/>
      <c r="O937" s="2823"/>
      <c r="P937" s="2823"/>
      <c r="Q937" s="2646"/>
      <c r="R937" s="17"/>
      <c r="S937" s="14"/>
      <c r="T937" s="15"/>
      <c r="U937" s="16"/>
      <c r="V937" s="17"/>
      <c r="W937" s="14"/>
      <c r="X937" s="15"/>
      <c r="Y937" s="16"/>
      <c r="Z937" s="17"/>
      <c r="AA937" s="30"/>
      <c r="AB937" s="15"/>
    </row>
    <row r="938" spans="1:28">
      <c r="A938" s="89" t="s">
        <v>516</v>
      </c>
      <c r="B938" s="2624"/>
      <c r="C938" s="14"/>
      <c r="D938" s="15"/>
      <c r="E938" s="16"/>
      <c r="F938" s="17"/>
      <c r="G938" s="14"/>
      <c r="H938" s="15"/>
      <c r="I938" s="16"/>
      <c r="J938" s="17"/>
      <c r="K938" s="14"/>
      <c r="L938" s="15"/>
      <c r="M938" s="16"/>
      <c r="N938" s="17"/>
      <c r="O938" s="2823"/>
      <c r="P938" s="2823"/>
      <c r="Q938" s="2646"/>
      <c r="R938" s="17"/>
      <c r="S938" s="14"/>
      <c r="T938" s="15"/>
      <c r="U938" s="16"/>
      <c r="V938" s="17"/>
      <c r="W938" s="14"/>
      <c r="X938" s="15"/>
      <c r="Y938" s="16"/>
      <c r="Z938" s="17"/>
      <c r="AA938" s="30"/>
      <c r="AB938" s="15"/>
    </row>
    <row r="939" spans="1:28">
      <c r="A939" s="89" t="s">
        <v>517</v>
      </c>
      <c r="B939" s="2625"/>
      <c r="C939" s="14"/>
      <c r="D939" s="15"/>
      <c r="E939" s="16"/>
      <c r="F939" s="17"/>
      <c r="G939" s="14"/>
      <c r="H939" s="15"/>
      <c r="I939" s="16"/>
      <c r="J939" s="17"/>
      <c r="K939" s="14"/>
      <c r="L939" s="15"/>
      <c r="M939" s="16"/>
      <c r="N939" s="17"/>
      <c r="O939" s="2823"/>
      <c r="P939" s="2823"/>
      <c r="Q939" s="2646"/>
      <c r="R939" s="17"/>
      <c r="S939" s="14"/>
      <c r="T939" s="15"/>
      <c r="U939" s="16"/>
      <c r="V939" s="17"/>
      <c r="W939" s="14"/>
      <c r="X939" s="15"/>
      <c r="Y939" s="16"/>
      <c r="Z939" s="17"/>
      <c r="AA939" s="30"/>
      <c r="AB939" s="15"/>
    </row>
    <row r="940" spans="1:28">
      <c r="A940" s="89" t="s">
        <v>518</v>
      </c>
      <c r="B940" s="2626"/>
      <c r="C940" s="14"/>
      <c r="D940" s="15"/>
      <c r="E940" s="16"/>
      <c r="F940" s="17"/>
      <c r="G940" s="14"/>
      <c r="H940" s="15"/>
      <c r="I940" s="16"/>
      <c r="J940" s="17"/>
      <c r="K940" s="14"/>
      <c r="L940" s="15"/>
      <c r="M940" s="16"/>
      <c r="N940" s="17"/>
      <c r="O940" s="2824"/>
      <c r="P940" s="2824"/>
      <c r="Q940" s="2646"/>
      <c r="R940" s="17"/>
      <c r="S940" s="14"/>
      <c r="T940" s="15"/>
      <c r="U940" s="16"/>
      <c r="V940" s="17"/>
      <c r="W940" s="14"/>
      <c r="X940" s="15"/>
      <c r="Y940" s="16"/>
      <c r="Z940" s="17"/>
      <c r="AA940" s="30"/>
      <c r="AB940" s="15"/>
    </row>
    <row r="941" spans="1:28">
      <c r="A941" s="89" t="s">
        <v>519</v>
      </c>
      <c r="B941" s="2626"/>
      <c r="C941" s="14"/>
      <c r="D941" s="15"/>
      <c r="E941" s="16"/>
      <c r="F941" s="17"/>
      <c r="G941" s="14"/>
      <c r="H941" s="15"/>
      <c r="I941" s="16"/>
      <c r="J941" s="17"/>
      <c r="K941" s="14"/>
      <c r="L941" s="15"/>
      <c r="M941" s="16"/>
      <c r="N941" s="17"/>
      <c r="O941" s="2825"/>
      <c r="P941" s="2826"/>
      <c r="Q941" s="2645"/>
      <c r="R941" s="1795"/>
      <c r="S941" s="14"/>
      <c r="T941" s="15"/>
      <c r="U941" s="16"/>
      <c r="V941" s="17"/>
      <c r="W941" s="14"/>
      <c r="X941" s="15"/>
      <c r="Y941" s="16"/>
      <c r="Z941" s="17"/>
      <c r="AA941" s="30"/>
      <c r="AB941" s="15"/>
    </row>
    <row r="942" spans="1:28">
      <c r="A942" s="770" t="s">
        <v>520</v>
      </c>
      <c r="B942" s="2624"/>
      <c r="C942" s="14"/>
      <c r="D942" s="15"/>
      <c r="E942" s="16"/>
      <c r="F942" s="17"/>
      <c r="G942" s="14"/>
      <c r="H942" s="15"/>
      <c r="I942" s="16"/>
      <c r="J942" s="17"/>
      <c r="K942" s="14"/>
      <c r="L942" s="15"/>
      <c r="M942" s="16"/>
      <c r="N942" s="17"/>
      <c r="O942" s="2825"/>
      <c r="P942" s="2826"/>
      <c r="Q942" s="2649"/>
      <c r="R942" s="2650"/>
      <c r="S942" s="2651"/>
      <c r="T942" s="2648"/>
      <c r="U942" s="16"/>
      <c r="V942" s="17"/>
      <c r="W942" s="14"/>
      <c r="X942" s="15"/>
      <c r="Y942" s="16"/>
      <c r="Z942" s="17"/>
      <c r="AA942" s="30"/>
      <c r="AB942" s="15"/>
    </row>
    <row r="943" spans="1:28" ht="40.5" thickBot="1">
      <c r="A943" s="89" t="s">
        <v>521</v>
      </c>
      <c r="B943" s="2627"/>
      <c r="C943" s="6"/>
      <c r="D943" s="32"/>
      <c r="E943" s="7"/>
      <c r="F943" s="40"/>
      <c r="G943" s="6"/>
      <c r="H943" s="32"/>
      <c r="I943" s="7"/>
      <c r="J943" s="40"/>
      <c r="K943" s="6"/>
      <c r="L943" s="32"/>
      <c r="M943" s="7"/>
      <c r="N943" s="40"/>
      <c r="O943" s="2823"/>
      <c r="P943" s="2823"/>
      <c r="Q943" s="2647"/>
      <c r="R943" s="40"/>
      <c r="S943" s="6"/>
      <c r="T943" s="32"/>
      <c r="U943" s="7"/>
      <c r="V943" s="40"/>
      <c r="W943" s="6"/>
      <c r="X943" s="32"/>
      <c r="Y943" s="7"/>
      <c r="Z943" s="40"/>
      <c r="AA943" s="2630"/>
      <c r="AB943" s="2631"/>
    </row>
    <row r="946" spans="1:28">
      <c r="A946" s="2080"/>
      <c r="B946" s="2573"/>
    </row>
    <row r="947" spans="1:28" ht="40.5">
      <c r="A947" s="3" t="s">
        <v>5063</v>
      </c>
      <c r="B947" s="23"/>
      <c r="C947" s="3"/>
      <c r="D947" s="3"/>
      <c r="E947" s="3"/>
      <c r="F947" s="3"/>
      <c r="G947" s="3"/>
      <c r="H947" s="3"/>
      <c r="I947" s="3"/>
      <c r="J947" s="3"/>
      <c r="K947" s="3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B947" s="4"/>
    </row>
    <row r="948" spans="1:28" ht="40.5" thickBot="1">
      <c r="A948" s="5" t="s">
        <v>5064</v>
      </c>
    </row>
    <row r="949" spans="1:28">
      <c r="A949" s="3537" t="s">
        <v>2</v>
      </c>
      <c r="B949" s="3540" t="s">
        <v>3</v>
      </c>
      <c r="C949" s="3537" t="s">
        <v>5065</v>
      </c>
      <c r="D949" s="3538"/>
      <c r="E949" s="3536" t="s">
        <v>5066</v>
      </c>
      <c r="F949" s="3536"/>
      <c r="G949" s="3537" t="s">
        <v>5067</v>
      </c>
      <c r="H949" s="3538"/>
      <c r="I949" s="3536" t="s">
        <v>5068</v>
      </c>
      <c r="J949" s="3536"/>
      <c r="K949" s="3537" t="s">
        <v>5069</v>
      </c>
      <c r="L949" s="3538"/>
      <c r="M949" s="3536" t="s">
        <v>5070</v>
      </c>
      <c r="N949" s="3536"/>
      <c r="O949" s="3542"/>
      <c r="P949" s="3542"/>
      <c r="Q949" s="3536" t="s">
        <v>5071</v>
      </c>
      <c r="R949" s="3536"/>
      <c r="S949" s="3536" t="s">
        <v>5072</v>
      </c>
      <c r="T949" s="3536"/>
      <c r="U949" s="3472" t="s">
        <v>5073</v>
      </c>
      <c r="V949" s="3473"/>
      <c r="W949" s="3536" t="s">
        <v>5074</v>
      </c>
      <c r="X949" s="3536"/>
      <c r="Y949" s="3472" t="s">
        <v>5075</v>
      </c>
      <c r="Z949" s="3475"/>
      <c r="AA949" s="3537" t="s">
        <v>5076</v>
      </c>
      <c r="AB949" s="3538"/>
    </row>
    <row r="950" spans="1:28" ht="40.5" thickBot="1">
      <c r="A950" s="3543"/>
      <c r="B950" s="3541"/>
      <c r="C950" s="1" t="s">
        <v>5078</v>
      </c>
      <c r="D950" s="35" t="s">
        <v>5079</v>
      </c>
      <c r="E950" s="2" t="s">
        <v>5078</v>
      </c>
      <c r="F950" s="36" t="s">
        <v>5079</v>
      </c>
      <c r="G950" s="1" t="s">
        <v>5078</v>
      </c>
      <c r="H950" s="35" t="s">
        <v>5079</v>
      </c>
      <c r="I950" s="2" t="s">
        <v>5078</v>
      </c>
      <c r="J950" s="36" t="s">
        <v>5079</v>
      </c>
      <c r="K950" s="1" t="s">
        <v>5078</v>
      </c>
      <c r="L950" s="35" t="s">
        <v>5079</v>
      </c>
      <c r="M950" s="2" t="s">
        <v>5078</v>
      </c>
      <c r="N950" s="36" t="s">
        <v>5079</v>
      </c>
      <c r="O950" s="2769"/>
      <c r="P950" s="2820"/>
      <c r="Q950" s="2" t="s">
        <v>5078</v>
      </c>
      <c r="R950" s="36" t="s">
        <v>5079</v>
      </c>
      <c r="S950" s="1" t="s">
        <v>5078</v>
      </c>
      <c r="T950" s="35" t="s">
        <v>5079</v>
      </c>
      <c r="U950" s="2" t="s">
        <v>5078</v>
      </c>
      <c r="V950" s="36" t="s">
        <v>5079</v>
      </c>
      <c r="W950" s="1" t="s">
        <v>5078</v>
      </c>
      <c r="X950" s="35" t="s">
        <v>5079</v>
      </c>
      <c r="Y950" s="2" t="s">
        <v>5078</v>
      </c>
      <c r="Z950" s="36" t="s">
        <v>5079</v>
      </c>
      <c r="AA950" s="1" t="s">
        <v>5078</v>
      </c>
      <c r="AB950" s="35" t="s">
        <v>5079</v>
      </c>
    </row>
    <row r="951" spans="1:28">
      <c r="A951" s="83" t="s">
        <v>517</v>
      </c>
      <c r="B951" s="2632"/>
      <c r="C951" s="9"/>
      <c r="D951" s="10"/>
      <c r="E951" s="11"/>
      <c r="F951" s="12"/>
      <c r="G951" s="9"/>
      <c r="H951" s="10"/>
      <c r="I951" s="11"/>
      <c r="J951" s="12"/>
      <c r="K951" s="9"/>
      <c r="L951" s="10"/>
      <c r="M951" s="11"/>
      <c r="N951" s="12"/>
      <c r="O951" s="2821"/>
      <c r="P951" s="2822"/>
      <c r="Q951" s="11"/>
      <c r="R951" s="12"/>
      <c r="S951" s="9"/>
      <c r="T951" s="10"/>
      <c r="U951" s="11"/>
      <c r="V951" s="12"/>
      <c r="W951" s="9"/>
      <c r="X951" s="10"/>
      <c r="Y951" s="11"/>
      <c r="Z951" s="12"/>
      <c r="AA951" s="33"/>
      <c r="AB951" s="10"/>
    </row>
    <row r="952" spans="1:28">
      <c r="A952" s="83" t="s">
        <v>518</v>
      </c>
      <c r="B952" s="2621"/>
      <c r="C952" s="14"/>
      <c r="D952" s="15"/>
      <c r="E952" s="16"/>
      <c r="F952" s="17"/>
      <c r="G952" s="14"/>
      <c r="H952" s="15"/>
      <c r="I952" s="16"/>
      <c r="J952" s="17"/>
      <c r="K952" s="14"/>
      <c r="L952" s="15"/>
      <c r="M952" s="16"/>
      <c r="N952" s="17"/>
      <c r="O952" s="2823"/>
      <c r="P952" s="2823"/>
      <c r="Q952" s="2646"/>
      <c r="R952" s="17"/>
      <c r="S952" s="14"/>
      <c r="T952" s="15"/>
      <c r="U952" s="16"/>
      <c r="V952" s="17"/>
      <c r="W952" s="14"/>
      <c r="X952" s="15"/>
      <c r="Y952" s="16"/>
      <c r="Z952" s="17"/>
      <c r="AA952" s="30"/>
      <c r="AB952" s="15"/>
    </row>
    <row r="953" spans="1:28">
      <c r="A953" s="83" t="s">
        <v>519</v>
      </c>
      <c r="B953" s="2621"/>
      <c r="C953" s="14"/>
      <c r="D953" s="15"/>
      <c r="E953" s="16"/>
      <c r="F953" s="17"/>
      <c r="G953" s="14"/>
      <c r="H953" s="15"/>
      <c r="I953" s="16"/>
      <c r="J953" s="17"/>
      <c r="K953" s="14"/>
      <c r="L953" s="15"/>
      <c r="M953" s="16"/>
      <c r="N953" s="17"/>
      <c r="O953" s="2823"/>
      <c r="P953" s="2823"/>
      <c r="Q953" s="2646"/>
      <c r="R953" s="17"/>
      <c r="S953" s="14"/>
      <c r="T953" s="15"/>
      <c r="U953" s="16"/>
      <c r="V953" s="17"/>
      <c r="W953" s="14"/>
      <c r="X953" s="15"/>
      <c r="Y953" s="16"/>
      <c r="Z953" s="17"/>
      <c r="AA953" s="30"/>
      <c r="AB953" s="15"/>
    </row>
    <row r="954" spans="1:28">
      <c r="A954" s="398" t="s">
        <v>520</v>
      </c>
      <c r="B954" s="2621"/>
      <c r="C954" s="14"/>
      <c r="D954" s="15"/>
      <c r="E954" s="16"/>
      <c r="F954" s="17"/>
      <c r="G954" s="14"/>
      <c r="H954" s="15"/>
      <c r="I954" s="16"/>
      <c r="J954" s="17"/>
      <c r="K954" s="14"/>
      <c r="L954" s="15"/>
      <c r="M954" s="16"/>
      <c r="N954" s="17"/>
      <c r="O954" s="2823"/>
      <c r="P954" s="2823"/>
      <c r="Q954" s="2646"/>
      <c r="R954" s="17"/>
      <c r="S954" s="14"/>
      <c r="T954" s="15"/>
      <c r="U954" s="16"/>
      <c r="V954" s="17"/>
      <c r="W954" s="14"/>
      <c r="X954" s="15"/>
      <c r="Y954" s="16"/>
      <c r="Z954" s="17"/>
      <c r="AA954" s="30"/>
      <c r="AB954" s="15"/>
    </row>
    <row r="955" spans="1:28">
      <c r="A955" s="83" t="s">
        <v>521</v>
      </c>
      <c r="B955" s="2622"/>
      <c r="C955" s="14"/>
      <c r="D955" s="15"/>
      <c r="E955" s="16"/>
      <c r="F955" s="17"/>
      <c r="G955" s="14"/>
      <c r="H955" s="15"/>
      <c r="I955" s="16"/>
      <c r="J955" s="17"/>
      <c r="K955" s="14"/>
      <c r="L955" s="15"/>
      <c r="M955" s="16"/>
      <c r="N955" s="17"/>
      <c r="O955" s="2823"/>
      <c r="P955" s="2823"/>
      <c r="Q955" s="2646"/>
      <c r="R955" s="17"/>
      <c r="S955" s="14"/>
      <c r="T955" s="15"/>
      <c r="U955" s="16"/>
      <c r="V955" s="17"/>
      <c r="W955" s="14"/>
      <c r="X955" s="15"/>
      <c r="Y955" s="16"/>
      <c r="Z955" s="17"/>
      <c r="AA955" s="30"/>
      <c r="AB955" s="15"/>
    </row>
    <row r="956" spans="1:28">
      <c r="A956" s="83" t="s">
        <v>522</v>
      </c>
      <c r="B956" s="2621"/>
      <c r="C956" s="14"/>
      <c r="D956" s="15"/>
      <c r="E956" s="16"/>
      <c r="F956" s="17"/>
      <c r="G956" s="14"/>
      <c r="H956" s="15"/>
      <c r="I956" s="16"/>
      <c r="J956" s="17"/>
      <c r="K956" s="14"/>
      <c r="L956" s="15"/>
      <c r="M956" s="16"/>
      <c r="N956" s="17"/>
      <c r="O956" s="2823"/>
      <c r="P956" s="2823"/>
      <c r="Q956" s="2646"/>
      <c r="R956" s="17"/>
      <c r="S956" s="14"/>
      <c r="T956" s="15"/>
      <c r="U956" s="16"/>
      <c r="V956" s="17"/>
      <c r="W956" s="14"/>
      <c r="X956" s="15"/>
      <c r="Y956" s="16"/>
      <c r="Z956" s="17"/>
      <c r="AA956" s="30"/>
      <c r="AB956" s="15"/>
    </row>
    <row r="957" spans="1:28">
      <c r="A957" s="83" t="s">
        <v>523</v>
      </c>
      <c r="B957" s="2621"/>
      <c r="C957" s="14"/>
      <c r="D957" s="15"/>
      <c r="E957" s="16"/>
      <c r="F957" s="17"/>
      <c r="G957" s="14"/>
      <c r="H957" s="15"/>
      <c r="I957" s="16"/>
      <c r="J957" s="17"/>
      <c r="K957" s="14"/>
      <c r="L957" s="15"/>
      <c r="M957" s="16"/>
      <c r="N957" s="17"/>
      <c r="O957" s="2823"/>
      <c r="P957" s="2823"/>
      <c r="Q957" s="2646"/>
      <c r="R957" s="17"/>
      <c r="S957" s="14"/>
      <c r="T957" s="15"/>
      <c r="U957" s="16"/>
      <c r="V957" s="17"/>
      <c r="W957" s="14"/>
      <c r="X957" s="15"/>
      <c r="Y957" s="16"/>
      <c r="Z957" s="17"/>
      <c r="AA957" s="30"/>
      <c r="AB957" s="15"/>
    </row>
    <row r="958" spans="1:28">
      <c r="A958" s="83" t="s">
        <v>528</v>
      </c>
      <c r="B958" s="2621"/>
      <c r="C958" s="14"/>
      <c r="D958" s="15"/>
      <c r="E958" s="16"/>
      <c r="F958" s="17"/>
      <c r="G958" s="14"/>
      <c r="H958" s="15"/>
      <c r="I958" s="16"/>
      <c r="J958" s="17"/>
      <c r="K958" s="14"/>
      <c r="L958" s="15"/>
      <c r="M958" s="16"/>
      <c r="N958" s="17"/>
      <c r="O958" s="2823"/>
      <c r="P958" s="2823"/>
      <c r="Q958" s="2646"/>
      <c r="R958" s="17"/>
      <c r="S958" s="14"/>
      <c r="T958" s="15"/>
      <c r="U958" s="16"/>
      <c r="V958" s="17"/>
      <c r="W958" s="14"/>
      <c r="X958" s="15"/>
      <c r="Y958" s="16"/>
      <c r="Z958" s="17"/>
      <c r="AA958" s="30"/>
      <c r="AB958" s="15"/>
    </row>
    <row r="959" spans="1:28">
      <c r="A959" s="83" t="s">
        <v>526</v>
      </c>
      <c r="B959" s="2622"/>
      <c r="C959" s="14"/>
      <c r="D959" s="15"/>
      <c r="E959" s="16"/>
      <c r="F959" s="17"/>
      <c r="G959" s="14"/>
      <c r="H959" s="15"/>
      <c r="I959" s="16"/>
      <c r="J959" s="17"/>
      <c r="K959" s="14"/>
      <c r="L959" s="15"/>
      <c r="M959" s="16"/>
      <c r="N959" s="17"/>
      <c r="O959" s="2823"/>
      <c r="P959" s="2823"/>
      <c r="Q959" s="2646"/>
      <c r="R959" s="17"/>
      <c r="S959" s="14"/>
      <c r="T959" s="15"/>
      <c r="U959" s="16"/>
      <c r="V959" s="17"/>
      <c r="W959" s="14"/>
      <c r="X959" s="15"/>
      <c r="Y959" s="16"/>
      <c r="Z959" s="17"/>
      <c r="AA959" s="30"/>
      <c r="AB959" s="15"/>
    </row>
    <row r="960" spans="1:28">
      <c r="A960" s="83" t="s">
        <v>531</v>
      </c>
      <c r="B960" s="2622"/>
      <c r="C960" s="14"/>
      <c r="D960" s="15"/>
      <c r="E960" s="16"/>
      <c r="F960" s="17"/>
      <c r="G960" s="14"/>
      <c r="H960" s="15"/>
      <c r="I960" s="16"/>
      <c r="J960" s="17"/>
      <c r="K960" s="14"/>
      <c r="L960" s="15"/>
      <c r="M960" s="16"/>
      <c r="N960" s="17"/>
      <c r="O960" s="2823"/>
      <c r="P960" s="2823"/>
      <c r="Q960" s="2646"/>
      <c r="R960" s="17"/>
      <c r="S960" s="14"/>
      <c r="T960" s="15"/>
      <c r="U960" s="16"/>
      <c r="V960" s="17"/>
      <c r="W960" s="14"/>
      <c r="X960" s="15"/>
      <c r="Y960" s="16"/>
      <c r="Z960" s="17"/>
      <c r="AA960" s="30"/>
      <c r="AB960" s="15"/>
    </row>
    <row r="961" spans="1:28">
      <c r="A961" s="3034"/>
      <c r="B961" s="2623"/>
      <c r="C961" s="14"/>
      <c r="D961" s="15"/>
      <c r="E961" s="16"/>
      <c r="F961" s="17"/>
      <c r="G961" s="14"/>
      <c r="H961" s="15"/>
      <c r="I961" s="16"/>
      <c r="J961" s="17"/>
      <c r="K961" s="14"/>
      <c r="L961" s="15"/>
      <c r="M961" s="16"/>
      <c r="N961" s="17"/>
      <c r="O961" s="2823"/>
      <c r="P961" s="2823"/>
      <c r="Q961" s="2646"/>
      <c r="R961" s="17"/>
      <c r="S961" s="14"/>
      <c r="T961" s="15"/>
      <c r="U961" s="16"/>
      <c r="V961" s="17"/>
      <c r="W961" s="14"/>
      <c r="X961" s="15"/>
      <c r="Y961" s="16"/>
      <c r="Z961" s="17"/>
      <c r="AA961" s="30"/>
      <c r="AB961" s="15"/>
    </row>
    <row r="962" spans="1:28">
      <c r="A962" s="3034" t="s">
        <v>5916</v>
      </c>
      <c r="B962" s="2624"/>
      <c r="C962" s="14"/>
      <c r="D962" s="15"/>
      <c r="E962" s="16"/>
      <c r="F962" s="17"/>
      <c r="G962" s="14"/>
      <c r="H962" s="15"/>
      <c r="I962" s="16"/>
      <c r="J962" s="17"/>
      <c r="K962" s="14"/>
      <c r="L962" s="15"/>
      <c r="M962" s="16"/>
      <c r="N962" s="17"/>
      <c r="O962" s="2823"/>
      <c r="P962" s="2823"/>
      <c r="Q962" s="2646"/>
      <c r="R962" s="17"/>
      <c r="S962" s="14"/>
      <c r="T962" s="15"/>
      <c r="U962" s="16"/>
      <c r="V962" s="17"/>
      <c r="W962" s="14"/>
      <c r="X962" s="15"/>
      <c r="Y962" s="16"/>
      <c r="Z962" s="17"/>
      <c r="AA962" s="30"/>
      <c r="AB962" s="15"/>
    </row>
    <row r="963" spans="1:28">
      <c r="A963" s="3034" t="s">
        <v>5917</v>
      </c>
      <c r="B963" s="2624"/>
      <c r="C963" s="14"/>
      <c r="D963" s="15"/>
      <c r="E963" s="16"/>
      <c r="F963" s="17"/>
      <c r="G963" s="14"/>
      <c r="H963" s="15"/>
      <c r="I963" s="16"/>
      <c r="J963" s="17"/>
      <c r="K963" s="14"/>
      <c r="L963" s="15"/>
      <c r="M963" s="16"/>
      <c r="N963" s="17"/>
      <c r="O963" s="2823"/>
      <c r="P963" s="2823"/>
      <c r="Q963" s="2646"/>
      <c r="R963" s="17"/>
      <c r="S963" s="14"/>
      <c r="T963" s="15"/>
      <c r="U963" s="16"/>
      <c r="V963" s="17"/>
      <c r="W963" s="14"/>
      <c r="X963" s="15"/>
      <c r="Y963" s="16"/>
      <c r="Z963" s="17"/>
      <c r="AA963" s="30"/>
      <c r="AB963" s="15"/>
    </row>
    <row r="964" spans="1:28">
      <c r="A964" s="462" t="s">
        <v>5918</v>
      </c>
      <c r="B964" s="2625"/>
      <c r="C964" s="14"/>
      <c r="D964" s="15"/>
      <c r="E964" s="16"/>
      <c r="F964" s="17"/>
      <c r="G964" s="14"/>
      <c r="H964" s="15"/>
      <c r="I964" s="16"/>
      <c r="J964" s="17"/>
      <c r="K964" s="14"/>
      <c r="L964" s="15"/>
      <c r="M964" s="16"/>
      <c r="N964" s="17"/>
      <c r="O964" s="2823"/>
      <c r="P964" s="2823"/>
      <c r="Q964" s="2646"/>
      <c r="R964" s="17"/>
      <c r="S964" s="14"/>
      <c r="T964" s="15"/>
      <c r="U964" s="16"/>
      <c r="V964" s="17"/>
      <c r="W964" s="14"/>
      <c r="X964" s="15"/>
      <c r="Y964" s="16"/>
      <c r="Z964" s="17"/>
      <c r="AA964" s="30"/>
      <c r="AB964" s="15"/>
    </row>
    <row r="965" spans="1:28">
      <c r="A965" s="462" t="s">
        <v>5919</v>
      </c>
      <c r="B965" s="2626"/>
      <c r="C965" s="14"/>
      <c r="D965" s="15"/>
      <c r="E965" s="16"/>
      <c r="F965" s="17"/>
      <c r="G965" s="14"/>
      <c r="H965" s="15"/>
      <c r="I965" s="16"/>
      <c r="J965" s="17"/>
      <c r="K965" s="14"/>
      <c r="L965" s="15"/>
      <c r="M965" s="16"/>
      <c r="N965" s="17"/>
      <c r="O965" s="2824"/>
      <c r="P965" s="2824"/>
      <c r="Q965" s="2646"/>
      <c r="R965" s="17"/>
      <c r="S965" s="14"/>
      <c r="T965" s="15"/>
      <c r="U965" s="16"/>
      <c r="V965" s="17"/>
      <c r="W965" s="14"/>
      <c r="X965" s="15"/>
      <c r="Y965" s="16"/>
      <c r="Z965" s="17"/>
      <c r="AA965" s="30"/>
      <c r="AB965" s="15"/>
    </row>
    <row r="966" spans="1:28">
      <c r="A966" s="462" t="s">
        <v>5920</v>
      </c>
      <c r="B966" s="2626"/>
      <c r="C966" s="14"/>
      <c r="D966" s="15"/>
      <c r="E966" s="16"/>
      <c r="F966" s="17"/>
      <c r="G966" s="14"/>
      <c r="H966" s="15"/>
      <c r="I966" s="16"/>
      <c r="J966" s="17"/>
      <c r="K966" s="14"/>
      <c r="L966" s="15"/>
      <c r="M966" s="16"/>
      <c r="N966" s="17"/>
      <c r="O966" s="2825"/>
      <c r="P966" s="2826"/>
      <c r="Q966" s="2645"/>
      <c r="R966" s="1795"/>
      <c r="S966" s="14"/>
      <c r="T966" s="15"/>
      <c r="U966" s="16"/>
      <c r="V966" s="17"/>
      <c r="W966" s="14"/>
      <c r="X966" s="15"/>
      <c r="Y966" s="16"/>
      <c r="Z966" s="17"/>
      <c r="AA966" s="30"/>
      <c r="AB966" s="15"/>
    </row>
    <row r="967" spans="1:28">
      <c r="A967" s="462" t="s">
        <v>5921</v>
      </c>
      <c r="B967" s="2624"/>
      <c r="C967" s="14"/>
      <c r="D967" s="15"/>
      <c r="E967" s="16"/>
      <c r="F967" s="17"/>
      <c r="G967" s="14"/>
      <c r="H967" s="15"/>
      <c r="I967" s="16"/>
      <c r="J967" s="17"/>
      <c r="K967" s="14"/>
      <c r="L967" s="15"/>
      <c r="M967" s="16"/>
      <c r="N967" s="17"/>
      <c r="O967" s="2825"/>
      <c r="P967" s="2826"/>
      <c r="Q967" s="2649"/>
      <c r="R967" s="2650"/>
      <c r="S967" s="2651"/>
      <c r="T967" s="2648"/>
      <c r="U967" s="16"/>
      <c r="V967" s="17"/>
      <c r="W967" s="14"/>
      <c r="X967" s="15"/>
      <c r="Y967" s="16"/>
      <c r="Z967" s="17"/>
      <c r="AA967" s="30"/>
      <c r="AB967" s="15"/>
    </row>
    <row r="968" spans="1:28" ht="40.5" thickBot="1">
      <c r="A968" s="462" t="s">
        <v>5922</v>
      </c>
      <c r="B968" s="2627"/>
      <c r="C968" s="6"/>
      <c r="D968" s="32"/>
      <c r="E968" s="7"/>
      <c r="F968" s="40"/>
      <c r="G968" s="6"/>
      <c r="H968" s="32"/>
      <c r="I968" s="7"/>
      <c r="J968" s="40"/>
      <c r="K968" s="6"/>
      <c r="L968" s="32"/>
      <c r="M968" s="7"/>
      <c r="N968" s="40"/>
      <c r="O968" s="2823"/>
      <c r="P968" s="2823"/>
      <c r="Q968" s="2647"/>
      <c r="R968" s="40"/>
      <c r="S968" s="6"/>
      <c r="T968" s="32"/>
      <c r="U968" s="7"/>
      <c r="V968" s="40"/>
      <c r="W968" s="6"/>
      <c r="X968" s="32"/>
      <c r="Y968" s="7"/>
      <c r="Z968" s="40"/>
      <c r="AA968" s="2630"/>
      <c r="AB968" s="2631"/>
    </row>
    <row r="971" spans="1:28">
      <c r="A971" s="2080"/>
      <c r="B971" s="2573"/>
    </row>
    <row r="972" spans="1:28" ht="40.5">
      <c r="A972" s="3" t="s">
        <v>5063</v>
      </c>
      <c r="B972" s="23"/>
      <c r="C972" s="3"/>
      <c r="D972" s="3"/>
      <c r="E972" s="3"/>
      <c r="F972" s="3"/>
      <c r="G972" s="3"/>
      <c r="H972" s="3"/>
      <c r="I972" s="3"/>
      <c r="J972" s="3"/>
      <c r="K972" s="3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B972" s="4"/>
    </row>
    <row r="973" spans="1:28" ht="40.5" thickBot="1">
      <c r="A973" s="5" t="s">
        <v>5064</v>
      </c>
    </row>
    <row r="974" spans="1:28">
      <c r="A974" s="3537" t="s">
        <v>2</v>
      </c>
      <c r="B974" s="3540" t="s">
        <v>3</v>
      </c>
      <c r="C974" s="3537" t="s">
        <v>5065</v>
      </c>
      <c r="D974" s="3538"/>
      <c r="E974" s="3536" t="s">
        <v>5066</v>
      </c>
      <c r="F974" s="3536"/>
      <c r="G974" s="3537" t="s">
        <v>5067</v>
      </c>
      <c r="H974" s="3538"/>
      <c r="I974" s="3536" t="s">
        <v>5068</v>
      </c>
      <c r="J974" s="3536"/>
      <c r="K974" s="3537" t="s">
        <v>5069</v>
      </c>
      <c r="L974" s="3538"/>
      <c r="M974" s="3536" t="s">
        <v>5070</v>
      </c>
      <c r="N974" s="3536"/>
      <c r="O974" s="3542"/>
      <c r="P974" s="3542"/>
      <c r="Q974" s="3536" t="s">
        <v>5071</v>
      </c>
      <c r="R974" s="3536"/>
      <c r="S974" s="3536" t="s">
        <v>5072</v>
      </c>
      <c r="T974" s="3536"/>
      <c r="U974" s="3472" t="s">
        <v>5073</v>
      </c>
      <c r="V974" s="3473"/>
      <c r="W974" s="3536" t="s">
        <v>5074</v>
      </c>
      <c r="X974" s="3536"/>
      <c r="Y974" s="3472" t="s">
        <v>5075</v>
      </c>
      <c r="Z974" s="3475"/>
      <c r="AA974" s="3537" t="s">
        <v>5076</v>
      </c>
      <c r="AB974" s="3538"/>
    </row>
    <row r="975" spans="1:28" ht="40.5" thickBot="1">
      <c r="A975" s="3539"/>
      <c r="B975" s="3541"/>
      <c r="C975" s="1" t="s">
        <v>5078</v>
      </c>
      <c r="D975" s="35" t="s">
        <v>5079</v>
      </c>
      <c r="E975" s="2" t="s">
        <v>5078</v>
      </c>
      <c r="F975" s="36" t="s">
        <v>5079</v>
      </c>
      <c r="G975" s="1" t="s">
        <v>5078</v>
      </c>
      <c r="H975" s="35" t="s">
        <v>5079</v>
      </c>
      <c r="I975" s="2" t="s">
        <v>5078</v>
      </c>
      <c r="J975" s="36" t="s">
        <v>5079</v>
      </c>
      <c r="K975" s="1" t="s">
        <v>5078</v>
      </c>
      <c r="L975" s="35" t="s">
        <v>5079</v>
      </c>
      <c r="M975" s="2" t="s">
        <v>5078</v>
      </c>
      <c r="N975" s="36" t="s">
        <v>5079</v>
      </c>
      <c r="O975" s="2769"/>
      <c r="P975" s="2820"/>
      <c r="Q975" s="2" t="s">
        <v>5078</v>
      </c>
      <c r="R975" s="36" t="s">
        <v>5079</v>
      </c>
      <c r="S975" s="1" t="s">
        <v>5078</v>
      </c>
      <c r="T975" s="35" t="s">
        <v>5079</v>
      </c>
      <c r="U975" s="2" t="s">
        <v>5078</v>
      </c>
      <c r="V975" s="36" t="s">
        <v>5079</v>
      </c>
      <c r="W975" s="1" t="s">
        <v>5078</v>
      </c>
      <c r="X975" s="35" t="s">
        <v>5079</v>
      </c>
      <c r="Y975" s="2" t="s">
        <v>5078</v>
      </c>
      <c r="Z975" s="36" t="s">
        <v>5079</v>
      </c>
      <c r="AA975" s="1" t="s">
        <v>5078</v>
      </c>
      <c r="AB975" s="35" t="s">
        <v>5079</v>
      </c>
    </row>
    <row r="976" spans="1:28">
      <c r="A976" s="43" t="s">
        <v>5923</v>
      </c>
      <c r="B976" s="101" t="s">
        <v>419</v>
      </c>
      <c r="C976" s="9"/>
      <c r="D976" s="10"/>
      <c r="E976" s="11"/>
      <c r="F976" s="12"/>
      <c r="G976" s="9"/>
      <c r="H976" s="10"/>
      <c r="I976" s="11"/>
      <c r="J976" s="12"/>
      <c r="K976" s="9"/>
      <c r="L976" s="10"/>
      <c r="M976" s="11"/>
      <c r="N976" s="12"/>
      <c r="O976" s="2821"/>
      <c r="P976" s="2822"/>
      <c r="Q976" s="11"/>
      <c r="R976" s="12"/>
      <c r="S976" s="9"/>
      <c r="T976" s="10"/>
      <c r="U976" s="11"/>
      <c r="V976" s="12"/>
      <c r="W976" s="9"/>
      <c r="X976" s="10"/>
      <c r="Y976" s="11"/>
      <c r="Z976" s="12"/>
      <c r="AA976" s="33"/>
      <c r="AB976" s="10"/>
    </row>
    <row r="977" spans="1:28">
      <c r="A977" s="43" t="s">
        <v>426</v>
      </c>
      <c r="B977" s="101" t="s">
        <v>419</v>
      </c>
      <c r="C977" s="14"/>
      <c r="D977" s="15"/>
      <c r="E977" s="16"/>
      <c r="F977" s="17"/>
      <c r="G977" s="14"/>
      <c r="H977" s="15"/>
      <c r="I977" s="16"/>
      <c r="J977" s="17"/>
      <c r="K977" s="14"/>
      <c r="L977" s="15"/>
      <c r="M977" s="16"/>
      <c r="N977" s="17"/>
      <c r="O977" s="2823"/>
      <c r="P977" s="2823"/>
      <c r="Q977" s="2646"/>
      <c r="R977" s="17"/>
      <c r="S977" s="14"/>
      <c r="T977" s="15"/>
      <c r="U977" s="16"/>
      <c r="V977" s="17"/>
      <c r="W977" s="14"/>
      <c r="X977" s="15"/>
      <c r="Y977" s="16"/>
      <c r="Z977" s="17"/>
      <c r="AA977" s="30"/>
      <c r="AB977" s="15"/>
    </row>
    <row r="978" spans="1:28">
      <c r="A978" s="43" t="s">
        <v>427</v>
      </c>
      <c r="B978" s="101" t="s">
        <v>419</v>
      </c>
      <c r="C978" s="14"/>
      <c r="D978" s="15"/>
      <c r="E978" s="16"/>
      <c r="F978" s="17"/>
      <c r="G978" s="14"/>
      <c r="H978" s="15"/>
      <c r="I978" s="16"/>
      <c r="J978" s="17"/>
      <c r="K978" s="14"/>
      <c r="L978" s="15"/>
      <c r="M978" s="16"/>
      <c r="N978" s="17"/>
      <c r="O978" s="2823"/>
      <c r="P978" s="2823"/>
      <c r="Q978" s="2646"/>
      <c r="R978" s="17"/>
      <c r="S978" s="14"/>
      <c r="T978" s="15"/>
      <c r="U978" s="16"/>
      <c r="V978" s="17"/>
      <c r="W978" s="14"/>
      <c r="X978" s="15"/>
      <c r="Y978" s="16"/>
      <c r="Z978" s="17"/>
      <c r="AA978" s="30"/>
      <c r="AB978" s="15"/>
    </row>
    <row r="979" spans="1:28">
      <c r="A979" s="43" t="s">
        <v>428</v>
      </c>
      <c r="B979" s="101" t="s">
        <v>419</v>
      </c>
      <c r="C979" s="14"/>
      <c r="D979" s="15"/>
      <c r="E979" s="16"/>
      <c r="F979" s="17"/>
      <c r="G979" s="14"/>
      <c r="H979" s="15"/>
      <c r="I979" s="16"/>
      <c r="J979" s="17"/>
      <c r="K979" s="14"/>
      <c r="L979" s="15"/>
      <c r="M979" s="16"/>
      <c r="N979" s="17"/>
      <c r="O979" s="2823"/>
      <c r="P979" s="2823"/>
      <c r="Q979" s="2646"/>
      <c r="R979" s="17"/>
      <c r="S979" s="14"/>
      <c r="T979" s="15"/>
      <c r="U979" s="16"/>
      <c r="V979" s="17"/>
      <c r="W979" s="14"/>
      <c r="X979" s="15"/>
      <c r="Y979" s="16"/>
      <c r="Z979" s="17"/>
      <c r="AA979" s="30"/>
      <c r="AB979" s="15"/>
    </row>
    <row r="980" spans="1:28">
      <c r="A980" s="662" t="s">
        <v>429</v>
      </c>
      <c r="B980" s="101" t="s">
        <v>419</v>
      </c>
      <c r="C980" s="14"/>
      <c r="D980" s="15"/>
      <c r="E980" s="16"/>
      <c r="F980" s="17"/>
      <c r="G980" s="14"/>
      <c r="H980" s="15"/>
      <c r="I980" s="16"/>
      <c r="J980" s="17"/>
      <c r="K980" s="14"/>
      <c r="L980" s="15"/>
      <c r="M980" s="16"/>
      <c r="N980" s="17"/>
      <c r="O980" s="2823"/>
      <c r="P980" s="2823"/>
      <c r="Q980" s="2646"/>
      <c r="R980" s="17"/>
      <c r="S980" s="14"/>
      <c r="T980" s="15"/>
      <c r="U980" s="16"/>
      <c r="V980" s="17"/>
      <c r="W980" s="14"/>
      <c r="X980" s="15"/>
      <c r="Y980" s="16"/>
      <c r="Z980" s="17"/>
      <c r="AA980" s="30"/>
      <c r="AB980" s="15"/>
    </row>
    <row r="981" spans="1:28">
      <c r="A981" s="43" t="s">
        <v>430</v>
      </c>
      <c r="B981" s="101" t="s">
        <v>419</v>
      </c>
      <c r="C981" s="14"/>
      <c r="D981" s="15"/>
      <c r="E981" s="16"/>
      <c r="F981" s="17"/>
      <c r="G981" s="14"/>
      <c r="H981" s="15"/>
      <c r="I981" s="16"/>
      <c r="J981" s="17"/>
      <c r="K981" s="14"/>
      <c r="L981" s="15"/>
      <c r="M981" s="16"/>
      <c r="N981" s="17"/>
      <c r="O981" s="2823"/>
      <c r="P981" s="2823"/>
      <c r="Q981" s="2646"/>
      <c r="R981" s="17"/>
      <c r="S981" s="14"/>
      <c r="T981" s="15"/>
      <c r="U981" s="16"/>
      <c r="V981" s="17"/>
      <c r="W981" s="14"/>
      <c r="X981" s="15"/>
      <c r="Y981" s="16"/>
      <c r="Z981" s="17"/>
      <c r="AA981" s="30"/>
      <c r="AB981" s="15"/>
    </row>
    <row r="982" spans="1:28">
      <c r="A982" s="962" t="s">
        <v>432</v>
      </c>
      <c r="B982" s="101" t="s">
        <v>419</v>
      </c>
      <c r="C982" s="14"/>
      <c r="D982" s="15"/>
      <c r="E982" s="16"/>
      <c r="F982" s="17"/>
      <c r="G982" s="14"/>
      <c r="H982" s="15"/>
      <c r="I982" s="16"/>
      <c r="J982" s="17"/>
      <c r="K982" s="14"/>
      <c r="L982" s="15"/>
      <c r="M982" s="16"/>
      <c r="N982" s="17"/>
      <c r="O982" s="2823"/>
      <c r="P982" s="2823"/>
      <c r="Q982" s="2646"/>
      <c r="R982" s="17"/>
      <c r="S982" s="14"/>
      <c r="T982" s="15"/>
      <c r="U982" s="16"/>
      <c r="V982" s="17"/>
      <c r="W982" s="14"/>
      <c r="X982" s="15"/>
      <c r="Y982" s="16"/>
      <c r="Z982" s="17"/>
      <c r="AA982" s="30"/>
      <c r="AB982" s="15"/>
    </row>
    <row r="983" spans="1:28">
      <c r="A983" s="43" t="s">
        <v>433</v>
      </c>
      <c r="B983" s="101" t="s">
        <v>419</v>
      </c>
      <c r="C983" s="14"/>
      <c r="D983" s="15"/>
      <c r="E983" s="16"/>
      <c r="F983" s="17"/>
      <c r="G983" s="14"/>
      <c r="H983" s="15"/>
      <c r="I983" s="16"/>
      <c r="J983" s="17"/>
      <c r="K983" s="14"/>
      <c r="L983" s="15"/>
      <c r="M983" s="16"/>
      <c r="N983" s="17"/>
      <c r="O983" s="2823"/>
      <c r="P983" s="2823"/>
      <c r="Q983" s="2646"/>
      <c r="R983" s="17"/>
      <c r="S983" s="14"/>
      <c r="T983" s="15"/>
      <c r="U983" s="16"/>
      <c r="V983" s="17"/>
      <c r="W983" s="14"/>
      <c r="X983" s="15"/>
      <c r="Y983" s="16"/>
      <c r="Z983" s="17"/>
      <c r="AA983" s="30"/>
      <c r="AB983" s="15"/>
    </row>
    <row r="984" spans="1:28" ht="40.5" thickBot="1">
      <c r="A984" s="1905" t="s">
        <v>434</v>
      </c>
      <c r="B984" s="1906" t="s">
        <v>419</v>
      </c>
      <c r="C984" s="14"/>
      <c r="D984" s="15"/>
      <c r="E984" s="16"/>
      <c r="F984" s="17"/>
      <c r="G984" s="14"/>
      <c r="H984" s="15"/>
      <c r="I984" s="16"/>
      <c r="J984" s="17"/>
      <c r="K984" s="14"/>
      <c r="L984" s="15"/>
      <c r="M984" s="16"/>
      <c r="N984" s="17"/>
      <c r="O984" s="2823"/>
      <c r="P984" s="2823"/>
      <c r="Q984" s="2646"/>
      <c r="R984" s="17"/>
      <c r="S984" s="14"/>
      <c r="T984" s="15"/>
      <c r="U984" s="16"/>
      <c r="V984" s="17"/>
      <c r="W984" s="14"/>
      <c r="X984" s="15"/>
      <c r="Y984" s="16"/>
      <c r="Z984" s="17"/>
      <c r="AA984" s="30"/>
      <c r="AB984" s="15"/>
    </row>
    <row r="985" spans="1:28" ht="40.5" thickTop="1">
      <c r="A985" s="770" t="s">
        <v>5924</v>
      </c>
      <c r="B985" s="103" t="s">
        <v>419</v>
      </c>
      <c r="C985" s="14"/>
      <c r="D985" s="15"/>
      <c r="E985" s="16"/>
      <c r="F985" s="17"/>
      <c r="G985" s="14"/>
      <c r="H985" s="15"/>
      <c r="I985" s="16"/>
      <c r="J985" s="17"/>
      <c r="K985" s="14"/>
      <c r="L985" s="15"/>
      <c r="M985" s="16"/>
      <c r="N985" s="17"/>
      <c r="O985" s="2823"/>
      <c r="P985" s="2823"/>
      <c r="Q985" s="2646"/>
      <c r="R985" s="17"/>
      <c r="S985" s="14"/>
      <c r="T985" s="15"/>
      <c r="U985" s="16"/>
      <c r="V985" s="17"/>
      <c r="W985" s="14"/>
      <c r="X985" s="15"/>
      <c r="Y985" s="16"/>
      <c r="Z985" s="17"/>
      <c r="AA985" s="30"/>
      <c r="AB985" s="15"/>
    </row>
    <row r="986" spans="1:28">
      <c r="A986" s="770" t="s">
        <v>435</v>
      </c>
      <c r="B986" s="103" t="s">
        <v>419</v>
      </c>
      <c r="C986" s="14"/>
      <c r="D986" s="15"/>
      <c r="E986" s="16"/>
      <c r="F986" s="17"/>
      <c r="G986" s="14"/>
      <c r="H986" s="15"/>
      <c r="I986" s="16"/>
      <c r="J986" s="17"/>
      <c r="K986" s="14"/>
      <c r="L986" s="15"/>
      <c r="M986" s="16"/>
      <c r="N986" s="17"/>
      <c r="O986" s="2823"/>
      <c r="P986" s="2823"/>
      <c r="Q986" s="2646"/>
      <c r="R986" s="17"/>
      <c r="S986" s="14"/>
      <c r="T986" s="15"/>
      <c r="U986" s="16"/>
      <c r="V986" s="17"/>
      <c r="W986" s="14"/>
      <c r="X986" s="15"/>
      <c r="Y986" s="16"/>
      <c r="Z986" s="17"/>
      <c r="AA986" s="30"/>
      <c r="AB986" s="15"/>
    </row>
    <row r="987" spans="1:28">
      <c r="A987" s="406" t="s">
        <v>439</v>
      </c>
      <c r="B987" s="101" t="s">
        <v>419</v>
      </c>
      <c r="C987" s="14"/>
      <c r="D987" s="15"/>
      <c r="E987" s="16"/>
      <c r="F987" s="17"/>
      <c r="G987" s="14"/>
      <c r="H987" s="15"/>
      <c r="I987" s="16"/>
      <c r="J987" s="17"/>
      <c r="K987" s="14"/>
      <c r="L987" s="15"/>
      <c r="M987" s="16"/>
      <c r="N987" s="17"/>
      <c r="O987" s="2823"/>
      <c r="P987" s="2823"/>
      <c r="Q987" s="2646"/>
      <c r="R987" s="17"/>
      <c r="S987" s="14"/>
      <c r="T987" s="15"/>
      <c r="U987" s="16"/>
      <c r="V987" s="17"/>
      <c r="W987" s="14"/>
      <c r="X987" s="15"/>
      <c r="Y987" s="16"/>
      <c r="Z987" s="17"/>
      <c r="AA987" s="30"/>
      <c r="AB987" s="15"/>
    </row>
    <row r="988" spans="1:28">
      <c r="A988" s="406" t="s">
        <v>440</v>
      </c>
      <c r="B988" s="101" t="s">
        <v>419</v>
      </c>
      <c r="C988" s="14"/>
      <c r="D988" s="15"/>
      <c r="E988" s="16"/>
      <c r="F988" s="17"/>
      <c r="G988" s="14"/>
      <c r="H988" s="15"/>
      <c r="I988" s="16"/>
      <c r="J988" s="17"/>
      <c r="K988" s="14"/>
      <c r="L988" s="15"/>
      <c r="M988" s="16"/>
      <c r="N988" s="17"/>
      <c r="O988" s="2823"/>
      <c r="P988" s="2823"/>
      <c r="Q988" s="2646"/>
      <c r="R988" s="17"/>
      <c r="S988" s="14"/>
      <c r="T988" s="15"/>
      <c r="U988" s="16"/>
      <c r="V988" s="17"/>
      <c r="W988" s="14"/>
      <c r="X988" s="15"/>
      <c r="Y988" s="16"/>
      <c r="Z988" s="17"/>
      <c r="AA988" s="30"/>
      <c r="AB988" s="15"/>
    </row>
    <row r="989" spans="1:28">
      <c r="A989" s="406" t="s">
        <v>444</v>
      </c>
      <c r="B989" s="101" t="s">
        <v>419</v>
      </c>
      <c r="C989" s="14"/>
      <c r="D989" s="15"/>
      <c r="E989" s="16"/>
      <c r="F989" s="17"/>
      <c r="G989" s="14"/>
      <c r="H989" s="15"/>
      <c r="I989" s="16"/>
      <c r="J989" s="17"/>
      <c r="K989" s="14"/>
      <c r="L989" s="15"/>
      <c r="M989" s="16"/>
      <c r="N989" s="17"/>
      <c r="O989" s="2823"/>
      <c r="P989" s="2823"/>
      <c r="Q989" s="2646"/>
      <c r="R989" s="17"/>
      <c r="S989" s="14"/>
      <c r="T989" s="15"/>
      <c r="U989" s="16"/>
      <c r="V989" s="17"/>
      <c r="W989" s="14"/>
      <c r="X989" s="15"/>
      <c r="Y989" s="16"/>
      <c r="Z989" s="17"/>
      <c r="AA989" s="30"/>
      <c r="AB989" s="15"/>
    </row>
    <row r="990" spans="1:28" ht="40.5" thickBot="1">
      <c r="A990" s="2620" t="s">
        <v>5925</v>
      </c>
      <c r="B990" s="1906" t="s">
        <v>419</v>
      </c>
      <c r="C990" s="14"/>
      <c r="D990" s="15"/>
      <c r="E990" s="16"/>
      <c r="F990" s="17"/>
      <c r="G990" s="14"/>
      <c r="H990" s="15"/>
      <c r="I990" s="16"/>
      <c r="J990" s="17"/>
      <c r="K990" s="14"/>
      <c r="L990" s="15"/>
      <c r="M990" s="16"/>
      <c r="N990" s="17"/>
      <c r="O990" s="2824"/>
      <c r="P990" s="2824"/>
      <c r="Q990" s="2646"/>
      <c r="R990" s="17"/>
      <c r="S990" s="14"/>
      <c r="T990" s="15"/>
      <c r="U990" s="16"/>
      <c r="V990" s="17"/>
      <c r="W990" s="14"/>
      <c r="X990" s="15"/>
      <c r="Y990" s="16"/>
      <c r="Z990" s="17"/>
      <c r="AA990" s="30"/>
      <c r="AB990" s="15"/>
    </row>
    <row r="991" spans="1:28" ht="40.5" thickTop="1">
      <c r="A991" s="81" t="s">
        <v>5926</v>
      </c>
      <c r="B991" s="103" t="s">
        <v>451</v>
      </c>
      <c r="C991" s="14"/>
      <c r="D991" s="15"/>
      <c r="E991" s="16"/>
      <c r="F991" s="17"/>
      <c r="G991" s="14"/>
      <c r="H991" s="15"/>
      <c r="I991" s="16"/>
      <c r="J991" s="17"/>
      <c r="K991" s="14"/>
      <c r="L991" s="15"/>
      <c r="M991" s="16"/>
      <c r="N991" s="17"/>
      <c r="O991" s="2825"/>
      <c r="P991" s="2826"/>
      <c r="Q991" s="2645"/>
      <c r="R991" s="1795"/>
      <c r="S991" s="14"/>
      <c r="T991" s="15"/>
      <c r="U991" s="16"/>
      <c r="V991" s="17"/>
      <c r="W991" s="14"/>
      <c r="X991" s="15"/>
      <c r="Y991" s="16"/>
      <c r="Z991" s="17"/>
      <c r="AA991" s="30"/>
      <c r="AB991" s="15"/>
    </row>
    <row r="992" spans="1:28">
      <c r="A992" s="362" t="s">
        <v>5927</v>
      </c>
      <c r="B992" s="101" t="s">
        <v>451</v>
      </c>
      <c r="C992" s="14"/>
      <c r="D992" s="15"/>
      <c r="E992" s="16"/>
      <c r="F992" s="17"/>
      <c r="G992" s="14"/>
      <c r="H992" s="15"/>
      <c r="I992" s="16"/>
      <c r="J992" s="17"/>
      <c r="K992" s="14"/>
      <c r="L992" s="15"/>
      <c r="M992" s="16"/>
      <c r="N992" s="17"/>
      <c r="O992" s="2825"/>
      <c r="P992" s="2826"/>
      <c r="Q992" s="2649"/>
      <c r="R992" s="2650"/>
      <c r="S992" s="2651"/>
      <c r="T992" s="2648"/>
      <c r="U992" s="16"/>
      <c r="V992" s="17"/>
      <c r="W992" s="14"/>
      <c r="X992" s="15"/>
      <c r="Y992" s="16"/>
      <c r="Z992" s="17"/>
      <c r="AA992" s="30"/>
      <c r="AB992" s="15"/>
    </row>
    <row r="993" spans="1:28" ht="40.5" thickBot="1">
      <c r="A993" s="1922" t="s">
        <v>429</v>
      </c>
      <c r="B993" s="1906" t="s">
        <v>451</v>
      </c>
      <c r="C993" s="6"/>
      <c r="D993" s="32"/>
      <c r="E993" s="7"/>
      <c r="F993" s="40"/>
      <c r="G993" s="6"/>
      <c r="H993" s="32"/>
      <c r="I993" s="7"/>
      <c r="J993" s="40"/>
      <c r="K993" s="6"/>
      <c r="L993" s="32"/>
      <c r="M993" s="7"/>
      <c r="N993" s="40"/>
      <c r="O993" s="2823"/>
      <c r="P993" s="2823"/>
      <c r="Q993" s="2647"/>
      <c r="R993" s="40"/>
      <c r="S993" s="6"/>
      <c r="T993" s="32"/>
      <c r="U993" s="7"/>
      <c r="V993" s="40"/>
      <c r="W993" s="6"/>
      <c r="X993" s="32"/>
      <c r="Y993" s="7"/>
      <c r="Z993" s="40"/>
      <c r="AA993" s="2630"/>
      <c r="AB993" s="2631"/>
    </row>
    <row r="994" spans="1:28" ht="40.5" thickTop="1"/>
    <row r="996" spans="1:28">
      <c r="A996" s="2080"/>
      <c r="B996" s="2573"/>
    </row>
    <row r="997" spans="1:28" ht="40.5">
      <c r="A997" s="3" t="s">
        <v>5063</v>
      </c>
      <c r="B997" s="23"/>
      <c r="C997" s="3"/>
      <c r="D997" s="3"/>
      <c r="E997" s="3"/>
      <c r="F997" s="3"/>
      <c r="G997" s="3"/>
      <c r="H997" s="3"/>
      <c r="I997" s="3"/>
      <c r="J997" s="3"/>
      <c r="K997" s="3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B997" s="4"/>
    </row>
    <row r="998" spans="1:28" ht="40.5" thickBot="1">
      <c r="A998" s="5" t="s">
        <v>5064</v>
      </c>
    </row>
    <row r="999" spans="1:28">
      <c r="A999" s="3537" t="s">
        <v>2</v>
      </c>
      <c r="B999" s="3540" t="s">
        <v>3</v>
      </c>
      <c r="C999" s="3537" t="s">
        <v>5065</v>
      </c>
      <c r="D999" s="3538"/>
      <c r="E999" s="3536" t="s">
        <v>5066</v>
      </c>
      <c r="F999" s="3536"/>
      <c r="G999" s="3537" t="s">
        <v>5067</v>
      </c>
      <c r="H999" s="3538"/>
      <c r="I999" s="3536" t="s">
        <v>5068</v>
      </c>
      <c r="J999" s="3536"/>
      <c r="K999" s="3537" t="s">
        <v>5069</v>
      </c>
      <c r="L999" s="3538"/>
      <c r="M999" s="3536" t="s">
        <v>5070</v>
      </c>
      <c r="N999" s="3536"/>
      <c r="O999" s="3542"/>
      <c r="P999" s="3542"/>
      <c r="Q999" s="3536" t="s">
        <v>5071</v>
      </c>
      <c r="R999" s="3536"/>
      <c r="S999" s="3536" t="s">
        <v>5072</v>
      </c>
      <c r="T999" s="3536"/>
      <c r="U999" s="3472" t="s">
        <v>5073</v>
      </c>
      <c r="V999" s="3473"/>
      <c r="W999" s="3536" t="s">
        <v>5074</v>
      </c>
      <c r="X999" s="3536"/>
      <c r="Y999" s="3472" t="s">
        <v>5075</v>
      </c>
      <c r="Z999" s="3475"/>
      <c r="AA999" s="3537" t="s">
        <v>5076</v>
      </c>
      <c r="AB999" s="3538"/>
    </row>
    <row r="1000" spans="1:28" ht="40.5" thickBot="1">
      <c r="A1000" s="3539"/>
      <c r="B1000" s="3541"/>
      <c r="C1000" s="1" t="s">
        <v>5078</v>
      </c>
      <c r="D1000" s="35" t="s">
        <v>5079</v>
      </c>
      <c r="E1000" s="2" t="s">
        <v>5078</v>
      </c>
      <c r="F1000" s="36" t="s">
        <v>5079</v>
      </c>
      <c r="G1000" s="1" t="s">
        <v>5078</v>
      </c>
      <c r="H1000" s="35" t="s">
        <v>5079</v>
      </c>
      <c r="I1000" s="2" t="s">
        <v>5078</v>
      </c>
      <c r="J1000" s="36" t="s">
        <v>5079</v>
      </c>
      <c r="K1000" s="1" t="s">
        <v>5078</v>
      </c>
      <c r="L1000" s="35" t="s">
        <v>5079</v>
      </c>
      <c r="M1000" s="2" t="s">
        <v>5078</v>
      </c>
      <c r="N1000" s="36" t="s">
        <v>5079</v>
      </c>
      <c r="O1000" s="2769"/>
      <c r="P1000" s="2820"/>
      <c r="Q1000" s="2" t="s">
        <v>5078</v>
      </c>
      <c r="R1000" s="36" t="s">
        <v>5079</v>
      </c>
      <c r="S1000" s="1" t="s">
        <v>5078</v>
      </c>
      <c r="T1000" s="35" t="s">
        <v>5079</v>
      </c>
      <c r="U1000" s="2" t="s">
        <v>5078</v>
      </c>
      <c r="V1000" s="36" t="s">
        <v>5079</v>
      </c>
      <c r="W1000" s="1" t="s">
        <v>5078</v>
      </c>
      <c r="X1000" s="35" t="s">
        <v>5079</v>
      </c>
      <c r="Y1000" s="2" t="s">
        <v>5078</v>
      </c>
      <c r="Z1000" s="36" t="s">
        <v>5079</v>
      </c>
      <c r="AA1000" s="1" t="s">
        <v>5078</v>
      </c>
      <c r="AB1000" s="35" t="s">
        <v>5079</v>
      </c>
    </row>
    <row r="1001" spans="1:28">
      <c r="A1001" s="406" t="s">
        <v>5928</v>
      </c>
      <c r="B1001" s="101" t="s">
        <v>451</v>
      </c>
      <c r="C1001" s="9"/>
      <c r="D1001" s="10"/>
      <c r="E1001" s="11"/>
      <c r="F1001" s="12"/>
      <c r="G1001" s="9"/>
      <c r="H1001" s="10"/>
      <c r="I1001" s="11"/>
      <c r="J1001" s="12"/>
      <c r="K1001" s="9"/>
      <c r="L1001" s="10"/>
      <c r="M1001" s="11"/>
      <c r="N1001" s="12"/>
      <c r="O1001" s="2821"/>
      <c r="P1001" s="2822"/>
      <c r="Q1001" s="11"/>
      <c r="R1001" s="12"/>
      <c r="S1001" s="9"/>
      <c r="T1001" s="10"/>
      <c r="U1001" s="11"/>
      <c r="V1001" s="12"/>
      <c r="W1001" s="9"/>
      <c r="X1001" s="10"/>
      <c r="Y1001" s="11"/>
      <c r="Z1001" s="12"/>
      <c r="AA1001" s="33"/>
      <c r="AB1001" s="10"/>
    </row>
    <row r="1002" spans="1:28">
      <c r="A1002" s="406" t="s">
        <v>5929</v>
      </c>
      <c r="B1002" s="101" t="s">
        <v>451</v>
      </c>
      <c r="C1002" s="14"/>
      <c r="D1002" s="15"/>
      <c r="E1002" s="16"/>
      <c r="F1002" s="17"/>
      <c r="G1002" s="14"/>
      <c r="H1002" s="15"/>
      <c r="I1002" s="16"/>
      <c r="J1002" s="17"/>
      <c r="K1002" s="14"/>
      <c r="L1002" s="15"/>
      <c r="M1002" s="16"/>
      <c r="N1002" s="17"/>
      <c r="O1002" s="2823"/>
      <c r="P1002" s="2823"/>
      <c r="Q1002" s="2646"/>
      <c r="R1002" s="17"/>
      <c r="S1002" s="14"/>
      <c r="T1002" s="15"/>
      <c r="U1002" s="16"/>
      <c r="V1002" s="17"/>
      <c r="W1002" s="14"/>
      <c r="X1002" s="15"/>
      <c r="Y1002" s="16"/>
      <c r="Z1002" s="17"/>
      <c r="AA1002" s="30"/>
      <c r="AB1002" s="15"/>
    </row>
    <row r="1003" spans="1:28">
      <c r="A1003" s="406" t="s">
        <v>5930</v>
      </c>
      <c r="B1003" s="101" t="s">
        <v>451</v>
      </c>
      <c r="C1003" s="14"/>
      <c r="D1003" s="15"/>
      <c r="E1003" s="16"/>
      <c r="F1003" s="17"/>
      <c r="G1003" s="14"/>
      <c r="H1003" s="15"/>
      <c r="I1003" s="16"/>
      <c r="J1003" s="17"/>
      <c r="K1003" s="14"/>
      <c r="L1003" s="15"/>
      <c r="M1003" s="16"/>
      <c r="N1003" s="17"/>
      <c r="O1003" s="2823"/>
      <c r="P1003" s="2823"/>
      <c r="Q1003" s="2646"/>
      <c r="R1003" s="17"/>
      <c r="S1003" s="14"/>
      <c r="T1003" s="15"/>
      <c r="U1003" s="16"/>
      <c r="V1003" s="17"/>
      <c r="W1003" s="14"/>
      <c r="X1003" s="15"/>
      <c r="Y1003" s="16"/>
      <c r="Z1003" s="17"/>
      <c r="AA1003" s="30"/>
      <c r="AB1003" s="15"/>
    </row>
    <row r="1004" spans="1:28">
      <c r="A1004" s="406" t="s">
        <v>5931</v>
      </c>
      <c r="B1004" s="101" t="s">
        <v>451</v>
      </c>
      <c r="C1004" s="14"/>
      <c r="D1004" s="15"/>
      <c r="E1004" s="16"/>
      <c r="F1004" s="17"/>
      <c r="G1004" s="14"/>
      <c r="H1004" s="15"/>
      <c r="I1004" s="16"/>
      <c r="J1004" s="17"/>
      <c r="K1004" s="14"/>
      <c r="L1004" s="15"/>
      <c r="M1004" s="16"/>
      <c r="N1004" s="17"/>
      <c r="O1004" s="2823"/>
      <c r="P1004" s="2823"/>
      <c r="Q1004" s="2646"/>
      <c r="R1004" s="17"/>
      <c r="S1004" s="14"/>
      <c r="T1004" s="15"/>
      <c r="U1004" s="16"/>
      <c r="V1004" s="17"/>
      <c r="W1004" s="14"/>
      <c r="X1004" s="15"/>
      <c r="Y1004" s="16"/>
      <c r="Z1004" s="17"/>
      <c r="AA1004" s="30"/>
      <c r="AB1004" s="15"/>
    </row>
    <row r="1005" spans="1:28">
      <c r="A1005" s="770" t="s">
        <v>434</v>
      </c>
      <c r="B1005" s="103" t="s">
        <v>451</v>
      </c>
      <c r="C1005" s="14"/>
      <c r="D1005" s="15"/>
      <c r="E1005" s="16"/>
      <c r="F1005" s="17"/>
      <c r="G1005" s="14"/>
      <c r="H1005" s="15"/>
      <c r="I1005" s="16"/>
      <c r="J1005" s="17"/>
      <c r="K1005" s="14"/>
      <c r="L1005" s="15"/>
      <c r="M1005" s="16"/>
      <c r="N1005" s="17"/>
      <c r="O1005" s="2823"/>
      <c r="P1005" s="2823"/>
      <c r="Q1005" s="2646"/>
      <c r="R1005" s="17"/>
      <c r="S1005" s="14"/>
      <c r="T1005" s="15"/>
      <c r="U1005" s="16"/>
      <c r="V1005" s="17"/>
      <c r="W1005" s="14"/>
      <c r="X1005" s="15"/>
      <c r="Y1005" s="16"/>
      <c r="Z1005" s="17"/>
      <c r="AA1005" s="30"/>
      <c r="AB1005" s="15"/>
    </row>
    <row r="1006" spans="1:28">
      <c r="A1006" s="770" t="s">
        <v>433</v>
      </c>
      <c r="B1006" s="103" t="s">
        <v>451</v>
      </c>
      <c r="C1006" s="14"/>
      <c r="D1006" s="15"/>
      <c r="E1006" s="16"/>
      <c r="F1006" s="17"/>
      <c r="G1006" s="14"/>
      <c r="H1006" s="15"/>
      <c r="I1006" s="16"/>
      <c r="J1006" s="17"/>
      <c r="K1006" s="14"/>
      <c r="L1006" s="15"/>
      <c r="M1006" s="16"/>
      <c r="N1006" s="17"/>
      <c r="O1006" s="2823"/>
      <c r="P1006" s="2823"/>
      <c r="Q1006" s="2646"/>
      <c r="R1006" s="17"/>
      <c r="S1006" s="14"/>
      <c r="T1006" s="15"/>
      <c r="U1006" s="16"/>
      <c r="V1006" s="17"/>
      <c r="W1006" s="14"/>
      <c r="X1006" s="15"/>
      <c r="Y1006" s="16"/>
      <c r="Z1006" s="17"/>
      <c r="AA1006" s="30"/>
      <c r="AB1006" s="15"/>
    </row>
    <row r="1007" spans="1:28">
      <c r="A1007" s="770" t="s">
        <v>5932</v>
      </c>
      <c r="B1007" s="103" t="s">
        <v>451</v>
      </c>
      <c r="C1007" s="14"/>
      <c r="D1007" s="15"/>
      <c r="E1007" s="16"/>
      <c r="F1007" s="17"/>
      <c r="G1007" s="14"/>
      <c r="H1007" s="15"/>
      <c r="I1007" s="16"/>
      <c r="J1007" s="17"/>
      <c r="K1007" s="14"/>
      <c r="L1007" s="15"/>
      <c r="M1007" s="16"/>
      <c r="N1007" s="17"/>
      <c r="O1007" s="2823"/>
      <c r="P1007" s="2823"/>
      <c r="Q1007" s="2646"/>
      <c r="R1007" s="17"/>
      <c r="S1007" s="14"/>
      <c r="T1007" s="15"/>
      <c r="U1007" s="16"/>
      <c r="V1007" s="17"/>
      <c r="W1007" s="14"/>
      <c r="X1007" s="15"/>
      <c r="Y1007" s="16"/>
      <c r="Z1007" s="17"/>
      <c r="AA1007" s="30"/>
      <c r="AB1007" s="15"/>
    </row>
    <row r="1008" spans="1:28">
      <c r="A1008" s="406" t="s">
        <v>467</v>
      </c>
      <c r="B1008" s="101" t="s">
        <v>451</v>
      </c>
      <c r="C1008" s="14"/>
      <c r="D1008" s="15"/>
      <c r="E1008" s="16"/>
      <c r="F1008" s="17"/>
      <c r="G1008" s="14"/>
      <c r="H1008" s="15"/>
      <c r="I1008" s="16"/>
      <c r="J1008" s="17"/>
      <c r="K1008" s="14"/>
      <c r="L1008" s="15"/>
      <c r="M1008" s="16"/>
      <c r="N1008" s="17"/>
      <c r="O1008" s="2823"/>
      <c r="P1008" s="2823"/>
      <c r="Q1008" s="2646"/>
      <c r="R1008" s="17"/>
      <c r="S1008" s="14"/>
      <c r="T1008" s="15"/>
      <c r="U1008" s="16"/>
      <c r="V1008" s="17"/>
      <c r="W1008" s="14"/>
      <c r="X1008" s="15"/>
      <c r="Y1008" s="16"/>
      <c r="Z1008" s="17"/>
      <c r="AA1008" s="30"/>
      <c r="AB1008" s="15"/>
    </row>
    <row r="1009" spans="1:28" ht="40.5" thickBot="1">
      <c r="A1009" s="1955" t="s">
        <v>444</v>
      </c>
      <c r="B1009" s="1906" t="s">
        <v>451</v>
      </c>
      <c r="C1009" s="14"/>
      <c r="D1009" s="15"/>
      <c r="E1009" s="16"/>
      <c r="F1009" s="17"/>
      <c r="G1009" s="14"/>
      <c r="H1009" s="15"/>
      <c r="I1009" s="16"/>
      <c r="J1009" s="17"/>
      <c r="K1009" s="14"/>
      <c r="L1009" s="15"/>
      <c r="M1009" s="16"/>
      <c r="N1009" s="17"/>
      <c r="O1009" s="2823"/>
      <c r="P1009" s="2823"/>
      <c r="Q1009" s="2646"/>
      <c r="R1009" s="17"/>
      <c r="S1009" s="14"/>
      <c r="T1009" s="15"/>
      <c r="U1009" s="16"/>
      <c r="V1009" s="17"/>
      <c r="W1009" s="14"/>
      <c r="X1009" s="15"/>
      <c r="Y1009" s="16"/>
      <c r="Z1009" s="17"/>
      <c r="AA1009" s="30"/>
      <c r="AB1009" s="15"/>
    </row>
    <row r="1010" spans="1:28" ht="40.5" thickTop="1">
      <c r="A1010" s="1918"/>
      <c r="B1010" s="117"/>
      <c r="C1010" s="14"/>
      <c r="D1010" s="15"/>
      <c r="E1010" s="16"/>
      <c r="F1010" s="17"/>
      <c r="G1010" s="14"/>
      <c r="H1010" s="15"/>
      <c r="I1010" s="16"/>
      <c r="J1010" s="17"/>
      <c r="K1010" s="14"/>
      <c r="L1010" s="15"/>
      <c r="M1010" s="16"/>
      <c r="N1010" s="17"/>
      <c r="O1010" s="2823"/>
      <c r="P1010" s="2823"/>
      <c r="Q1010" s="2646"/>
      <c r="R1010" s="17"/>
      <c r="S1010" s="14"/>
      <c r="T1010" s="15"/>
      <c r="U1010" s="16"/>
      <c r="V1010" s="17"/>
      <c r="W1010" s="14"/>
      <c r="X1010" s="15"/>
      <c r="Y1010" s="16"/>
      <c r="Z1010" s="17"/>
      <c r="AA1010" s="30"/>
      <c r="AB1010" s="15"/>
    </row>
    <row r="1011" spans="1:28">
      <c r="A1011" s="662" t="s">
        <v>5933</v>
      </c>
      <c r="B1011" s="207" t="s">
        <v>123</v>
      </c>
      <c r="C1011" s="14"/>
      <c r="D1011" s="15"/>
      <c r="E1011" s="16"/>
      <c r="F1011" s="17"/>
      <c r="G1011" s="14"/>
      <c r="H1011" s="15"/>
      <c r="I1011" s="16"/>
      <c r="J1011" s="17"/>
      <c r="K1011" s="14"/>
      <c r="L1011" s="15"/>
      <c r="M1011" s="16"/>
      <c r="N1011" s="17"/>
      <c r="O1011" s="2823"/>
      <c r="P1011" s="2823"/>
      <c r="Q1011" s="2646"/>
      <c r="R1011" s="17"/>
      <c r="S1011" s="14"/>
      <c r="T1011" s="15"/>
      <c r="U1011" s="16"/>
      <c r="V1011" s="17"/>
      <c r="W1011" s="14"/>
      <c r="X1011" s="15"/>
      <c r="Y1011" s="16"/>
      <c r="Z1011" s="17"/>
      <c r="AA1011" s="30"/>
      <c r="AB1011" s="15"/>
    </row>
    <row r="1012" spans="1:28">
      <c r="A1012" s="662" t="s">
        <v>5934</v>
      </c>
      <c r="B1012" s="207" t="s">
        <v>123</v>
      </c>
      <c r="C1012" s="14"/>
      <c r="D1012" s="15"/>
      <c r="E1012" s="16"/>
      <c r="F1012" s="17"/>
      <c r="G1012" s="14"/>
      <c r="H1012" s="15"/>
      <c r="I1012" s="16"/>
      <c r="J1012" s="17"/>
      <c r="K1012" s="14"/>
      <c r="L1012" s="15"/>
      <c r="M1012" s="16"/>
      <c r="N1012" s="17"/>
      <c r="O1012" s="2823"/>
      <c r="P1012" s="2823"/>
      <c r="Q1012" s="2646"/>
      <c r="R1012" s="17"/>
      <c r="S1012" s="14"/>
      <c r="T1012" s="15"/>
      <c r="U1012" s="16"/>
      <c r="V1012" s="17"/>
      <c r="W1012" s="14"/>
      <c r="X1012" s="15"/>
      <c r="Y1012" s="16"/>
      <c r="Z1012" s="17"/>
      <c r="AA1012" s="30"/>
      <c r="AB1012" s="15"/>
    </row>
    <row r="1013" spans="1:28">
      <c r="A1013" s="662" t="s">
        <v>5935</v>
      </c>
      <c r="B1013" s="207" t="s">
        <v>123</v>
      </c>
      <c r="C1013" s="14"/>
      <c r="D1013" s="15"/>
      <c r="E1013" s="16"/>
      <c r="F1013" s="17"/>
      <c r="G1013" s="14"/>
      <c r="H1013" s="15"/>
      <c r="I1013" s="16"/>
      <c r="J1013" s="17"/>
      <c r="K1013" s="14"/>
      <c r="L1013" s="15"/>
      <c r="M1013" s="16"/>
      <c r="N1013" s="17"/>
      <c r="O1013" s="2823"/>
      <c r="P1013" s="2823"/>
      <c r="Q1013" s="2646"/>
      <c r="R1013" s="17"/>
      <c r="S1013" s="14"/>
      <c r="T1013" s="15"/>
      <c r="U1013" s="16"/>
      <c r="V1013" s="17"/>
      <c r="W1013" s="14"/>
      <c r="X1013" s="15"/>
      <c r="Y1013" s="16"/>
      <c r="Z1013" s="17"/>
      <c r="AA1013" s="30"/>
      <c r="AB1013" s="15"/>
    </row>
    <row r="1014" spans="1:28">
      <c r="A1014" s="1918" t="s">
        <v>5936</v>
      </c>
      <c r="B1014" s="117" t="s">
        <v>256</v>
      </c>
      <c r="C1014" s="14"/>
      <c r="D1014" s="15"/>
      <c r="E1014" s="16"/>
      <c r="F1014" s="17"/>
      <c r="G1014" s="14"/>
      <c r="H1014" s="15"/>
      <c r="I1014" s="16"/>
      <c r="J1014" s="17"/>
      <c r="K1014" s="14"/>
      <c r="L1014" s="15"/>
      <c r="M1014" s="16"/>
      <c r="N1014" s="17"/>
      <c r="O1014" s="2823"/>
      <c r="P1014" s="2823"/>
      <c r="Q1014" s="2646"/>
      <c r="R1014" s="17"/>
      <c r="S1014" s="14"/>
      <c r="T1014" s="15"/>
      <c r="U1014" s="16"/>
      <c r="V1014" s="17"/>
      <c r="W1014" s="14"/>
      <c r="X1014" s="15"/>
      <c r="Y1014" s="16"/>
      <c r="Z1014" s="17"/>
      <c r="AA1014" s="30"/>
      <c r="AB1014" s="15"/>
    </row>
    <row r="1015" spans="1:28">
      <c r="A1015" s="3772" t="s">
        <v>5937</v>
      </c>
      <c r="B1015" s="320" t="s">
        <v>103</v>
      </c>
      <c r="C1015" s="14"/>
      <c r="D1015" s="15"/>
      <c r="E1015" s="16"/>
      <c r="F1015" s="17"/>
      <c r="G1015" s="14"/>
      <c r="H1015" s="15"/>
      <c r="I1015" s="16"/>
      <c r="J1015" s="17"/>
      <c r="K1015" s="14"/>
      <c r="L1015" s="15"/>
      <c r="M1015" s="16"/>
      <c r="N1015" s="17"/>
      <c r="O1015" s="2824"/>
      <c r="P1015" s="2824"/>
      <c r="Q1015" s="2646"/>
      <c r="R1015" s="17"/>
      <c r="S1015" s="14"/>
      <c r="T1015" s="15"/>
      <c r="U1015" s="16"/>
      <c r="V1015" s="17"/>
      <c r="W1015" s="14"/>
      <c r="X1015" s="15"/>
      <c r="Y1015" s="16"/>
      <c r="Z1015" s="17"/>
      <c r="AA1015" s="30"/>
      <c r="AB1015" s="15"/>
    </row>
    <row r="1016" spans="1:28">
      <c r="A1016" s="2633" t="s">
        <v>5938</v>
      </c>
      <c r="B1016" s="515"/>
      <c r="C1016" s="14"/>
      <c r="D1016" s="15"/>
      <c r="E1016" s="16"/>
      <c r="F1016" s="17"/>
      <c r="G1016" s="14"/>
      <c r="H1016" s="15"/>
      <c r="I1016" s="16"/>
      <c r="J1016" s="17"/>
      <c r="K1016" s="14"/>
      <c r="L1016" s="15"/>
      <c r="M1016" s="16"/>
      <c r="N1016" s="17"/>
      <c r="O1016" s="2825"/>
      <c r="P1016" s="2826"/>
      <c r="Q1016" s="2645"/>
      <c r="R1016" s="1795"/>
      <c r="S1016" s="14"/>
      <c r="T1016" s="15"/>
      <c r="U1016" s="16"/>
      <c r="V1016" s="17"/>
      <c r="W1016" s="14"/>
      <c r="X1016" s="15"/>
      <c r="Y1016" s="16"/>
      <c r="Z1016" s="17"/>
      <c r="AA1016" s="30"/>
      <c r="AB1016" s="15"/>
    </row>
    <row r="1017" spans="1:28">
      <c r="A1017" s="3735" t="s">
        <v>5939</v>
      </c>
      <c r="B1017" s="101" t="s">
        <v>256</v>
      </c>
      <c r="C1017" s="14"/>
      <c r="D1017" s="15"/>
      <c r="E1017" s="16"/>
      <c r="F1017" s="17"/>
      <c r="G1017" s="14"/>
      <c r="H1017" s="15"/>
      <c r="I1017" s="16"/>
      <c r="J1017" s="17"/>
      <c r="K1017" s="14"/>
      <c r="L1017" s="15"/>
      <c r="M1017" s="16"/>
      <c r="N1017" s="17"/>
      <c r="O1017" s="2825"/>
      <c r="P1017" s="2826"/>
      <c r="Q1017" s="2649"/>
      <c r="R1017" s="2650"/>
      <c r="S1017" s="2651"/>
      <c r="T1017" s="2648"/>
      <c r="U1017" s="16"/>
      <c r="V1017" s="17"/>
      <c r="W1017" s="14"/>
      <c r="X1017" s="15"/>
      <c r="Y1017" s="16"/>
      <c r="Z1017" s="17"/>
      <c r="AA1017" s="30"/>
      <c r="AB1017" s="15"/>
    </row>
    <row r="1018" spans="1:28" ht="40.5" thickBot="1">
      <c r="A1018" s="2629"/>
      <c r="B1018" s="2627"/>
      <c r="C1018" s="6"/>
      <c r="D1018" s="32"/>
      <c r="E1018" s="7"/>
      <c r="F1018" s="40"/>
      <c r="G1018" s="6"/>
      <c r="H1018" s="32"/>
      <c r="I1018" s="7"/>
      <c r="J1018" s="40"/>
      <c r="K1018" s="6"/>
      <c r="L1018" s="32"/>
      <c r="M1018" s="7"/>
      <c r="N1018" s="40"/>
      <c r="O1018" s="2823"/>
      <c r="P1018" s="2823"/>
      <c r="Q1018" s="2647"/>
      <c r="R1018" s="40"/>
      <c r="S1018" s="6"/>
      <c r="T1018" s="32"/>
      <c r="U1018" s="7"/>
      <c r="V1018" s="40"/>
      <c r="W1018" s="6"/>
      <c r="X1018" s="32"/>
      <c r="Y1018" s="7"/>
      <c r="Z1018" s="40"/>
      <c r="AA1018" s="2630"/>
      <c r="AB1018" s="2631"/>
    </row>
    <row r="1021" spans="1:28">
      <c r="A1021" s="2080"/>
      <c r="B1021" s="2573"/>
    </row>
    <row r="1022" spans="1:28" ht="40.5">
      <c r="A1022" s="3" t="s">
        <v>5063</v>
      </c>
      <c r="B1022" s="23"/>
      <c r="C1022" s="3"/>
      <c r="D1022" s="3"/>
      <c r="E1022" s="3"/>
      <c r="F1022" s="3"/>
      <c r="G1022" s="3"/>
      <c r="H1022" s="3"/>
      <c r="I1022" s="3"/>
      <c r="J1022" s="3"/>
      <c r="K1022" s="3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B1022" s="4"/>
    </row>
    <row r="1023" spans="1:28" ht="40.5" thickBot="1">
      <c r="A1023" s="5" t="s">
        <v>5064</v>
      </c>
    </row>
    <row r="1024" spans="1:28">
      <c r="A1024" s="3537" t="s">
        <v>2</v>
      </c>
      <c r="B1024" s="3540" t="s">
        <v>3</v>
      </c>
      <c r="C1024" s="3537" t="s">
        <v>5065</v>
      </c>
      <c r="D1024" s="3538"/>
      <c r="E1024" s="3536" t="s">
        <v>5066</v>
      </c>
      <c r="F1024" s="3536"/>
      <c r="G1024" s="3537" t="s">
        <v>5067</v>
      </c>
      <c r="H1024" s="3538"/>
      <c r="I1024" s="3536" t="s">
        <v>5068</v>
      </c>
      <c r="J1024" s="3536"/>
      <c r="K1024" s="3537" t="s">
        <v>5069</v>
      </c>
      <c r="L1024" s="3538"/>
      <c r="M1024" s="3536" t="s">
        <v>5070</v>
      </c>
      <c r="N1024" s="3536"/>
      <c r="O1024" s="3542"/>
      <c r="P1024" s="3542"/>
      <c r="Q1024" s="3536" t="s">
        <v>5071</v>
      </c>
      <c r="R1024" s="3536"/>
      <c r="S1024" s="3536" t="s">
        <v>5072</v>
      </c>
      <c r="T1024" s="3536"/>
      <c r="U1024" s="3472" t="s">
        <v>5073</v>
      </c>
      <c r="V1024" s="3473"/>
      <c r="W1024" s="3536" t="s">
        <v>5074</v>
      </c>
      <c r="X1024" s="3536"/>
      <c r="Y1024" s="3472" t="s">
        <v>5075</v>
      </c>
      <c r="Z1024" s="3475"/>
      <c r="AA1024" s="3537" t="s">
        <v>5076</v>
      </c>
      <c r="AB1024" s="3538"/>
    </row>
    <row r="1025" spans="1:28" ht="40.5" thickBot="1">
      <c r="A1025" s="3539"/>
      <c r="B1025" s="3541"/>
      <c r="C1025" s="1" t="s">
        <v>5078</v>
      </c>
      <c r="D1025" s="35" t="s">
        <v>5079</v>
      </c>
      <c r="E1025" s="2" t="s">
        <v>5078</v>
      </c>
      <c r="F1025" s="36" t="s">
        <v>5079</v>
      </c>
      <c r="G1025" s="1" t="s">
        <v>5078</v>
      </c>
      <c r="H1025" s="35" t="s">
        <v>5079</v>
      </c>
      <c r="I1025" s="2" t="s">
        <v>5078</v>
      </c>
      <c r="J1025" s="36" t="s">
        <v>5079</v>
      </c>
      <c r="K1025" s="1" t="s">
        <v>5078</v>
      </c>
      <c r="L1025" s="35" t="s">
        <v>5079</v>
      </c>
      <c r="M1025" s="2" t="s">
        <v>5078</v>
      </c>
      <c r="N1025" s="36" t="s">
        <v>5079</v>
      </c>
      <c r="O1025" s="2769"/>
      <c r="P1025" s="2820"/>
      <c r="Q1025" s="2" t="s">
        <v>5078</v>
      </c>
      <c r="R1025" s="36" t="s">
        <v>5079</v>
      </c>
      <c r="S1025" s="1" t="s">
        <v>5078</v>
      </c>
      <c r="T1025" s="35" t="s">
        <v>5079</v>
      </c>
      <c r="U1025" s="2" t="s">
        <v>5078</v>
      </c>
      <c r="V1025" s="36" t="s">
        <v>5079</v>
      </c>
      <c r="W1025" s="1" t="s">
        <v>5078</v>
      </c>
      <c r="X1025" s="35" t="s">
        <v>5079</v>
      </c>
      <c r="Y1025" s="2" t="s">
        <v>5078</v>
      </c>
      <c r="Z1025" s="36" t="s">
        <v>5079</v>
      </c>
      <c r="AA1025" s="1" t="s">
        <v>5078</v>
      </c>
      <c r="AB1025" s="35" t="s">
        <v>5079</v>
      </c>
    </row>
    <row r="1026" spans="1:28">
      <c r="A1026" s="43" t="s">
        <v>5940</v>
      </c>
      <c r="B1026" s="101" t="s">
        <v>610</v>
      </c>
      <c r="C1026" s="9"/>
      <c r="D1026" s="10"/>
      <c r="E1026" s="11"/>
      <c r="F1026" s="12"/>
      <c r="G1026" s="9"/>
      <c r="H1026" s="10"/>
      <c r="I1026" s="11"/>
      <c r="J1026" s="12"/>
      <c r="K1026" s="9"/>
      <c r="L1026" s="10"/>
      <c r="M1026" s="11"/>
      <c r="N1026" s="12"/>
      <c r="O1026" s="2821"/>
      <c r="P1026" s="2822"/>
      <c r="Q1026" s="11"/>
      <c r="R1026" s="12"/>
      <c r="S1026" s="9"/>
      <c r="T1026" s="10"/>
      <c r="U1026" s="11"/>
      <c r="V1026" s="12"/>
      <c r="W1026" s="9"/>
      <c r="X1026" s="10"/>
      <c r="Y1026" s="11"/>
      <c r="Z1026" s="12"/>
      <c r="AA1026" s="33"/>
      <c r="AB1026" s="10"/>
    </row>
    <row r="1027" spans="1:28">
      <c r="A1027" s="81" t="s">
        <v>5941</v>
      </c>
      <c r="B1027" s="3457"/>
      <c r="C1027" s="14"/>
      <c r="D1027" s="15"/>
      <c r="E1027" s="16"/>
      <c r="F1027" s="17"/>
      <c r="G1027" s="14"/>
      <c r="H1027" s="15"/>
      <c r="I1027" s="16"/>
      <c r="J1027" s="17"/>
      <c r="K1027" s="14"/>
      <c r="L1027" s="15"/>
      <c r="M1027" s="16"/>
      <c r="N1027" s="17"/>
      <c r="O1027" s="2823"/>
      <c r="P1027" s="2823"/>
      <c r="Q1027" s="2646"/>
      <c r="R1027" s="17"/>
      <c r="S1027" s="14"/>
      <c r="T1027" s="15"/>
      <c r="U1027" s="16"/>
      <c r="V1027" s="17"/>
      <c r="W1027" s="14"/>
      <c r="X1027" s="15"/>
      <c r="Y1027" s="16"/>
      <c r="Z1027" s="17"/>
      <c r="AA1027" s="30"/>
      <c r="AB1027" s="15"/>
    </row>
    <row r="1028" spans="1:28">
      <c r="A1028" s="662" t="s">
        <v>5942</v>
      </c>
      <c r="B1028" s="3457" t="s">
        <v>617</v>
      </c>
      <c r="C1028" s="14"/>
      <c r="D1028" s="15"/>
      <c r="E1028" s="16"/>
      <c r="F1028" s="17"/>
      <c r="G1028" s="14"/>
      <c r="H1028" s="15"/>
      <c r="I1028" s="16"/>
      <c r="J1028" s="17"/>
      <c r="K1028" s="14"/>
      <c r="L1028" s="15"/>
      <c r="M1028" s="16"/>
      <c r="N1028" s="17"/>
      <c r="O1028" s="2823"/>
      <c r="P1028" s="2823"/>
      <c r="Q1028" s="2646"/>
      <c r="R1028" s="17"/>
      <c r="S1028" s="14"/>
      <c r="T1028" s="15"/>
      <c r="U1028" s="16"/>
      <c r="V1028" s="17"/>
      <c r="W1028" s="14"/>
      <c r="X1028" s="15"/>
      <c r="Y1028" s="16"/>
      <c r="Z1028" s="17"/>
      <c r="AA1028" s="30"/>
      <c r="AB1028" s="15"/>
    </row>
    <row r="1029" spans="1:28">
      <c r="A1029" s="43" t="s">
        <v>5943</v>
      </c>
      <c r="B1029" s="3457" t="s">
        <v>617</v>
      </c>
      <c r="C1029" s="14"/>
      <c r="D1029" s="15"/>
      <c r="E1029" s="16"/>
      <c r="F1029" s="17"/>
      <c r="G1029" s="14"/>
      <c r="H1029" s="15"/>
      <c r="I1029" s="16"/>
      <c r="J1029" s="17"/>
      <c r="K1029" s="14"/>
      <c r="L1029" s="15"/>
      <c r="M1029" s="16"/>
      <c r="N1029" s="17"/>
      <c r="O1029" s="2823"/>
      <c r="P1029" s="2823"/>
      <c r="Q1029" s="2646"/>
      <c r="R1029" s="17"/>
      <c r="S1029" s="14"/>
      <c r="T1029" s="15"/>
      <c r="U1029" s="16"/>
      <c r="V1029" s="17"/>
      <c r="W1029" s="14"/>
      <c r="X1029" s="15"/>
      <c r="Y1029" s="16"/>
      <c r="Z1029" s="17"/>
      <c r="AA1029" s="30"/>
      <c r="AB1029" s="15"/>
    </row>
    <row r="1030" spans="1:28">
      <c r="A1030" s="662" t="s">
        <v>5944</v>
      </c>
      <c r="B1030" s="3457" t="s">
        <v>624</v>
      </c>
      <c r="C1030" s="14"/>
      <c r="D1030" s="15"/>
      <c r="E1030" s="16"/>
      <c r="F1030" s="17"/>
      <c r="G1030" s="14"/>
      <c r="H1030" s="15"/>
      <c r="I1030" s="16"/>
      <c r="J1030" s="17"/>
      <c r="K1030" s="14"/>
      <c r="L1030" s="15"/>
      <c r="M1030" s="16"/>
      <c r="N1030" s="17"/>
      <c r="O1030" s="2823"/>
      <c r="P1030" s="2823"/>
      <c r="Q1030" s="2646"/>
      <c r="R1030" s="17"/>
      <c r="S1030" s="14"/>
      <c r="T1030" s="15"/>
      <c r="U1030" s="16"/>
      <c r="V1030" s="17"/>
      <c r="W1030" s="14"/>
      <c r="X1030" s="15"/>
      <c r="Y1030" s="16"/>
      <c r="Z1030" s="17"/>
      <c r="AA1030" s="30"/>
      <c r="AB1030" s="15"/>
    </row>
    <row r="1031" spans="1:28">
      <c r="A1031" s="81" t="s">
        <v>5945</v>
      </c>
      <c r="B1031" s="1144" t="s">
        <v>617</v>
      </c>
      <c r="C1031" s="14"/>
      <c r="D1031" s="15"/>
      <c r="E1031" s="16"/>
      <c r="F1031" s="17"/>
      <c r="G1031" s="14"/>
      <c r="H1031" s="15"/>
      <c r="I1031" s="16"/>
      <c r="J1031" s="17"/>
      <c r="K1031" s="14"/>
      <c r="L1031" s="15"/>
      <c r="M1031" s="16"/>
      <c r="N1031" s="17"/>
      <c r="O1031" s="2823"/>
      <c r="P1031" s="2823"/>
      <c r="Q1031" s="2646"/>
      <c r="R1031" s="17"/>
      <c r="S1031" s="14"/>
      <c r="T1031" s="15"/>
      <c r="U1031" s="16"/>
      <c r="V1031" s="17"/>
      <c r="W1031" s="14"/>
      <c r="X1031" s="15"/>
      <c r="Y1031" s="16"/>
      <c r="Z1031" s="17"/>
      <c r="AA1031" s="30"/>
      <c r="AB1031" s="15"/>
    </row>
    <row r="1032" spans="1:28">
      <c r="A1032" s="43" t="s">
        <v>5946</v>
      </c>
      <c r="B1032" s="1144" t="s">
        <v>617</v>
      </c>
      <c r="C1032" s="14"/>
      <c r="D1032" s="15"/>
      <c r="E1032" s="16"/>
      <c r="F1032" s="17"/>
      <c r="G1032" s="14"/>
      <c r="H1032" s="15"/>
      <c r="I1032" s="16"/>
      <c r="J1032" s="17"/>
      <c r="K1032" s="14"/>
      <c r="L1032" s="15"/>
      <c r="M1032" s="16"/>
      <c r="N1032" s="17"/>
      <c r="O1032" s="2823"/>
      <c r="P1032" s="2823"/>
      <c r="Q1032" s="2646"/>
      <c r="R1032" s="17"/>
      <c r="S1032" s="14"/>
      <c r="T1032" s="15"/>
      <c r="U1032" s="16"/>
      <c r="V1032" s="17"/>
      <c r="W1032" s="14"/>
      <c r="X1032" s="15"/>
      <c r="Y1032" s="16"/>
      <c r="Z1032" s="17"/>
      <c r="AA1032" s="30"/>
      <c r="AB1032" s="15"/>
    </row>
    <row r="1033" spans="1:28">
      <c r="A1033" s="43" t="s">
        <v>5947</v>
      </c>
      <c r="B1033" s="3457" t="s">
        <v>617</v>
      </c>
      <c r="C1033" s="14"/>
      <c r="D1033" s="15"/>
      <c r="E1033" s="16"/>
      <c r="F1033" s="17"/>
      <c r="G1033" s="14"/>
      <c r="H1033" s="15"/>
      <c r="I1033" s="16"/>
      <c r="J1033" s="17"/>
      <c r="K1033" s="14"/>
      <c r="L1033" s="15"/>
      <c r="M1033" s="16"/>
      <c r="N1033" s="17"/>
      <c r="O1033" s="2823"/>
      <c r="P1033" s="2823"/>
      <c r="Q1033" s="2646"/>
      <c r="R1033" s="17"/>
      <c r="S1033" s="14"/>
      <c r="T1033" s="15"/>
      <c r="U1033" s="16"/>
      <c r="V1033" s="17"/>
      <c r="W1033" s="14"/>
      <c r="X1033" s="15"/>
      <c r="Y1033" s="16"/>
      <c r="Z1033" s="17"/>
      <c r="AA1033" s="30"/>
      <c r="AB1033" s="15"/>
    </row>
    <row r="1034" spans="1:28">
      <c r="A1034" s="406" t="s">
        <v>5948</v>
      </c>
      <c r="B1034" s="3457" t="s">
        <v>617</v>
      </c>
      <c r="C1034" s="14"/>
      <c r="D1034" s="15"/>
      <c r="E1034" s="16"/>
      <c r="F1034" s="17"/>
      <c r="G1034" s="14"/>
      <c r="H1034" s="15"/>
      <c r="I1034" s="16"/>
      <c r="J1034" s="17"/>
      <c r="K1034" s="14"/>
      <c r="L1034" s="15"/>
      <c r="M1034" s="16"/>
      <c r="N1034" s="17"/>
      <c r="O1034" s="2823"/>
      <c r="P1034" s="2823"/>
      <c r="Q1034" s="2646"/>
      <c r="R1034" s="17"/>
      <c r="S1034" s="14"/>
      <c r="T1034" s="15"/>
      <c r="U1034" s="16"/>
      <c r="V1034" s="17"/>
      <c r="W1034" s="14"/>
      <c r="X1034" s="15"/>
      <c r="Y1034" s="16"/>
      <c r="Z1034" s="17"/>
      <c r="AA1034" s="30"/>
      <c r="AB1034" s="15"/>
    </row>
    <row r="1035" spans="1:28">
      <c r="A1035" s="43" t="s">
        <v>5949</v>
      </c>
      <c r="B1035" s="3457" t="s">
        <v>617</v>
      </c>
      <c r="C1035" s="14"/>
      <c r="D1035" s="15"/>
      <c r="E1035" s="16"/>
      <c r="F1035" s="17"/>
      <c r="G1035" s="14"/>
      <c r="H1035" s="15"/>
      <c r="I1035" s="16"/>
      <c r="J1035" s="17"/>
      <c r="K1035" s="14"/>
      <c r="L1035" s="15"/>
      <c r="M1035" s="16"/>
      <c r="N1035" s="17"/>
      <c r="O1035" s="2823"/>
      <c r="P1035" s="2823"/>
      <c r="Q1035" s="2646"/>
      <c r="R1035" s="17"/>
      <c r="S1035" s="14"/>
      <c r="T1035" s="15"/>
      <c r="U1035" s="16"/>
      <c r="V1035" s="17"/>
      <c r="W1035" s="14"/>
      <c r="X1035" s="15"/>
      <c r="Y1035" s="16"/>
      <c r="Z1035" s="17"/>
      <c r="AA1035" s="30"/>
      <c r="AB1035" s="15"/>
    </row>
    <row r="1036" spans="1:28">
      <c r="A1036" s="1150" t="s">
        <v>5950</v>
      </c>
      <c r="B1036" s="3457" t="s">
        <v>617</v>
      </c>
      <c r="C1036" s="14"/>
      <c r="D1036" s="15"/>
      <c r="E1036" s="16"/>
      <c r="F1036" s="17"/>
      <c r="G1036" s="14"/>
      <c r="H1036" s="15"/>
      <c r="I1036" s="16"/>
      <c r="J1036" s="17"/>
      <c r="K1036" s="14"/>
      <c r="L1036" s="15"/>
      <c r="M1036" s="16"/>
      <c r="N1036" s="17"/>
      <c r="O1036" s="2823"/>
      <c r="P1036" s="2823"/>
      <c r="Q1036" s="2646"/>
      <c r="R1036" s="17"/>
      <c r="S1036" s="14"/>
      <c r="T1036" s="15"/>
      <c r="U1036" s="16"/>
      <c r="V1036" s="17"/>
      <c r="W1036" s="14"/>
      <c r="X1036" s="15"/>
      <c r="Y1036" s="16"/>
      <c r="Z1036" s="17"/>
      <c r="AA1036" s="30"/>
      <c r="AB1036" s="15"/>
    </row>
    <row r="1037" spans="1:28" ht="40.5" thickBot="1">
      <c r="A1037" s="1922" t="s">
        <v>5951</v>
      </c>
      <c r="B1037" s="1913" t="s">
        <v>634</v>
      </c>
      <c r="C1037" s="14"/>
      <c r="D1037" s="15"/>
      <c r="E1037" s="16"/>
      <c r="F1037" s="17"/>
      <c r="G1037" s="14"/>
      <c r="H1037" s="15"/>
      <c r="I1037" s="16"/>
      <c r="J1037" s="17"/>
      <c r="K1037" s="14"/>
      <c r="L1037" s="15"/>
      <c r="M1037" s="16"/>
      <c r="N1037" s="17"/>
      <c r="O1037" s="2823"/>
      <c r="P1037" s="2823"/>
      <c r="Q1037" s="2646"/>
      <c r="R1037" s="17"/>
      <c r="S1037" s="14"/>
      <c r="T1037" s="15"/>
      <c r="U1037" s="16"/>
      <c r="V1037" s="17"/>
      <c r="W1037" s="14"/>
      <c r="X1037" s="15"/>
      <c r="Y1037" s="16"/>
      <c r="Z1037" s="17"/>
      <c r="AA1037" s="30"/>
      <c r="AB1037" s="15"/>
    </row>
    <row r="1038" spans="1:28" ht="40.5" thickTop="1">
      <c r="A1038" s="1150" t="s">
        <v>5952</v>
      </c>
      <c r="B1038" s="1144" t="s">
        <v>617</v>
      </c>
      <c r="C1038" s="14"/>
      <c r="D1038" s="15"/>
      <c r="E1038" s="16"/>
      <c r="F1038" s="17"/>
      <c r="G1038" s="14"/>
      <c r="H1038" s="15"/>
      <c r="I1038" s="16"/>
      <c r="J1038" s="17"/>
      <c r="K1038" s="14"/>
      <c r="L1038" s="15"/>
      <c r="M1038" s="16"/>
      <c r="N1038" s="17"/>
      <c r="O1038" s="2823"/>
      <c r="P1038" s="2823"/>
      <c r="Q1038" s="2646"/>
      <c r="R1038" s="17"/>
      <c r="S1038" s="14"/>
      <c r="T1038" s="15"/>
      <c r="U1038" s="16"/>
      <c r="V1038" s="17"/>
      <c r="W1038" s="14"/>
      <c r="X1038" s="15"/>
      <c r="Y1038" s="16"/>
      <c r="Z1038" s="17"/>
      <c r="AA1038" s="30"/>
      <c r="AB1038" s="15"/>
    </row>
    <row r="1039" spans="1:28">
      <c r="A1039" s="788" t="s">
        <v>5953</v>
      </c>
      <c r="B1039" s="3457" t="s">
        <v>617</v>
      </c>
      <c r="C1039" s="14"/>
      <c r="D1039" s="15"/>
      <c r="E1039" s="16"/>
      <c r="F1039" s="17"/>
      <c r="G1039" s="14"/>
      <c r="H1039" s="15"/>
      <c r="I1039" s="16"/>
      <c r="J1039" s="17"/>
      <c r="K1039" s="14"/>
      <c r="L1039" s="15"/>
      <c r="M1039" s="16"/>
      <c r="N1039" s="17"/>
      <c r="O1039" s="2823"/>
      <c r="P1039" s="2823"/>
      <c r="Q1039" s="2646"/>
      <c r="R1039" s="17"/>
      <c r="S1039" s="14"/>
      <c r="T1039" s="15"/>
      <c r="U1039" s="16"/>
      <c r="V1039" s="17"/>
      <c r="W1039" s="14"/>
      <c r="X1039" s="15"/>
      <c r="Y1039" s="16"/>
      <c r="Z1039" s="17"/>
      <c r="AA1039" s="30"/>
      <c r="AB1039" s="15"/>
    </row>
    <row r="1040" spans="1:28" ht="40.5" thickBot="1">
      <c r="A1040" s="1922" t="s">
        <v>5954</v>
      </c>
      <c r="B1040" s="1913" t="s">
        <v>617</v>
      </c>
      <c r="C1040" s="14"/>
      <c r="D1040" s="15"/>
      <c r="E1040" s="16"/>
      <c r="F1040" s="17"/>
      <c r="G1040" s="14"/>
      <c r="H1040" s="15"/>
      <c r="I1040" s="16"/>
      <c r="J1040" s="17"/>
      <c r="K1040" s="14"/>
      <c r="L1040" s="15"/>
      <c r="M1040" s="16"/>
      <c r="N1040" s="17"/>
      <c r="O1040" s="2824"/>
      <c r="P1040" s="2824"/>
      <c r="Q1040" s="2646"/>
      <c r="R1040" s="17"/>
      <c r="S1040" s="14"/>
      <c r="T1040" s="15"/>
      <c r="U1040" s="16"/>
      <c r="V1040" s="17"/>
      <c r="W1040" s="14"/>
      <c r="X1040" s="15"/>
      <c r="Y1040" s="16"/>
      <c r="Z1040" s="17"/>
      <c r="AA1040" s="30"/>
      <c r="AB1040" s="15"/>
    </row>
    <row r="1041" spans="1:28" ht="40.5" thickTop="1">
      <c r="A1041" s="770" t="s">
        <v>5955</v>
      </c>
      <c r="B1041" s="1144" t="s">
        <v>617</v>
      </c>
      <c r="C1041" s="14"/>
      <c r="D1041" s="15"/>
      <c r="E1041" s="16"/>
      <c r="F1041" s="17"/>
      <c r="G1041" s="14"/>
      <c r="H1041" s="15"/>
      <c r="I1041" s="16"/>
      <c r="J1041" s="17"/>
      <c r="K1041" s="14"/>
      <c r="L1041" s="15"/>
      <c r="M1041" s="16"/>
      <c r="N1041" s="17"/>
      <c r="O1041" s="2825"/>
      <c r="P1041" s="2826"/>
      <c r="Q1041" s="2645"/>
      <c r="R1041" s="1795"/>
      <c r="S1041" s="14"/>
      <c r="T1041" s="15"/>
      <c r="U1041" s="16"/>
      <c r="V1041" s="17"/>
      <c r="W1041" s="14"/>
      <c r="X1041" s="15"/>
      <c r="Y1041" s="16"/>
      <c r="Z1041" s="17"/>
      <c r="AA1041" s="30"/>
      <c r="AB1041" s="15"/>
    </row>
    <row r="1042" spans="1:28">
      <c r="A1042" s="1007"/>
      <c r="B1042" s="2624"/>
      <c r="C1042" s="14"/>
      <c r="D1042" s="15"/>
      <c r="E1042" s="16"/>
      <c r="F1042" s="17"/>
      <c r="G1042" s="14"/>
      <c r="H1042" s="15"/>
      <c r="I1042" s="16"/>
      <c r="J1042" s="17"/>
      <c r="K1042" s="14"/>
      <c r="L1042" s="15"/>
      <c r="M1042" s="16"/>
      <c r="N1042" s="17"/>
      <c r="O1042" s="2825"/>
      <c r="P1042" s="2826"/>
      <c r="Q1042" s="2649"/>
      <c r="R1042" s="2650"/>
      <c r="S1042" s="2651"/>
      <c r="T1042" s="2648"/>
      <c r="U1042" s="16"/>
      <c r="V1042" s="17"/>
      <c r="W1042" s="14"/>
      <c r="X1042" s="15"/>
      <c r="Y1042" s="16"/>
      <c r="Z1042" s="17"/>
      <c r="AA1042" s="30"/>
      <c r="AB1042" s="15"/>
    </row>
    <row r="1043" spans="1:28" ht="40.5" thickBot="1">
      <c r="A1043" s="2629"/>
      <c r="B1043" s="2627"/>
      <c r="C1043" s="6"/>
      <c r="D1043" s="32"/>
      <c r="E1043" s="7"/>
      <c r="F1043" s="40"/>
      <c r="G1043" s="6"/>
      <c r="H1043" s="32"/>
      <c r="I1043" s="7"/>
      <c r="J1043" s="40"/>
      <c r="K1043" s="6"/>
      <c r="L1043" s="32"/>
      <c r="M1043" s="7"/>
      <c r="N1043" s="40"/>
      <c r="O1043" s="2823"/>
      <c r="P1043" s="2823"/>
      <c r="Q1043" s="2647"/>
      <c r="R1043" s="40"/>
      <c r="S1043" s="6"/>
      <c r="T1043" s="32"/>
      <c r="U1043" s="7"/>
      <c r="V1043" s="40"/>
      <c r="W1043" s="6"/>
      <c r="X1043" s="32"/>
      <c r="Y1043" s="7"/>
      <c r="Z1043" s="40"/>
      <c r="AA1043" s="2630"/>
      <c r="AB1043" s="2631"/>
    </row>
    <row r="1046" spans="1:28">
      <c r="A1046" s="2080"/>
      <c r="B1046" s="2573"/>
    </row>
    <row r="1047" spans="1:28" ht="40.5">
      <c r="A1047" s="3" t="s">
        <v>5063</v>
      </c>
      <c r="B1047" s="23"/>
      <c r="C1047" s="3"/>
      <c r="D1047" s="3"/>
      <c r="E1047" s="3"/>
      <c r="F1047" s="3"/>
      <c r="G1047" s="3"/>
      <c r="H1047" s="3"/>
      <c r="I1047" s="3"/>
      <c r="J1047" s="3"/>
      <c r="K1047" s="3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B1047" s="4"/>
    </row>
    <row r="1048" spans="1:28" ht="40.5" thickBot="1">
      <c r="A1048" s="5" t="s">
        <v>5064</v>
      </c>
    </row>
    <row r="1049" spans="1:28">
      <c r="A1049" s="3537" t="s">
        <v>2</v>
      </c>
      <c r="B1049" s="3540" t="s">
        <v>3</v>
      </c>
      <c r="C1049" s="3537" t="s">
        <v>5065</v>
      </c>
      <c r="D1049" s="3538"/>
      <c r="E1049" s="3536" t="s">
        <v>5066</v>
      </c>
      <c r="F1049" s="3536"/>
      <c r="G1049" s="3537" t="s">
        <v>5067</v>
      </c>
      <c r="H1049" s="3538"/>
      <c r="I1049" s="3536" t="s">
        <v>5068</v>
      </c>
      <c r="J1049" s="3536"/>
      <c r="K1049" s="3537" t="s">
        <v>5069</v>
      </c>
      <c r="L1049" s="3538"/>
      <c r="M1049" s="3536" t="s">
        <v>5070</v>
      </c>
      <c r="N1049" s="3536"/>
      <c r="O1049" s="3542"/>
      <c r="P1049" s="3542"/>
      <c r="Q1049" s="3536" t="s">
        <v>5071</v>
      </c>
      <c r="R1049" s="3536"/>
      <c r="S1049" s="3536" t="s">
        <v>5072</v>
      </c>
      <c r="T1049" s="3536"/>
      <c r="U1049" s="3472" t="s">
        <v>5073</v>
      </c>
      <c r="V1049" s="3473"/>
      <c r="W1049" s="3536" t="s">
        <v>5074</v>
      </c>
      <c r="X1049" s="3536"/>
      <c r="Y1049" s="3472" t="s">
        <v>5075</v>
      </c>
      <c r="Z1049" s="3475"/>
      <c r="AA1049" s="3537" t="s">
        <v>5076</v>
      </c>
      <c r="AB1049" s="3538"/>
    </row>
    <row r="1050" spans="1:28" ht="40.5" thickBot="1">
      <c r="A1050" s="3539"/>
      <c r="B1050" s="3541"/>
      <c r="C1050" s="1" t="s">
        <v>5078</v>
      </c>
      <c r="D1050" s="35" t="s">
        <v>5079</v>
      </c>
      <c r="E1050" s="2" t="s">
        <v>5078</v>
      </c>
      <c r="F1050" s="36" t="s">
        <v>5079</v>
      </c>
      <c r="G1050" s="1" t="s">
        <v>5078</v>
      </c>
      <c r="H1050" s="35" t="s">
        <v>5079</v>
      </c>
      <c r="I1050" s="2" t="s">
        <v>5078</v>
      </c>
      <c r="J1050" s="36" t="s">
        <v>5079</v>
      </c>
      <c r="K1050" s="1" t="s">
        <v>5078</v>
      </c>
      <c r="L1050" s="35" t="s">
        <v>5079</v>
      </c>
      <c r="M1050" s="2" t="s">
        <v>5078</v>
      </c>
      <c r="N1050" s="36" t="s">
        <v>5079</v>
      </c>
      <c r="O1050" s="2769"/>
      <c r="P1050" s="2820"/>
      <c r="Q1050" s="2" t="s">
        <v>5078</v>
      </c>
      <c r="R1050" s="36" t="s">
        <v>5079</v>
      </c>
      <c r="S1050" s="1" t="s">
        <v>5078</v>
      </c>
      <c r="T1050" s="35" t="s">
        <v>5079</v>
      </c>
      <c r="U1050" s="2" t="s">
        <v>5078</v>
      </c>
      <c r="V1050" s="36" t="s">
        <v>5079</v>
      </c>
      <c r="W1050" s="1" t="s">
        <v>5078</v>
      </c>
      <c r="X1050" s="35" t="s">
        <v>5079</v>
      </c>
      <c r="Y1050" s="2" t="s">
        <v>5078</v>
      </c>
      <c r="Z1050" s="36" t="s">
        <v>5079</v>
      </c>
      <c r="AA1050" s="1" t="s">
        <v>5078</v>
      </c>
      <c r="AB1050" s="35" t="s">
        <v>5079</v>
      </c>
    </row>
    <row r="1051" spans="1:28">
      <c r="A1051" s="81" t="s">
        <v>5956</v>
      </c>
      <c r="B1051" s="103" t="s">
        <v>103</v>
      </c>
      <c r="C1051" s="9"/>
      <c r="D1051" s="10"/>
      <c r="E1051" s="11"/>
      <c r="F1051" s="12"/>
      <c r="G1051" s="9"/>
      <c r="H1051" s="10"/>
      <c r="I1051" s="11"/>
      <c r="J1051" s="12"/>
      <c r="K1051" s="9"/>
      <c r="L1051" s="10"/>
      <c r="M1051" s="11"/>
      <c r="N1051" s="12"/>
      <c r="O1051" s="2821"/>
      <c r="P1051" s="2822"/>
      <c r="Q1051" s="11"/>
      <c r="R1051" s="12"/>
      <c r="S1051" s="9"/>
      <c r="T1051" s="10"/>
      <c r="U1051" s="11"/>
      <c r="V1051" s="12"/>
      <c r="W1051" s="9"/>
      <c r="X1051" s="10"/>
      <c r="Y1051" s="11"/>
      <c r="Z1051" s="12"/>
      <c r="AA1051" s="33"/>
      <c r="AB1051" s="10"/>
    </row>
    <row r="1052" spans="1:28">
      <c r="A1052" s="81" t="s">
        <v>5957</v>
      </c>
      <c r="B1052" s="103" t="s">
        <v>103</v>
      </c>
      <c r="C1052" s="14"/>
      <c r="D1052" s="15"/>
      <c r="E1052" s="16"/>
      <c r="F1052" s="17"/>
      <c r="G1052" s="14"/>
      <c r="H1052" s="15"/>
      <c r="I1052" s="16"/>
      <c r="J1052" s="17"/>
      <c r="K1052" s="14"/>
      <c r="L1052" s="15"/>
      <c r="M1052" s="16"/>
      <c r="N1052" s="17"/>
      <c r="O1052" s="2823"/>
      <c r="P1052" s="2823"/>
      <c r="Q1052" s="2646"/>
      <c r="R1052" s="17"/>
      <c r="S1052" s="14"/>
      <c r="T1052" s="15"/>
      <c r="U1052" s="16"/>
      <c r="V1052" s="17"/>
      <c r="W1052" s="14"/>
      <c r="X1052" s="15"/>
      <c r="Y1052" s="16"/>
      <c r="Z1052" s="17"/>
      <c r="AA1052" s="30"/>
      <c r="AB1052" s="15"/>
    </row>
    <row r="1053" spans="1:28">
      <c r="A1053" s="81" t="s">
        <v>5958</v>
      </c>
      <c r="B1053" s="101" t="s">
        <v>103</v>
      </c>
      <c r="C1053" s="14"/>
      <c r="D1053" s="15"/>
      <c r="E1053" s="16"/>
      <c r="F1053" s="17"/>
      <c r="G1053" s="14"/>
      <c r="H1053" s="15"/>
      <c r="I1053" s="16"/>
      <c r="J1053" s="17"/>
      <c r="K1053" s="14"/>
      <c r="L1053" s="15"/>
      <c r="M1053" s="16"/>
      <c r="N1053" s="17"/>
      <c r="O1053" s="2823"/>
      <c r="P1053" s="2823"/>
      <c r="Q1053" s="2646"/>
      <c r="R1053" s="17"/>
      <c r="S1053" s="14"/>
      <c r="T1053" s="15"/>
      <c r="U1053" s="16"/>
      <c r="V1053" s="17"/>
      <c r="W1053" s="14"/>
      <c r="X1053" s="15"/>
      <c r="Y1053" s="16"/>
      <c r="Z1053" s="17"/>
      <c r="AA1053" s="30"/>
      <c r="AB1053" s="15"/>
    </row>
    <row r="1054" spans="1:28">
      <c r="A1054" s="81" t="s">
        <v>5959</v>
      </c>
      <c r="B1054" s="103" t="s">
        <v>103</v>
      </c>
      <c r="C1054" s="14"/>
      <c r="D1054" s="15"/>
      <c r="E1054" s="16"/>
      <c r="F1054" s="17"/>
      <c r="G1054" s="14"/>
      <c r="H1054" s="15"/>
      <c r="I1054" s="16"/>
      <c r="J1054" s="17"/>
      <c r="K1054" s="14"/>
      <c r="L1054" s="15"/>
      <c r="M1054" s="16"/>
      <c r="N1054" s="17"/>
      <c r="O1054" s="2823"/>
      <c r="P1054" s="2823"/>
      <c r="Q1054" s="2646"/>
      <c r="R1054" s="17"/>
      <c r="S1054" s="14"/>
      <c r="T1054" s="15"/>
      <c r="U1054" s="16"/>
      <c r="V1054" s="17"/>
      <c r="W1054" s="14"/>
      <c r="X1054" s="15"/>
      <c r="Y1054" s="16"/>
      <c r="Z1054" s="17"/>
      <c r="AA1054" s="30"/>
      <c r="AB1054" s="15"/>
    </row>
    <row r="1055" spans="1:28">
      <c r="A1055" s="81" t="s">
        <v>5960</v>
      </c>
      <c r="B1055" s="103" t="s">
        <v>103</v>
      </c>
      <c r="C1055" s="14"/>
      <c r="D1055" s="15"/>
      <c r="E1055" s="16"/>
      <c r="F1055" s="17"/>
      <c r="G1055" s="14"/>
      <c r="H1055" s="15"/>
      <c r="I1055" s="16"/>
      <c r="J1055" s="17"/>
      <c r="K1055" s="14"/>
      <c r="L1055" s="15"/>
      <c r="M1055" s="16"/>
      <c r="N1055" s="17"/>
      <c r="O1055" s="2823"/>
      <c r="P1055" s="2823"/>
      <c r="Q1055" s="2646"/>
      <c r="R1055" s="17"/>
      <c r="S1055" s="14"/>
      <c r="T1055" s="15"/>
      <c r="U1055" s="16"/>
      <c r="V1055" s="17"/>
      <c r="W1055" s="14"/>
      <c r="X1055" s="15"/>
      <c r="Y1055" s="16"/>
      <c r="Z1055" s="17"/>
      <c r="AA1055" s="30"/>
      <c r="AB1055" s="15"/>
    </row>
    <row r="1056" spans="1:28">
      <c r="A1056" s="81" t="s">
        <v>5961</v>
      </c>
      <c r="B1056" s="103" t="s">
        <v>103</v>
      </c>
      <c r="C1056" s="14"/>
      <c r="D1056" s="15"/>
      <c r="E1056" s="16"/>
      <c r="F1056" s="17"/>
      <c r="G1056" s="14"/>
      <c r="H1056" s="15"/>
      <c r="I1056" s="16"/>
      <c r="J1056" s="17"/>
      <c r="K1056" s="14"/>
      <c r="L1056" s="15"/>
      <c r="M1056" s="16"/>
      <c r="N1056" s="17"/>
      <c r="O1056" s="2823"/>
      <c r="P1056" s="2823"/>
      <c r="Q1056" s="2646"/>
      <c r="R1056" s="17"/>
      <c r="S1056" s="14"/>
      <c r="T1056" s="15"/>
      <c r="U1056" s="16"/>
      <c r="V1056" s="17"/>
      <c r="W1056" s="14"/>
      <c r="X1056" s="15"/>
      <c r="Y1056" s="16"/>
      <c r="Z1056" s="17"/>
      <c r="AA1056" s="30"/>
      <c r="AB1056" s="15"/>
    </row>
    <row r="1057" spans="1:28">
      <c r="A1057" s="81" t="s">
        <v>5962</v>
      </c>
      <c r="B1057" s="103" t="s">
        <v>103</v>
      </c>
      <c r="C1057" s="14"/>
      <c r="D1057" s="15"/>
      <c r="E1057" s="16"/>
      <c r="F1057" s="17"/>
      <c r="G1057" s="14"/>
      <c r="H1057" s="15"/>
      <c r="I1057" s="16"/>
      <c r="J1057" s="17"/>
      <c r="K1057" s="14"/>
      <c r="L1057" s="15"/>
      <c r="M1057" s="16"/>
      <c r="N1057" s="17"/>
      <c r="O1057" s="2823"/>
      <c r="P1057" s="2823"/>
      <c r="Q1057" s="2646"/>
      <c r="R1057" s="17"/>
      <c r="S1057" s="14"/>
      <c r="T1057" s="15"/>
      <c r="U1057" s="16"/>
      <c r="V1057" s="17"/>
      <c r="W1057" s="14"/>
      <c r="X1057" s="15"/>
      <c r="Y1057" s="16"/>
      <c r="Z1057" s="17"/>
      <c r="AA1057" s="30"/>
      <c r="AB1057" s="15"/>
    </row>
    <row r="1058" spans="1:28">
      <c r="A1058" s="81" t="s">
        <v>5963</v>
      </c>
      <c r="B1058" s="103" t="s">
        <v>103</v>
      </c>
      <c r="C1058" s="14"/>
      <c r="D1058" s="15"/>
      <c r="E1058" s="16"/>
      <c r="F1058" s="17"/>
      <c r="G1058" s="14"/>
      <c r="H1058" s="15"/>
      <c r="I1058" s="16"/>
      <c r="J1058" s="17"/>
      <c r="K1058" s="14"/>
      <c r="L1058" s="15"/>
      <c r="M1058" s="16"/>
      <c r="N1058" s="17"/>
      <c r="O1058" s="2823"/>
      <c r="P1058" s="2823"/>
      <c r="Q1058" s="2646"/>
      <c r="R1058" s="17"/>
      <c r="S1058" s="14"/>
      <c r="T1058" s="15"/>
      <c r="U1058" s="16"/>
      <c r="V1058" s="17"/>
      <c r="W1058" s="14"/>
      <c r="X1058" s="15"/>
      <c r="Y1058" s="16"/>
      <c r="Z1058" s="17"/>
      <c r="AA1058" s="30"/>
      <c r="AB1058" s="15"/>
    </row>
    <row r="1059" spans="1:28">
      <c r="A1059" s="81" t="s">
        <v>5964</v>
      </c>
      <c r="B1059" s="103" t="s">
        <v>103</v>
      </c>
      <c r="C1059" s="14"/>
      <c r="D1059" s="15"/>
      <c r="E1059" s="16"/>
      <c r="F1059" s="17"/>
      <c r="G1059" s="14"/>
      <c r="H1059" s="15"/>
      <c r="I1059" s="16"/>
      <c r="J1059" s="17"/>
      <c r="K1059" s="14"/>
      <c r="L1059" s="15"/>
      <c r="M1059" s="16"/>
      <c r="N1059" s="17"/>
      <c r="O1059" s="2823"/>
      <c r="P1059" s="2823"/>
      <c r="Q1059" s="2646"/>
      <c r="R1059" s="17"/>
      <c r="S1059" s="14"/>
      <c r="T1059" s="15"/>
      <c r="U1059" s="16"/>
      <c r="V1059" s="17"/>
      <c r="W1059" s="14"/>
      <c r="X1059" s="15"/>
      <c r="Y1059" s="16"/>
      <c r="Z1059" s="17"/>
      <c r="AA1059" s="30"/>
      <c r="AB1059" s="15"/>
    </row>
    <row r="1060" spans="1:28">
      <c r="A1060" s="81" t="s">
        <v>5965</v>
      </c>
      <c r="B1060" s="103" t="s">
        <v>103</v>
      </c>
      <c r="C1060" s="14"/>
      <c r="D1060" s="15"/>
      <c r="E1060" s="16"/>
      <c r="F1060" s="17"/>
      <c r="G1060" s="14"/>
      <c r="H1060" s="15"/>
      <c r="I1060" s="16"/>
      <c r="J1060" s="17"/>
      <c r="K1060" s="14"/>
      <c r="L1060" s="15"/>
      <c r="M1060" s="16"/>
      <c r="N1060" s="17"/>
      <c r="O1060" s="2823"/>
      <c r="P1060" s="2823"/>
      <c r="Q1060" s="2646"/>
      <c r="R1060" s="17"/>
      <c r="S1060" s="14"/>
      <c r="T1060" s="15"/>
      <c r="U1060" s="16"/>
      <c r="V1060" s="17"/>
      <c r="W1060" s="14"/>
      <c r="X1060" s="15"/>
      <c r="Y1060" s="16"/>
      <c r="Z1060" s="17"/>
      <c r="AA1060" s="30"/>
      <c r="AB1060" s="15"/>
    </row>
    <row r="1061" spans="1:28">
      <c r="A1061" s="81" t="s">
        <v>5966</v>
      </c>
      <c r="B1061" s="103" t="s">
        <v>103</v>
      </c>
      <c r="C1061" s="14"/>
      <c r="D1061" s="15"/>
      <c r="E1061" s="16"/>
      <c r="F1061" s="17"/>
      <c r="G1061" s="14"/>
      <c r="H1061" s="15"/>
      <c r="I1061" s="16"/>
      <c r="J1061" s="17"/>
      <c r="K1061" s="14"/>
      <c r="L1061" s="15"/>
      <c r="M1061" s="16"/>
      <c r="N1061" s="17"/>
      <c r="O1061" s="2823"/>
      <c r="P1061" s="2823"/>
      <c r="Q1061" s="2646"/>
      <c r="R1061" s="17"/>
      <c r="S1061" s="14"/>
      <c r="T1061" s="15"/>
      <c r="U1061" s="16"/>
      <c r="V1061" s="17"/>
      <c r="W1061" s="14"/>
      <c r="X1061" s="15"/>
      <c r="Y1061" s="16"/>
      <c r="Z1061" s="17"/>
      <c r="AA1061" s="30"/>
      <c r="AB1061" s="15"/>
    </row>
    <row r="1062" spans="1:28">
      <c r="A1062" s="81" t="s">
        <v>5967</v>
      </c>
      <c r="B1062" s="101" t="s">
        <v>103</v>
      </c>
      <c r="C1062" s="14"/>
      <c r="D1062" s="15"/>
      <c r="E1062" s="16"/>
      <c r="F1062" s="17"/>
      <c r="G1062" s="14"/>
      <c r="H1062" s="15"/>
      <c r="I1062" s="16"/>
      <c r="J1062" s="17"/>
      <c r="K1062" s="14"/>
      <c r="L1062" s="15"/>
      <c r="M1062" s="16"/>
      <c r="N1062" s="17"/>
      <c r="O1062" s="2823"/>
      <c r="P1062" s="2823"/>
      <c r="Q1062" s="2646"/>
      <c r="R1062" s="17"/>
      <c r="S1062" s="14"/>
      <c r="T1062" s="15"/>
      <c r="U1062" s="16"/>
      <c r="V1062" s="17"/>
      <c r="W1062" s="14"/>
      <c r="X1062" s="15"/>
      <c r="Y1062" s="16"/>
      <c r="Z1062" s="17"/>
      <c r="AA1062" s="30"/>
      <c r="AB1062" s="15"/>
    </row>
    <row r="1063" spans="1:28">
      <c r="A1063" s="81" t="s">
        <v>5968</v>
      </c>
      <c r="B1063" s="101" t="s">
        <v>103</v>
      </c>
      <c r="C1063" s="14"/>
      <c r="D1063" s="15"/>
      <c r="E1063" s="16"/>
      <c r="F1063" s="17"/>
      <c r="G1063" s="14"/>
      <c r="H1063" s="15"/>
      <c r="I1063" s="16"/>
      <c r="J1063" s="17"/>
      <c r="K1063" s="14"/>
      <c r="L1063" s="15"/>
      <c r="M1063" s="16"/>
      <c r="N1063" s="17"/>
      <c r="O1063" s="2823"/>
      <c r="P1063" s="2823"/>
      <c r="Q1063" s="2646"/>
      <c r="R1063" s="17"/>
      <c r="S1063" s="14"/>
      <c r="T1063" s="15"/>
      <c r="U1063" s="16"/>
      <c r="V1063" s="17"/>
      <c r="W1063" s="14"/>
      <c r="X1063" s="15"/>
      <c r="Y1063" s="16"/>
      <c r="Z1063" s="17"/>
      <c r="AA1063" s="30"/>
      <c r="AB1063" s="15"/>
    </row>
    <row r="1064" spans="1:28">
      <c r="A1064" s="81" t="s">
        <v>5969</v>
      </c>
      <c r="B1064" s="101" t="s">
        <v>103</v>
      </c>
      <c r="C1064" s="14"/>
      <c r="D1064" s="15"/>
      <c r="E1064" s="16"/>
      <c r="F1064" s="17"/>
      <c r="G1064" s="14"/>
      <c r="H1064" s="15"/>
      <c r="I1064" s="16"/>
      <c r="J1064" s="17"/>
      <c r="K1064" s="14"/>
      <c r="L1064" s="15"/>
      <c r="M1064" s="16"/>
      <c r="N1064" s="17"/>
      <c r="O1064" s="2823"/>
      <c r="P1064" s="2823"/>
      <c r="Q1064" s="2646"/>
      <c r="R1064" s="17"/>
      <c r="S1064" s="14"/>
      <c r="T1064" s="15"/>
      <c r="U1064" s="16"/>
      <c r="V1064" s="17"/>
      <c r="W1064" s="14"/>
      <c r="X1064" s="15"/>
      <c r="Y1064" s="16"/>
      <c r="Z1064" s="17"/>
      <c r="AA1064" s="30"/>
      <c r="AB1064" s="15"/>
    </row>
    <row r="1065" spans="1:28">
      <c r="A1065" s="3468" t="s">
        <v>5970</v>
      </c>
      <c r="B1065" s="101" t="s">
        <v>103</v>
      </c>
      <c r="C1065" s="14"/>
      <c r="D1065" s="15"/>
      <c r="E1065" s="16"/>
      <c r="F1065" s="17"/>
      <c r="G1065" s="14"/>
      <c r="H1065" s="15"/>
      <c r="I1065" s="16"/>
      <c r="J1065" s="17"/>
      <c r="K1065" s="14"/>
      <c r="L1065" s="15"/>
      <c r="M1065" s="16"/>
      <c r="N1065" s="17"/>
      <c r="O1065" s="2824"/>
      <c r="P1065" s="2824"/>
      <c r="Q1065" s="2646"/>
      <c r="R1065" s="17"/>
      <c r="S1065" s="14"/>
      <c r="T1065" s="15"/>
      <c r="U1065" s="16"/>
      <c r="V1065" s="17"/>
      <c r="W1065" s="14"/>
      <c r="X1065" s="15"/>
      <c r="Y1065" s="16"/>
      <c r="Z1065" s="17"/>
      <c r="AA1065" s="30"/>
      <c r="AB1065" s="15"/>
    </row>
    <row r="1066" spans="1:28">
      <c r="A1066" s="3468" t="s">
        <v>5971</v>
      </c>
      <c r="B1066" s="101"/>
      <c r="C1066" s="14"/>
      <c r="D1066" s="15"/>
      <c r="E1066" s="16"/>
      <c r="F1066" s="17"/>
      <c r="G1066" s="14"/>
      <c r="H1066" s="15"/>
      <c r="I1066" s="16"/>
      <c r="J1066" s="17"/>
      <c r="K1066" s="14"/>
      <c r="L1066" s="15"/>
      <c r="M1066" s="16"/>
      <c r="N1066" s="17"/>
      <c r="O1066" s="2825"/>
      <c r="P1066" s="2826"/>
      <c r="Q1066" s="2645"/>
      <c r="R1066" s="1795"/>
      <c r="S1066" s="14"/>
      <c r="T1066" s="15"/>
      <c r="U1066" s="16"/>
      <c r="V1066" s="17"/>
      <c r="W1066" s="14"/>
      <c r="X1066" s="15"/>
      <c r="Y1066" s="16"/>
      <c r="Z1066" s="17"/>
      <c r="AA1066" s="30"/>
      <c r="AB1066" s="15"/>
    </row>
    <row r="1067" spans="1:28">
      <c r="A1067" s="3468" t="s">
        <v>5972</v>
      </c>
      <c r="B1067" s="2624"/>
      <c r="C1067" s="14"/>
      <c r="D1067" s="15"/>
      <c r="E1067" s="16"/>
      <c r="F1067" s="17"/>
      <c r="G1067" s="14"/>
      <c r="H1067" s="15"/>
      <c r="I1067" s="16"/>
      <c r="J1067" s="17"/>
      <c r="K1067" s="14"/>
      <c r="L1067" s="15"/>
      <c r="M1067" s="16"/>
      <c r="N1067" s="17"/>
      <c r="O1067" s="2825"/>
      <c r="P1067" s="2826"/>
      <c r="Q1067" s="2649"/>
      <c r="R1067" s="2650"/>
      <c r="S1067" s="2651"/>
      <c r="T1067" s="2648"/>
      <c r="U1067" s="16"/>
      <c r="V1067" s="17"/>
      <c r="W1067" s="14"/>
      <c r="X1067" s="15"/>
      <c r="Y1067" s="16"/>
      <c r="Z1067" s="17"/>
      <c r="AA1067" s="30"/>
      <c r="AB1067" s="15"/>
    </row>
    <row r="1068" spans="1:28" ht="40.5" thickBot="1">
      <c r="A1068" s="3468" t="s">
        <v>5973</v>
      </c>
      <c r="B1068" s="2627"/>
      <c r="C1068" s="6"/>
      <c r="D1068" s="32"/>
      <c r="E1068" s="7"/>
      <c r="F1068" s="40"/>
      <c r="G1068" s="6"/>
      <c r="H1068" s="32"/>
      <c r="I1068" s="7"/>
      <c r="J1068" s="40"/>
      <c r="K1068" s="6"/>
      <c r="L1068" s="32"/>
      <c r="M1068" s="7"/>
      <c r="N1068" s="40"/>
      <c r="O1068" s="2823"/>
      <c r="P1068" s="2823"/>
      <c r="Q1068" s="2647"/>
      <c r="R1068" s="40"/>
      <c r="S1068" s="6"/>
      <c r="T1068" s="32"/>
      <c r="U1068" s="7"/>
      <c r="V1068" s="40"/>
      <c r="W1068" s="6"/>
      <c r="X1068" s="32"/>
      <c r="Y1068" s="7"/>
      <c r="Z1068" s="40"/>
      <c r="AA1068" s="2630"/>
      <c r="AB1068" s="2631"/>
    </row>
    <row r="1071" spans="1:28">
      <c r="A1071" s="2080"/>
      <c r="B1071" s="2573"/>
    </row>
    <row r="1072" spans="1:28" ht="40.5">
      <c r="A1072" s="3" t="s">
        <v>5063</v>
      </c>
      <c r="B1072" s="23"/>
      <c r="C1072" s="3"/>
      <c r="D1072" s="3"/>
      <c r="E1072" s="3"/>
      <c r="F1072" s="3"/>
      <c r="G1072" s="3"/>
      <c r="H1072" s="3"/>
      <c r="I1072" s="3"/>
      <c r="J1072" s="3"/>
      <c r="K1072" s="3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B1072" s="4"/>
    </row>
    <row r="1073" spans="1:28" ht="40.5" thickBot="1">
      <c r="A1073" s="5" t="s">
        <v>5064</v>
      </c>
    </row>
    <row r="1074" spans="1:28">
      <c r="A1074" s="3537" t="s">
        <v>2</v>
      </c>
      <c r="B1074" s="3540" t="s">
        <v>3</v>
      </c>
      <c r="C1074" s="3537" t="s">
        <v>5065</v>
      </c>
      <c r="D1074" s="3538"/>
      <c r="E1074" s="3536" t="s">
        <v>5066</v>
      </c>
      <c r="F1074" s="3536"/>
      <c r="G1074" s="3537" t="s">
        <v>5067</v>
      </c>
      <c r="H1074" s="3538"/>
      <c r="I1074" s="3536" t="s">
        <v>5068</v>
      </c>
      <c r="J1074" s="3536"/>
      <c r="K1074" s="3537" t="s">
        <v>5069</v>
      </c>
      <c r="L1074" s="3538"/>
      <c r="M1074" s="3536" t="s">
        <v>5070</v>
      </c>
      <c r="N1074" s="3536"/>
      <c r="O1074" s="3542"/>
      <c r="P1074" s="3542"/>
      <c r="Q1074" s="3536" t="s">
        <v>5071</v>
      </c>
      <c r="R1074" s="3536"/>
      <c r="S1074" s="3536" t="s">
        <v>5072</v>
      </c>
      <c r="T1074" s="3536"/>
      <c r="U1074" s="3472" t="s">
        <v>5073</v>
      </c>
      <c r="V1074" s="3473"/>
      <c r="W1074" s="3536" t="s">
        <v>5074</v>
      </c>
      <c r="X1074" s="3536"/>
      <c r="Y1074" s="3472" t="s">
        <v>5075</v>
      </c>
      <c r="Z1074" s="3475"/>
      <c r="AA1074" s="3537" t="s">
        <v>5076</v>
      </c>
      <c r="AB1074" s="3538"/>
    </row>
    <row r="1075" spans="1:28" ht="40.5" thickBot="1">
      <c r="A1075" s="3539"/>
      <c r="B1075" s="3541"/>
      <c r="C1075" s="1" t="s">
        <v>5078</v>
      </c>
      <c r="D1075" s="35" t="s">
        <v>5079</v>
      </c>
      <c r="E1075" s="2" t="s">
        <v>5078</v>
      </c>
      <c r="F1075" s="36" t="s">
        <v>5079</v>
      </c>
      <c r="G1075" s="1" t="s">
        <v>5078</v>
      </c>
      <c r="H1075" s="35" t="s">
        <v>5079</v>
      </c>
      <c r="I1075" s="2" t="s">
        <v>5078</v>
      </c>
      <c r="J1075" s="36" t="s">
        <v>5079</v>
      </c>
      <c r="K1075" s="1" t="s">
        <v>5078</v>
      </c>
      <c r="L1075" s="35" t="s">
        <v>5079</v>
      </c>
      <c r="M1075" s="2" t="s">
        <v>5078</v>
      </c>
      <c r="N1075" s="36" t="s">
        <v>5079</v>
      </c>
      <c r="O1075" s="2769"/>
      <c r="P1075" s="2820"/>
      <c r="Q1075" s="2" t="s">
        <v>5078</v>
      </c>
      <c r="R1075" s="36" t="s">
        <v>5079</v>
      </c>
      <c r="S1075" s="1" t="s">
        <v>5078</v>
      </c>
      <c r="T1075" s="35" t="s">
        <v>5079</v>
      </c>
      <c r="U1075" s="2" t="s">
        <v>5078</v>
      </c>
      <c r="V1075" s="36" t="s">
        <v>5079</v>
      </c>
      <c r="W1075" s="1" t="s">
        <v>5078</v>
      </c>
      <c r="X1075" s="35" t="s">
        <v>5079</v>
      </c>
      <c r="Y1075" s="2" t="s">
        <v>5078</v>
      </c>
      <c r="Z1075" s="36" t="s">
        <v>5079</v>
      </c>
      <c r="AA1075" s="1" t="s">
        <v>5078</v>
      </c>
      <c r="AB1075" s="35" t="s">
        <v>5079</v>
      </c>
    </row>
    <row r="1076" spans="1:28">
      <c r="A1076" s="81" t="s">
        <v>5974</v>
      </c>
      <c r="B1076" s="101" t="s">
        <v>103</v>
      </c>
      <c r="C1076" s="9"/>
      <c r="D1076" s="10"/>
      <c r="E1076" s="11"/>
      <c r="F1076" s="12"/>
      <c r="G1076" s="9"/>
      <c r="H1076" s="10"/>
      <c r="I1076" s="11"/>
      <c r="J1076" s="12"/>
      <c r="K1076" s="9"/>
      <c r="L1076" s="10"/>
      <c r="M1076" s="11"/>
      <c r="N1076" s="12"/>
      <c r="O1076" s="2821"/>
      <c r="P1076" s="2822"/>
      <c r="Q1076" s="11"/>
      <c r="R1076" s="12"/>
      <c r="S1076" s="9"/>
      <c r="T1076" s="10"/>
      <c r="U1076" s="11"/>
      <c r="V1076" s="12"/>
      <c r="W1076" s="9"/>
      <c r="X1076" s="10"/>
      <c r="Y1076" s="11"/>
      <c r="Z1076" s="12"/>
      <c r="AA1076" s="33"/>
      <c r="AB1076" s="10"/>
    </row>
    <row r="1077" spans="1:28">
      <c r="A1077" s="81" t="s">
        <v>5975</v>
      </c>
      <c r="B1077" s="101" t="s">
        <v>103</v>
      </c>
      <c r="C1077" s="14"/>
      <c r="D1077" s="15"/>
      <c r="E1077" s="16"/>
      <c r="F1077" s="17"/>
      <c r="G1077" s="14"/>
      <c r="H1077" s="15"/>
      <c r="I1077" s="16"/>
      <c r="J1077" s="17"/>
      <c r="K1077" s="14"/>
      <c r="L1077" s="15"/>
      <c r="M1077" s="16"/>
      <c r="N1077" s="17"/>
      <c r="O1077" s="2823"/>
      <c r="P1077" s="2823"/>
      <c r="Q1077" s="2646"/>
      <c r="R1077" s="17"/>
      <c r="S1077" s="14"/>
      <c r="T1077" s="15"/>
      <c r="U1077" s="16"/>
      <c r="V1077" s="17"/>
      <c r="W1077" s="14"/>
      <c r="X1077" s="15"/>
      <c r="Y1077" s="16"/>
      <c r="Z1077" s="17"/>
      <c r="AA1077" s="30"/>
      <c r="AB1077" s="15"/>
    </row>
    <row r="1078" spans="1:28">
      <c r="A1078" s="81" t="s">
        <v>5976</v>
      </c>
      <c r="B1078" s="101" t="s">
        <v>103</v>
      </c>
      <c r="C1078" s="14"/>
      <c r="D1078" s="15"/>
      <c r="E1078" s="16"/>
      <c r="F1078" s="17"/>
      <c r="G1078" s="14"/>
      <c r="H1078" s="15"/>
      <c r="I1078" s="16"/>
      <c r="J1078" s="17"/>
      <c r="K1078" s="14"/>
      <c r="L1078" s="15"/>
      <c r="M1078" s="16"/>
      <c r="N1078" s="17"/>
      <c r="O1078" s="2823"/>
      <c r="P1078" s="2823"/>
      <c r="Q1078" s="2646"/>
      <c r="R1078" s="17"/>
      <c r="S1078" s="14"/>
      <c r="T1078" s="15"/>
      <c r="U1078" s="16"/>
      <c r="V1078" s="17"/>
      <c r="W1078" s="14"/>
      <c r="X1078" s="15"/>
      <c r="Y1078" s="16"/>
      <c r="Z1078" s="17"/>
      <c r="AA1078" s="30"/>
      <c r="AB1078" s="15"/>
    </row>
    <row r="1079" spans="1:28">
      <c r="A1079" s="81" t="s">
        <v>5977</v>
      </c>
      <c r="B1079" s="101" t="s">
        <v>103</v>
      </c>
      <c r="C1079" s="14"/>
      <c r="D1079" s="15"/>
      <c r="E1079" s="16"/>
      <c r="F1079" s="17"/>
      <c r="G1079" s="14"/>
      <c r="H1079" s="15"/>
      <c r="I1079" s="16"/>
      <c r="J1079" s="17"/>
      <c r="K1079" s="14"/>
      <c r="L1079" s="15"/>
      <c r="M1079" s="16"/>
      <c r="N1079" s="17"/>
      <c r="O1079" s="2823"/>
      <c r="P1079" s="2823"/>
      <c r="Q1079" s="2646"/>
      <c r="R1079" s="17"/>
      <c r="S1079" s="14"/>
      <c r="T1079" s="15"/>
      <c r="U1079" s="16"/>
      <c r="V1079" s="17"/>
      <c r="W1079" s="14"/>
      <c r="X1079" s="15"/>
      <c r="Y1079" s="16"/>
      <c r="Z1079" s="17"/>
      <c r="AA1079" s="30"/>
      <c r="AB1079" s="15"/>
    </row>
    <row r="1080" spans="1:28">
      <c r="A1080" s="81" t="s">
        <v>5978</v>
      </c>
      <c r="B1080" s="101" t="s">
        <v>103</v>
      </c>
      <c r="C1080" s="14"/>
      <c r="D1080" s="15"/>
      <c r="E1080" s="16"/>
      <c r="F1080" s="17"/>
      <c r="G1080" s="14"/>
      <c r="H1080" s="15"/>
      <c r="I1080" s="16"/>
      <c r="J1080" s="17"/>
      <c r="K1080" s="14"/>
      <c r="L1080" s="15"/>
      <c r="M1080" s="16"/>
      <c r="N1080" s="17"/>
      <c r="O1080" s="2823"/>
      <c r="P1080" s="2823"/>
      <c r="Q1080" s="2646"/>
      <c r="R1080" s="17"/>
      <c r="S1080" s="14"/>
      <c r="T1080" s="15"/>
      <c r="U1080" s="16"/>
      <c r="V1080" s="17"/>
      <c r="W1080" s="14"/>
      <c r="X1080" s="15"/>
      <c r="Y1080" s="16"/>
      <c r="Z1080" s="17"/>
      <c r="AA1080" s="30"/>
      <c r="AB1080" s="15"/>
    </row>
    <row r="1081" spans="1:28">
      <c r="A1081" s="81" t="s">
        <v>5979</v>
      </c>
      <c r="B1081" s="101" t="s">
        <v>103</v>
      </c>
      <c r="C1081" s="14"/>
      <c r="D1081" s="15"/>
      <c r="E1081" s="16"/>
      <c r="F1081" s="17"/>
      <c r="G1081" s="14"/>
      <c r="H1081" s="15"/>
      <c r="I1081" s="16"/>
      <c r="J1081" s="17"/>
      <c r="K1081" s="14"/>
      <c r="L1081" s="15"/>
      <c r="M1081" s="16"/>
      <c r="N1081" s="17"/>
      <c r="O1081" s="2823"/>
      <c r="P1081" s="2823"/>
      <c r="Q1081" s="2646"/>
      <c r="R1081" s="17"/>
      <c r="S1081" s="14"/>
      <c r="T1081" s="15"/>
      <c r="U1081" s="16"/>
      <c r="V1081" s="17"/>
      <c r="W1081" s="14"/>
      <c r="X1081" s="15"/>
      <c r="Y1081" s="16"/>
      <c r="Z1081" s="17"/>
      <c r="AA1081" s="30"/>
      <c r="AB1081" s="15"/>
    </row>
    <row r="1082" spans="1:28">
      <c r="A1082" s="81" t="s">
        <v>5980</v>
      </c>
      <c r="B1082" s="101" t="s">
        <v>103</v>
      </c>
      <c r="C1082" s="14"/>
      <c r="D1082" s="15"/>
      <c r="E1082" s="16"/>
      <c r="F1082" s="17"/>
      <c r="G1082" s="14"/>
      <c r="H1082" s="15"/>
      <c r="I1082" s="16"/>
      <c r="J1082" s="17"/>
      <c r="K1082" s="14"/>
      <c r="L1082" s="15"/>
      <c r="M1082" s="16"/>
      <c r="N1082" s="17"/>
      <c r="O1082" s="2823"/>
      <c r="P1082" s="2823"/>
      <c r="Q1082" s="2646"/>
      <c r="R1082" s="17"/>
      <c r="S1082" s="14"/>
      <c r="T1082" s="15"/>
      <c r="U1082" s="16"/>
      <c r="V1082" s="17"/>
      <c r="W1082" s="14"/>
      <c r="X1082" s="15"/>
      <c r="Y1082" s="16"/>
      <c r="Z1082" s="17"/>
      <c r="AA1082" s="30"/>
      <c r="AB1082" s="15"/>
    </row>
    <row r="1083" spans="1:28">
      <c r="A1083" s="81" t="s">
        <v>5981</v>
      </c>
      <c r="B1083" s="101" t="s">
        <v>103</v>
      </c>
      <c r="C1083" s="14"/>
      <c r="D1083" s="15"/>
      <c r="E1083" s="16"/>
      <c r="F1083" s="17"/>
      <c r="G1083" s="14"/>
      <c r="H1083" s="15"/>
      <c r="I1083" s="16"/>
      <c r="J1083" s="17"/>
      <c r="K1083" s="14"/>
      <c r="L1083" s="15"/>
      <c r="M1083" s="16"/>
      <c r="N1083" s="17"/>
      <c r="O1083" s="2823"/>
      <c r="P1083" s="2823"/>
      <c r="Q1083" s="2646"/>
      <c r="R1083" s="17"/>
      <c r="S1083" s="14"/>
      <c r="T1083" s="15"/>
      <c r="U1083" s="16"/>
      <c r="V1083" s="17"/>
      <c r="W1083" s="14"/>
      <c r="X1083" s="15"/>
      <c r="Y1083" s="16"/>
      <c r="Z1083" s="17"/>
      <c r="AA1083" s="30"/>
      <c r="AB1083" s="15"/>
    </row>
    <row r="1084" spans="1:28">
      <c r="A1084" s="81" t="s">
        <v>5982</v>
      </c>
      <c r="B1084" s="101" t="s">
        <v>4708</v>
      </c>
      <c r="C1084" s="14"/>
      <c r="D1084" s="15"/>
      <c r="E1084" s="16"/>
      <c r="F1084" s="17"/>
      <c r="G1084" s="14"/>
      <c r="H1084" s="15"/>
      <c r="I1084" s="16"/>
      <c r="J1084" s="17"/>
      <c r="K1084" s="14"/>
      <c r="L1084" s="15"/>
      <c r="M1084" s="16"/>
      <c r="N1084" s="17"/>
      <c r="O1084" s="2823"/>
      <c r="P1084" s="2823"/>
      <c r="Q1084" s="2646"/>
      <c r="R1084" s="17"/>
      <c r="S1084" s="14"/>
      <c r="T1084" s="15"/>
      <c r="U1084" s="16"/>
      <c r="V1084" s="17"/>
      <c r="W1084" s="14"/>
      <c r="X1084" s="15"/>
      <c r="Y1084" s="16"/>
      <c r="Z1084" s="17"/>
      <c r="AA1084" s="30"/>
      <c r="AB1084" s="15"/>
    </row>
    <row r="1085" spans="1:28">
      <c r="A1085" s="81"/>
      <c r="B1085" s="103"/>
      <c r="C1085" s="14"/>
      <c r="D1085" s="15"/>
      <c r="E1085" s="16"/>
      <c r="F1085" s="17"/>
      <c r="G1085" s="14"/>
      <c r="H1085" s="15"/>
      <c r="I1085" s="16"/>
      <c r="J1085" s="17"/>
      <c r="K1085" s="14"/>
      <c r="L1085" s="15"/>
      <c r="M1085" s="16"/>
      <c r="N1085" s="17"/>
      <c r="O1085" s="2823"/>
      <c r="P1085" s="2823"/>
      <c r="Q1085" s="2646"/>
      <c r="R1085" s="17"/>
      <c r="S1085" s="14"/>
      <c r="T1085" s="15"/>
      <c r="U1085" s="16"/>
      <c r="V1085" s="17"/>
      <c r="W1085" s="14"/>
      <c r="X1085" s="15"/>
      <c r="Y1085" s="16"/>
      <c r="Z1085" s="17"/>
      <c r="AA1085" s="30"/>
      <c r="AB1085" s="15"/>
    </row>
    <row r="1086" spans="1:28">
      <c r="A1086" s="81" t="s">
        <v>5983</v>
      </c>
      <c r="B1086" s="103" t="s">
        <v>565</v>
      </c>
      <c r="C1086" s="14"/>
      <c r="D1086" s="15"/>
      <c r="E1086" s="16"/>
      <c r="F1086" s="17"/>
      <c r="G1086" s="14"/>
      <c r="H1086" s="15"/>
      <c r="I1086" s="16"/>
      <c r="J1086" s="17"/>
      <c r="K1086" s="14"/>
      <c r="L1086" s="15"/>
      <c r="M1086" s="16"/>
      <c r="N1086" s="17"/>
      <c r="O1086" s="2823"/>
      <c r="P1086" s="2823"/>
      <c r="Q1086" s="2646"/>
      <c r="R1086" s="17"/>
      <c r="S1086" s="14"/>
      <c r="T1086" s="15"/>
      <c r="U1086" s="16"/>
      <c r="V1086" s="17"/>
      <c r="W1086" s="14"/>
      <c r="X1086" s="15"/>
      <c r="Y1086" s="16"/>
      <c r="Z1086" s="17"/>
      <c r="AA1086" s="30"/>
      <c r="AB1086" s="15"/>
    </row>
    <row r="1087" spans="1:28">
      <c r="A1087" s="81" t="s">
        <v>5984</v>
      </c>
      <c r="B1087" s="103" t="s">
        <v>5985</v>
      </c>
      <c r="C1087" s="14"/>
      <c r="D1087" s="15"/>
      <c r="E1087" s="16"/>
      <c r="F1087" s="17"/>
      <c r="G1087" s="14"/>
      <c r="H1087" s="15"/>
      <c r="I1087" s="16"/>
      <c r="J1087" s="17"/>
      <c r="K1087" s="14"/>
      <c r="L1087" s="15"/>
      <c r="M1087" s="16"/>
      <c r="N1087" s="17"/>
      <c r="O1087" s="2823"/>
      <c r="P1087" s="2823"/>
      <c r="Q1087" s="2646"/>
      <c r="R1087" s="17"/>
      <c r="S1087" s="14"/>
      <c r="T1087" s="15"/>
      <c r="U1087" s="16"/>
      <c r="V1087" s="17"/>
      <c r="W1087" s="14"/>
      <c r="X1087" s="15"/>
      <c r="Y1087" s="16"/>
      <c r="Z1087" s="17"/>
      <c r="AA1087" s="30"/>
      <c r="AB1087" s="15"/>
    </row>
    <row r="1088" spans="1:28">
      <c r="A1088" s="81" t="s">
        <v>5986</v>
      </c>
      <c r="B1088" s="103" t="s">
        <v>5985</v>
      </c>
      <c r="C1088" s="14"/>
      <c r="D1088" s="15"/>
      <c r="E1088" s="16"/>
      <c r="F1088" s="17"/>
      <c r="G1088" s="14"/>
      <c r="H1088" s="15"/>
      <c r="I1088" s="16"/>
      <c r="J1088" s="17"/>
      <c r="K1088" s="14"/>
      <c r="L1088" s="15"/>
      <c r="M1088" s="16"/>
      <c r="N1088" s="17"/>
      <c r="O1088" s="2823"/>
      <c r="P1088" s="2823"/>
      <c r="Q1088" s="2646"/>
      <c r="R1088" s="17"/>
      <c r="S1088" s="14"/>
      <c r="T1088" s="15"/>
      <c r="U1088" s="16"/>
      <c r="V1088" s="17"/>
      <c r="W1088" s="14"/>
      <c r="X1088" s="15"/>
      <c r="Y1088" s="16"/>
      <c r="Z1088" s="17"/>
      <c r="AA1088" s="30"/>
      <c r="AB1088" s="15"/>
    </row>
    <row r="1089" spans="1:28">
      <c r="A1089" s="1006" t="s">
        <v>5987</v>
      </c>
      <c r="B1089" s="2573" t="s">
        <v>565</v>
      </c>
      <c r="C1089" s="14"/>
      <c r="D1089" s="15"/>
      <c r="E1089" s="16"/>
      <c r="F1089" s="17"/>
      <c r="G1089" s="14"/>
      <c r="H1089" s="15"/>
      <c r="I1089" s="16"/>
      <c r="J1089" s="17"/>
      <c r="K1089" s="14"/>
      <c r="L1089" s="15"/>
      <c r="M1089" s="16"/>
      <c r="N1089" s="17"/>
      <c r="O1089" s="2823"/>
      <c r="P1089" s="2823"/>
      <c r="Q1089" s="2646"/>
      <c r="R1089" s="17"/>
      <c r="S1089" s="14"/>
      <c r="T1089" s="15"/>
      <c r="U1089" s="16"/>
      <c r="V1089" s="17"/>
      <c r="W1089" s="14"/>
      <c r="X1089" s="15"/>
      <c r="Y1089" s="16"/>
      <c r="Z1089" s="17"/>
      <c r="AA1089" s="30"/>
      <c r="AB1089" s="15"/>
    </row>
    <row r="1090" spans="1:28">
      <c r="A1090" s="928" t="s">
        <v>5988</v>
      </c>
      <c r="B1090" s="928" t="s">
        <v>192</v>
      </c>
      <c r="C1090" s="14"/>
      <c r="D1090" s="15"/>
      <c r="E1090" s="16"/>
      <c r="F1090" s="17"/>
      <c r="G1090" s="14"/>
      <c r="H1090" s="15"/>
      <c r="I1090" s="16"/>
      <c r="J1090" s="17"/>
      <c r="K1090" s="14"/>
      <c r="L1090" s="15"/>
      <c r="M1090" s="16"/>
      <c r="N1090" s="17"/>
      <c r="O1090" s="2824"/>
      <c r="P1090" s="2824"/>
      <c r="Q1090" s="2646"/>
      <c r="R1090" s="17"/>
      <c r="S1090" s="14"/>
      <c r="T1090" s="15"/>
      <c r="U1090" s="16"/>
      <c r="V1090" s="17"/>
      <c r="W1090" s="14"/>
      <c r="X1090" s="15"/>
      <c r="Y1090" s="16"/>
      <c r="Z1090" s="17"/>
      <c r="AA1090" s="30"/>
      <c r="AB1090" s="15"/>
    </row>
    <row r="1091" spans="1:28">
      <c r="A1091" s="1918" t="s">
        <v>5989</v>
      </c>
      <c r="B1091" s="2594" t="s">
        <v>276</v>
      </c>
      <c r="C1091" s="14"/>
      <c r="D1091" s="15"/>
      <c r="E1091" s="16"/>
      <c r="F1091" s="17"/>
      <c r="G1091" s="14"/>
      <c r="H1091" s="15"/>
      <c r="I1091" s="16"/>
      <c r="J1091" s="17"/>
      <c r="K1091" s="14"/>
      <c r="L1091" s="15"/>
      <c r="M1091" s="16"/>
      <c r="N1091" s="17"/>
      <c r="O1091" s="2825"/>
      <c r="P1091" s="2826"/>
      <c r="Q1091" s="2645"/>
      <c r="R1091" s="1795"/>
      <c r="S1091" s="14"/>
      <c r="T1091" s="15"/>
      <c r="U1091" s="16"/>
      <c r="V1091" s="17"/>
      <c r="W1091" s="14"/>
      <c r="X1091" s="15"/>
      <c r="Y1091" s="16"/>
      <c r="Z1091" s="17"/>
      <c r="AA1091" s="30"/>
      <c r="AB1091" s="15"/>
    </row>
    <row r="1092" spans="1:28">
      <c r="A1092" s="1918" t="s">
        <v>5989</v>
      </c>
      <c r="B1092" s="2594" t="s">
        <v>5990</v>
      </c>
      <c r="C1092" s="14"/>
      <c r="D1092" s="15"/>
      <c r="E1092" s="16"/>
      <c r="F1092" s="17"/>
      <c r="G1092" s="14"/>
      <c r="H1092" s="15"/>
      <c r="I1092" s="16"/>
      <c r="J1092" s="17"/>
      <c r="K1092" s="14"/>
      <c r="L1092" s="15"/>
      <c r="M1092" s="16"/>
      <c r="N1092" s="17"/>
      <c r="O1092" s="2825"/>
      <c r="P1092" s="2826"/>
      <c r="Q1092" s="2649"/>
      <c r="R1092" s="2650"/>
      <c r="S1092" s="2651"/>
      <c r="T1092" s="2648"/>
      <c r="U1092" s="16"/>
      <c r="V1092" s="17"/>
      <c r="W1092" s="14"/>
      <c r="X1092" s="15"/>
      <c r="Y1092" s="16"/>
      <c r="Z1092" s="17"/>
      <c r="AA1092" s="30"/>
      <c r="AB1092" s="15"/>
    </row>
    <row r="1093" spans="1:28" ht="40.5" thickBot="1">
      <c r="A1093" s="1006"/>
      <c r="B1093" s="2573"/>
      <c r="C1093" s="6"/>
      <c r="D1093" s="32"/>
      <c r="E1093" s="7"/>
      <c r="F1093" s="40"/>
      <c r="G1093" s="6"/>
      <c r="H1093" s="32"/>
      <c r="I1093" s="7"/>
      <c r="J1093" s="40"/>
      <c r="K1093" s="6"/>
      <c r="L1093" s="32"/>
      <c r="M1093" s="7"/>
      <c r="N1093" s="40"/>
      <c r="O1093" s="2823"/>
      <c r="P1093" s="2823"/>
      <c r="Q1093" s="2647"/>
      <c r="R1093" s="40"/>
      <c r="S1093" s="6"/>
      <c r="T1093" s="32"/>
      <c r="U1093" s="7"/>
      <c r="V1093" s="40"/>
      <c r="W1093" s="6"/>
      <c r="X1093" s="32"/>
      <c r="Y1093" s="7"/>
      <c r="Z1093" s="40"/>
      <c r="AA1093" s="2630"/>
      <c r="AB1093" s="2631"/>
    </row>
    <row r="1094" spans="1:28">
      <c r="A1094" s="928"/>
      <c r="B1094" s="928"/>
      <c r="C1094" s="825"/>
    </row>
    <row r="1095" spans="1:28">
      <c r="A1095" s="1918"/>
      <c r="B1095" s="2594"/>
      <c r="C1095" s="2634"/>
    </row>
    <row r="1096" spans="1:28">
      <c r="A1096" s="1918"/>
      <c r="B1096" s="2594"/>
      <c r="C1096" s="2634"/>
    </row>
    <row r="1097" spans="1:28" ht="40.5">
      <c r="A1097" s="3" t="s">
        <v>5063</v>
      </c>
      <c r="B1097" s="23"/>
      <c r="C1097" s="3"/>
      <c r="D1097" s="3"/>
      <c r="E1097" s="3"/>
      <c r="F1097" s="3"/>
      <c r="G1097" s="3"/>
      <c r="H1097" s="3"/>
      <c r="I1097" s="3"/>
      <c r="J1097" s="3"/>
      <c r="K1097" s="3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B1097" s="4"/>
    </row>
    <row r="1098" spans="1:28" ht="40.5" thickBot="1">
      <c r="A1098" s="5" t="s">
        <v>5064</v>
      </c>
    </row>
    <row r="1099" spans="1:28">
      <c r="A1099" s="3537" t="s">
        <v>2</v>
      </c>
      <c r="B1099" s="3540" t="s">
        <v>3</v>
      </c>
      <c r="C1099" s="3537" t="s">
        <v>5065</v>
      </c>
      <c r="D1099" s="3538"/>
      <c r="E1099" s="3536" t="s">
        <v>5066</v>
      </c>
      <c r="F1099" s="3536"/>
      <c r="G1099" s="3537" t="s">
        <v>5067</v>
      </c>
      <c r="H1099" s="3538"/>
      <c r="I1099" s="3536" t="s">
        <v>5068</v>
      </c>
      <c r="J1099" s="3536"/>
      <c r="K1099" s="3537" t="s">
        <v>5069</v>
      </c>
      <c r="L1099" s="3538"/>
      <c r="M1099" s="3536" t="s">
        <v>5070</v>
      </c>
      <c r="N1099" s="3536"/>
      <c r="O1099" s="3542"/>
      <c r="P1099" s="3542"/>
      <c r="Q1099" s="3536" t="s">
        <v>5071</v>
      </c>
      <c r="R1099" s="3536"/>
      <c r="S1099" s="3536" t="s">
        <v>5072</v>
      </c>
      <c r="T1099" s="3536"/>
      <c r="U1099" s="3472" t="s">
        <v>5073</v>
      </c>
      <c r="V1099" s="3473"/>
      <c r="W1099" s="3536" t="s">
        <v>5074</v>
      </c>
      <c r="X1099" s="3536"/>
      <c r="Y1099" s="3472" t="s">
        <v>5075</v>
      </c>
      <c r="Z1099" s="3475"/>
      <c r="AA1099" s="3537" t="s">
        <v>5076</v>
      </c>
      <c r="AB1099" s="3538"/>
    </row>
    <row r="1100" spans="1:28" ht="40.5" thickBot="1">
      <c r="A1100" s="3539"/>
      <c r="B1100" s="3541"/>
      <c r="C1100" s="1" t="s">
        <v>5078</v>
      </c>
      <c r="D1100" s="35" t="s">
        <v>5079</v>
      </c>
      <c r="E1100" s="2" t="s">
        <v>5078</v>
      </c>
      <c r="F1100" s="36" t="s">
        <v>5079</v>
      </c>
      <c r="G1100" s="1" t="s">
        <v>5078</v>
      </c>
      <c r="H1100" s="35" t="s">
        <v>5079</v>
      </c>
      <c r="I1100" s="2" t="s">
        <v>5078</v>
      </c>
      <c r="J1100" s="36" t="s">
        <v>5079</v>
      </c>
      <c r="K1100" s="1" t="s">
        <v>5078</v>
      </c>
      <c r="L1100" s="35" t="s">
        <v>5079</v>
      </c>
      <c r="M1100" s="2" t="s">
        <v>5078</v>
      </c>
      <c r="N1100" s="36" t="s">
        <v>5079</v>
      </c>
      <c r="O1100" s="2769"/>
      <c r="P1100" s="2820"/>
      <c r="Q1100" s="2" t="s">
        <v>5078</v>
      </c>
      <c r="R1100" s="36" t="s">
        <v>5079</v>
      </c>
      <c r="S1100" s="1" t="s">
        <v>5078</v>
      </c>
      <c r="T1100" s="35" t="s">
        <v>5079</v>
      </c>
      <c r="U1100" s="2" t="s">
        <v>5078</v>
      </c>
      <c r="V1100" s="36" t="s">
        <v>5079</v>
      </c>
      <c r="W1100" s="1" t="s">
        <v>5078</v>
      </c>
      <c r="X1100" s="35" t="s">
        <v>5079</v>
      </c>
      <c r="Y1100" s="2" t="s">
        <v>5078</v>
      </c>
      <c r="Z1100" s="36" t="s">
        <v>5079</v>
      </c>
      <c r="AA1100" s="1" t="s">
        <v>5078</v>
      </c>
      <c r="AB1100" s="35" t="s">
        <v>5079</v>
      </c>
    </row>
    <row r="1101" spans="1:28">
      <c r="A1101" s="3468" t="s">
        <v>5991</v>
      </c>
      <c r="B1101" s="2632"/>
      <c r="C1101" s="9"/>
      <c r="D1101" s="10"/>
      <c r="E1101" s="11"/>
      <c r="F1101" s="12"/>
      <c r="G1101" s="9"/>
      <c r="H1101" s="10"/>
      <c r="I1101" s="11"/>
      <c r="J1101" s="12"/>
      <c r="K1101" s="9"/>
      <c r="L1101" s="10"/>
      <c r="M1101" s="11"/>
      <c r="N1101" s="12"/>
      <c r="O1101" s="2821"/>
      <c r="P1101" s="2822"/>
      <c r="Q1101" s="11"/>
      <c r="R1101" s="12"/>
      <c r="S1101" s="9"/>
      <c r="T1101" s="10"/>
      <c r="U1101" s="11"/>
      <c r="V1101" s="12"/>
      <c r="W1101" s="9"/>
      <c r="X1101" s="10"/>
      <c r="Y1101" s="11"/>
      <c r="Z1101" s="12"/>
      <c r="AA1101" s="33"/>
      <c r="AB1101" s="10"/>
    </row>
    <row r="1102" spans="1:28">
      <c r="A1102" s="3468" t="s">
        <v>5992</v>
      </c>
      <c r="B1102" s="2621"/>
      <c r="C1102" s="14"/>
      <c r="D1102" s="15"/>
      <c r="E1102" s="16"/>
      <c r="F1102" s="17"/>
      <c r="G1102" s="14"/>
      <c r="H1102" s="15"/>
      <c r="I1102" s="16"/>
      <c r="J1102" s="17"/>
      <c r="K1102" s="14"/>
      <c r="L1102" s="15"/>
      <c r="M1102" s="16"/>
      <c r="N1102" s="17"/>
      <c r="O1102" s="2823"/>
      <c r="P1102" s="2823"/>
      <c r="Q1102" s="2646"/>
      <c r="R1102" s="17"/>
      <c r="S1102" s="14"/>
      <c r="T1102" s="15"/>
      <c r="U1102" s="16"/>
      <c r="V1102" s="17"/>
      <c r="W1102" s="14"/>
      <c r="X1102" s="15"/>
      <c r="Y1102" s="16"/>
      <c r="Z1102" s="17"/>
      <c r="AA1102" s="30"/>
      <c r="AB1102" s="15"/>
    </row>
    <row r="1103" spans="1:28">
      <c r="A1103" s="3468" t="s">
        <v>5993</v>
      </c>
      <c r="B1103" s="2621"/>
      <c r="C1103" s="14"/>
      <c r="D1103" s="15"/>
      <c r="E1103" s="16"/>
      <c r="F1103" s="17"/>
      <c r="G1103" s="14"/>
      <c r="H1103" s="15"/>
      <c r="I1103" s="16"/>
      <c r="J1103" s="17"/>
      <c r="K1103" s="14"/>
      <c r="L1103" s="15"/>
      <c r="M1103" s="16"/>
      <c r="N1103" s="17"/>
      <c r="O1103" s="2823"/>
      <c r="P1103" s="2823"/>
      <c r="Q1103" s="2646"/>
      <c r="R1103" s="17"/>
      <c r="S1103" s="14"/>
      <c r="T1103" s="15"/>
      <c r="U1103" s="16"/>
      <c r="V1103" s="17"/>
      <c r="W1103" s="14"/>
      <c r="X1103" s="15"/>
      <c r="Y1103" s="16"/>
      <c r="Z1103" s="17"/>
      <c r="AA1103" s="30"/>
      <c r="AB1103" s="15"/>
    </row>
    <row r="1104" spans="1:28">
      <c r="A1104" s="3468" t="s">
        <v>5994</v>
      </c>
      <c r="B1104" s="2621"/>
      <c r="C1104" s="14"/>
      <c r="D1104" s="15"/>
      <c r="E1104" s="16"/>
      <c r="F1104" s="17"/>
      <c r="G1104" s="14"/>
      <c r="H1104" s="15"/>
      <c r="I1104" s="16"/>
      <c r="J1104" s="17"/>
      <c r="K1104" s="14"/>
      <c r="L1104" s="15"/>
      <c r="M1104" s="16"/>
      <c r="N1104" s="17"/>
      <c r="O1104" s="2823"/>
      <c r="P1104" s="2823"/>
      <c r="Q1104" s="2646"/>
      <c r="R1104" s="17"/>
      <c r="S1104" s="14"/>
      <c r="T1104" s="15"/>
      <c r="U1104" s="16"/>
      <c r="V1104" s="17"/>
      <c r="W1104" s="14"/>
      <c r="X1104" s="15"/>
      <c r="Y1104" s="16"/>
      <c r="Z1104" s="17"/>
      <c r="AA1104" s="30"/>
      <c r="AB1104" s="15"/>
    </row>
    <row r="1105" spans="1:28">
      <c r="A1105" s="3468" t="s">
        <v>5995</v>
      </c>
      <c r="B1105" s="2622"/>
      <c r="C1105" s="14"/>
      <c r="D1105" s="15"/>
      <c r="E1105" s="16"/>
      <c r="F1105" s="17"/>
      <c r="G1105" s="14"/>
      <c r="H1105" s="15"/>
      <c r="I1105" s="16"/>
      <c r="J1105" s="17"/>
      <c r="K1105" s="14"/>
      <c r="L1105" s="15"/>
      <c r="M1105" s="16"/>
      <c r="N1105" s="17"/>
      <c r="O1105" s="2823"/>
      <c r="P1105" s="2823"/>
      <c r="Q1105" s="2646"/>
      <c r="R1105" s="17"/>
      <c r="S1105" s="14"/>
      <c r="T1105" s="15"/>
      <c r="U1105" s="16"/>
      <c r="V1105" s="17"/>
      <c r="W1105" s="14"/>
      <c r="X1105" s="15"/>
      <c r="Y1105" s="16"/>
      <c r="Z1105" s="17"/>
      <c r="AA1105" s="30"/>
      <c r="AB1105" s="15"/>
    </row>
    <row r="1106" spans="1:28">
      <c r="A1106" s="81"/>
      <c r="B1106" s="207"/>
      <c r="C1106" s="14"/>
      <c r="D1106" s="15"/>
      <c r="E1106" s="16"/>
      <c r="F1106" s="17"/>
      <c r="G1106" s="14"/>
      <c r="H1106" s="15"/>
      <c r="I1106" s="16"/>
      <c r="J1106" s="17"/>
      <c r="K1106" s="14"/>
      <c r="L1106" s="15"/>
      <c r="M1106" s="16"/>
      <c r="N1106" s="17"/>
      <c r="O1106" s="2823"/>
      <c r="P1106" s="2823"/>
      <c r="Q1106" s="2646"/>
      <c r="R1106" s="17"/>
      <c r="S1106" s="14"/>
      <c r="T1106" s="15"/>
      <c r="U1106" s="16"/>
      <c r="V1106" s="17"/>
      <c r="W1106" s="14"/>
      <c r="X1106" s="15"/>
      <c r="Y1106" s="16"/>
      <c r="Z1106" s="17"/>
      <c r="AA1106" s="30"/>
      <c r="AB1106" s="15"/>
    </row>
    <row r="1107" spans="1:28">
      <c r="A1107" s="81"/>
      <c r="B1107" s="207"/>
      <c r="C1107" s="14"/>
      <c r="D1107" s="15"/>
      <c r="E1107" s="16"/>
      <c r="F1107" s="17"/>
      <c r="G1107" s="14"/>
      <c r="H1107" s="15"/>
      <c r="I1107" s="16"/>
      <c r="J1107" s="17"/>
      <c r="K1107" s="14"/>
      <c r="L1107" s="15"/>
      <c r="M1107" s="16"/>
      <c r="N1107" s="17"/>
      <c r="O1107" s="2823"/>
      <c r="P1107" s="2823"/>
      <c r="Q1107" s="2646"/>
      <c r="R1107" s="17"/>
      <c r="S1107" s="14"/>
      <c r="T1107" s="15"/>
      <c r="U1107" s="16"/>
      <c r="V1107" s="17"/>
      <c r="W1107" s="14"/>
      <c r="X1107" s="15"/>
      <c r="Y1107" s="16"/>
      <c r="Z1107" s="17"/>
      <c r="AA1107" s="30"/>
      <c r="AB1107" s="15"/>
    </row>
    <row r="1108" spans="1:28">
      <c r="A1108" s="81" t="s">
        <v>5996</v>
      </c>
      <c r="B1108" s="207" t="s">
        <v>5997</v>
      </c>
      <c r="C1108" s="14"/>
      <c r="D1108" s="15"/>
      <c r="E1108" s="16"/>
      <c r="F1108" s="17"/>
      <c r="G1108" s="14"/>
      <c r="H1108" s="15"/>
      <c r="I1108" s="16"/>
      <c r="J1108" s="17"/>
      <c r="K1108" s="14"/>
      <c r="L1108" s="15"/>
      <c r="M1108" s="16"/>
      <c r="N1108" s="17"/>
      <c r="O1108" s="2823"/>
      <c r="P1108" s="2823"/>
      <c r="Q1108" s="2646"/>
      <c r="R1108" s="17"/>
      <c r="S1108" s="14"/>
      <c r="T1108" s="15"/>
      <c r="U1108" s="16"/>
      <c r="V1108" s="17"/>
      <c r="W1108" s="14"/>
      <c r="X1108" s="15"/>
      <c r="Y1108" s="16"/>
      <c r="Z1108" s="17"/>
      <c r="AA1108" s="30"/>
      <c r="AB1108" s="15"/>
    </row>
    <row r="1109" spans="1:28">
      <c r="A1109" s="81" t="s">
        <v>5998</v>
      </c>
      <c r="B1109" s="207" t="s">
        <v>5997</v>
      </c>
      <c r="C1109" s="14"/>
      <c r="D1109" s="15"/>
      <c r="E1109" s="16"/>
      <c r="F1109" s="17"/>
      <c r="G1109" s="14"/>
      <c r="H1109" s="15"/>
      <c r="I1109" s="16"/>
      <c r="J1109" s="17"/>
      <c r="K1109" s="14"/>
      <c r="L1109" s="15"/>
      <c r="M1109" s="16"/>
      <c r="N1109" s="17"/>
      <c r="O1109" s="2823"/>
      <c r="P1109" s="2823"/>
      <c r="Q1109" s="2646"/>
      <c r="R1109" s="17"/>
      <c r="S1109" s="14"/>
      <c r="T1109" s="15"/>
      <c r="U1109" s="16"/>
      <c r="V1109" s="17"/>
      <c r="W1109" s="14"/>
      <c r="X1109" s="15"/>
      <c r="Y1109" s="16"/>
      <c r="Z1109" s="17"/>
      <c r="AA1109" s="30"/>
      <c r="AB1109" s="15"/>
    </row>
    <row r="1110" spans="1:28">
      <c r="A1110" s="81" t="s">
        <v>5999</v>
      </c>
      <c r="B1110" s="207" t="s">
        <v>5997</v>
      </c>
      <c r="C1110" s="14"/>
      <c r="D1110" s="15"/>
      <c r="E1110" s="16"/>
      <c r="F1110" s="17"/>
      <c r="G1110" s="14"/>
      <c r="H1110" s="15"/>
      <c r="I1110" s="16"/>
      <c r="J1110" s="17"/>
      <c r="K1110" s="14"/>
      <c r="L1110" s="15"/>
      <c r="M1110" s="16"/>
      <c r="N1110" s="17"/>
      <c r="O1110" s="2823"/>
      <c r="P1110" s="2823"/>
      <c r="Q1110" s="2646"/>
      <c r="R1110" s="17"/>
      <c r="S1110" s="14"/>
      <c r="T1110" s="15"/>
      <c r="U1110" s="16"/>
      <c r="V1110" s="17"/>
      <c r="W1110" s="14"/>
      <c r="X1110" s="15"/>
      <c r="Y1110" s="16"/>
      <c r="Z1110" s="17"/>
      <c r="AA1110" s="30"/>
      <c r="AB1110" s="15"/>
    </row>
    <row r="1111" spans="1:28">
      <c r="A1111" s="81" t="s">
        <v>6000</v>
      </c>
      <c r="B1111" s="207" t="s">
        <v>5997</v>
      </c>
      <c r="C1111" s="14"/>
      <c r="D1111" s="15"/>
      <c r="E1111" s="16"/>
      <c r="F1111" s="17"/>
      <c r="G1111" s="14"/>
      <c r="H1111" s="15"/>
      <c r="I1111" s="16"/>
      <c r="J1111" s="17"/>
      <c r="K1111" s="14"/>
      <c r="L1111" s="15"/>
      <c r="M1111" s="16"/>
      <c r="N1111" s="17"/>
      <c r="O1111" s="2823"/>
      <c r="P1111" s="2823"/>
      <c r="Q1111" s="2646"/>
      <c r="R1111" s="17"/>
      <c r="S1111" s="14"/>
      <c r="T1111" s="15"/>
      <c r="U1111" s="16"/>
      <c r="V1111" s="17"/>
      <c r="W1111" s="14"/>
      <c r="X1111" s="15"/>
      <c r="Y1111" s="16"/>
      <c r="Z1111" s="17"/>
      <c r="AA1111" s="30"/>
      <c r="AB1111" s="15"/>
    </row>
    <row r="1112" spans="1:28">
      <c r="A1112" s="81" t="s">
        <v>6001</v>
      </c>
      <c r="B1112" s="207" t="s">
        <v>26</v>
      </c>
      <c r="C1112" s="14"/>
      <c r="D1112" s="15"/>
      <c r="E1112" s="16"/>
      <c r="F1112" s="17"/>
      <c r="G1112" s="14"/>
      <c r="H1112" s="15"/>
      <c r="I1112" s="16"/>
      <c r="J1112" s="17"/>
      <c r="K1112" s="14"/>
      <c r="L1112" s="15"/>
      <c r="M1112" s="16"/>
      <c r="N1112" s="17"/>
      <c r="O1112" s="2823"/>
      <c r="P1112" s="2823"/>
      <c r="Q1112" s="2646"/>
      <c r="R1112" s="17"/>
      <c r="S1112" s="14"/>
      <c r="T1112" s="15"/>
      <c r="U1112" s="16"/>
      <c r="V1112" s="17"/>
      <c r="W1112" s="14"/>
      <c r="X1112" s="15"/>
      <c r="Y1112" s="16"/>
      <c r="Z1112" s="17"/>
      <c r="AA1112" s="30"/>
      <c r="AB1112" s="15"/>
    </row>
    <row r="1113" spans="1:28">
      <c r="A1113" s="81" t="s">
        <v>6002</v>
      </c>
      <c r="B1113" s="207" t="s">
        <v>100</v>
      </c>
      <c r="C1113" s="14"/>
      <c r="D1113" s="15"/>
      <c r="E1113" s="16"/>
      <c r="F1113" s="17"/>
      <c r="G1113" s="14"/>
      <c r="H1113" s="15"/>
      <c r="I1113" s="16"/>
      <c r="J1113" s="17"/>
      <c r="K1113" s="14"/>
      <c r="L1113" s="15"/>
      <c r="M1113" s="16"/>
      <c r="N1113" s="17"/>
      <c r="O1113" s="2823"/>
      <c r="P1113" s="2823"/>
      <c r="Q1113" s="2646"/>
      <c r="R1113" s="17"/>
      <c r="S1113" s="14"/>
      <c r="T1113" s="15"/>
      <c r="U1113" s="16"/>
      <c r="V1113" s="17"/>
      <c r="W1113" s="14"/>
      <c r="X1113" s="15"/>
      <c r="Y1113" s="16"/>
      <c r="Z1113" s="17"/>
      <c r="AA1113" s="30"/>
      <c r="AB1113" s="15"/>
    </row>
    <row r="1114" spans="1:28">
      <c r="A1114" s="2639" t="s">
        <v>788</v>
      </c>
      <c r="B1114" s="101" t="s">
        <v>276</v>
      </c>
      <c r="C1114" s="14"/>
      <c r="D1114" s="15"/>
      <c r="E1114" s="16"/>
      <c r="F1114" s="17"/>
      <c r="G1114" s="14"/>
      <c r="H1114" s="15"/>
      <c r="I1114" s="16"/>
      <c r="J1114" s="17"/>
      <c r="K1114" s="14"/>
      <c r="L1114" s="15"/>
      <c r="M1114" s="16"/>
      <c r="N1114" s="17"/>
      <c r="O1114" s="2823"/>
      <c r="P1114" s="2823"/>
      <c r="Q1114" s="2646"/>
      <c r="R1114" s="17"/>
      <c r="S1114" s="14"/>
      <c r="T1114" s="15"/>
      <c r="U1114" s="16"/>
      <c r="V1114" s="17"/>
      <c r="W1114" s="14"/>
      <c r="X1114" s="15"/>
      <c r="Y1114" s="16"/>
      <c r="Z1114" s="17"/>
      <c r="AA1114" s="30"/>
      <c r="AB1114" s="15"/>
    </row>
    <row r="1115" spans="1:28">
      <c r="A1115" s="2639" t="s">
        <v>788</v>
      </c>
      <c r="B1115" s="101" t="s">
        <v>2321</v>
      </c>
      <c r="C1115" s="14"/>
      <c r="D1115" s="15"/>
      <c r="E1115" s="16"/>
      <c r="F1115" s="17"/>
      <c r="G1115" s="14"/>
      <c r="H1115" s="15"/>
      <c r="I1115" s="16"/>
      <c r="J1115" s="17"/>
      <c r="K1115" s="14"/>
      <c r="L1115" s="15"/>
      <c r="M1115" s="16"/>
      <c r="N1115" s="17"/>
      <c r="O1115" s="2824"/>
      <c r="P1115" s="2824"/>
      <c r="Q1115" s="2646"/>
      <c r="R1115" s="17"/>
      <c r="S1115" s="14"/>
      <c r="T1115" s="15"/>
      <c r="U1115" s="16"/>
      <c r="V1115" s="17"/>
      <c r="W1115" s="14"/>
      <c r="X1115" s="15"/>
      <c r="Y1115" s="16"/>
      <c r="Z1115" s="17"/>
      <c r="AA1115" s="30"/>
      <c r="AB1115" s="15"/>
    </row>
    <row r="1116" spans="1:28">
      <c r="A1116" s="43" t="s">
        <v>6003</v>
      </c>
      <c r="B1116" s="207" t="s">
        <v>192</v>
      </c>
      <c r="C1116" s="14"/>
      <c r="D1116" s="15"/>
      <c r="E1116" s="16"/>
      <c r="F1116" s="17"/>
      <c r="G1116" s="14"/>
      <c r="H1116" s="15"/>
      <c r="I1116" s="16"/>
      <c r="J1116" s="17"/>
      <c r="K1116" s="14"/>
      <c r="L1116" s="15"/>
      <c r="M1116" s="16"/>
      <c r="N1116" s="17"/>
      <c r="O1116" s="2825"/>
      <c r="P1116" s="2826"/>
      <c r="Q1116" s="2645"/>
      <c r="R1116" s="1795"/>
      <c r="S1116" s="14"/>
      <c r="T1116" s="15"/>
      <c r="U1116" s="16"/>
      <c r="V1116" s="17"/>
      <c r="W1116" s="14"/>
      <c r="X1116" s="15"/>
      <c r="Y1116" s="16"/>
      <c r="Z1116" s="17"/>
      <c r="AA1116" s="30"/>
      <c r="AB1116" s="15"/>
    </row>
    <row r="1117" spans="1:28">
      <c r="A1117" s="1007"/>
      <c r="B1117" s="2624"/>
      <c r="C1117" s="14"/>
      <c r="D1117" s="15"/>
      <c r="E1117" s="16"/>
      <c r="F1117" s="17"/>
      <c r="G1117" s="14"/>
      <c r="H1117" s="15"/>
      <c r="I1117" s="16"/>
      <c r="J1117" s="17"/>
      <c r="K1117" s="14"/>
      <c r="L1117" s="15"/>
      <c r="M1117" s="16"/>
      <c r="N1117" s="17"/>
      <c r="O1117" s="2825"/>
      <c r="P1117" s="2826"/>
      <c r="Q1117" s="2649"/>
      <c r="R1117" s="2650"/>
      <c r="S1117" s="2651"/>
      <c r="T1117" s="2648"/>
      <c r="U1117" s="16"/>
      <c r="V1117" s="17"/>
      <c r="W1117" s="14"/>
      <c r="X1117" s="15"/>
      <c r="Y1117" s="16"/>
      <c r="Z1117" s="17"/>
      <c r="AA1117" s="30"/>
      <c r="AB1117" s="15"/>
    </row>
    <row r="1118" spans="1:28" ht="40.5" thickBot="1">
      <c r="A1118" s="2629"/>
      <c r="B1118" s="2627"/>
      <c r="C1118" s="6"/>
      <c r="D1118" s="32"/>
      <c r="E1118" s="7"/>
      <c r="F1118" s="40"/>
      <c r="G1118" s="6"/>
      <c r="H1118" s="32"/>
      <c r="I1118" s="7"/>
      <c r="J1118" s="40"/>
      <c r="K1118" s="6"/>
      <c r="L1118" s="32"/>
      <c r="M1118" s="7"/>
      <c r="N1118" s="40"/>
      <c r="O1118" s="2823"/>
      <c r="P1118" s="2823"/>
      <c r="Q1118" s="2647"/>
      <c r="R1118" s="40"/>
      <c r="S1118" s="6"/>
      <c r="T1118" s="32"/>
      <c r="U1118" s="7"/>
      <c r="V1118" s="40"/>
      <c r="W1118" s="6"/>
      <c r="X1118" s="32"/>
      <c r="Y1118" s="7"/>
      <c r="Z1118" s="40"/>
      <c r="AA1118" s="2630"/>
      <c r="AB1118" s="2631"/>
    </row>
    <row r="1121" spans="1:28">
      <c r="A1121" s="2080"/>
      <c r="B1121" s="2573"/>
    </row>
    <row r="1122" spans="1:28" ht="40.5">
      <c r="A1122" s="3" t="s">
        <v>5063</v>
      </c>
      <c r="B1122" s="23"/>
      <c r="C1122" s="3"/>
      <c r="D1122" s="3"/>
      <c r="E1122" s="3"/>
      <c r="F1122" s="3"/>
      <c r="G1122" s="3"/>
      <c r="H1122" s="3"/>
      <c r="I1122" s="3"/>
      <c r="J1122" s="3"/>
      <c r="K1122" s="3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B1122" s="4"/>
    </row>
    <row r="1123" spans="1:28" ht="40.5" thickBot="1">
      <c r="A1123" s="5" t="s">
        <v>5064</v>
      </c>
    </row>
    <row r="1124" spans="1:28">
      <c r="A1124" s="3537" t="s">
        <v>2</v>
      </c>
      <c r="B1124" s="3540" t="s">
        <v>3</v>
      </c>
      <c r="C1124" s="3537" t="s">
        <v>5065</v>
      </c>
      <c r="D1124" s="3538"/>
      <c r="E1124" s="3536" t="s">
        <v>5066</v>
      </c>
      <c r="F1124" s="3536"/>
      <c r="G1124" s="3537" t="s">
        <v>5067</v>
      </c>
      <c r="H1124" s="3538"/>
      <c r="I1124" s="3536" t="s">
        <v>5068</v>
      </c>
      <c r="J1124" s="3536"/>
      <c r="K1124" s="3537" t="s">
        <v>5069</v>
      </c>
      <c r="L1124" s="3538"/>
      <c r="M1124" s="3536" t="s">
        <v>5070</v>
      </c>
      <c r="N1124" s="3536"/>
      <c r="O1124" s="3542"/>
      <c r="P1124" s="3542"/>
      <c r="Q1124" s="3536" t="s">
        <v>5071</v>
      </c>
      <c r="R1124" s="3536"/>
      <c r="S1124" s="3536" t="s">
        <v>5072</v>
      </c>
      <c r="T1124" s="3536"/>
      <c r="U1124" s="3472" t="s">
        <v>5073</v>
      </c>
      <c r="V1124" s="3473"/>
      <c r="W1124" s="3536" t="s">
        <v>5074</v>
      </c>
      <c r="X1124" s="3536"/>
      <c r="Y1124" s="3472" t="s">
        <v>5075</v>
      </c>
      <c r="Z1124" s="3475"/>
      <c r="AA1124" s="3537" t="s">
        <v>5076</v>
      </c>
      <c r="AB1124" s="3538"/>
    </row>
    <row r="1125" spans="1:28" ht="40.5" thickBot="1">
      <c r="A1125" s="3539"/>
      <c r="B1125" s="3541"/>
      <c r="C1125" s="1" t="s">
        <v>5078</v>
      </c>
      <c r="D1125" s="35" t="s">
        <v>5079</v>
      </c>
      <c r="E1125" s="2" t="s">
        <v>5078</v>
      </c>
      <c r="F1125" s="36" t="s">
        <v>5079</v>
      </c>
      <c r="G1125" s="1" t="s">
        <v>5078</v>
      </c>
      <c r="H1125" s="35" t="s">
        <v>5079</v>
      </c>
      <c r="I1125" s="2" t="s">
        <v>5078</v>
      </c>
      <c r="J1125" s="36" t="s">
        <v>5079</v>
      </c>
      <c r="K1125" s="1" t="s">
        <v>5078</v>
      </c>
      <c r="L1125" s="35" t="s">
        <v>5079</v>
      </c>
      <c r="M1125" s="2" t="s">
        <v>5078</v>
      </c>
      <c r="N1125" s="36" t="s">
        <v>5079</v>
      </c>
      <c r="O1125" s="2769"/>
      <c r="P1125" s="2820"/>
      <c r="Q1125" s="2" t="s">
        <v>5078</v>
      </c>
      <c r="R1125" s="36" t="s">
        <v>5079</v>
      </c>
      <c r="S1125" s="1" t="s">
        <v>5078</v>
      </c>
      <c r="T1125" s="35" t="s">
        <v>5079</v>
      </c>
      <c r="U1125" s="2" t="s">
        <v>5078</v>
      </c>
      <c r="V1125" s="36" t="s">
        <v>5079</v>
      </c>
      <c r="W1125" s="1" t="s">
        <v>5078</v>
      </c>
      <c r="X1125" s="35" t="s">
        <v>5079</v>
      </c>
      <c r="Y1125" s="2" t="s">
        <v>5078</v>
      </c>
      <c r="Z1125" s="36" t="s">
        <v>5079</v>
      </c>
      <c r="AA1125" s="1" t="s">
        <v>5078</v>
      </c>
      <c r="AB1125" s="35" t="s">
        <v>5079</v>
      </c>
    </row>
    <row r="1126" spans="1:28">
      <c r="A1126" s="81" t="s">
        <v>6004</v>
      </c>
      <c r="B1126" s="103" t="s">
        <v>192</v>
      </c>
      <c r="C1126" s="9"/>
      <c r="D1126" s="10"/>
      <c r="E1126" s="11"/>
      <c r="F1126" s="12"/>
      <c r="G1126" s="9"/>
      <c r="H1126" s="10"/>
      <c r="I1126" s="11"/>
      <c r="J1126" s="12"/>
      <c r="K1126" s="9"/>
      <c r="L1126" s="10"/>
      <c r="M1126" s="11"/>
      <c r="N1126" s="12"/>
      <c r="O1126" s="2821"/>
      <c r="P1126" s="2822"/>
      <c r="Q1126" s="11"/>
      <c r="R1126" s="12"/>
      <c r="S1126" s="9"/>
      <c r="T1126" s="10"/>
      <c r="U1126" s="11"/>
      <c r="V1126" s="12"/>
      <c r="W1126" s="9"/>
      <c r="X1126" s="10"/>
      <c r="Y1126" s="11"/>
      <c r="Z1126" s="12"/>
      <c r="AA1126" s="33"/>
      <c r="AB1126" s="10"/>
    </row>
    <row r="1127" spans="1:28">
      <c r="A1127" s="81" t="s">
        <v>6005</v>
      </c>
      <c r="B1127" s="101" t="s">
        <v>192</v>
      </c>
      <c r="C1127" s="14"/>
      <c r="D1127" s="15"/>
      <c r="E1127" s="16"/>
      <c r="F1127" s="17"/>
      <c r="G1127" s="14"/>
      <c r="H1127" s="15"/>
      <c r="I1127" s="16"/>
      <c r="J1127" s="17"/>
      <c r="K1127" s="14"/>
      <c r="L1127" s="15"/>
      <c r="M1127" s="16"/>
      <c r="N1127" s="17"/>
      <c r="O1127" s="2823"/>
      <c r="P1127" s="2823"/>
      <c r="Q1127" s="2646"/>
      <c r="R1127" s="17"/>
      <c r="S1127" s="14"/>
      <c r="T1127" s="15"/>
      <c r="U1127" s="16"/>
      <c r="V1127" s="17"/>
      <c r="W1127" s="14"/>
      <c r="X1127" s="15"/>
      <c r="Y1127" s="16"/>
      <c r="Z1127" s="17"/>
      <c r="AA1127" s="30"/>
      <c r="AB1127" s="15"/>
    </row>
    <row r="1128" spans="1:28">
      <c r="A1128" s="81" t="s">
        <v>6006</v>
      </c>
      <c r="B1128" s="103" t="s">
        <v>192</v>
      </c>
      <c r="C1128" s="14"/>
      <c r="D1128" s="15"/>
      <c r="E1128" s="16"/>
      <c r="F1128" s="17"/>
      <c r="G1128" s="14"/>
      <c r="H1128" s="15"/>
      <c r="I1128" s="16"/>
      <c r="J1128" s="17"/>
      <c r="K1128" s="14"/>
      <c r="L1128" s="15"/>
      <c r="M1128" s="16"/>
      <c r="N1128" s="17"/>
      <c r="O1128" s="2823"/>
      <c r="P1128" s="2823"/>
      <c r="Q1128" s="2646"/>
      <c r="R1128" s="17"/>
      <c r="S1128" s="14"/>
      <c r="T1128" s="15"/>
      <c r="U1128" s="16"/>
      <c r="V1128" s="17"/>
      <c r="W1128" s="14"/>
      <c r="X1128" s="15"/>
      <c r="Y1128" s="16"/>
      <c r="Z1128" s="17"/>
      <c r="AA1128" s="30"/>
      <c r="AB1128" s="15"/>
    </row>
    <row r="1129" spans="1:28">
      <c r="A1129" s="81" t="s">
        <v>6007</v>
      </c>
      <c r="B1129" s="101" t="s">
        <v>192</v>
      </c>
      <c r="C1129" s="14"/>
      <c r="D1129" s="15"/>
      <c r="E1129" s="16"/>
      <c r="F1129" s="17"/>
      <c r="G1129" s="14"/>
      <c r="H1129" s="15"/>
      <c r="I1129" s="16"/>
      <c r="J1129" s="17"/>
      <c r="K1129" s="14"/>
      <c r="L1129" s="15"/>
      <c r="M1129" s="16"/>
      <c r="N1129" s="17"/>
      <c r="O1129" s="2823"/>
      <c r="P1129" s="2823"/>
      <c r="Q1129" s="2646"/>
      <c r="R1129" s="17"/>
      <c r="S1129" s="14"/>
      <c r="T1129" s="15"/>
      <c r="U1129" s="16"/>
      <c r="V1129" s="17"/>
      <c r="W1129" s="14"/>
      <c r="X1129" s="15"/>
      <c r="Y1129" s="16"/>
      <c r="Z1129" s="17"/>
      <c r="AA1129" s="30"/>
      <c r="AB1129" s="15"/>
    </row>
    <row r="1130" spans="1:28">
      <c r="A1130" s="81" t="s">
        <v>6008</v>
      </c>
      <c r="B1130" s="103" t="s">
        <v>192</v>
      </c>
      <c r="C1130" s="14"/>
      <c r="D1130" s="15"/>
      <c r="E1130" s="16"/>
      <c r="F1130" s="17"/>
      <c r="G1130" s="14"/>
      <c r="H1130" s="15"/>
      <c r="I1130" s="16"/>
      <c r="J1130" s="17"/>
      <c r="K1130" s="14"/>
      <c r="L1130" s="15"/>
      <c r="M1130" s="16"/>
      <c r="N1130" s="17"/>
      <c r="O1130" s="2823"/>
      <c r="P1130" s="2823"/>
      <c r="Q1130" s="2646"/>
      <c r="R1130" s="17"/>
      <c r="S1130" s="14"/>
      <c r="T1130" s="15"/>
      <c r="U1130" s="16"/>
      <c r="V1130" s="17"/>
      <c r="W1130" s="14"/>
      <c r="X1130" s="15"/>
      <c r="Y1130" s="16"/>
      <c r="Z1130" s="17"/>
      <c r="AA1130" s="30"/>
      <c r="AB1130" s="15"/>
    </row>
    <row r="1131" spans="1:28">
      <c r="A1131" s="81" t="s">
        <v>6009</v>
      </c>
      <c r="B1131" s="103" t="s">
        <v>192</v>
      </c>
      <c r="C1131" s="14"/>
      <c r="D1131" s="15"/>
      <c r="E1131" s="16"/>
      <c r="F1131" s="17"/>
      <c r="G1131" s="14"/>
      <c r="H1131" s="15"/>
      <c r="I1131" s="16"/>
      <c r="J1131" s="17"/>
      <c r="K1131" s="14"/>
      <c r="L1131" s="15"/>
      <c r="M1131" s="16"/>
      <c r="N1131" s="17"/>
      <c r="O1131" s="2823"/>
      <c r="P1131" s="2823"/>
      <c r="Q1131" s="2646"/>
      <c r="R1131" s="17"/>
      <c r="S1131" s="14"/>
      <c r="T1131" s="15"/>
      <c r="U1131" s="16"/>
      <c r="V1131" s="17"/>
      <c r="W1131" s="14"/>
      <c r="X1131" s="15"/>
      <c r="Y1131" s="16"/>
      <c r="Z1131" s="17"/>
      <c r="AA1131" s="30"/>
      <c r="AB1131" s="15"/>
    </row>
    <row r="1132" spans="1:28">
      <c r="A1132" s="81" t="s">
        <v>6010</v>
      </c>
      <c r="B1132" s="101" t="s">
        <v>192</v>
      </c>
      <c r="C1132" s="14"/>
      <c r="D1132" s="15"/>
      <c r="E1132" s="16"/>
      <c r="F1132" s="17"/>
      <c r="G1132" s="14"/>
      <c r="H1132" s="15"/>
      <c r="I1132" s="16"/>
      <c r="J1132" s="17"/>
      <c r="K1132" s="14"/>
      <c r="L1132" s="15"/>
      <c r="M1132" s="16"/>
      <c r="N1132" s="17"/>
      <c r="O1132" s="2823"/>
      <c r="P1132" s="2823"/>
      <c r="Q1132" s="2646"/>
      <c r="R1132" s="17"/>
      <c r="S1132" s="14"/>
      <c r="T1132" s="15"/>
      <c r="U1132" s="16"/>
      <c r="V1132" s="17"/>
      <c r="W1132" s="14"/>
      <c r="X1132" s="15"/>
      <c r="Y1132" s="16"/>
      <c r="Z1132" s="17"/>
      <c r="AA1132" s="30"/>
      <c r="AB1132" s="15"/>
    </row>
    <row r="1133" spans="1:28">
      <c r="A1133" s="81" t="s">
        <v>6011</v>
      </c>
      <c r="B1133" s="101" t="s">
        <v>192</v>
      </c>
      <c r="C1133" s="14"/>
      <c r="D1133" s="15"/>
      <c r="E1133" s="16"/>
      <c r="F1133" s="17"/>
      <c r="G1133" s="14"/>
      <c r="H1133" s="15"/>
      <c r="I1133" s="16"/>
      <c r="J1133" s="17"/>
      <c r="K1133" s="14"/>
      <c r="L1133" s="15"/>
      <c r="M1133" s="16"/>
      <c r="N1133" s="17"/>
      <c r="O1133" s="2823"/>
      <c r="P1133" s="2823"/>
      <c r="Q1133" s="2646"/>
      <c r="R1133" s="17"/>
      <c r="S1133" s="14"/>
      <c r="T1133" s="15"/>
      <c r="U1133" s="16"/>
      <c r="V1133" s="17"/>
      <c r="W1133" s="14"/>
      <c r="X1133" s="15"/>
      <c r="Y1133" s="16"/>
      <c r="Z1133" s="17"/>
      <c r="AA1133" s="30"/>
      <c r="AB1133" s="15"/>
    </row>
    <row r="1134" spans="1:28">
      <c r="A1134" s="81" t="s">
        <v>6012</v>
      </c>
      <c r="B1134" s="103" t="s">
        <v>192</v>
      </c>
      <c r="C1134" s="14"/>
      <c r="D1134" s="15"/>
      <c r="E1134" s="16"/>
      <c r="F1134" s="17"/>
      <c r="G1134" s="14"/>
      <c r="H1134" s="15"/>
      <c r="I1134" s="16"/>
      <c r="J1134" s="17"/>
      <c r="K1134" s="14"/>
      <c r="L1134" s="15"/>
      <c r="M1134" s="16"/>
      <c r="N1134" s="17"/>
      <c r="O1134" s="2823"/>
      <c r="P1134" s="2823"/>
      <c r="Q1134" s="2646"/>
      <c r="R1134" s="17"/>
      <c r="S1134" s="14"/>
      <c r="T1134" s="15"/>
      <c r="U1134" s="16"/>
      <c r="V1134" s="17"/>
      <c r="W1134" s="14"/>
      <c r="X1134" s="15"/>
      <c r="Y1134" s="16"/>
      <c r="Z1134" s="17"/>
      <c r="AA1134" s="30"/>
      <c r="AB1134" s="15"/>
    </row>
    <row r="1135" spans="1:28">
      <c r="A1135" s="81" t="s">
        <v>6013</v>
      </c>
      <c r="B1135" s="101" t="s">
        <v>103</v>
      </c>
      <c r="C1135" s="14"/>
      <c r="D1135" s="15"/>
      <c r="E1135" s="16"/>
      <c r="F1135" s="17"/>
      <c r="G1135" s="14"/>
      <c r="H1135" s="15"/>
      <c r="I1135" s="16"/>
      <c r="J1135" s="17"/>
      <c r="K1135" s="14"/>
      <c r="L1135" s="15"/>
      <c r="M1135" s="16"/>
      <c r="N1135" s="17"/>
      <c r="O1135" s="2823"/>
      <c r="P1135" s="2823"/>
      <c r="Q1135" s="2646"/>
      <c r="R1135" s="17"/>
      <c r="S1135" s="14"/>
      <c r="T1135" s="15"/>
      <c r="U1135" s="16"/>
      <c r="V1135" s="17"/>
      <c r="W1135" s="14"/>
      <c r="X1135" s="15"/>
      <c r="Y1135" s="16"/>
      <c r="Z1135" s="17"/>
      <c r="AA1135" s="30"/>
      <c r="AB1135" s="15"/>
    </row>
    <row r="1136" spans="1:28">
      <c r="A1136" s="81" t="s">
        <v>6014</v>
      </c>
      <c r="B1136" s="101" t="s">
        <v>6015</v>
      </c>
      <c r="C1136" s="14"/>
      <c r="D1136" s="15"/>
      <c r="E1136" s="16"/>
      <c r="F1136" s="17"/>
      <c r="G1136" s="14"/>
      <c r="H1136" s="15"/>
      <c r="I1136" s="16"/>
      <c r="J1136" s="17"/>
      <c r="K1136" s="14"/>
      <c r="L1136" s="15"/>
      <c r="M1136" s="16"/>
      <c r="N1136" s="17"/>
      <c r="O1136" s="2823"/>
      <c r="P1136" s="2823"/>
      <c r="Q1136" s="2646"/>
      <c r="R1136" s="17"/>
      <c r="S1136" s="14"/>
      <c r="T1136" s="15"/>
      <c r="U1136" s="16"/>
      <c r="V1136" s="17"/>
      <c r="W1136" s="14"/>
      <c r="X1136" s="15"/>
      <c r="Y1136" s="16"/>
      <c r="Z1136" s="17"/>
      <c r="AA1136" s="30"/>
      <c r="AB1136" s="15"/>
    </row>
    <row r="1137" spans="1:28">
      <c r="A1137" s="1918" t="s">
        <v>6014</v>
      </c>
      <c r="B1137" s="992" t="s">
        <v>6016</v>
      </c>
      <c r="C1137" s="14"/>
      <c r="D1137" s="15"/>
      <c r="E1137" s="16"/>
      <c r="F1137" s="17"/>
      <c r="G1137" s="14"/>
      <c r="H1137" s="15"/>
      <c r="I1137" s="16"/>
      <c r="J1137" s="17"/>
      <c r="K1137" s="14"/>
      <c r="L1137" s="15"/>
      <c r="M1137" s="16"/>
      <c r="N1137" s="17"/>
      <c r="O1137" s="2823"/>
      <c r="P1137" s="2823"/>
      <c r="Q1137" s="2646"/>
      <c r="R1137" s="17"/>
      <c r="S1137" s="14"/>
      <c r="T1137" s="15"/>
      <c r="U1137" s="16"/>
      <c r="V1137" s="17"/>
      <c r="W1137" s="14"/>
      <c r="X1137" s="15"/>
      <c r="Y1137" s="16"/>
      <c r="Z1137" s="17"/>
      <c r="AA1137" s="30"/>
      <c r="AB1137" s="15"/>
    </row>
    <row r="1138" spans="1:28">
      <c r="A1138" s="2636" t="s">
        <v>6017</v>
      </c>
      <c r="B1138" s="2635" t="s">
        <v>6018</v>
      </c>
      <c r="C1138" s="14"/>
      <c r="D1138" s="15"/>
      <c r="E1138" s="16"/>
      <c r="F1138" s="17"/>
      <c r="G1138" s="14"/>
      <c r="H1138" s="15"/>
      <c r="I1138" s="16"/>
      <c r="J1138" s="17"/>
      <c r="K1138" s="14"/>
      <c r="L1138" s="15"/>
      <c r="M1138" s="16"/>
      <c r="N1138" s="17"/>
      <c r="O1138" s="2823"/>
      <c r="P1138" s="2823"/>
      <c r="Q1138" s="2646"/>
      <c r="R1138" s="17"/>
      <c r="S1138" s="14"/>
      <c r="T1138" s="15"/>
      <c r="U1138" s="16"/>
      <c r="V1138" s="17"/>
      <c r="W1138" s="14"/>
      <c r="X1138" s="15"/>
      <c r="Y1138" s="16"/>
      <c r="Z1138" s="17"/>
      <c r="AA1138" s="30"/>
      <c r="AB1138" s="15"/>
    </row>
    <row r="1139" spans="1:28">
      <c r="A1139" s="81"/>
      <c r="B1139" s="101"/>
      <c r="C1139" s="14"/>
      <c r="D1139" s="15"/>
      <c r="E1139" s="16"/>
      <c r="F1139" s="17"/>
      <c r="G1139" s="14"/>
      <c r="H1139" s="15"/>
      <c r="I1139" s="16"/>
      <c r="J1139" s="17"/>
      <c r="K1139" s="14"/>
      <c r="L1139" s="15"/>
      <c r="M1139" s="16"/>
      <c r="N1139" s="17"/>
      <c r="O1139" s="2823"/>
      <c r="P1139" s="2823"/>
      <c r="Q1139" s="2646"/>
      <c r="R1139" s="17"/>
      <c r="S1139" s="14"/>
      <c r="T1139" s="15"/>
      <c r="U1139" s="16"/>
      <c r="V1139" s="17"/>
      <c r="W1139" s="14"/>
      <c r="X1139" s="15"/>
      <c r="Y1139" s="16"/>
      <c r="Z1139" s="17"/>
      <c r="AA1139" s="30"/>
      <c r="AB1139" s="15"/>
    </row>
    <row r="1140" spans="1:28">
      <c r="A1140" s="2553"/>
      <c r="B1140" s="2626"/>
      <c r="C1140" s="14"/>
      <c r="D1140" s="15"/>
      <c r="E1140" s="16"/>
      <c r="F1140" s="17"/>
      <c r="G1140" s="14"/>
      <c r="H1140" s="15"/>
      <c r="I1140" s="16"/>
      <c r="J1140" s="17"/>
      <c r="K1140" s="14"/>
      <c r="L1140" s="15"/>
      <c r="M1140" s="16"/>
      <c r="N1140" s="17"/>
      <c r="O1140" s="2824"/>
      <c r="P1140" s="2824"/>
      <c r="Q1140" s="2646"/>
      <c r="R1140" s="17"/>
      <c r="S1140" s="14"/>
      <c r="T1140" s="15"/>
      <c r="U1140" s="16"/>
      <c r="V1140" s="17"/>
      <c r="W1140" s="14"/>
      <c r="X1140" s="15"/>
      <c r="Y1140" s="16"/>
      <c r="Z1140" s="17"/>
      <c r="AA1140" s="30"/>
      <c r="AB1140" s="15"/>
    </row>
    <row r="1141" spans="1:28">
      <c r="A1141" s="2553"/>
      <c r="B1141" s="2626"/>
      <c r="C1141" s="14"/>
      <c r="D1141" s="15"/>
      <c r="E1141" s="16"/>
      <c r="F1141" s="17"/>
      <c r="G1141" s="14"/>
      <c r="H1141" s="15"/>
      <c r="I1141" s="16"/>
      <c r="J1141" s="17"/>
      <c r="K1141" s="14"/>
      <c r="L1141" s="15"/>
      <c r="M1141" s="16"/>
      <c r="N1141" s="17"/>
      <c r="O1141" s="2825"/>
      <c r="P1141" s="2826"/>
      <c r="Q1141" s="2645"/>
      <c r="R1141" s="1795"/>
      <c r="S1141" s="14"/>
      <c r="T1141" s="15"/>
      <c r="U1141" s="16"/>
      <c r="V1141" s="17"/>
      <c r="W1141" s="14"/>
      <c r="X1141" s="15"/>
      <c r="Y1141" s="16"/>
      <c r="Z1141" s="17"/>
      <c r="AA1141" s="30"/>
      <c r="AB1141" s="15"/>
    </row>
    <row r="1142" spans="1:28">
      <c r="A1142" s="1007"/>
      <c r="B1142" s="2624"/>
      <c r="C1142" s="14"/>
      <c r="D1142" s="15"/>
      <c r="E1142" s="16"/>
      <c r="F1142" s="17"/>
      <c r="G1142" s="14"/>
      <c r="H1142" s="15"/>
      <c r="I1142" s="16"/>
      <c r="J1142" s="17"/>
      <c r="K1142" s="14"/>
      <c r="L1142" s="15"/>
      <c r="M1142" s="16"/>
      <c r="N1142" s="17"/>
      <c r="O1142" s="2825"/>
      <c r="P1142" s="2826"/>
      <c r="Q1142" s="2649"/>
      <c r="R1142" s="2650"/>
      <c r="S1142" s="2651"/>
      <c r="T1142" s="2648"/>
      <c r="U1142" s="16"/>
      <c r="V1142" s="17"/>
      <c r="W1142" s="14"/>
      <c r="X1142" s="15"/>
      <c r="Y1142" s="16"/>
      <c r="Z1142" s="17"/>
      <c r="AA1142" s="30"/>
      <c r="AB1142" s="15"/>
    </row>
    <row r="1143" spans="1:28" ht="40.5" thickBot="1">
      <c r="A1143" s="2629"/>
      <c r="B1143" s="2627"/>
      <c r="C1143" s="6"/>
      <c r="D1143" s="32"/>
      <c r="E1143" s="7"/>
      <c r="F1143" s="40"/>
      <c r="G1143" s="6"/>
      <c r="H1143" s="32"/>
      <c r="I1143" s="7"/>
      <c r="J1143" s="40"/>
      <c r="K1143" s="6"/>
      <c r="L1143" s="32"/>
      <c r="M1143" s="7"/>
      <c r="N1143" s="40"/>
      <c r="O1143" s="2823"/>
      <c r="P1143" s="2823"/>
      <c r="Q1143" s="2647"/>
      <c r="R1143" s="40"/>
      <c r="S1143" s="6"/>
      <c r="T1143" s="32"/>
      <c r="U1143" s="7"/>
      <c r="V1143" s="40"/>
      <c r="W1143" s="6"/>
      <c r="X1143" s="32"/>
      <c r="Y1143" s="7"/>
      <c r="Z1143" s="40"/>
      <c r="AA1143" s="2630"/>
      <c r="AB1143" s="2631"/>
    </row>
    <row r="1146" spans="1:28">
      <c r="A1146" s="2080"/>
      <c r="B1146" s="2573"/>
    </row>
    <row r="1147" spans="1:28" ht="40.5">
      <c r="A1147" s="3" t="s">
        <v>5063</v>
      </c>
      <c r="B1147" s="23"/>
      <c r="C1147" s="3"/>
      <c r="D1147" s="3"/>
      <c r="E1147" s="3"/>
      <c r="F1147" s="3"/>
      <c r="G1147" s="3"/>
      <c r="H1147" s="3"/>
      <c r="I1147" s="3"/>
      <c r="J1147" s="3"/>
      <c r="K1147" s="3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B1147" s="4"/>
    </row>
    <row r="1148" spans="1:28" ht="40.5" thickBot="1">
      <c r="A1148" s="5" t="s">
        <v>5064</v>
      </c>
    </row>
    <row r="1149" spans="1:28">
      <c r="A1149" s="3537" t="s">
        <v>2</v>
      </c>
      <c r="B1149" s="3540" t="s">
        <v>3</v>
      </c>
      <c r="C1149" s="3537" t="s">
        <v>5065</v>
      </c>
      <c r="D1149" s="3538"/>
      <c r="E1149" s="3536" t="s">
        <v>5066</v>
      </c>
      <c r="F1149" s="3536"/>
      <c r="G1149" s="3537" t="s">
        <v>5067</v>
      </c>
      <c r="H1149" s="3538"/>
      <c r="I1149" s="3536" t="s">
        <v>5068</v>
      </c>
      <c r="J1149" s="3536"/>
      <c r="K1149" s="3537" t="s">
        <v>5069</v>
      </c>
      <c r="L1149" s="3538"/>
      <c r="M1149" s="3536" t="s">
        <v>5070</v>
      </c>
      <c r="N1149" s="3536"/>
      <c r="O1149" s="3542"/>
      <c r="P1149" s="3542"/>
      <c r="Q1149" s="3536" t="s">
        <v>5071</v>
      </c>
      <c r="R1149" s="3536"/>
      <c r="S1149" s="3536" t="s">
        <v>5072</v>
      </c>
      <c r="T1149" s="3536"/>
      <c r="U1149" s="3472" t="s">
        <v>5073</v>
      </c>
      <c r="V1149" s="3473"/>
      <c r="W1149" s="3536" t="s">
        <v>5074</v>
      </c>
      <c r="X1149" s="3536"/>
      <c r="Y1149" s="3472" t="s">
        <v>5075</v>
      </c>
      <c r="Z1149" s="3475"/>
      <c r="AA1149" s="3537" t="s">
        <v>5076</v>
      </c>
      <c r="AB1149" s="3538"/>
    </row>
    <row r="1150" spans="1:28" ht="40.5" thickBot="1">
      <c r="A1150" s="3539"/>
      <c r="B1150" s="3541"/>
      <c r="C1150" s="1" t="s">
        <v>5078</v>
      </c>
      <c r="D1150" s="35" t="s">
        <v>5079</v>
      </c>
      <c r="E1150" s="2" t="s">
        <v>5078</v>
      </c>
      <c r="F1150" s="36" t="s">
        <v>5079</v>
      </c>
      <c r="G1150" s="1" t="s">
        <v>5078</v>
      </c>
      <c r="H1150" s="35" t="s">
        <v>5079</v>
      </c>
      <c r="I1150" s="2" t="s">
        <v>5078</v>
      </c>
      <c r="J1150" s="36" t="s">
        <v>5079</v>
      </c>
      <c r="K1150" s="1" t="s">
        <v>5078</v>
      </c>
      <c r="L1150" s="35" t="s">
        <v>5079</v>
      </c>
      <c r="M1150" s="2" t="s">
        <v>5078</v>
      </c>
      <c r="N1150" s="36" t="s">
        <v>5079</v>
      </c>
      <c r="O1150" s="2769"/>
      <c r="P1150" s="2820"/>
      <c r="Q1150" s="2" t="s">
        <v>5078</v>
      </c>
      <c r="R1150" s="36" t="s">
        <v>5079</v>
      </c>
      <c r="S1150" s="1" t="s">
        <v>5078</v>
      </c>
      <c r="T1150" s="35" t="s">
        <v>5079</v>
      </c>
      <c r="U1150" s="2" t="s">
        <v>5078</v>
      </c>
      <c r="V1150" s="36" t="s">
        <v>5079</v>
      </c>
      <c r="W1150" s="1" t="s">
        <v>5078</v>
      </c>
      <c r="X1150" s="35" t="s">
        <v>5079</v>
      </c>
      <c r="Y1150" s="2" t="s">
        <v>5078</v>
      </c>
      <c r="Z1150" s="36" t="s">
        <v>5079</v>
      </c>
      <c r="AA1150" s="1" t="s">
        <v>5078</v>
      </c>
      <c r="AB1150" s="35" t="s">
        <v>5079</v>
      </c>
    </row>
    <row r="1151" spans="1:28">
      <c r="A1151" s="770" t="s">
        <v>6019</v>
      </c>
      <c r="B1151" s="320" t="s">
        <v>284</v>
      </c>
      <c r="C1151" s="9"/>
      <c r="D1151" s="10"/>
      <c r="E1151" s="11"/>
      <c r="F1151" s="12"/>
      <c r="G1151" s="9"/>
      <c r="H1151" s="10"/>
      <c r="I1151" s="11"/>
      <c r="J1151" s="12"/>
      <c r="K1151" s="9"/>
      <c r="L1151" s="10"/>
      <c r="M1151" s="11"/>
      <c r="N1151" s="12"/>
      <c r="O1151" s="2821"/>
      <c r="P1151" s="2822"/>
      <c r="Q1151" s="11"/>
      <c r="R1151" s="12"/>
      <c r="S1151" s="9"/>
      <c r="T1151" s="10"/>
      <c r="U1151" s="11"/>
      <c r="V1151" s="12"/>
      <c r="W1151" s="9"/>
      <c r="X1151" s="10"/>
      <c r="Y1151" s="11"/>
      <c r="Z1151" s="12"/>
      <c r="AA1151" s="33"/>
      <c r="AB1151" s="10"/>
    </row>
    <row r="1152" spans="1:28">
      <c r="A1152" s="770" t="s">
        <v>6020</v>
      </c>
      <c r="B1152" s="320" t="s">
        <v>284</v>
      </c>
      <c r="C1152" s="14"/>
      <c r="D1152" s="15"/>
      <c r="E1152" s="16"/>
      <c r="F1152" s="17"/>
      <c r="G1152" s="14"/>
      <c r="H1152" s="15"/>
      <c r="I1152" s="16"/>
      <c r="J1152" s="17"/>
      <c r="K1152" s="14"/>
      <c r="L1152" s="15"/>
      <c r="M1152" s="16"/>
      <c r="N1152" s="17"/>
      <c r="O1152" s="2823"/>
      <c r="P1152" s="2823"/>
      <c r="Q1152" s="2646"/>
      <c r="R1152" s="17"/>
      <c r="S1152" s="14"/>
      <c r="T1152" s="15"/>
      <c r="U1152" s="16"/>
      <c r="V1152" s="17"/>
      <c r="W1152" s="14"/>
      <c r="X1152" s="15"/>
      <c r="Y1152" s="16"/>
      <c r="Z1152" s="17"/>
      <c r="AA1152" s="30"/>
      <c r="AB1152" s="15"/>
    </row>
    <row r="1153" spans="1:28">
      <c r="A1153" s="770" t="s">
        <v>6021</v>
      </c>
      <c r="B1153" s="320" t="s">
        <v>284</v>
      </c>
      <c r="C1153" s="14"/>
      <c r="D1153" s="15"/>
      <c r="E1153" s="16"/>
      <c r="F1153" s="17"/>
      <c r="G1153" s="14"/>
      <c r="H1153" s="15"/>
      <c r="I1153" s="16"/>
      <c r="J1153" s="17"/>
      <c r="K1153" s="14"/>
      <c r="L1153" s="15"/>
      <c r="M1153" s="16"/>
      <c r="N1153" s="17"/>
      <c r="O1153" s="2823"/>
      <c r="P1153" s="2823"/>
      <c r="Q1153" s="2646"/>
      <c r="R1153" s="17"/>
      <c r="S1153" s="14"/>
      <c r="T1153" s="15"/>
      <c r="U1153" s="16"/>
      <c r="V1153" s="17"/>
      <c r="W1153" s="14"/>
      <c r="X1153" s="15"/>
      <c r="Y1153" s="16"/>
      <c r="Z1153" s="17"/>
      <c r="AA1153" s="30"/>
      <c r="AB1153" s="15"/>
    </row>
    <row r="1154" spans="1:28">
      <c r="A1154" s="770" t="s">
        <v>6022</v>
      </c>
      <c r="B1154" s="320" t="s">
        <v>284</v>
      </c>
      <c r="C1154" s="14"/>
      <c r="D1154" s="15"/>
      <c r="E1154" s="16"/>
      <c r="F1154" s="17"/>
      <c r="G1154" s="14"/>
      <c r="H1154" s="15"/>
      <c r="I1154" s="16"/>
      <c r="J1154" s="17"/>
      <c r="K1154" s="14"/>
      <c r="L1154" s="15"/>
      <c r="M1154" s="16"/>
      <c r="N1154" s="17"/>
      <c r="O1154" s="2823"/>
      <c r="P1154" s="2823"/>
      <c r="Q1154" s="2646"/>
      <c r="R1154" s="17"/>
      <c r="S1154" s="14"/>
      <c r="T1154" s="15"/>
      <c r="U1154" s="16"/>
      <c r="V1154" s="17"/>
      <c r="W1154" s="14"/>
      <c r="X1154" s="15"/>
      <c r="Y1154" s="16"/>
      <c r="Z1154" s="17"/>
      <c r="AA1154" s="30"/>
      <c r="AB1154" s="15"/>
    </row>
    <row r="1155" spans="1:28">
      <c r="A1155" s="770" t="s">
        <v>6019</v>
      </c>
      <c r="B1155" s="320" t="s">
        <v>284</v>
      </c>
      <c r="C1155" s="14"/>
      <c r="D1155" s="15"/>
      <c r="E1155" s="16"/>
      <c r="F1155" s="17"/>
      <c r="G1155" s="14"/>
      <c r="H1155" s="15"/>
      <c r="I1155" s="16"/>
      <c r="J1155" s="17"/>
      <c r="K1155" s="14"/>
      <c r="L1155" s="15"/>
      <c r="M1155" s="16"/>
      <c r="N1155" s="17"/>
      <c r="O1155" s="2823"/>
      <c r="P1155" s="2823"/>
      <c r="Q1155" s="2646"/>
      <c r="R1155" s="17"/>
      <c r="S1155" s="14"/>
      <c r="T1155" s="15"/>
      <c r="U1155" s="16"/>
      <c r="V1155" s="17"/>
      <c r="W1155" s="14"/>
      <c r="X1155" s="15"/>
      <c r="Y1155" s="16"/>
      <c r="Z1155" s="17"/>
      <c r="AA1155" s="30"/>
      <c r="AB1155" s="15"/>
    </row>
    <row r="1156" spans="1:28">
      <c r="A1156" s="770" t="s">
        <v>6023</v>
      </c>
      <c r="B1156" s="320" t="s">
        <v>284</v>
      </c>
      <c r="C1156" s="14"/>
      <c r="D1156" s="15"/>
      <c r="E1156" s="16"/>
      <c r="F1156" s="17"/>
      <c r="G1156" s="14"/>
      <c r="H1156" s="15"/>
      <c r="I1156" s="16"/>
      <c r="J1156" s="17"/>
      <c r="K1156" s="14"/>
      <c r="L1156" s="15"/>
      <c r="M1156" s="16"/>
      <c r="N1156" s="17"/>
      <c r="O1156" s="2823"/>
      <c r="P1156" s="2823"/>
      <c r="Q1156" s="2646"/>
      <c r="R1156" s="17"/>
      <c r="S1156" s="14"/>
      <c r="T1156" s="15"/>
      <c r="U1156" s="16"/>
      <c r="V1156" s="17"/>
      <c r="W1156" s="14"/>
      <c r="X1156" s="15"/>
      <c r="Y1156" s="16"/>
      <c r="Z1156" s="17"/>
      <c r="AA1156" s="30"/>
      <c r="AB1156" s="15"/>
    </row>
    <row r="1157" spans="1:28">
      <c r="A1157" s="770" t="s">
        <v>6024</v>
      </c>
      <c r="B1157" s="320" t="s">
        <v>284</v>
      </c>
      <c r="C1157" s="14"/>
      <c r="D1157" s="15"/>
      <c r="E1157" s="16"/>
      <c r="F1157" s="17"/>
      <c r="G1157" s="14"/>
      <c r="H1157" s="15"/>
      <c r="I1157" s="16"/>
      <c r="J1157" s="17"/>
      <c r="K1157" s="14"/>
      <c r="L1157" s="15"/>
      <c r="M1157" s="16"/>
      <c r="N1157" s="17"/>
      <c r="O1157" s="2823"/>
      <c r="P1157" s="2823"/>
      <c r="Q1157" s="2646"/>
      <c r="R1157" s="17"/>
      <c r="S1157" s="14"/>
      <c r="T1157" s="15"/>
      <c r="U1157" s="16"/>
      <c r="V1157" s="17"/>
      <c r="W1157" s="14"/>
      <c r="X1157" s="15"/>
      <c r="Y1157" s="16"/>
      <c r="Z1157" s="17"/>
      <c r="AA1157" s="30"/>
      <c r="AB1157" s="15"/>
    </row>
    <row r="1158" spans="1:28">
      <c r="A1158" s="770" t="s">
        <v>6025</v>
      </c>
      <c r="B1158" s="320" t="s">
        <v>284</v>
      </c>
      <c r="C1158" s="14"/>
      <c r="D1158" s="15"/>
      <c r="E1158" s="16"/>
      <c r="F1158" s="17"/>
      <c r="G1158" s="14"/>
      <c r="H1158" s="15"/>
      <c r="I1158" s="16"/>
      <c r="J1158" s="17"/>
      <c r="K1158" s="14"/>
      <c r="L1158" s="15"/>
      <c r="M1158" s="16"/>
      <c r="N1158" s="17"/>
      <c r="O1158" s="2823"/>
      <c r="P1158" s="2823"/>
      <c r="Q1158" s="2646"/>
      <c r="R1158" s="17"/>
      <c r="S1158" s="14"/>
      <c r="T1158" s="15"/>
      <c r="U1158" s="16"/>
      <c r="V1158" s="17"/>
      <c r="W1158" s="14"/>
      <c r="X1158" s="15"/>
      <c r="Y1158" s="16"/>
      <c r="Z1158" s="17"/>
      <c r="AA1158" s="30"/>
      <c r="AB1158" s="15"/>
    </row>
    <row r="1159" spans="1:28">
      <c r="A1159" s="770" t="s">
        <v>6026</v>
      </c>
      <c r="B1159" s="320" t="s">
        <v>284</v>
      </c>
      <c r="C1159" s="14"/>
      <c r="D1159" s="15"/>
      <c r="E1159" s="16"/>
      <c r="F1159" s="17"/>
      <c r="G1159" s="14"/>
      <c r="H1159" s="15"/>
      <c r="I1159" s="16"/>
      <c r="J1159" s="17"/>
      <c r="K1159" s="14"/>
      <c r="L1159" s="15"/>
      <c r="M1159" s="16"/>
      <c r="N1159" s="17"/>
      <c r="O1159" s="2823"/>
      <c r="P1159" s="2823"/>
      <c r="Q1159" s="2646"/>
      <c r="R1159" s="17"/>
      <c r="S1159" s="14"/>
      <c r="T1159" s="15"/>
      <c r="U1159" s="16"/>
      <c r="V1159" s="17"/>
      <c r="W1159" s="14"/>
      <c r="X1159" s="15"/>
      <c r="Y1159" s="16"/>
      <c r="Z1159" s="17"/>
      <c r="AA1159" s="30"/>
      <c r="AB1159" s="15"/>
    </row>
    <row r="1160" spans="1:28">
      <c r="A1160" s="770" t="s">
        <v>6027</v>
      </c>
      <c r="B1160" s="320" t="s">
        <v>284</v>
      </c>
      <c r="C1160" s="14"/>
      <c r="D1160" s="15"/>
      <c r="E1160" s="16"/>
      <c r="F1160" s="17"/>
      <c r="G1160" s="14"/>
      <c r="H1160" s="15"/>
      <c r="I1160" s="16"/>
      <c r="J1160" s="17"/>
      <c r="K1160" s="14"/>
      <c r="L1160" s="15"/>
      <c r="M1160" s="16"/>
      <c r="N1160" s="17"/>
      <c r="O1160" s="2823"/>
      <c r="P1160" s="2823"/>
      <c r="Q1160" s="2646"/>
      <c r="R1160" s="17"/>
      <c r="S1160" s="14"/>
      <c r="T1160" s="15"/>
      <c r="U1160" s="16"/>
      <c r="V1160" s="17"/>
      <c r="W1160" s="14"/>
      <c r="X1160" s="15"/>
      <c r="Y1160" s="16"/>
      <c r="Z1160" s="17"/>
      <c r="AA1160" s="30"/>
      <c r="AB1160" s="15"/>
    </row>
    <row r="1161" spans="1:28">
      <c r="A1161" s="770" t="s">
        <v>6028</v>
      </c>
      <c r="B1161" s="320" t="s">
        <v>284</v>
      </c>
      <c r="C1161" s="14"/>
      <c r="D1161" s="15"/>
      <c r="E1161" s="16"/>
      <c r="F1161" s="17"/>
      <c r="G1161" s="14"/>
      <c r="H1161" s="15"/>
      <c r="I1161" s="16"/>
      <c r="J1161" s="17"/>
      <c r="K1161" s="14"/>
      <c r="L1161" s="15"/>
      <c r="M1161" s="16"/>
      <c r="N1161" s="17"/>
      <c r="O1161" s="2823"/>
      <c r="P1161" s="2823"/>
      <c r="Q1161" s="2646"/>
      <c r="R1161" s="17"/>
      <c r="S1161" s="14"/>
      <c r="T1161" s="15"/>
      <c r="U1161" s="16"/>
      <c r="V1161" s="17"/>
      <c r="W1161" s="14"/>
      <c r="X1161" s="15"/>
      <c r="Y1161" s="16"/>
      <c r="Z1161" s="17"/>
      <c r="AA1161" s="30"/>
      <c r="AB1161" s="15"/>
    </row>
    <row r="1162" spans="1:28">
      <c r="A1162" s="770" t="s">
        <v>6029</v>
      </c>
      <c r="B1162" s="320" t="s">
        <v>284</v>
      </c>
      <c r="C1162" s="14"/>
      <c r="D1162" s="15"/>
      <c r="E1162" s="16"/>
      <c r="F1162" s="17"/>
      <c r="G1162" s="14"/>
      <c r="H1162" s="15"/>
      <c r="I1162" s="16"/>
      <c r="J1162" s="17"/>
      <c r="K1162" s="14"/>
      <c r="L1162" s="15"/>
      <c r="M1162" s="16"/>
      <c r="N1162" s="17"/>
      <c r="O1162" s="2823"/>
      <c r="P1162" s="2823"/>
      <c r="Q1162" s="2646"/>
      <c r="R1162" s="17"/>
      <c r="S1162" s="14"/>
      <c r="T1162" s="15"/>
      <c r="U1162" s="16"/>
      <c r="V1162" s="17"/>
      <c r="W1162" s="14"/>
      <c r="X1162" s="15"/>
      <c r="Y1162" s="16"/>
      <c r="Z1162" s="17"/>
      <c r="AA1162" s="30"/>
      <c r="AB1162" s="15"/>
    </row>
    <row r="1163" spans="1:28">
      <c r="A1163" s="770" t="s">
        <v>6030</v>
      </c>
      <c r="B1163" s="320" t="s">
        <v>284</v>
      </c>
      <c r="C1163" s="14"/>
      <c r="D1163" s="15"/>
      <c r="E1163" s="16"/>
      <c r="F1163" s="17"/>
      <c r="G1163" s="14"/>
      <c r="H1163" s="15"/>
      <c r="I1163" s="16"/>
      <c r="J1163" s="17"/>
      <c r="K1163" s="14"/>
      <c r="L1163" s="15"/>
      <c r="M1163" s="16"/>
      <c r="N1163" s="17"/>
      <c r="O1163" s="2823"/>
      <c r="P1163" s="2823"/>
      <c r="Q1163" s="2646"/>
      <c r="R1163" s="17"/>
      <c r="S1163" s="14"/>
      <c r="T1163" s="15"/>
      <c r="U1163" s="16"/>
      <c r="V1163" s="17"/>
      <c r="W1163" s="14"/>
      <c r="X1163" s="15"/>
      <c r="Y1163" s="16"/>
      <c r="Z1163" s="17"/>
      <c r="AA1163" s="30"/>
      <c r="AB1163" s="15"/>
    </row>
    <row r="1164" spans="1:28">
      <c r="A1164" s="770" t="s">
        <v>6031</v>
      </c>
      <c r="B1164" s="320" t="s">
        <v>284</v>
      </c>
      <c r="C1164" s="14"/>
      <c r="D1164" s="15"/>
      <c r="E1164" s="16"/>
      <c r="F1164" s="17"/>
      <c r="G1164" s="14"/>
      <c r="H1164" s="15"/>
      <c r="I1164" s="16"/>
      <c r="J1164" s="17"/>
      <c r="K1164" s="14"/>
      <c r="L1164" s="15"/>
      <c r="M1164" s="16"/>
      <c r="N1164" s="17"/>
      <c r="O1164" s="2823"/>
      <c r="P1164" s="2823"/>
      <c r="Q1164" s="2646"/>
      <c r="R1164" s="17"/>
      <c r="S1164" s="14"/>
      <c r="T1164" s="15"/>
      <c r="U1164" s="16"/>
      <c r="V1164" s="17"/>
      <c r="W1164" s="14"/>
      <c r="X1164" s="15"/>
      <c r="Y1164" s="16"/>
      <c r="Z1164" s="17"/>
      <c r="AA1164" s="30"/>
      <c r="AB1164" s="15"/>
    </row>
    <row r="1165" spans="1:28">
      <c r="A1165" s="770" t="s">
        <v>6032</v>
      </c>
      <c r="B1165" s="320" t="s">
        <v>284</v>
      </c>
      <c r="C1165" s="14"/>
      <c r="D1165" s="15"/>
      <c r="E1165" s="16"/>
      <c r="F1165" s="17"/>
      <c r="G1165" s="14"/>
      <c r="H1165" s="15"/>
      <c r="I1165" s="16"/>
      <c r="J1165" s="17"/>
      <c r="K1165" s="14"/>
      <c r="L1165" s="15"/>
      <c r="M1165" s="16"/>
      <c r="N1165" s="17"/>
      <c r="O1165" s="2824"/>
      <c r="P1165" s="2824"/>
      <c r="Q1165" s="2646"/>
      <c r="R1165" s="17"/>
      <c r="S1165" s="14"/>
      <c r="T1165" s="15"/>
      <c r="U1165" s="16"/>
      <c r="V1165" s="17"/>
      <c r="W1165" s="14"/>
      <c r="X1165" s="15"/>
      <c r="Y1165" s="16"/>
      <c r="Z1165" s="17"/>
      <c r="AA1165" s="30"/>
      <c r="AB1165" s="15"/>
    </row>
    <row r="1166" spans="1:28">
      <c r="A1166" s="81"/>
      <c r="B1166" s="101"/>
      <c r="C1166" s="14"/>
      <c r="D1166" s="15"/>
      <c r="E1166" s="16"/>
      <c r="F1166" s="17"/>
      <c r="G1166" s="14"/>
      <c r="H1166" s="15"/>
      <c r="I1166" s="16"/>
      <c r="J1166" s="17"/>
      <c r="K1166" s="14"/>
      <c r="L1166" s="15"/>
      <c r="M1166" s="16"/>
      <c r="N1166" s="17"/>
      <c r="O1166" s="2825"/>
      <c r="P1166" s="2826"/>
      <c r="Q1166" s="2645"/>
      <c r="R1166" s="1795"/>
      <c r="S1166" s="14"/>
      <c r="T1166" s="15"/>
      <c r="U1166" s="16"/>
      <c r="V1166" s="17"/>
      <c r="W1166" s="14"/>
      <c r="X1166" s="15"/>
      <c r="Y1166" s="16"/>
      <c r="Z1166" s="17"/>
      <c r="AA1166" s="30"/>
      <c r="AB1166" s="15"/>
    </row>
    <row r="1167" spans="1:28">
      <c r="A1167" s="139"/>
      <c r="B1167" s="101"/>
      <c r="C1167" s="14"/>
      <c r="D1167" s="15"/>
      <c r="E1167" s="16"/>
      <c r="F1167" s="17"/>
      <c r="G1167" s="14"/>
      <c r="H1167" s="15"/>
      <c r="I1167" s="16"/>
      <c r="J1167" s="17"/>
      <c r="K1167" s="14"/>
      <c r="L1167" s="15"/>
      <c r="M1167" s="16"/>
      <c r="N1167" s="17"/>
      <c r="O1167" s="2825"/>
      <c r="P1167" s="2826"/>
      <c r="Q1167" s="2649"/>
      <c r="R1167" s="2650"/>
      <c r="S1167" s="2651"/>
      <c r="T1167" s="2648"/>
      <c r="U1167" s="16"/>
      <c r="V1167" s="17"/>
      <c r="W1167" s="14"/>
      <c r="X1167" s="15"/>
      <c r="Y1167" s="16"/>
      <c r="Z1167" s="17"/>
      <c r="AA1167" s="30"/>
      <c r="AB1167" s="15"/>
    </row>
    <row r="1168" spans="1:28" ht="40.5" thickBot="1">
      <c r="A1168" s="1516"/>
      <c r="B1168" s="1607"/>
      <c r="C1168" s="6"/>
      <c r="D1168" s="32"/>
      <c r="E1168" s="7"/>
      <c r="F1168" s="40"/>
      <c r="G1168" s="6"/>
      <c r="H1168" s="32"/>
      <c r="I1168" s="7"/>
      <c r="J1168" s="40"/>
      <c r="K1168" s="6"/>
      <c r="L1168" s="32"/>
      <c r="M1168" s="7"/>
      <c r="N1168" s="40"/>
      <c r="O1168" s="2823"/>
      <c r="P1168" s="2823"/>
      <c r="Q1168" s="2647"/>
      <c r="R1168" s="40"/>
      <c r="S1168" s="6"/>
      <c r="T1168" s="32"/>
      <c r="U1168" s="7"/>
      <c r="V1168" s="40"/>
      <c r="W1168" s="6"/>
      <c r="X1168" s="32"/>
      <c r="Y1168" s="7"/>
      <c r="Z1168" s="40"/>
      <c r="AA1168" s="2630"/>
      <c r="AB1168" s="2631"/>
    </row>
    <row r="1169" spans="1:28">
      <c r="A1169" s="93"/>
      <c r="B1169" s="328"/>
      <c r="C1169" s="328"/>
    </row>
    <row r="1170" spans="1:28">
      <c r="A1170" s="93"/>
      <c r="B1170" s="328"/>
      <c r="C1170" s="328"/>
    </row>
    <row r="1171" spans="1:28">
      <c r="A1171" s="75"/>
      <c r="B1171" s="104"/>
      <c r="C1171" s="104"/>
    </row>
    <row r="1172" spans="1:28" ht="40.5">
      <c r="A1172" s="3" t="s">
        <v>5063</v>
      </c>
      <c r="B1172" s="23"/>
      <c r="C1172" s="3"/>
      <c r="D1172" s="3"/>
      <c r="E1172" s="3"/>
      <c r="F1172" s="3"/>
      <c r="G1172" s="3"/>
      <c r="H1172" s="3"/>
      <c r="I1172" s="3"/>
      <c r="J1172" s="3"/>
      <c r="K1172" s="3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B1172" s="4"/>
    </row>
    <row r="1173" spans="1:28" ht="40.5" thickBot="1">
      <c r="A1173" s="5" t="s">
        <v>5064</v>
      </c>
    </row>
    <row r="1174" spans="1:28">
      <c r="A1174" s="3537" t="s">
        <v>2</v>
      </c>
      <c r="B1174" s="3540" t="s">
        <v>3</v>
      </c>
      <c r="C1174" s="3537" t="s">
        <v>5065</v>
      </c>
      <c r="D1174" s="3538"/>
      <c r="E1174" s="3536" t="s">
        <v>5066</v>
      </c>
      <c r="F1174" s="3536"/>
      <c r="G1174" s="3537" t="s">
        <v>5067</v>
      </c>
      <c r="H1174" s="3538"/>
      <c r="I1174" s="3536" t="s">
        <v>5068</v>
      </c>
      <c r="J1174" s="3536"/>
      <c r="K1174" s="3537" t="s">
        <v>5069</v>
      </c>
      <c r="L1174" s="3538"/>
      <c r="M1174" s="3536" t="s">
        <v>5070</v>
      </c>
      <c r="N1174" s="3536"/>
      <c r="O1174" s="3542"/>
      <c r="P1174" s="3542"/>
      <c r="Q1174" s="3536" t="s">
        <v>5071</v>
      </c>
      <c r="R1174" s="3536"/>
      <c r="S1174" s="3536" t="s">
        <v>5072</v>
      </c>
      <c r="T1174" s="3536"/>
      <c r="U1174" s="3472" t="s">
        <v>5073</v>
      </c>
      <c r="V1174" s="3473"/>
      <c r="W1174" s="3536" t="s">
        <v>5074</v>
      </c>
      <c r="X1174" s="3536"/>
      <c r="Y1174" s="3472" t="s">
        <v>5075</v>
      </c>
      <c r="Z1174" s="3475"/>
      <c r="AA1174" s="3537" t="s">
        <v>5076</v>
      </c>
      <c r="AB1174" s="3538"/>
    </row>
    <row r="1175" spans="1:28" ht="40.5" thickBot="1">
      <c r="A1175" s="3539"/>
      <c r="B1175" s="3541"/>
      <c r="C1175" s="1" t="s">
        <v>5078</v>
      </c>
      <c r="D1175" s="35" t="s">
        <v>5079</v>
      </c>
      <c r="E1175" s="2" t="s">
        <v>5078</v>
      </c>
      <c r="F1175" s="36" t="s">
        <v>5079</v>
      </c>
      <c r="G1175" s="1" t="s">
        <v>5078</v>
      </c>
      <c r="H1175" s="35" t="s">
        <v>5079</v>
      </c>
      <c r="I1175" s="2" t="s">
        <v>5078</v>
      </c>
      <c r="J1175" s="36" t="s">
        <v>5079</v>
      </c>
      <c r="K1175" s="1" t="s">
        <v>5078</v>
      </c>
      <c r="L1175" s="35" t="s">
        <v>5079</v>
      </c>
      <c r="M1175" s="2" t="s">
        <v>5078</v>
      </c>
      <c r="N1175" s="36" t="s">
        <v>5079</v>
      </c>
      <c r="O1175" s="2769"/>
      <c r="P1175" s="2820"/>
      <c r="Q1175" s="2" t="s">
        <v>5078</v>
      </c>
      <c r="R1175" s="36" t="s">
        <v>5079</v>
      </c>
      <c r="S1175" s="1" t="s">
        <v>5078</v>
      </c>
      <c r="T1175" s="35" t="s">
        <v>5079</v>
      </c>
      <c r="U1175" s="2" t="s">
        <v>5078</v>
      </c>
      <c r="V1175" s="36" t="s">
        <v>5079</v>
      </c>
      <c r="W1175" s="1" t="s">
        <v>5078</v>
      </c>
      <c r="X1175" s="35" t="s">
        <v>5079</v>
      </c>
      <c r="Y1175" s="2" t="s">
        <v>5078</v>
      </c>
      <c r="Z1175" s="36" t="s">
        <v>5079</v>
      </c>
      <c r="AA1175" s="1" t="s">
        <v>5078</v>
      </c>
      <c r="AB1175" s="35" t="s">
        <v>5079</v>
      </c>
    </row>
    <row r="1176" spans="1:28">
      <c r="A1176" s="81" t="s">
        <v>6033</v>
      </c>
      <c r="B1176" s="101" t="s">
        <v>6034</v>
      </c>
      <c r="C1176" s="9"/>
      <c r="D1176" s="10"/>
      <c r="E1176" s="11"/>
      <c r="F1176" s="12"/>
      <c r="G1176" s="9"/>
      <c r="H1176" s="10"/>
      <c r="I1176" s="11"/>
      <c r="J1176" s="12"/>
      <c r="K1176" s="9"/>
      <c r="L1176" s="10"/>
      <c r="M1176" s="11"/>
      <c r="N1176" s="12"/>
      <c r="O1176" s="2821"/>
      <c r="P1176" s="2822"/>
      <c r="Q1176" s="11"/>
      <c r="R1176" s="12"/>
      <c r="S1176" s="9"/>
      <c r="T1176" s="10"/>
      <c r="U1176" s="11"/>
      <c r="V1176" s="12"/>
      <c r="W1176" s="9"/>
      <c r="X1176" s="10"/>
      <c r="Y1176" s="11"/>
      <c r="Z1176" s="12"/>
      <c r="AA1176" s="33"/>
      <c r="AB1176" s="10"/>
    </row>
    <row r="1177" spans="1:28">
      <c r="A1177" s="81" t="s">
        <v>6035</v>
      </c>
      <c r="B1177" s="101"/>
      <c r="C1177" s="14"/>
      <c r="D1177" s="15"/>
      <c r="E1177" s="16"/>
      <c r="F1177" s="17"/>
      <c r="G1177" s="14"/>
      <c r="H1177" s="15"/>
      <c r="I1177" s="16"/>
      <c r="J1177" s="17"/>
      <c r="K1177" s="14"/>
      <c r="L1177" s="15"/>
      <c r="M1177" s="16"/>
      <c r="N1177" s="17"/>
      <c r="O1177" s="2823"/>
      <c r="P1177" s="2823"/>
      <c r="Q1177" s="2646"/>
      <c r="R1177" s="17"/>
      <c r="S1177" s="14"/>
      <c r="T1177" s="15"/>
      <c r="U1177" s="16"/>
      <c r="V1177" s="17"/>
      <c r="W1177" s="14"/>
      <c r="X1177" s="15"/>
      <c r="Y1177" s="16"/>
      <c r="Z1177" s="17"/>
      <c r="AA1177" s="30"/>
      <c r="AB1177" s="15"/>
    </row>
    <row r="1178" spans="1:28">
      <c r="A1178" s="81" t="s">
        <v>6036</v>
      </c>
      <c r="B1178" s="2621"/>
      <c r="C1178" s="14"/>
      <c r="D1178" s="15"/>
      <c r="E1178" s="16"/>
      <c r="F1178" s="17"/>
      <c r="G1178" s="14"/>
      <c r="H1178" s="15"/>
      <c r="I1178" s="16"/>
      <c r="J1178" s="17"/>
      <c r="K1178" s="14"/>
      <c r="L1178" s="15"/>
      <c r="M1178" s="16"/>
      <c r="N1178" s="17"/>
      <c r="O1178" s="2823"/>
      <c r="P1178" s="2823"/>
      <c r="Q1178" s="2646"/>
      <c r="R1178" s="17"/>
      <c r="S1178" s="14"/>
      <c r="T1178" s="15"/>
      <c r="U1178" s="16"/>
      <c r="V1178" s="17"/>
      <c r="W1178" s="14"/>
      <c r="X1178" s="15"/>
      <c r="Y1178" s="16"/>
      <c r="Z1178" s="17"/>
      <c r="AA1178" s="30"/>
      <c r="AB1178" s="15"/>
    </row>
    <row r="1179" spans="1:28">
      <c r="A1179" s="81" t="s">
        <v>6037</v>
      </c>
      <c r="B1179" s="2621"/>
      <c r="C1179" s="14"/>
      <c r="D1179" s="15"/>
      <c r="E1179" s="16"/>
      <c r="F1179" s="17"/>
      <c r="G1179" s="14"/>
      <c r="H1179" s="15"/>
      <c r="I1179" s="16"/>
      <c r="J1179" s="17"/>
      <c r="K1179" s="14"/>
      <c r="L1179" s="15"/>
      <c r="M1179" s="16"/>
      <c r="N1179" s="17"/>
      <c r="O1179" s="2823"/>
      <c r="P1179" s="2823"/>
      <c r="Q1179" s="2646"/>
      <c r="R1179" s="17"/>
      <c r="S1179" s="14"/>
      <c r="T1179" s="15"/>
      <c r="U1179" s="16"/>
      <c r="V1179" s="17"/>
      <c r="W1179" s="14"/>
      <c r="X1179" s="15"/>
      <c r="Y1179" s="16"/>
      <c r="Z1179" s="17"/>
      <c r="AA1179" s="30"/>
      <c r="AB1179" s="15"/>
    </row>
    <row r="1180" spans="1:28">
      <c r="A1180" s="81" t="s">
        <v>6038</v>
      </c>
      <c r="B1180" s="2622"/>
      <c r="C1180" s="14"/>
      <c r="D1180" s="15"/>
      <c r="E1180" s="16"/>
      <c r="F1180" s="17"/>
      <c r="G1180" s="14"/>
      <c r="H1180" s="15"/>
      <c r="I1180" s="16"/>
      <c r="J1180" s="17"/>
      <c r="K1180" s="14"/>
      <c r="L1180" s="15"/>
      <c r="M1180" s="16"/>
      <c r="N1180" s="17"/>
      <c r="O1180" s="2823"/>
      <c r="P1180" s="2823"/>
      <c r="Q1180" s="2646"/>
      <c r="R1180" s="17"/>
      <c r="S1180" s="14"/>
      <c r="T1180" s="15"/>
      <c r="U1180" s="16"/>
      <c r="V1180" s="17"/>
      <c r="W1180" s="14"/>
      <c r="X1180" s="15"/>
      <c r="Y1180" s="16"/>
      <c r="Z1180" s="17"/>
      <c r="AA1180" s="30"/>
      <c r="AB1180" s="15"/>
    </row>
    <row r="1181" spans="1:28">
      <c r="A1181" s="81" t="s">
        <v>6039</v>
      </c>
      <c r="B1181" s="2621"/>
      <c r="C1181" s="14"/>
      <c r="D1181" s="15"/>
      <c r="E1181" s="16"/>
      <c r="F1181" s="17"/>
      <c r="G1181" s="14"/>
      <c r="H1181" s="15"/>
      <c r="I1181" s="16"/>
      <c r="J1181" s="17"/>
      <c r="K1181" s="14"/>
      <c r="L1181" s="15"/>
      <c r="M1181" s="16"/>
      <c r="N1181" s="17"/>
      <c r="O1181" s="2823"/>
      <c r="P1181" s="2823"/>
      <c r="Q1181" s="2646"/>
      <c r="R1181" s="17"/>
      <c r="S1181" s="14"/>
      <c r="T1181" s="15"/>
      <c r="U1181" s="16"/>
      <c r="V1181" s="17"/>
      <c r="W1181" s="14"/>
      <c r="X1181" s="15"/>
      <c r="Y1181" s="16"/>
      <c r="Z1181" s="17"/>
      <c r="AA1181" s="30"/>
      <c r="AB1181" s="15"/>
    </row>
    <row r="1182" spans="1:28">
      <c r="A1182" s="2628"/>
      <c r="B1182" s="2621"/>
      <c r="C1182" s="14"/>
      <c r="D1182" s="15"/>
      <c r="E1182" s="16"/>
      <c r="F1182" s="17"/>
      <c r="G1182" s="14"/>
      <c r="H1182" s="15"/>
      <c r="I1182" s="16"/>
      <c r="J1182" s="17"/>
      <c r="K1182" s="14"/>
      <c r="L1182" s="15"/>
      <c r="M1182" s="16"/>
      <c r="N1182" s="17"/>
      <c r="O1182" s="2823"/>
      <c r="P1182" s="2823"/>
      <c r="Q1182" s="2646"/>
      <c r="R1182" s="17"/>
      <c r="S1182" s="14"/>
      <c r="T1182" s="15"/>
      <c r="U1182" s="16"/>
      <c r="V1182" s="17"/>
      <c r="W1182" s="14"/>
      <c r="X1182" s="15"/>
      <c r="Y1182" s="16"/>
      <c r="Z1182" s="17"/>
      <c r="AA1182" s="30"/>
      <c r="AB1182" s="15"/>
    </row>
    <row r="1183" spans="1:28">
      <c r="A1183" s="139" t="s">
        <v>6040</v>
      </c>
      <c r="B1183" s="101" t="s">
        <v>6041</v>
      </c>
      <c r="C1183" s="14"/>
      <c r="D1183" s="15"/>
      <c r="E1183" s="16"/>
      <c r="F1183" s="17"/>
      <c r="G1183" s="14"/>
      <c r="H1183" s="15"/>
      <c r="I1183" s="16"/>
      <c r="J1183" s="17"/>
      <c r="K1183" s="14"/>
      <c r="L1183" s="15"/>
      <c r="M1183" s="16"/>
      <c r="N1183" s="17"/>
      <c r="O1183" s="2823"/>
      <c r="P1183" s="2823"/>
      <c r="Q1183" s="2646"/>
      <c r="R1183" s="17"/>
      <c r="S1183" s="14"/>
      <c r="T1183" s="15"/>
      <c r="U1183" s="16"/>
      <c r="V1183" s="17"/>
      <c r="W1183" s="14"/>
      <c r="X1183" s="15"/>
      <c r="Y1183" s="16"/>
      <c r="Z1183" s="17"/>
      <c r="AA1183" s="30"/>
      <c r="AB1183" s="15"/>
    </row>
    <row r="1184" spans="1:28">
      <c r="A1184" s="139" t="s">
        <v>6042</v>
      </c>
      <c r="B1184" s="101" t="s">
        <v>6041</v>
      </c>
      <c r="C1184" s="14"/>
      <c r="D1184" s="15"/>
      <c r="E1184" s="16"/>
      <c r="F1184" s="17"/>
      <c r="G1184" s="14"/>
      <c r="H1184" s="15"/>
      <c r="I1184" s="16"/>
      <c r="J1184" s="17"/>
      <c r="K1184" s="14"/>
      <c r="L1184" s="15"/>
      <c r="M1184" s="16"/>
      <c r="N1184" s="17"/>
      <c r="O1184" s="2823"/>
      <c r="P1184" s="2823"/>
      <c r="Q1184" s="2646"/>
      <c r="R1184" s="17"/>
      <c r="S1184" s="14"/>
      <c r="T1184" s="15"/>
      <c r="U1184" s="16"/>
      <c r="V1184" s="17"/>
      <c r="W1184" s="14"/>
      <c r="X1184" s="15"/>
      <c r="Y1184" s="16"/>
      <c r="Z1184" s="17"/>
      <c r="AA1184" s="30"/>
      <c r="AB1184" s="15"/>
    </row>
    <row r="1185" spans="1:28">
      <c r="A1185" s="139" t="s">
        <v>6043</v>
      </c>
      <c r="B1185" s="101" t="s">
        <v>6041</v>
      </c>
      <c r="C1185" s="14"/>
      <c r="D1185" s="15"/>
      <c r="E1185" s="16"/>
      <c r="F1185" s="17"/>
      <c r="G1185" s="14"/>
      <c r="H1185" s="15"/>
      <c r="I1185" s="16"/>
      <c r="J1185" s="17"/>
      <c r="K1185" s="14"/>
      <c r="L1185" s="15"/>
      <c r="M1185" s="16"/>
      <c r="N1185" s="17"/>
      <c r="O1185" s="2823"/>
      <c r="P1185" s="2823"/>
      <c r="Q1185" s="2646"/>
      <c r="R1185" s="17"/>
      <c r="S1185" s="14"/>
      <c r="T1185" s="15"/>
      <c r="U1185" s="16"/>
      <c r="V1185" s="17"/>
      <c r="W1185" s="14"/>
      <c r="X1185" s="15"/>
      <c r="Y1185" s="16"/>
      <c r="Z1185" s="17"/>
      <c r="AA1185" s="30"/>
      <c r="AB1185" s="15"/>
    </row>
    <row r="1186" spans="1:28">
      <c r="A1186" s="139" t="s">
        <v>6044</v>
      </c>
      <c r="B1186" s="101" t="s">
        <v>6041</v>
      </c>
      <c r="C1186" s="14"/>
      <c r="D1186" s="15"/>
      <c r="E1186" s="16"/>
      <c r="F1186" s="17"/>
      <c r="G1186" s="14"/>
      <c r="H1186" s="15"/>
      <c r="I1186" s="16"/>
      <c r="J1186" s="17"/>
      <c r="K1186" s="14"/>
      <c r="L1186" s="15"/>
      <c r="M1186" s="16"/>
      <c r="N1186" s="17"/>
      <c r="O1186" s="2823"/>
      <c r="P1186" s="2823"/>
      <c r="Q1186" s="2646"/>
      <c r="R1186" s="17"/>
      <c r="S1186" s="14"/>
      <c r="T1186" s="15"/>
      <c r="U1186" s="16"/>
      <c r="V1186" s="17"/>
      <c r="W1186" s="14"/>
      <c r="X1186" s="15"/>
      <c r="Y1186" s="16"/>
      <c r="Z1186" s="17"/>
      <c r="AA1186" s="30"/>
      <c r="AB1186" s="15"/>
    </row>
    <row r="1187" spans="1:28">
      <c r="A1187" s="139" t="s">
        <v>6045</v>
      </c>
      <c r="B1187" s="101" t="s">
        <v>6041</v>
      </c>
      <c r="C1187" s="14"/>
      <c r="D1187" s="15"/>
      <c r="E1187" s="16"/>
      <c r="F1187" s="17"/>
      <c r="G1187" s="14"/>
      <c r="H1187" s="15"/>
      <c r="I1187" s="16"/>
      <c r="J1187" s="17"/>
      <c r="K1187" s="14"/>
      <c r="L1187" s="15"/>
      <c r="M1187" s="16"/>
      <c r="N1187" s="17"/>
      <c r="O1187" s="2823"/>
      <c r="P1187" s="2823"/>
      <c r="Q1187" s="2646"/>
      <c r="R1187" s="17"/>
      <c r="S1187" s="14"/>
      <c r="T1187" s="15"/>
      <c r="U1187" s="16"/>
      <c r="V1187" s="17"/>
      <c r="W1187" s="14"/>
      <c r="X1187" s="15"/>
      <c r="Y1187" s="16"/>
      <c r="Z1187" s="17"/>
      <c r="AA1187" s="30"/>
      <c r="AB1187" s="15"/>
    </row>
    <row r="1188" spans="1:28">
      <c r="A1188" s="139" t="s">
        <v>6046</v>
      </c>
      <c r="B1188" s="101" t="s">
        <v>6041</v>
      </c>
      <c r="C1188" s="14"/>
      <c r="D1188" s="15"/>
      <c r="E1188" s="16"/>
      <c r="F1188" s="17"/>
      <c r="G1188" s="14"/>
      <c r="H1188" s="15"/>
      <c r="I1188" s="16"/>
      <c r="J1188" s="17"/>
      <c r="K1188" s="14"/>
      <c r="L1188" s="15"/>
      <c r="M1188" s="16"/>
      <c r="N1188" s="17"/>
      <c r="O1188" s="2823"/>
      <c r="P1188" s="2823"/>
      <c r="Q1188" s="2646"/>
      <c r="R1188" s="17"/>
      <c r="S1188" s="14"/>
      <c r="T1188" s="15"/>
      <c r="U1188" s="16"/>
      <c r="V1188" s="17"/>
      <c r="W1188" s="14"/>
      <c r="X1188" s="15"/>
      <c r="Y1188" s="16"/>
      <c r="Z1188" s="17"/>
      <c r="AA1188" s="30"/>
      <c r="AB1188" s="15"/>
    </row>
    <row r="1189" spans="1:28">
      <c r="A1189" s="139"/>
      <c r="B1189" s="101"/>
      <c r="C1189" s="14"/>
      <c r="D1189" s="15"/>
      <c r="E1189" s="16"/>
      <c r="F1189" s="17"/>
      <c r="G1189" s="14"/>
      <c r="H1189" s="15"/>
      <c r="I1189" s="16"/>
      <c r="J1189" s="17"/>
      <c r="K1189" s="14"/>
      <c r="L1189" s="15"/>
      <c r="M1189" s="16"/>
      <c r="N1189" s="17"/>
      <c r="O1189" s="2823"/>
      <c r="P1189" s="2823"/>
      <c r="Q1189" s="2646"/>
      <c r="R1189" s="17"/>
      <c r="S1189" s="14"/>
      <c r="T1189" s="15"/>
      <c r="U1189" s="16"/>
      <c r="V1189" s="17"/>
      <c r="W1189" s="14"/>
      <c r="X1189" s="15"/>
      <c r="Y1189" s="16"/>
      <c r="Z1189" s="17"/>
      <c r="AA1189" s="30"/>
      <c r="AB1189" s="15"/>
    </row>
    <row r="1190" spans="1:28">
      <c r="A1190" s="2553"/>
      <c r="B1190" s="2626"/>
      <c r="C1190" s="14"/>
      <c r="D1190" s="15"/>
      <c r="E1190" s="16"/>
      <c r="F1190" s="17"/>
      <c r="G1190" s="14"/>
      <c r="H1190" s="15"/>
      <c r="I1190" s="16"/>
      <c r="J1190" s="17"/>
      <c r="K1190" s="14"/>
      <c r="L1190" s="15"/>
      <c r="M1190" s="16"/>
      <c r="N1190" s="17"/>
      <c r="O1190" s="2824"/>
      <c r="P1190" s="2824"/>
      <c r="Q1190" s="2646"/>
      <c r="R1190" s="17"/>
      <c r="S1190" s="14"/>
      <c r="T1190" s="15"/>
      <c r="U1190" s="16"/>
      <c r="V1190" s="17"/>
      <c r="W1190" s="14"/>
      <c r="X1190" s="15"/>
      <c r="Y1190" s="16"/>
      <c r="Z1190" s="17"/>
      <c r="AA1190" s="30"/>
      <c r="AB1190" s="15"/>
    </row>
    <row r="1191" spans="1:28">
      <c r="A1191" s="2553"/>
      <c r="B1191" s="2626"/>
      <c r="C1191" s="14"/>
      <c r="D1191" s="15"/>
      <c r="E1191" s="16"/>
      <c r="F1191" s="17"/>
      <c r="G1191" s="14"/>
      <c r="H1191" s="15"/>
      <c r="I1191" s="16"/>
      <c r="J1191" s="17"/>
      <c r="K1191" s="14"/>
      <c r="L1191" s="15"/>
      <c r="M1191" s="16"/>
      <c r="N1191" s="17"/>
      <c r="O1191" s="2825"/>
      <c r="P1191" s="2826"/>
      <c r="Q1191" s="2645"/>
      <c r="R1191" s="1795"/>
      <c r="S1191" s="14"/>
      <c r="T1191" s="15"/>
      <c r="U1191" s="16"/>
      <c r="V1191" s="17"/>
      <c r="W1191" s="14"/>
      <c r="X1191" s="15"/>
      <c r="Y1191" s="16"/>
      <c r="Z1191" s="17"/>
      <c r="AA1191" s="30"/>
      <c r="AB1191" s="15"/>
    </row>
    <row r="1192" spans="1:28">
      <c r="A1192" s="1007"/>
      <c r="B1192" s="2624"/>
      <c r="C1192" s="14"/>
      <c r="D1192" s="15"/>
      <c r="E1192" s="16"/>
      <c r="F1192" s="17"/>
      <c r="G1192" s="14"/>
      <c r="H1192" s="15"/>
      <c r="I1192" s="16"/>
      <c r="J1192" s="17"/>
      <c r="K1192" s="14"/>
      <c r="L1192" s="15"/>
      <c r="M1192" s="16"/>
      <c r="N1192" s="17"/>
      <c r="O1192" s="2825"/>
      <c r="P1192" s="2826"/>
      <c r="Q1192" s="2649"/>
      <c r="R1192" s="2650"/>
      <c r="S1192" s="2651"/>
      <c r="T1192" s="2648"/>
      <c r="U1192" s="16"/>
      <c r="V1192" s="17"/>
      <c r="W1192" s="14"/>
      <c r="X1192" s="15"/>
      <c r="Y1192" s="16"/>
      <c r="Z1192" s="17"/>
      <c r="AA1192" s="30"/>
      <c r="AB1192" s="15"/>
    </row>
    <row r="1193" spans="1:28" ht="40.5" thickBot="1">
      <c r="A1193" s="2629"/>
      <c r="B1193" s="2627"/>
      <c r="C1193" s="6"/>
      <c r="D1193" s="32"/>
      <c r="E1193" s="7"/>
      <c r="F1193" s="40"/>
      <c r="G1193" s="6"/>
      <c r="H1193" s="32"/>
      <c r="I1193" s="7"/>
      <c r="J1193" s="40"/>
      <c r="K1193" s="6"/>
      <c r="L1193" s="32"/>
      <c r="M1193" s="7"/>
      <c r="N1193" s="40"/>
      <c r="O1193" s="2823"/>
      <c r="P1193" s="2823"/>
      <c r="Q1193" s="2647"/>
      <c r="R1193" s="40"/>
      <c r="S1193" s="6"/>
      <c r="T1193" s="32"/>
      <c r="U1193" s="7"/>
      <c r="V1193" s="40"/>
      <c r="W1193" s="6"/>
      <c r="X1193" s="32"/>
      <c r="Y1193" s="7"/>
      <c r="Z1193" s="40"/>
      <c r="AA1193" s="2630"/>
      <c r="AB1193" s="2631"/>
    </row>
    <row r="1196" spans="1:28">
      <c r="A1196" s="2106" t="s">
        <v>6047</v>
      </c>
      <c r="B1196" s="101"/>
    </row>
    <row r="1197" spans="1:28" ht="40.5">
      <c r="A1197" s="3" t="s">
        <v>5063</v>
      </c>
      <c r="B1197" s="23"/>
      <c r="C1197" s="3"/>
      <c r="D1197" s="3"/>
      <c r="E1197" s="3"/>
      <c r="F1197" s="3"/>
      <c r="G1197" s="3"/>
      <c r="H1197" s="3"/>
      <c r="I1197" s="3"/>
      <c r="J1197" s="3"/>
      <c r="K1197" s="3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B1197" s="4"/>
    </row>
    <row r="1198" spans="1:28" ht="40.5" thickBot="1">
      <c r="A1198" s="5" t="s">
        <v>5064</v>
      </c>
    </row>
    <row r="1199" spans="1:28">
      <c r="A1199" s="3537" t="s">
        <v>2</v>
      </c>
      <c r="B1199" s="3540" t="s">
        <v>3</v>
      </c>
      <c r="C1199" s="3537" t="s">
        <v>5065</v>
      </c>
      <c r="D1199" s="3538"/>
      <c r="E1199" s="3536" t="s">
        <v>5066</v>
      </c>
      <c r="F1199" s="3536"/>
      <c r="G1199" s="3537" t="s">
        <v>5067</v>
      </c>
      <c r="H1199" s="3538"/>
      <c r="I1199" s="3536" t="s">
        <v>5068</v>
      </c>
      <c r="J1199" s="3536"/>
      <c r="K1199" s="3537" t="s">
        <v>5069</v>
      </c>
      <c r="L1199" s="3538"/>
      <c r="M1199" s="3536" t="s">
        <v>5070</v>
      </c>
      <c r="N1199" s="3536"/>
      <c r="O1199" s="3542"/>
      <c r="P1199" s="3542"/>
      <c r="Q1199" s="3536" t="s">
        <v>5071</v>
      </c>
      <c r="R1199" s="3536"/>
      <c r="S1199" s="3536" t="s">
        <v>5072</v>
      </c>
      <c r="T1199" s="3536"/>
      <c r="U1199" s="3472" t="s">
        <v>5073</v>
      </c>
      <c r="V1199" s="3473"/>
      <c r="W1199" s="3536" t="s">
        <v>5074</v>
      </c>
      <c r="X1199" s="3536"/>
      <c r="Y1199" s="3472" t="s">
        <v>5075</v>
      </c>
      <c r="Z1199" s="3475"/>
      <c r="AA1199" s="3537" t="s">
        <v>5076</v>
      </c>
      <c r="AB1199" s="3538"/>
    </row>
    <row r="1200" spans="1:28" ht="40.5" thickBot="1">
      <c r="A1200" s="3539"/>
      <c r="B1200" s="3541"/>
      <c r="C1200" s="1" t="s">
        <v>5078</v>
      </c>
      <c r="D1200" s="35" t="s">
        <v>5079</v>
      </c>
      <c r="E1200" s="2" t="s">
        <v>5078</v>
      </c>
      <c r="F1200" s="36" t="s">
        <v>5079</v>
      </c>
      <c r="G1200" s="1" t="s">
        <v>5078</v>
      </c>
      <c r="H1200" s="35" t="s">
        <v>5079</v>
      </c>
      <c r="I1200" s="2" t="s">
        <v>5078</v>
      </c>
      <c r="J1200" s="36" t="s">
        <v>5079</v>
      </c>
      <c r="K1200" s="1" t="s">
        <v>5078</v>
      </c>
      <c r="L1200" s="35" t="s">
        <v>5079</v>
      </c>
      <c r="M1200" s="2" t="s">
        <v>5078</v>
      </c>
      <c r="N1200" s="36" t="s">
        <v>5079</v>
      </c>
      <c r="O1200" s="2769"/>
      <c r="P1200" s="2820"/>
      <c r="Q1200" s="2" t="s">
        <v>5078</v>
      </c>
      <c r="R1200" s="36" t="s">
        <v>5079</v>
      </c>
      <c r="S1200" s="1" t="s">
        <v>5078</v>
      </c>
      <c r="T1200" s="35" t="s">
        <v>5079</v>
      </c>
      <c r="U1200" s="2" t="s">
        <v>5078</v>
      </c>
      <c r="V1200" s="36" t="s">
        <v>5079</v>
      </c>
      <c r="W1200" s="1" t="s">
        <v>5078</v>
      </c>
      <c r="X1200" s="35" t="s">
        <v>5079</v>
      </c>
      <c r="Y1200" s="2" t="s">
        <v>5078</v>
      </c>
      <c r="Z1200" s="36" t="s">
        <v>5079</v>
      </c>
      <c r="AA1200" s="1" t="s">
        <v>5078</v>
      </c>
      <c r="AB1200" s="35" t="s">
        <v>5079</v>
      </c>
    </row>
    <row r="1201" spans="1:28">
      <c r="A1201" s="2637" t="s">
        <v>6048</v>
      </c>
      <c r="B1201" s="2178" t="s">
        <v>6049</v>
      </c>
      <c r="C1201" s="9"/>
      <c r="D1201" s="10"/>
      <c r="E1201" s="11"/>
      <c r="F1201" s="12"/>
      <c r="G1201" s="9"/>
      <c r="H1201" s="10"/>
      <c r="I1201" s="11"/>
      <c r="J1201" s="12"/>
      <c r="K1201" s="9"/>
      <c r="L1201" s="10"/>
      <c r="M1201" s="11"/>
      <c r="N1201" s="12"/>
      <c r="O1201" s="2821"/>
      <c r="P1201" s="2822"/>
      <c r="Q1201" s="11"/>
      <c r="R1201" s="12"/>
      <c r="S1201" s="9"/>
      <c r="T1201" s="10"/>
      <c r="U1201" s="11"/>
      <c r="V1201" s="12"/>
      <c r="W1201" s="9"/>
      <c r="X1201" s="10"/>
      <c r="Y1201" s="11"/>
      <c r="Z1201" s="12"/>
      <c r="AA1201" s="33"/>
      <c r="AB1201" s="10"/>
    </row>
    <row r="1202" spans="1:28">
      <c r="A1202" s="2599" t="s">
        <v>6050</v>
      </c>
      <c r="B1202" s="207" t="s">
        <v>6051</v>
      </c>
      <c r="C1202" s="14"/>
      <c r="D1202" s="15"/>
      <c r="E1202" s="16"/>
      <c r="F1202" s="17"/>
      <c r="G1202" s="14"/>
      <c r="H1202" s="15"/>
      <c r="I1202" s="16"/>
      <c r="J1202" s="17"/>
      <c r="K1202" s="14"/>
      <c r="L1202" s="15"/>
      <c r="M1202" s="16"/>
      <c r="N1202" s="17"/>
      <c r="O1202" s="2823"/>
      <c r="P1202" s="2823"/>
      <c r="Q1202" s="2646"/>
      <c r="R1202" s="17"/>
      <c r="S1202" s="14"/>
      <c r="T1202" s="15"/>
      <c r="U1202" s="16"/>
      <c r="V1202" s="17"/>
      <c r="W1202" s="14"/>
      <c r="X1202" s="15"/>
      <c r="Y1202" s="16"/>
      <c r="Z1202" s="17"/>
      <c r="AA1202" s="30"/>
      <c r="AB1202" s="15"/>
    </row>
    <row r="1203" spans="1:28">
      <c r="A1203" s="113" t="s">
        <v>6052</v>
      </c>
      <c r="B1203" s="101" t="s">
        <v>6051</v>
      </c>
      <c r="C1203" s="14"/>
      <c r="D1203" s="15"/>
      <c r="E1203" s="16"/>
      <c r="F1203" s="17"/>
      <c r="G1203" s="14"/>
      <c r="H1203" s="15"/>
      <c r="I1203" s="16"/>
      <c r="J1203" s="17"/>
      <c r="K1203" s="14"/>
      <c r="L1203" s="15"/>
      <c r="M1203" s="16"/>
      <c r="N1203" s="17"/>
      <c r="O1203" s="2823"/>
      <c r="P1203" s="2823"/>
      <c r="Q1203" s="2646"/>
      <c r="R1203" s="17"/>
      <c r="S1203" s="14"/>
      <c r="T1203" s="15"/>
      <c r="U1203" s="16"/>
      <c r="V1203" s="17"/>
      <c r="W1203" s="14"/>
      <c r="X1203" s="15"/>
      <c r="Y1203" s="16"/>
      <c r="Z1203" s="17"/>
      <c r="AA1203" s="30"/>
      <c r="AB1203" s="15"/>
    </row>
    <row r="1204" spans="1:28">
      <c r="A1204" s="2698" t="s">
        <v>6053</v>
      </c>
      <c r="B1204" s="2695" t="s">
        <v>6054</v>
      </c>
      <c r="C1204" s="14"/>
      <c r="D1204" s="15"/>
      <c r="E1204" s="16"/>
      <c r="F1204" s="17"/>
      <c r="G1204" s="14"/>
      <c r="H1204" s="15"/>
      <c r="I1204" s="16"/>
      <c r="J1204" s="17"/>
      <c r="K1204" s="14"/>
      <c r="L1204" s="15"/>
      <c r="M1204" s="16"/>
      <c r="N1204" s="17"/>
      <c r="O1204" s="2823"/>
      <c r="P1204" s="2823"/>
      <c r="Q1204" s="2646"/>
      <c r="R1204" s="17"/>
      <c r="S1204" s="14"/>
      <c r="T1204" s="15"/>
      <c r="U1204" s="16"/>
      <c r="V1204" s="17"/>
      <c r="W1204" s="14"/>
      <c r="X1204" s="15"/>
      <c r="Y1204" s="16"/>
      <c r="Z1204" s="17"/>
      <c r="AA1204" s="30"/>
      <c r="AB1204" s="15"/>
    </row>
    <row r="1205" spans="1:28">
      <c r="A1205" s="2696" t="s">
        <v>6055</v>
      </c>
      <c r="B1205" s="2697" t="s">
        <v>6051</v>
      </c>
      <c r="C1205" s="14"/>
      <c r="D1205" s="15"/>
      <c r="E1205" s="16"/>
      <c r="F1205" s="17"/>
      <c r="G1205" s="14"/>
      <c r="H1205" s="15"/>
      <c r="I1205" s="16"/>
      <c r="J1205" s="17"/>
      <c r="K1205" s="14"/>
      <c r="L1205" s="15"/>
      <c r="M1205" s="16"/>
      <c r="N1205" s="17"/>
      <c r="O1205" s="2823"/>
      <c r="P1205" s="2823"/>
      <c r="Q1205" s="2646"/>
      <c r="R1205" s="17"/>
      <c r="S1205" s="14"/>
      <c r="T1205" s="15"/>
      <c r="U1205" s="16"/>
      <c r="V1205" s="17"/>
      <c r="W1205" s="14"/>
      <c r="X1205" s="15"/>
      <c r="Y1205" s="16"/>
      <c r="Z1205" s="17"/>
      <c r="AA1205" s="30"/>
      <c r="AB1205" s="15"/>
    </row>
    <row r="1206" spans="1:28">
      <c r="A1206" s="2696" t="s">
        <v>6056</v>
      </c>
      <c r="B1206" s="2697" t="s">
        <v>6057</v>
      </c>
      <c r="C1206" s="14"/>
      <c r="D1206" s="15"/>
      <c r="E1206" s="16"/>
      <c r="F1206" s="17"/>
      <c r="G1206" s="14"/>
      <c r="H1206" s="15"/>
      <c r="I1206" s="16"/>
      <c r="J1206" s="17"/>
      <c r="K1206" s="14"/>
      <c r="L1206" s="15"/>
      <c r="M1206" s="16"/>
      <c r="N1206" s="17"/>
      <c r="O1206" s="2823"/>
      <c r="P1206" s="2823"/>
      <c r="Q1206" s="2646"/>
      <c r="R1206" s="17"/>
      <c r="S1206" s="14"/>
      <c r="T1206" s="15"/>
      <c r="U1206" s="16"/>
      <c r="V1206" s="17"/>
      <c r="W1206" s="14"/>
      <c r="X1206" s="15"/>
      <c r="Y1206" s="16"/>
      <c r="Z1206" s="17"/>
      <c r="AA1206" s="30"/>
      <c r="AB1206" s="15"/>
    </row>
    <row r="1207" spans="1:28">
      <c r="A1207" s="3468" t="s">
        <v>6058</v>
      </c>
      <c r="B1207" s="101" t="s">
        <v>192</v>
      </c>
      <c r="C1207" s="14"/>
      <c r="D1207" s="15"/>
      <c r="E1207" s="16"/>
      <c r="F1207" s="17"/>
      <c r="G1207" s="14"/>
      <c r="H1207" s="15"/>
      <c r="I1207" s="16"/>
      <c r="J1207" s="17"/>
      <c r="K1207" s="14"/>
      <c r="L1207" s="15"/>
      <c r="M1207" s="16"/>
      <c r="N1207" s="17"/>
      <c r="O1207" s="2823"/>
      <c r="P1207" s="2823"/>
      <c r="Q1207" s="2646"/>
      <c r="R1207" s="17"/>
      <c r="S1207" s="14"/>
      <c r="T1207" s="15"/>
      <c r="U1207" s="16"/>
      <c r="V1207" s="17"/>
      <c r="W1207" s="14"/>
      <c r="X1207" s="15"/>
      <c r="Y1207" s="16"/>
      <c r="Z1207" s="17"/>
      <c r="AA1207" s="30"/>
      <c r="AB1207" s="15"/>
    </row>
    <row r="1208" spans="1:28">
      <c r="A1208" s="406" t="s">
        <v>6059</v>
      </c>
      <c r="B1208" s="101" t="s">
        <v>1509</v>
      </c>
      <c r="C1208" s="14"/>
      <c r="D1208" s="15"/>
      <c r="E1208" s="16"/>
      <c r="F1208" s="17"/>
      <c r="G1208" s="14"/>
      <c r="H1208" s="15"/>
      <c r="I1208" s="16"/>
      <c r="J1208" s="17"/>
      <c r="K1208" s="14"/>
      <c r="L1208" s="15"/>
      <c r="M1208" s="16"/>
      <c r="N1208" s="17"/>
      <c r="O1208" s="2823"/>
      <c r="P1208" s="2823"/>
      <c r="Q1208" s="2646"/>
      <c r="R1208" s="17"/>
      <c r="S1208" s="14"/>
      <c r="T1208" s="15"/>
      <c r="U1208" s="16"/>
      <c r="V1208" s="17"/>
      <c r="W1208" s="14"/>
      <c r="X1208" s="15"/>
      <c r="Y1208" s="16"/>
      <c r="Z1208" s="17"/>
      <c r="AA1208" s="30"/>
      <c r="AB1208" s="15"/>
    </row>
    <row r="1209" spans="1:28">
      <c r="A1209" s="406" t="s">
        <v>6060</v>
      </c>
      <c r="B1209" s="101" t="s">
        <v>6061</v>
      </c>
      <c r="C1209" s="14"/>
      <c r="D1209" s="15"/>
      <c r="E1209" s="16"/>
      <c r="F1209" s="17"/>
      <c r="G1209" s="14"/>
      <c r="H1209" s="15"/>
      <c r="I1209" s="16"/>
      <c r="J1209" s="17"/>
      <c r="K1209" s="14"/>
      <c r="L1209" s="15"/>
      <c r="M1209" s="16"/>
      <c r="N1209" s="17"/>
      <c r="O1209" s="2823"/>
      <c r="P1209" s="2823"/>
      <c r="Q1209" s="2646"/>
      <c r="R1209" s="17"/>
      <c r="S1209" s="14"/>
      <c r="T1209" s="15"/>
      <c r="U1209" s="16"/>
      <c r="V1209" s="17"/>
      <c r="W1209" s="14"/>
      <c r="X1209" s="15"/>
      <c r="Y1209" s="16"/>
      <c r="Z1209" s="17"/>
      <c r="AA1209" s="30"/>
      <c r="AB1209" s="15"/>
    </row>
    <row r="1210" spans="1:28">
      <c r="A1210" s="406" t="s">
        <v>6062</v>
      </c>
      <c r="B1210" s="101" t="s">
        <v>6054</v>
      </c>
      <c r="C1210" s="14"/>
      <c r="D1210" s="15"/>
      <c r="E1210" s="16"/>
      <c r="F1210" s="17"/>
      <c r="G1210" s="14"/>
      <c r="H1210" s="15"/>
      <c r="I1210" s="16"/>
      <c r="J1210" s="17"/>
      <c r="K1210" s="14"/>
      <c r="L1210" s="15"/>
      <c r="M1210" s="16"/>
      <c r="N1210" s="17"/>
      <c r="O1210" s="2823"/>
      <c r="P1210" s="2823"/>
      <c r="Q1210" s="2646"/>
      <c r="R1210" s="17"/>
      <c r="S1210" s="14"/>
      <c r="T1210" s="15"/>
      <c r="U1210" s="16"/>
      <c r="V1210" s="17"/>
      <c r="W1210" s="14"/>
      <c r="X1210" s="15"/>
      <c r="Y1210" s="16"/>
      <c r="Z1210" s="17"/>
      <c r="AA1210" s="30"/>
      <c r="AB1210" s="15"/>
    </row>
    <row r="1211" spans="1:28">
      <c r="A1211" s="406" t="s">
        <v>6063</v>
      </c>
      <c r="B1211" s="101" t="s">
        <v>6064</v>
      </c>
      <c r="C1211" s="14"/>
      <c r="D1211" s="15"/>
      <c r="E1211" s="16"/>
      <c r="F1211" s="17"/>
      <c r="G1211" s="14"/>
      <c r="H1211" s="15"/>
      <c r="I1211" s="16"/>
      <c r="J1211" s="17"/>
      <c r="K1211" s="14"/>
      <c r="L1211" s="15"/>
      <c r="M1211" s="16"/>
      <c r="N1211" s="17"/>
      <c r="O1211" s="2823"/>
      <c r="P1211" s="2823"/>
      <c r="Q1211" s="2646"/>
      <c r="R1211" s="17"/>
      <c r="S1211" s="14"/>
      <c r="T1211" s="15"/>
      <c r="U1211" s="16"/>
      <c r="V1211" s="17"/>
      <c r="W1211" s="14"/>
      <c r="X1211" s="15"/>
      <c r="Y1211" s="16"/>
      <c r="Z1211" s="17"/>
      <c r="AA1211" s="30"/>
      <c r="AB1211" s="15"/>
    </row>
    <row r="1212" spans="1:28">
      <c r="A1212" s="3468" t="s">
        <v>6065</v>
      </c>
      <c r="B1212" s="101" t="s">
        <v>6064</v>
      </c>
      <c r="C1212" s="14"/>
      <c r="D1212" s="15"/>
      <c r="E1212" s="16"/>
      <c r="F1212" s="17"/>
      <c r="G1212" s="14"/>
      <c r="H1212" s="15"/>
      <c r="I1212" s="16"/>
      <c r="J1212" s="17"/>
      <c r="K1212" s="14"/>
      <c r="L1212" s="15"/>
      <c r="M1212" s="16"/>
      <c r="N1212" s="17"/>
      <c r="O1212" s="2823"/>
      <c r="P1212" s="2823"/>
      <c r="Q1212" s="2646"/>
      <c r="R1212" s="17"/>
      <c r="S1212" s="14"/>
      <c r="T1212" s="15"/>
      <c r="U1212" s="16"/>
      <c r="V1212" s="17"/>
      <c r="W1212" s="14"/>
      <c r="X1212" s="15"/>
      <c r="Y1212" s="16"/>
      <c r="Z1212" s="17"/>
      <c r="AA1212" s="30"/>
      <c r="AB1212" s="15"/>
    </row>
    <row r="1213" spans="1:28">
      <c r="A1213" s="3468" t="s">
        <v>6066</v>
      </c>
      <c r="B1213" s="101" t="s">
        <v>6057</v>
      </c>
      <c r="C1213" s="14"/>
      <c r="D1213" s="15"/>
      <c r="E1213" s="16"/>
      <c r="F1213" s="17"/>
      <c r="G1213" s="14"/>
      <c r="H1213" s="15"/>
      <c r="I1213" s="16"/>
      <c r="J1213" s="17"/>
      <c r="K1213" s="14"/>
      <c r="L1213" s="15"/>
      <c r="M1213" s="16"/>
      <c r="N1213" s="17"/>
      <c r="O1213" s="2823"/>
      <c r="P1213" s="2823"/>
      <c r="Q1213" s="2646"/>
      <c r="R1213" s="17"/>
      <c r="S1213" s="14"/>
      <c r="T1213" s="15"/>
      <c r="U1213" s="16"/>
      <c r="V1213" s="17"/>
      <c r="W1213" s="14"/>
      <c r="X1213" s="15"/>
      <c r="Y1213" s="16"/>
      <c r="Z1213" s="17"/>
      <c r="AA1213" s="30"/>
      <c r="AB1213" s="15"/>
    </row>
    <row r="1214" spans="1:28">
      <c r="A1214" s="3468" t="s">
        <v>6067</v>
      </c>
      <c r="B1214" s="101" t="s">
        <v>6057</v>
      </c>
      <c r="C1214" s="14"/>
      <c r="D1214" s="15"/>
      <c r="E1214" s="16"/>
      <c r="F1214" s="17"/>
      <c r="G1214" s="14"/>
      <c r="H1214" s="15"/>
      <c r="I1214" s="16"/>
      <c r="J1214" s="17"/>
      <c r="K1214" s="14"/>
      <c r="L1214" s="15"/>
      <c r="M1214" s="16"/>
      <c r="N1214" s="17"/>
      <c r="O1214" s="2823"/>
      <c r="P1214" s="2823"/>
      <c r="Q1214" s="2646"/>
      <c r="R1214" s="17"/>
      <c r="S1214" s="14"/>
      <c r="T1214" s="15"/>
      <c r="U1214" s="16"/>
      <c r="V1214" s="17"/>
      <c r="W1214" s="14"/>
      <c r="X1214" s="15"/>
      <c r="Y1214" s="16"/>
      <c r="Z1214" s="17"/>
      <c r="AA1214" s="30"/>
      <c r="AB1214" s="15"/>
    </row>
    <row r="1215" spans="1:28">
      <c r="A1215" s="2638" t="s">
        <v>6068</v>
      </c>
      <c r="B1215" s="101" t="s">
        <v>6057</v>
      </c>
      <c r="C1215" s="14"/>
      <c r="D1215" s="15"/>
      <c r="E1215" s="16"/>
      <c r="F1215" s="17"/>
      <c r="G1215" s="14"/>
      <c r="H1215" s="15"/>
      <c r="I1215" s="16"/>
      <c r="J1215" s="17"/>
      <c r="K1215" s="14"/>
      <c r="L1215" s="15"/>
      <c r="M1215" s="16"/>
      <c r="N1215" s="17"/>
      <c r="O1215" s="2824"/>
      <c r="P1215" s="2824"/>
      <c r="Q1215" s="2646"/>
      <c r="R1215" s="17"/>
      <c r="S1215" s="14"/>
      <c r="T1215" s="15"/>
      <c r="U1215" s="16"/>
      <c r="V1215" s="17"/>
      <c r="W1215" s="14"/>
      <c r="X1215" s="15"/>
      <c r="Y1215" s="16"/>
      <c r="Z1215" s="17"/>
      <c r="AA1215" s="30"/>
      <c r="AB1215" s="15"/>
    </row>
    <row r="1216" spans="1:28">
      <c r="A1216" s="3468" t="s">
        <v>6069</v>
      </c>
      <c r="B1216" s="101" t="s">
        <v>6057</v>
      </c>
      <c r="C1216" s="14"/>
      <c r="D1216" s="15"/>
      <c r="E1216" s="16"/>
      <c r="F1216" s="17"/>
      <c r="G1216" s="14"/>
      <c r="H1216" s="15"/>
      <c r="I1216" s="16"/>
      <c r="J1216" s="17"/>
      <c r="K1216" s="14"/>
      <c r="L1216" s="15"/>
      <c r="M1216" s="16"/>
      <c r="N1216" s="17"/>
      <c r="O1216" s="2825"/>
      <c r="P1216" s="2826"/>
      <c r="Q1216" s="2645"/>
      <c r="R1216" s="1795"/>
      <c r="S1216" s="14"/>
      <c r="T1216" s="15"/>
      <c r="U1216" s="16"/>
      <c r="V1216" s="17"/>
      <c r="W1216" s="14"/>
      <c r="X1216" s="15"/>
      <c r="Y1216" s="16"/>
      <c r="Z1216" s="17"/>
      <c r="AA1216" s="30"/>
      <c r="AB1216" s="15"/>
    </row>
    <row r="1217" spans="1:28">
      <c r="A1217" s="3468" t="s">
        <v>6070</v>
      </c>
      <c r="B1217" s="101" t="s">
        <v>6057</v>
      </c>
      <c r="C1217" s="14"/>
      <c r="D1217" s="15"/>
      <c r="E1217" s="16"/>
      <c r="F1217" s="17"/>
      <c r="G1217" s="14"/>
      <c r="H1217" s="15"/>
      <c r="I1217" s="16"/>
      <c r="J1217" s="17"/>
      <c r="K1217" s="14"/>
      <c r="L1217" s="15"/>
      <c r="M1217" s="16"/>
      <c r="N1217" s="17"/>
      <c r="O1217" s="2825"/>
      <c r="P1217" s="2826"/>
      <c r="Q1217" s="2649"/>
      <c r="R1217" s="2650"/>
      <c r="S1217" s="2651"/>
      <c r="T1217" s="2648"/>
      <c r="U1217" s="16"/>
      <c r="V1217" s="17"/>
      <c r="W1217" s="14"/>
      <c r="X1217" s="15"/>
      <c r="Y1217" s="16"/>
      <c r="Z1217" s="17"/>
      <c r="AA1217" s="30"/>
      <c r="AB1217" s="15"/>
    </row>
    <row r="1218" spans="1:28" ht="40.5" thickBot="1">
      <c r="A1218" s="1378" t="s">
        <v>6071</v>
      </c>
      <c r="B1218" s="101" t="s">
        <v>6057</v>
      </c>
      <c r="C1218" s="6"/>
      <c r="D1218" s="32"/>
      <c r="E1218" s="7"/>
      <c r="F1218" s="40"/>
      <c r="G1218" s="6"/>
      <c r="H1218" s="32"/>
      <c r="I1218" s="7"/>
      <c r="J1218" s="40"/>
      <c r="K1218" s="6"/>
      <c r="L1218" s="32"/>
      <c r="M1218" s="7"/>
      <c r="N1218" s="40"/>
      <c r="O1218" s="2823"/>
      <c r="P1218" s="2823"/>
      <c r="Q1218" s="2647"/>
      <c r="R1218" s="40"/>
      <c r="S1218" s="6"/>
      <c r="T1218" s="32"/>
      <c r="U1218" s="7"/>
      <c r="V1218" s="40"/>
      <c r="W1218" s="6"/>
      <c r="X1218" s="32"/>
      <c r="Y1218" s="7"/>
      <c r="Z1218" s="40"/>
      <c r="AA1218" s="2630"/>
      <c r="AB1218" s="2631"/>
    </row>
    <row r="1219" spans="1:28">
      <c r="A1219" s="1598"/>
      <c r="B1219" s="104"/>
    </row>
    <row r="1221" spans="1:28">
      <c r="A1221" s="2080"/>
      <c r="B1221" s="2573"/>
    </row>
    <row r="1222" spans="1:28" ht="40.5">
      <c r="A1222" s="3" t="s">
        <v>5063</v>
      </c>
      <c r="B1222" s="23"/>
      <c r="C1222" s="3"/>
      <c r="D1222" s="3"/>
      <c r="E1222" s="3"/>
      <c r="F1222" s="3"/>
      <c r="G1222" s="3"/>
      <c r="H1222" s="3"/>
      <c r="I1222" s="3"/>
      <c r="J1222" s="3"/>
      <c r="K1222" s="3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B1222" s="4"/>
    </row>
    <row r="1223" spans="1:28" ht="40.5" thickBot="1">
      <c r="A1223" s="5" t="s">
        <v>5064</v>
      </c>
    </row>
    <row r="1224" spans="1:28">
      <c r="A1224" s="3537" t="s">
        <v>2</v>
      </c>
      <c r="B1224" s="3540" t="s">
        <v>3</v>
      </c>
      <c r="C1224" s="3537" t="s">
        <v>5065</v>
      </c>
      <c r="D1224" s="3538"/>
      <c r="E1224" s="3536" t="s">
        <v>5066</v>
      </c>
      <c r="F1224" s="3536"/>
      <c r="G1224" s="3537" t="s">
        <v>5067</v>
      </c>
      <c r="H1224" s="3538"/>
      <c r="I1224" s="3536" t="s">
        <v>5068</v>
      </c>
      <c r="J1224" s="3536"/>
      <c r="K1224" s="3537" t="s">
        <v>5069</v>
      </c>
      <c r="L1224" s="3538"/>
      <c r="M1224" s="3536" t="s">
        <v>5070</v>
      </c>
      <c r="N1224" s="3536"/>
      <c r="O1224" s="3542"/>
      <c r="P1224" s="3542"/>
      <c r="Q1224" s="3536" t="s">
        <v>5071</v>
      </c>
      <c r="R1224" s="3536"/>
      <c r="S1224" s="3536" t="s">
        <v>5072</v>
      </c>
      <c r="T1224" s="3536"/>
      <c r="U1224" s="3472" t="s">
        <v>5073</v>
      </c>
      <c r="V1224" s="3473"/>
      <c r="W1224" s="3536" t="s">
        <v>5074</v>
      </c>
      <c r="X1224" s="3536"/>
      <c r="Y1224" s="3472" t="s">
        <v>5075</v>
      </c>
      <c r="Z1224" s="3475"/>
      <c r="AA1224" s="3537" t="s">
        <v>5076</v>
      </c>
      <c r="AB1224" s="3538"/>
    </row>
    <row r="1225" spans="1:28" ht="40.5" thickBot="1">
      <c r="A1225" s="3539"/>
      <c r="B1225" s="3541"/>
      <c r="C1225" s="1" t="s">
        <v>5078</v>
      </c>
      <c r="D1225" s="35" t="s">
        <v>5079</v>
      </c>
      <c r="E1225" s="2" t="s">
        <v>5078</v>
      </c>
      <c r="F1225" s="36" t="s">
        <v>5079</v>
      </c>
      <c r="G1225" s="1" t="s">
        <v>5078</v>
      </c>
      <c r="H1225" s="35" t="s">
        <v>5079</v>
      </c>
      <c r="I1225" s="2" t="s">
        <v>5078</v>
      </c>
      <c r="J1225" s="36" t="s">
        <v>5079</v>
      </c>
      <c r="K1225" s="1" t="s">
        <v>5078</v>
      </c>
      <c r="L1225" s="35" t="s">
        <v>5079</v>
      </c>
      <c r="M1225" s="2" t="s">
        <v>5078</v>
      </c>
      <c r="N1225" s="36" t="s">
        <v>5079</v>
      </c>
      <c r="O1225" s="2769"/>
      <c r="P1225" s="2820"/>
      <c r="Q1225" s="2" t="s">
        <v>5078</v>
      </c>
      <c r="R1225" s="36" t="s">
        <v>5079</v>
      </c>
      <c r="S1225" s="1" t="s">
        <v>5078</v>
      </c>
      <c r="T1225" s="35" t="s">
        <v>5079</v>
      </c>
      <c r="U1225" s="2" t="s">
        <v>5078</v>
      </c>
      <c r="V1225" s="36" t="s">
        <v>5079</v>
      </c>
      <c r="W1225" s="1" t="s">
        <v>5078</v>
      </c>
      <c r="X1225" s="35" t="s">
        <v>5079</v>
      </c>
      <c r="Y1225" s="2" t="s">
        <v>5078</v>
      </c>
      <c r="Z1225" s="36" t="s">
        <v>5079</v>
      </c>
      <c r="AA1225" s="1" t="s">
        <v>5078</v>
      </c>
      <c r="AB1225" s="35" t="s">
        <v>5079</v>
      </c>
    </row>
    <row r="1226" spans="1:28">
      <c r="A1226" s="3185" t="s">
        <v>6072</v>
      </c>
      <c r="B1226" s="2632"/>
      <c r="C1226" s="9"/>
      <c r="D1226" s="10"/>
      <c r="E1226" s="11"/>
      <c r="F1226" s="12"/>
      <c r="G1226" s="9"/>
      <c r="H1226" s="10"/>
      <c r="I1226" s="11"/>
      <c r="J1226" s="12"/>
      <c r="K1226" s="9"/>
      <c r="L1226" s="10"/>
      <c r="M1226" s="11"/>
      <c r="N1226" s="12"/>
      <c r="O1226" s="3187" t="s">
        <v>6073</v>
      </c>
      <c r="P1226" s="2830"/>
      <c r="Q1226" s="3172"/>
      <c r="R1226" s="3173"/>
      <c r="S1226" s="9"/>
      <c r="T1226" s="10"/>
      <c r="U1226" s="11"/>
      <c r="V1226" s="12"/>
      <c r="W1226" s="9"/>
      <c r="X1226" s="10"/>
      <c r="Y1226" s="11"/>
      <c r="Z1226" s="12"/>
      <c r="AA1226" s="33"/>
      <c r="AB1226" s="10"/>
    </row>
    <row r="1227" spans="1:28">
      <c r="A1227" s="3185" t="s">
        <v>6074</v>
      </c>
      <c r="B1227" s="2621"/>
      <c r="C1227" s="14"/>
      <c r="D1227" s="15"/>
      <c r="E1227" s="16"/>
      <c r="F1227" s="17"/>
      <c r="G1227" s="14"/>
      <c r="H1227" s="15"/>
      <c r="I1227" s="16"/>
      <c r="J1227" s="17"/>
      <c r="K1227" s="14"/>
      <c r="L1227" s="15"/>
      <c r="M1227" s="16"/>
      <c r="N1227" s="17"/>
      <c r="O1227" s="3187" t="s">
        <v>6075</v>
      </c>
      <c r="P1227" s="2830"/>
      <c r="Q1227" s="791"/>
      <c r="R1227" s="3174"/>
      <c r="S1227" s="14"/>
      <c r="T1227" s="15"/>
      <c r="U1227" s="16"/>
      <c r="V1227" s="17"/>
      <c r="W1227" s="14"/>
      <c r="X1227" s="15"/>
      <c r="Y1227" s="16"/>
      <c r="Z1227" s="17"/>
      <c r="AA1227" s="30"/>
      <c r="AB1227" s="15"/>
    </row>
    <row r="1228" spans="1:28">
      <c r="A1228" s="3185" t="s">
        <v>6076</v>
      </c>
      <c r="B1228" s="2621"/>
      <c r="C1228" s="14"/>
      <c r="D1228" s="15"/>
      <c r="E1228" s="16"/>
      <c r="F1228" s="17"/>
      <c r="G1228" s="14"/>
      <c r="H1228" s="15"/>
      <c r="I1228" s="16"/>
      <c r="J1228" s="17"/>
      <c r="K1228" s="14"/>
      <c r="L1228" s="15"/>
      <c r="M1228" s="16"/>
      <c r="N1228" s="17"/>
      <c r="O1228" s="3187" t="s">
        <v>6077</v>
      </c>
      <c r="P1228" s="2830"/>
      <c r="Q1228" s="791"/>
      <c r="R1228" s="3174"/>
      <c r="S1228" s="14"/>
      <c r="T1228" s="15"/>
      <c r="U1228" s="16"/>
      <c r="V1228" s="17"/>
      <c r="W1228" s="14"/>
      <c r="X1228" s="15"/>
      <c r="Y1228" s="16"/>
      <c r="Z1228" s="17"/>
      <c r="AA1228" s="30"/>
      <c r="AB1228" s="15"/>
    </row>
    <row r="1229" spans="1:28">
      <c r="A1229" s="3185" t="s">
        <v>6078</v>
      </c>
      <c r="B1229" s="2621"/>
      <c r="C1229" s="14"/>
      <c r="D1229" s="15"/>
      <c r="E1229" s="16"/>
      <c r="F1229" s="17"/>
      <c r="G1229" s="14"/>
      <c r="H1229" s="15"/>
      <c r="I1229" s="16"/>
      <c r="J1229" s="17"/>
      <c r="K1229" s="14"/>
      <c r="L1229" s="15"/>
      <c r="M1229" s="16"/>
      <c r="N1229" s="17"/>
      <c r="O1229" s="3187" t="s">
        <v>6079</v>
      </c>
      <c r="P1229" s="2830"/>
      <c r="Q1229" s="791"/>
      <c r="R1229" s="3174"/>
      <c r="S1229" s="14"/>
      <c r="T1229" s="15"/>
      <c r="U1229" s="16"/>
      <c r="V1229" s="17"/>
      <c r="W1229" s="14"/>
      <c r="X1229" s="15"/>
      <c r="Y1229" s="16"/>
      <c r="Z1229" s="17"/>
      <c r="AA1229" s="30"/>
      <c r="AB1229" s="15"/>
    </row>
    <row r="1230" spans="1:28">
      <c r="A1230" s="3186" t="s">
        <v>6080</v>
      </c>
      <c r="B1230" s="2622"/>
      <c r="C1230" s="14"/>
      <c r="D1230" s="15"/>
      <c r="E1230" s="16"/>
      <c r="F1230" s="17"/>
      <c r="G1230" s="14"/>
      <c r="H1230" s="15"/>
      <c r="I1230" s="16"/>
      <c r="J1230" s="17"/>
      <c r="K1230" s="14"/>
      <c r="L1230" s="15"/>
      <c r="M1230" s="16"/>
      <c r="N1230" s="17"/>
      <c r="O1230" s="3187" t="s">
        <v>6081</v>
      </c>
      <c r="P1230" s="2830"/>
      <c r="Q1230" s="791"/>
      <c r="R1230" s="3174"/>
      <c r="S1230" s="14"/>
      <c r="T1230" s="15"/>
      <c r="U1230" s="16"/>
      <c r="V1230" s="17"/>
      <c r="W1230" s="14"/>
      <c r="X1230" s="15"/>
      <c r="Y1230" s="16"/>
      <c r="Z1230" s="17"/>
      <c r="AA1230" s="30"/>
      <c r="AB1230" s="15"/>
    </row>
    <row r="1231" spans="1:28">
      <c r="A1231" s="3183" t="s">
        <v>6082</v>
      </c>
      <c r="B1231" s="2621"/>
      <c r="C1231" s="14"/>
      <c r="D1231" s="15"/>
      <c r="E1231" s="16"/>
      <c r="F1231" s="17"/>
      <c r="G1231" s="14"/>
      <c r="H1231" s="15"/>
      <c r="I1231" s="16"/>
      <c r="J1231" s="17"/>
      <c r="K1231" s="14"/>
      <c r="L1231" s="15"/>
      <c r="M1231" s="16"/>
      <c r="N1231" s="17"/>
      <c r="O1231" s="3178" t="s">
        <v>6083</v>
      </c>
      <c r="P1231" s="3179"/>
      <c r="Q1231" s="791"/>
      <c r="R1231" s="514"/>
      <c r="S1231" s="14"/>
      <c r="T1231" s="15"/>
      <c r="U1231" s="16"/>
      <c r="V1231" s="17"/>
      <c r="W1231" s="14"/>
      <c r="X1231" s="15"/>
      <c r="Y1231" s="16"/>
      <c r="Z1231" s="17"/>
      <c r="AA1231" s="30"/>
      <c r="AB1231" s="15"/>
    </row>
    <row r="1232" spans="1:28">
      <c r="A1232" s="3183" t="s">
        <v>6084</v>
      </c>
      <c r="B1232" s="2621"/>
      <c r="C1232" s="14"/>
      <c r="D1232" s="15"/>
      <c r="E1232" s="16"/>
      <c r="F1232" s="17"/>
      <c r="G1232" s="14"/>
      <c r="H1232" s="15"/>
      <c r="I1232" s="16"/>
      <c r="J1232" s="17"/>
      <c r="K1232" s="14"/>
      <c r="L1232" s="15"/>
      <c r="M1232" s="16"/>
      <c r="N1232" s="17"/>
      <c r="O1232" s="3179" t="s">
        <v>6085</v>
      </c>
      <c r="P1232" s="3179"/>
      <c r="Q1232" s="2646"/>
      <c r="R1232" s="17"/>
      <c r="S1232" s="14"/>
      <c r="T1232" s="15"/>
      <c r="U1232" s="16"/>
      <c r="V1232" s="17"/>
      <c r="W1232" s="14"/>
      <c r="X1232" s="15"/>
      <c r="Y1232" s="16"/>
      <c r="Z1232" s="17"/>
      <c r="AA1232" s="30"/>
      <c r="AB1232" s="15"/>
    </row>
    <row r="1233" spans="1:28">
      <c r="A1233" s="3183" t="s">
        <v>6086</v>
      </c>
      <c r="B1233" s="2621"/>
      <c r="C1233" s="14"/>
      <c r="D1233" s="15"/>
      <c r="E1233" s="16"/>
      <c r="F1233" s="17"/>
      <c r="G1233" s="14"/>
      <c r="H1233" s="15"/>
      <c r="I1233" s="16"/>
      <c r="J1233" s="17"/>
      <c r="K1233" s="14"/>
      <c r="L1233" s="15"/>
      <c r="M1233" s="16"/>
      <c r="N1233" s="17"/>
      <c r="O1233" s="3179" t="s">
        <v>6087</v>
      </c>
      <c r="P1233" s="3179"/>
      <c r="Q1233" s="2646"/>
      <c r="R1233" s="17"/>
      <c r="S1233" s="14"/>
      <c r="T1233" s="15"/>
      <c r="U1233" s="16"/>
      <c r="V1233" s="17"/>
      <c r="W1233" s="14"/>
      <c r="X1233" s="15"/>
      <c r="Y1233" s="16"/>
      <c r="Z1233" s="17"/>
      <c r="AA1233" s="30"/>
      <c r="AB1233" s="15"/>
    </row>
    <row r="1234" spans="1:28">
      <c r="A1234" s="3183" t="s">
        <v>6088</v>
      </c>
      <c r="B1234" s="2622"/>
      <c r="C1234" s="14"/>
      <c r="D1234" s="15"/>
      <c r="E1234" s="16"/>
      <c r="F1234" s="17"/>
      <c r="G1234" s="14"/>
      <c r="H1234" s="15"/>
      <c r="I1234" s="16"/>
      <c r="J1234" s="17"/>
      <c r="K1234" s="14"/>
      <c r="L1234" s="15"/>
      <c r="M1234" s="16"/>
      <c r="N1234" s="17"/>
      <c r="O1234" s="3179" t="s">
        <v>6089</v>
      </c>
      <c r="P1234" s="3179"/>
      <c r="Q1234" s="2646"/>
      <c r="R1234" s="17"/>
      <c r="S1234" s="14"/>
      <c r="T1234" s="15"/>
      <c r="U1234" s="16"/>
      <c r="V1234" s="17"/>
      <c r="W1234" s="14"/>
      <c r="X1234" s="15"/>
      <c r="Y1234" s="16"/>
      <c r="Z1234" s="17"/>
      <c r="AA1234" s="30"/>
      <c r="AB1234" s="15"/>
    </row>
    <row r="1235" spans="1:28">
      <c r="A1235" s="3183" t="s">
        <v>6090</v>
      </c>
      <c r="B1235" s="2622"/>
      <c r="C1235" s="14"/>
      <c r="D1235" s="15"/>
      <c r="E1235" s="16"/>
      <c r="F1235" s="17"/>
      <c r="G1235" s="14"/>
      <c r="H1235" s="15"/>
      <c r="I1235" s="16"/>
      <c r="J1235" s="17"/>
      <c r="K1235" s="14"/>
      <c r="L1235" s="15"/>
      <c r="M1235" s="16"/>
      <c r="N1235" s="17"/>
      <c r="O1235" s="3179" t="s">
        <v>6091</v>
      </c>
      <c r="P1235" s="3179"/>
      <c r="Q1235" s="2646"/>
      <c r="R1235" s="17"/>
      <c r="S1235" s="14"/>
      <c r="T1235" s="15"/>
      <c r="U1235" s="16"/>
      <c r="V1235" s="17"/>
      <c r="W1235" s="14"/>
      <c r="X1235" s="15"/>
      <c r="Y1235" s="16"/>
      <c r="Z1235" s="17"/>
      <c r="AA1235" s="30"/>
      <c r="AB1235" s="15"/>
    </row>
    <row r="1236" spans="1:28">
      <c r="A1236" s="3183" t="s">
        <v>6092</v>
      </c>
      <c r="B1236" s="2623"/>
      <c r="C1236" s="14"/>
      <c r="D1236" s="15"/>
      <c r="E1236" s="16"/>
      <c r="F1236" s="17"/>
      <c r="G1236" s="14"/>
      <c r="H1236" s="15"/>
      <c r="I1236" s="16"/>
      <c r="J1236" s="17"/>
      <c r="K1236" s="14"/>
      <c r="L1236" s="15"/>
      <c r="M1236" s="16"/>
      <c r="N1236" s="17"/>
      <c r="O1236" s="3179" t="s">
        <v>6093</v>
      </c>
      <c r="P1236" s="3179"/>
      <c r="Q1236" s="2646"/>
      <c r="R1236" s="17"/>
      <c r="S1236" s="14"/>
      <c r="T1236" s="15"/>
      <c r="U1236" s="16"/>
      <c r="V1236" s="17"/>
      <c r="W1236" s="14"/>
      <c r="X1236" s="15"/>
      <c r="Y1236" s="16"/>
      <c r="Z1236" s="17"/>
      <c r="AA1236" s="30"/>
      <c r="AB1236" s="15"/>
    </row>
    <row r="1237" spans="1:28">
      <c r="A1237" s="3183" t="s">
        <v>6094</v>
      </c>
      <c r="B1237" s="2624"/>
      <c r="C1237" s="14"/>
      <c r="D1237" s="15"/>
      <c r="E1237" s="16"/>
      <c r="F1237" s="17"/>
      <c r="G1237" s="14"/>
      <c r="H1237" s="15"/>
      <c r="I1237" s="16"/>
      <c r="J1237" s="17"/>
      <c r="K1237" s="14"/>
      <c r="L1237" s="15"/>
      <c r="M1237" s="16"/>
      <c r="N1237" s="17"/>
      <c r="O1237" s="3179" t="s">
        <v>6095</v>
      </c>
      <c r="P1237" s="3179"/>
      <c r="Q1237" s="2646"/>
      <c r="R1237" s="17"/>
      <c r="S1237" s="14"/>
      <c r="T1237" s="15"/>
      <c r="U1237" s="16"/>
      <c r="V1237" s="17"/>
      <c r="W1237" s="14"/>
      <c r="X1237" s="15"/>
      <c r="Y1237" s="16"/>
      <c r="Z1237" s="17"/>
      <c r="AA1237" s="30"/>
      <c r="AB1237" s="15"/>
    </row>
    <row r="1238" spans="1:28">
      <c r="A1238" s="3183" t="s">
        <v>6096</v>
      </c>
      <c r="B1238" s="2624"/>
      <c r="C1238" s="14"/>
      <c r="D1238" s="15"/>
      <c r="E1238" s="16"/>
      <c r="F1238" s="17"/>
      <c r="G1238" s="14"/>
      <c r="H1238" s="15"/>
      <c r="I1238" s="16"/>
      <c r="J1238" s="17"/>
      <c r="K1238" s="14"/>
      <c r="L1238" s="15"/>
      <c r="M1238" s="16"/>
      <c r="N1238" s="17"/>
      <c r="O1238" s="3179" t="s">
        <v>6097</v>
      </c>
      <c r="P1238" s="3179"/>
      <c r="Q1238" s="2646"/>
      <c r="R1238" s="17"/>
      <c r="S1238" s="14"/>
      <c r="T1238" s="15"/>
      <c r="U1238" s="16"/>
      <c r="V1238" s="17"/>
      <c r="W1238" s="14"/>
      <c r="X1238" s="15"/>
      <c r="Y1238" s="16"/>
      <c r="Z1238" s="17"/>
      <c r="AA1238" s="30"/>
      <c r="AB1238" s="15"/>
    </row>
    <row r="1239" spans="1:28">
      <c r="A1239" s="3183" t="s">
        <v>6098</v>
      </c>
      <c r="B1239" s="2625"/>
      <c r="C1239" s="14"/>
      <c r="D1239" s="15"/>
      <c r="E1239" s="16"/>
      <c r="F1239" s="17"/>
      <c r="G1239" s="14"/>
      <c r="H1239" s="15"/>
      <c r="I1239" s="16"/>
      <c r="J1239" s="17"/>
      <c r="K1239" s="14"/>
      <c r="L1239" s="15"/>
      <c r="M1239" s="16"/>
      <c r="N1239" s="17"/>
      <c r="O1239" s="3179" t="s">
        <v>6099</v>
      </c>
      <c r="P1239" s="3179"/>
      <c r="Q1239" s="2646"/>
      <c r="R1239" s="17"/>
      <c r="S1239" s="14"/>
      <c r="T1239" s="15"/>
      <c r="U1239" s="16"/>
      <c r="V1239" s="17"/>
      <c r="W1239" s="14"/>
      <c r="X1239" s="15"/>
      <c r="Y1239" s="16"/>
      <c r="Z1239" s="17"/>
      <c r="AA1239" s="30"/>
      <c r="AB1239" s="15"/>
    </row>
    <row r="1240" spans="1:28">
      <c r="A1240" s="3183" t="s">
        <v>6100</v>
      </c>
      <c r="B1240" s="2626"/>
      <c r="C1240" s="14"/>
      <c r="D1240" s="15"/>
      <c r="E1240" s="16"/>
      <c r="F1240" s="17"/>
      <c r="G1240" s="14"/>
      <c r="H1240" s="15"/>
      <c r="I1240" s="16"/>
      <c r="J1240" s="17"/>
      <c r="K1240" s="14"/>
      <c r="L1240" s="15"/>
      <c r="M1240" s="16"/>
      <c r="N1240" s="17"/>
      <c r="O1240" s="3179" t="s">
        <v>6101</v>
      </c>
      <c r="P1240" s="3179"/>
      <c r="Q1240" s="2646"/>
      <c r="R1240" s="17"/>
      <c r="S1240" s="14"/>
      <c r="T1240" s="15"/>
      <c r="U1240" s="16"/>
      <c r="V1240" s="17"/>
      <c r="W1240" s="14"/>
      <c r="X1240" s="15"/>
      <c r="Y1240" s="16"/>
      <c r="Z1240" s="17"/>
      <c r="AA1240" s="30"/>
      <c r="AB1240" s="15"/>
    </row>
    <row r="1241" spans="1:28">
      <c r="A1241" s="3183" t="s">
        <v>6102</v>
      </c>
      <c r="B1241" s="2626"/>
      <c r="C1241" s="14"/>
      <c r="D1241" s="15"/>
      <c r="E1241" s="16"/>
      <c r="F1241" s="17"/>
      <c r="G1241" s="14"/>
      <c r="H1241" s="15"/>
      <c r="I1241" s="16"/>
      <c r="J1241" s="17"/>
      <c r="K1241" s="14"/>
      <c r="L1241" s="15"/>
      <c r="M1241" s="16"/>
      <c r="N1241" s="17"/>
      <c r="O1241" s="3180" t="s">
        <v>6103</v>
      </c>
      <c r="P1241" s="3181"/>
      <c r="Q1241" s="2646"/>
      <c r="R1241" s="1795"/>
      <c r="S1241" s="14"/>
      <c r="T1241" s="15"/>
      <c r="U1241" s="16"/>
      <c r="V1241" s="17"/>
      <c r="W1241" s="14"/>
      <c r="X1241" s="15"/>
      <c r="Y1241" s="16"/>
      <c r="Z1241" s="17"/>
      <c r="AA1241" s="30"/>
      <c r="AB1241" s="15"/>
    </row>
    <row r="1242" spans="1:28">
      <c r="A1242" s="3183" t="s">
        <v>6104</v>
      </c>
      <c r="B1242" s="2624"/>
      <c r="C1242" s="14"/>
      <c r="D1242" s="15"/>
      <c r="E1242" s="16"/>
      <c r="F1242" s="17"/>
      <c r="G1242" s="14"/>
      <c r="H1242" s="15"/>
      <c r="I1242" s="16"/>
      <c r="J1242" s="17"/>
      <c r="K1242" s="14"/>
      <c r="L1242" s="15"/>
      <c r="M1242" s="16"/>
      <c r="N1242" s="17"/>
      <c r="O1242" s="3184" t="s">
        <v>6105</v>
      </c>
      <c r="P1242" s="3182"/>
      <c r="Q1242" s="2649"/>
      <c r="R1242" s="2650"/>
      <c r="S1242" s="2651"/>
      <c r="T1242" s="2648"/>
      <c r="U1242" s="16"/>
      <c r="V1242" s="17"/>
      <c r="W1242" s="14"/>
      <c r="X1242" s="15"/>
      <c r="Y1242" s="16"/>
      <c r="Z1242" s="17"/>
      <c r="AA1242" s="30"/>
      <c r="AB1242" s="15"/>
    </row>
    <row r="1243" spans="1:28" ht="40.5" thickBot="1">
      <c r="A1243" s="3183" t="s">
        <v>6106</v>
      </c>
      <c r="B1243" s="2627"/>
      <c r="C1243" s="6"/>
      <c r="D1243" s="32"/>
      <c r="E1243" s="7"/>
      <c r="F1243" s="40"/>
      <c r="G1243" s="6"/>
      <c r="H1243" s="32"/>
      <c r="I1243" s="7"/>
      <c r="J1243" s="40"/>
      <c r="K1243" s="6"/>
      <c r="L1243" s="32"/>
      <c r="M1243" s="7"/>
      <c r="N1243" s="40"/>
      <c r="O1243" s="3183" t="s">
        <v>6107</v>
      </c>
      <c r="P1243" s="3181"/>
      <c r="Q1243" s="2647"/>
      <c r="R1243" s="40"/>
      <c r="S1243" s="6"/>
      <c r="T1243" s="32"/>
      <c r="U1243" s="7"/>
      <c r="V1243" s="40"/>
      <c r="W1243" s="6"/>
      <c r="X1243" s="32"/>
      <c r="Y1243" s="7"/>
      <c r="Z1243" s="40"/>
      <c r="AA1243" s="2630"/>
      <c r="AB1243" s="2631"/>
    </row>
    <row r="1244" spans="1:28">
      <c r="A1244" s="224"/>
    </row>
    <row r="1245" spans="1:28">
      <c r="A1245" s="224"/>
    </row>
    <row r="1246" spans="1:28">
      <c r="A1246" s="224"/>
      <c r="B1246" s="2573"/>
    </row>
    <row r="1247" spans="1:28" ht="40.5">
      <c r="A1247" s="3" t="s">
        <v>5063</v>
      </c>
      <c r="B1247" s="23"/>
      <c r="C1247" s="3"/>
      <c r="D1247" s="3"/>
      <c r="E1247" s="3"/>
      <c r="F1247" s="3"/>
      <c r="G1247" s="3"/>
      <c r="H1247" s="3"/>
      <c r="I1247" s="3"/>
      <c r="J1247" s="3"/>
      <c r="K1247" s="3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B1247" s="4"/>
    </row>
    <row r="1248" spans="1:28" ht="40.5" thickBot="1">
      <c r="A1248" s="5" t="s">
        <v>5064</v>
      </c>
    </row>
    <row r="1249" spans="1:28">
      <c r="A1249" s="3537" t="s">
        <v>2</v>
      </c>
      <c r="B1249" s="3540" t="s">
        <v>3</v>
      </c>
      <c r="C1249" s="3537" t="s">
        <v>5065</v>
      </c>
      <c r="D1249" s="3538"/>
      <c r="E1249" s="3536" t="s">
        <v>5066</v>
      </c>
      <c r="F1249" s="3536"/>
      <c r="G1249" s="3537" t="s">
        <v>5067</v>
      </c>
      <c r="H1249" s="3538"/>
      <c r="I1249" s="3536" t="s">
        <v>5068</v>
      </c>
      <c r="J1249" s="3536"/>
      <c r="K1249" s="3537" t="s">
        <v>5069</v>
      </c>
      <c r="L1249" s="3538"/>
      <c r="M1249" s="3536" t="s">
        <v>5070</v>
      </c>
      <c r="N1249" s="3536"/>
      <c r="O1249" s="3537"/>
      <c r="P1249" s="3538"/>
      <c r="Q1249" s="3536" t="s">
        <v>5071</v>
      </c>
      <c r="R1249" s="3536"/>
      <c r="S1249" s="3536" t="s">
        <v>5072</v>
      </c>
      <c r="T1249" s="3536"/>
      <c r="U1249" s="3472" t="s">
        <v>5073</v>
      </c>
      <c r="V1249" s="3473"/>
      <c r="W1249" s="3536" t="s">
        <v>5074</v>
      </c>
      <c r="X1249" s="3536"/>
      <c r="Y1249" s="3472" t="s">
        <v>5075</v>
      </c>
      <c r="Z1249" s="3473"/>
      <c r="AA1249" s="3536" t="s">
        <v>5076</v>
      </c>
      <c r="AB1249" s="3536"/>
    </row>
    <row r="1250" spans="1:28" ht="40.5" thickBot="1">
      <c r="A1250" s="3539"/>
      <c r="B1250" s="3541"/>
      <c r="C1250" s="1" t="s">
        <v>5078</v>
      </c>
      <c r="D1250" s="35" t="s">
        <v>5079</v>
      </c>
      <c r="E1250" s="2" t="s">
        <v>5078</v>
      </c>
      <c r="F1250" s="36" t="s">
        <v>5079</v>
      </c>
      <c r="G1250" s="1" t="s">
        <v>5078</v>
      </c>
      <c r="H1250" s="35" t="s">
        <v>5079</v>
      </c>
      <c r="I1250" s="2" t="s">
        <v>5078</v>
      </c>
      <c r="J1250" s="36" t="s">
        <v>5079</v>
      </c>
      <c r="K1250" s="1" t="s">
        <v>5078</v>
      </c>
      <c r="L1250" s="35" t="s">
        <v>5079</v>
      </c>
      <c r="M1250" s="2" t="s">
        <v>5078</v>
      </c>
      <c r="N1250" s="36" t="s">
        <v>5079</v>
      </c>
      <c r="O1250" s="1"/>
      <c r="P1250" s="35"/>
      <c r="Q1250" s="2" t="s">
        <v>5078</v>
      </c>
      <c r="R1250" s="36" t="s">
        <v>5079</v>
      </c>
      <c r="S1250" s="1" t="s">
        <v>5078</v>
      </c>
      <c r="T1250" s="35" t="s">
        <v>5079</v>
      </c>
      <c r="U1250" s="2" t="s">
        <v>5078</v>
      </c>
      <c r="V1250" s="36" t="s">
        <v>5079</v>
      </c>
      <c r="W1250" s="1" t="s">
        <v>5078</v>
      </c>
      <c r="X1250" s="35" t="s">
        <v>5079</v>
      </c>
      <c r="Y1250" s="2" t="s">
        <v>5078</v>
      </c>
      <c r="Z1250" s="36" t="s">
        <v>5079</v>
      </c>
      <c r="AA1250" s="2" t="s">
        <v>5078</v>
      </c>
      <c r="AB1250" s="36" t="s">
        <v>5079</v>
      </c>
    </row>
    <row r="1251" spans="1:28">
      <c r="A1251" s="3149" t="s">
        <v>6108</v>
      </c>
      <c r="B1251" s="2632"/>
      <c r="C1251" s="9"/>
      <c r="D1251" s="10"/>
      <c r="E1251" s="11"/>
      <c r="F1251" s="12"/>
      <c r="G1251" s="9"/>
      <c r="H1251" s="10"/>
      <c r="I1251" s="11"/>
      <c r="J1251" s="12"/>
      <c r="K1251" s="9"/>
      <c r="L1251" s="10"/>
      <c r="M1251" s="11"/>
      <c r="N1251" s="12"/>
      <c r="O1251" s="3152" t="s">
        <v>6109</v>
      </c>
      <c r="P1251" s="3153"/>
      <c r="Q1251" s="11"/>
      <c r="R1251" s="12"/>
      <c r="S1251" s="9"/>
      <c r="T1251" s="10"/>
      <c r="U1251" s="11"/>
      <c r="V1251" s="12"/>
      <c r="W1251" s="9"/>
      <c r="X1251" s="10"/>
      <c r="Y1251" s="11"/>
      <c r="Z1251" s="10"/>
      <c r="AA1251" s="33"/>
      <c r="AB1251" s="10"/>
    </row>
    <row r="1252" spans="1:28">
      <c r="A1252" s="3149" t="s">
        <v>6110</v>
      </c>
      <c r="B1252" s="2621"/>
      <c r="C1252" s="14"/>
      <c r="D1252" s="15"/>
      <c r="E1252" s="16"/>
      <c r="F1252" s="17"/>
      <c r="G1252" s="14"/>
      <c r="H1252" s="15"/>
      <c r="I1252" s="16"/>
      <c r="J1252" s="17"/>
      <c r="K1252" s="14"/>
      <c r="L1252" s="15"/>
      <c r="M1252" s="16"/>
      <c r="N1252" s="17"/>
      <c r="O1252" s="3154" t="s">
        <v>6111</v>
      </c>
      <c r="P1252" s="3155"/>
      <c r="Q1252" s="2646"/>
      <c r="R1252" s="17"/>
      <c r="S1252" s="14"/>
      <c r="T1252" s="15"/>
      <c r="U1252" s="16"/>
      <c r="V1252" s="17"/>
      <c r="W1252" s="14"/>
      <c r="X1252" s="15"/>
      <c r="Y1252" s="16"/>
      <c r="Z1252" s="15"/>
      <c r="AA1252" s="30"/>
      <c r="AB1252" s="15"/>
    </row>
    <row r="1253" spans="1:28">
      <c r="A1253" s="3149" t="s">
        <v>5243</v>
      </c>
      <c r="B1253" s="2621"/>
      <c r="C1253" s="14"/>
      <c r="D1253" s="15"/>
      <c r="E1253" s="16"/>
      <c r="F1253" s="17"/>
      <c r="G1253" s="14"/>
      <c r="H1253" s="15"/>
      <c r="I1253" s="16"/>
      <c r="J1253" s="17"/>
      <c r="K1253" s="14"/>
      <c r="L1253" s="15"/>
      <c r="M1253" s="16"/>
      <c r="N1253" s="17"/>
      <c r="O1253" s="3154" t="s">
        <v>6112</v>
      </c>
      <c r="P1253" s="3155"/>
      <c r="Q1253" s="2646"/>
      <c r="R1253" s="17"/>
      <c r="S1253" s="14"/>
      <c r="T1253" s="15"/>
      <c r="U1253" s="16"/>
      <c r="V1253" s="17"/>
      <c r="W1253" s="14"/>
      <c r="X1253" s="15"/>
      <c r="Y1253" s="16"/>
      <c r="Z1253" s="15"/>
      <c r="AA1253" s="30"/>
      <c r="AB1253" s="15"/>
    </row>
    <row r="1254" spans="1:28">
      <c r="A1254" s="3149" t="s">
        <v>6113</v>
      </c>
      <c r="B1254" s="2621"/>
      <c r="C1254" s="14"/>
      <c r="D1254" s="15"/>
      <c r="E1254" s="16"/>
      <c r="F1254" s="17"/>
      <c r="G1254" s="14"/>
      <c r="H1254" s="15"/>
      <c r="I1254" s="16"/>
      <c r="J1254" s="17"/>
      <c r="K1254" s="14"/>
      <c r="L1254" s="15"/>
      <c r="M1254" s="16"/>
      <c r="N1254" s="17"/>
      <c r="O1254" s="3154" t="s">
        <v>6114</v>
      </c>
      <c r="P1254" s="3155"/>
      <c r="Q1254" s="2646"/>
      <c r="R1254" s="17"/>
      <c r="S1254" s="14"/>
      <c r="T1254" s="15"/>
      <c r="U1254" s="16"/>
      <c r="V1254" s="17"/>
      <c r="W1254" s="14"/>
      <c r="X1254" s="15"/>
      <c r="Y1254" s="16"/>
      <c r="Z1254" s="15"/>
      <c r="AA1254" s="30"/>
      <c r="AB1254" s="15"/>
    </row>
    <row r="1255" spans="1:28">
      <c r="A1255" s="3150" t="s">
        <v>6115</v>
      </c>
      <c r="B1255" s="2621"/>
      <c r="C1255" s="14"/>
      <c r="D1255" s="15"/>
      <c r="E1255" s="16"/>
      <c r="F1255" s="17"/>
      <c r="G1255" s="14"/>
      <c r="H1255" s="15"/>
      <c r="I1255" s="16"/>
      <c r="J1255" s="17"/>
      <c r="K1255" s="14"/>
      <c r="L1255" s="15"/>
      <c r="M1255" s="16"/>
      <c r="N1255" s="17"/>
      <c r="O1255" s="3154" t="s">
        <v>6116</v>
      </c>
      <c r="P1255" s="3155"/>
      <c r="Q1255" s="2646"/>
      <c r="R1255" s="17"/>
      <c r="S1255" s="14"/>
      <c r="T1255" s="15"/>
      <c r="U1255" s="16"/>
      <c r="V1255" s="17"/>
      <c r="W1255" s="14"/>
      <c r="X1255" s="15"/>
      <c r="Y1255" s="16"/>
      <c r="Z1255" s="15"/>
      <c r="AA1255" s="30"/>
      <c r="AB1255" s="15"/>
    </row>
    <row r="1256" spans="1:28">
      <c r="A1256" s="3149" t="s">
        <v>6117</v>
      </c>
      <c r="C1256" s="14"/>
      <c r="D1256" s="15"/>
      <c r="E1256" s="16"/>
      <c r="F1256" s="17"/>
      <c r="G1256" s="14"/>
      <c r="H1256" s="15"/>
      <c r="I1256" s="16"/>
      <c r="J1256" s="17"/>
      <c r="K1256" s="14"/>
      <c r="L1256" s="15"/>
      <c r="M1256" s="16"/>
      <c r="N1256" s="17"/>
      <c r="O1256" s="3154" t="s">
        <v>6118</v>
      </c>
      <c r="P1256" s="3155"/>
      <c r="Q1256" s="2646"/>
      <c r="R1256" s="17"/>
      <c r="S1256" s="14"/>
      <c r="T1256" s="15"/>
      <c r="U1256" s="16"/>
      <c r="V1256" s="17"/>
      <c r="W1256" s="14"/>
      <c r="X1256" s="15"/>
      <c r="Y1256" s="16"/>
      <c r="Z1256" s="15"/>
      <c r="AA1256" s="30"/>
      <c r="AB1256" s="15"/>
    </row>
    <row r="1257" spans="1:28">
      <c r="A1257" s="3149" t="s">
        <v>6119</v>
      </c>
      <c r="B1257" s="2621"/>
      <c r="C1257" s="14"/>
      <c r="D1257" s="15"/>
      <c r="E1257" s="16"/>
      <c r="F1257" s="17"/>
      <c r="G1257" s="14"/>
      <c r="H1257" s="15"/>
      <c r="I1257" s="16"/>
      <c r="J1257" s="17"/>
      <c r="K1257" s="14"/>
      <c r="L1257" s="15"/>
      <c r="M1257" s="16"/>
      <c r="N1257" s="17"/>
      <c r="O1257" s="3154" t="s">
        <v>6120</v>
      </c>
      <c r="P1257" s="3155"/>
      <c r="Q1257" s="2646"/>
      <c r="R1257" s="17"/>
      <c r="S1257" s="14"/>
      <c r="T1257" s="15"/>
      <c r="U1257" s="16"/>
      <c r="V1257" s="17"/>
      <c r="W1257" s="14"/>
      <c r="X1257" s="15"/>
      <c r="Y1257" s="16"/>
      <c r="Z1257" s="15"/>
      <c r="AA1257" s="30"/>
      <c r="AB1257" s="15"/>
    </row>
    <row r="1258" spans="1:28">
      <c r="A1258" s="3149" t="s">
        <v>5249</v>
      </c>
      <c r="B1258" s="2621"/>
      <c r="C1258" s="14"/>
      <c r="D1258" s="15"/>
      <c r="E1258" s="16"/>
      <c r="F1258" s="17"/>
      <c r="G1258" s="14"/>
      <c r="H1258" s="15"/>
      <c r="I1258" s="16"/>
      <c r="J1258" s="17"/>
      <c r="K1258" s="14"/>
      <c r="L1258" s="15"/>
      <c r="M1258" s="16"/>
      <c r="N1258" s="17"/>
      <c r="O1258" s="3154" t="s">
        <v>6121</v>
      </c>
      <c r="P1258" s="3155"/>
      <c r="Q1258" s="2646"/>
      <c r="R1258" s="17"/>
      <c r="S1258" s="14"/>
      <c r="T1258" s="15"/>
      <c r="U1258" s="16"/>
      <c r="V1258" s="17"/>
      <c r="W1258" s="14"/>
      <c r="X1258" s="15"/>
      <c r="Y1258" s="16"/>
      <c r="Z1258" s="15"/>
      <c r="AA1258" s="30"/>
      <c r="AB1258" s="15"/>
    </row>
    <row r="1259" spans="1:28" ht="40.5" thickBot="1">
      <c r="A1259" s="3151" t="s">
        <v>5251</v>
      </c>
      <c r="B1259" s="2622"/>
      <c r="C1259" s="14"/>
      <c r="D1259" s="15"/>
      <c r="E1259" s="16"/>
      <c r="F1259" s="17"/>
      <c r="G1259" s="14"/>
      <c r="H1259" s="15"/>
      <c r="I1259" s="16"/>
      <c r="J1259" s="17"/>
      <c r="K1259" s="14"/>
      <c r="L1259" s="15"/>
      <c r="M1259" s="16"/>
      <c r="N1259" s="17"/>
      <c r="O1259" s="3156" t="s">
        <v>6122</v>
      </c>
      <c r="P1259" s="3155"/>
      <c r="Q1259" s="2646"/>
      <c r="R1259" s="17"/>
      <c r="S1259" s="14"/>
      <c r="T1259" s="15"/>
      <c r="U1259" s="16"/>
      <c r="V1259" s="17"/>
      <c r="W1259" s="14"/>
      <c r="X1259" s="15"/>
      <c r="Y1259" s="16"/>
      <c r="Z1259" s="15"/>
      <c r="AA1259" s="30"/>
      <c r="AB1259" s="15"/>
    </row>
    <row r="1260" spans="1:28" ht="40.5" thickTop="1">
      <c r="A1260" s="3157" t="s">
        <v>6123</v>
      </c>
      <c r="B1260" s="3158" t="s">
        <v>6124</v>
      </c>
      <c r="C1260" s="14"/>
      <c r="D1260" s="15"/>
      <c r="E1260" s="16"/>
      <c r="F1260" s="17"/>
      <c r="G1260" s="14"/>
      <c r="H1260" s="15"/>
      <c r="I1260" s="16"/>
      <c r="J1260" s="17"/>
      <c r="K1260" s="14"/>
      <c r="L1260" s="15"/>
      <c r="M1260" s="16"/>
      <c r="N1260" s="17"/>
      <c r="O1260" s="3166" t="s">
        <v>6125</v>
      </c>
      <c r="P1260" s="3167"/>
      <c r="Q1260" s="2646"/>
      <c r="R1260" s="17"/>
      <c r="S1260" s="14"/>
      <c r="T1260" s="15"/>
      <c r="U1260" s="16"/>
      <c r="V1260" s="17"/>
      <c r="W1260" s="14"/>
      <c r="X1260" s="15"/>
      <c r="Y1260" s="16"/>
      <c r="Z1260" s="15"/>
      <c r="AA1260" s="30"/>
      <c r="AB1260" s="15"/>
    </row>
    <row r="1261" spans="1:28">
      <c r="A1261" s="3157" t="s">
        <v>6126</v>
      </c>
      <c r="B1261" s="3158" t="s">
        <v>6127</v>
      </c>
      <c r="C1261" s="14"/>
      <c r="D1261" s="15"/>
      <c r="E1261" s="16"/>
      <c r="F1261" s="17"/>
      <c r="G1261" s="14"/>
      <c r="H1261" s="15"/>
      <c r="I1261" s="16"/>
      <c r="J1261" s="17"/>
      <c r="K1261" s="14"/>
      <c r="L1261" s="15"/>
      <c r="M1261" s="16"/>
      <c r="N1261" s="17"/>
      <c r="O1261" s="3166" t="s">
        <v>6128</v>
      </c>
      <c r="P1261" s="3167"/>
      <c r="Q1261" s="2646"/>
      <c r="R1261" s="17"/>
      <c r="S1261" s="14"/>
      <c r="T1261" s="15"/>
      <c r="U1261" s="16"/>
      <c r="V1261" s="17"/>
      <c r="W1261" s="14"/>
      <c r="X1261" s="15"/>
      <c r="Y1261" s="16"/>
      <c r="Z1261" s="15"/>
      <c r="AA1261" s="30"/>
      <c r="AB1261" s="15"/>
    </row>
    <row r="1262" spans="1:28">
      <c r="A1262" s="3157" t="s">
        <v>6129</v>
      </c>
      <c r="B1262" s="3159" t="s">
        <v>6130</v>
      </c>
      <c r="C1262" s="14"/>
      <c r="D1262" s="15"/>
      <c r="E1262" s="16"/>
      <c r="F1262" s="17"/>
      <c r="G1262" s="14"/>
      <c r="H1262" s="15"/>
      <c r="I1262" s="16"/>
      <c r="J1262" s="17"/>
      <c r="K1262" s="14"/>
      <c r="L1262" s="15"/>
      <c r="M1262" s="16"/>
      <c r="N1262" s="17"/>
      <c r="O1262" s="3166" t="s">
        <v>6131</v>
      </c>
      <c r="P1262" s="3167"/>
      <c r="Q1262" s="2646"/>
      <c r="R1262" s="17"/>
      <c r="S1262" s="14"/>
      <c r="T1262" s="15"/>
      <c r="U1262" s="16"/>
      <c r="V1262" s="17"/>
      <c r="W1262" s="14"/>
      <c r="X1262" s="15"/>
      <c r="Y1262" s="16"/>
      <c r="Z1262" s="15"/>
      <c r="AA1262" s="30"/>
      <c r="AB1262" s="15"/>
    </row>
    <row r="1263" spans="1:28">
      <c r="A1263" s="3157" t="s">
        <v>6132</v>
      </c>
      <c r="B1263" s="3160"/>
      <c r="C1263" s="14"/>
      <c r="D1263" s="15"/>
      <c r="E1263" s="16"/>
      <c r="F1263" s="17"/>
      <c r="G1263" s="14"/>
      <c r="H1263" s="15"/>
      <c r="I1263" s="16"/>
      <c r="J1263" s="17"/>
      <c r="K1263" s="14"/>
      <c r="L1263" s="15"/>
      <c r="M1263" s="16"/>
      <c r="N1263" s="17"/>
      <c r="O1263" s="3166" t="s">
        <v>6133</v>
      </c>
      <c r="P1263" s="3167"/>
      <c r="Q1263" s="2646"/>
      <c r="R1263" s="17"/>
      <c r="S1263" s="14"/>
      <c r="T1263" s="15"/>
      <c r="U1263" s="16"/>
      <c r="V1263" s="17"/>
      <c r="W1263" s="14"/>
      <c r="X1263" s="15"/>
      <c r="Y1263" s="16"/>
      <c r="Z1263" s="15"/>
      <c r="AA1263" s="30"/>
      <c r="AB1263" s="15"/>
    </row>
    <row r="1264" spans="1:28">
      <c r="A1264" s="3157" t="s">
        <v>6134</v>
      </c>
      <c r="B1264" s="3161"/>
      <c r="C1264" s="14"/>
      <c r="D1264" s="15"/>
      <c r="E1264" s="16"/>
      <c r="F1264" s="17"/>
      <c r="G1264" s="14"/>
      <c r="H1264" s="15"/>
      <c r="I1264" s="16"/>
      <c r="J1264" s="17"/>
      <c r="K1264" s="14"/>
      <c r="L1264" s="15"/>
      <c r="M1264" s="16"/>
      <c r="N1264" s="17"/>
      <c r="O1264" s="3166" t="s">
        <v>6135</v>
      </c>
      <c r="P1264" s="3167"/>
      <c r="Q1264" s="2646"/>
      <c r="R1264" s="17"/>
      <c r="S1264" s="14"/>
      <c r="T1264" s="15"/>
      <c r="U1264" s="16"/>
      <c r="V1264" s="17"/>
      <c r="W1264" s="14"/>
      <c r="X1264" s="15"/>
      <c r="Y1264" s="16"/>
      <c r="Z1264" s="15"/>
      <c r="AA1264" s="30"/>
      <c r="AB1264" s="15"/>
    </row>
    <row r="1265" spans="1:28">
      <c r="A1265" s="3157" t="s">
        <v>6136</v>
      </c>
      <c r="B1265" s="3162"/>
      <c r="C1265" s="14"/>
      <c r="D1265" s="15"/>
      <c r="E1265" s="16"/>
      <c r="F1265" s="17"/>
      <c r="G1265" s="14"/>
      <c r="H1265" s="15"/>
      <c r="I1265" s="16"/>
      <c r="J1265" s="17"/>
      <c r="K1265" s="14"/>
      <c r="L1265" s="15"/>
      <c r="M1265" s="16"/>
      <c r="N1265" s="17"/>
      <c r="O1265" s="3168" t="s">
        <v>6137</v>
      </c>
      <c r="P1265" s="3169"/>
      <c r="Q1265" s="2646"/>
      <c r="R1265" s="17"/>
      <c r="S1265" s="14"/>
      <c r="T1265" s="15"/>
      <c r="U1265" s="16"/>
      <c r="V1265" s="17"/>
      <c r="W1265" s="14"/>
      <c r="X1265" s="15"/>
      <c r="Y1265" s="16"/>
      <c r="Z1265" s="15"/>
      <c r="AA1265" s="30"/>
      <c r="AB1265" s="15"/>
    </row>
    <row r="1266" spans="1:28">
      <c r="A1266" s="3163" t="s">
        <v>6138</v>
      </c>
      <c r="B1266" s="3164"/>
      <c r="C1266" s="14"/>
      <c r="D1266" s="15"/>
      <c r="E1266" s="16"/>
      <c r="F1266" s="17"/>
      <c r="G1266" s="14"/>
      <c r="H1266" s="15"/>
      <c r="I1266" s="16"/>
      <c r="J1266" s="17"/>
      <c r="K1266" s="14"/>
      <c r="L1266" s="15"/>
      <c r="M1266" s="16"/>
      <c r="N1266" s="17"/>
      <c r="O1266" s="3170" t="s">
        <v>6139</v>
      </c>
      <c r="P1266" s="3171"/>
      <c r="Q1266" s="2645"/>
      <c r="R1266" s="1795"/>
      <c r="S1266" s="14"/>
      <c r="T1266" s="15"/>
      <c r="U1266" s="16"/>
      <c r="V1266" s="17"/>
      <c r="W1266" s="14"/>
      <c r="X1266" s="15"/>
      <c r="Y1266" s="16"/>
      <c r="Z1266" s="15"/>
      <c r="AA1266" s="30"/>
      <c r="AB1266" s="15"/>
    </row>
    <row r="1267" spans="1:28">
      <c r="A1267" s="3163" t="s">
        <v>6140</v>
      </c>
      <c r="B1267" s="3158" t="s">
        <v>6124</v>
      </c>
      <c r="C1267" s="14"/>
      <c r="D1267" s="15"/>
      <c r="E1267" s="16"/>
      <c r="F1267" s="17"/>
      <c r="G1267" s="14"/>
      <c r="H1267" s="15"/>
      <c r="I1267" s="16"/>
      <c r="J1267" s="17"/>
      <c r="K1267" s="14"/>
      <c r="L1267" s="15"/>
      <c r="M1267" s="16"/>
      <c r="N1267" s="17"/>
      <c r="O1267" s="3170" t="s">
        <v>6141</v>
      </c>
      <c r="P1267" s="3171"/>
      <c r="Q1267" s="2649"/>
      <c r="R1267" s="2650"/>
      <c r="S1267" s="2651"/>
      <c r="T1267" s="2648"/>
      <c r="U1267" s="16"/>
      <c r="V1267" s="17"/>
      <c r="W1267" s="14"/>
      <c r="X1267" s="15"/>
      <c r="Y1267" s="16"/>
      <c r="Z1267" s="15"/>
      <c r="AA1267" s="30"/>
      <c r="AB1267" s="15"/>
    </row>
    <row r="1268" spans="1:28" ht="40.5" thickBot="1">
      <c r="A1268" s="3157" t="s">
        <v>6142</v>
      </c>
      <c r="B1268" s="3165"/>
      <c r="C1268" s="6"/>
      <c r="D1268" s="32"/>
      <c r="E1268" s="7"/>
      <c r="F1268" s="40"/>
      <c r="G1268" s="6"/>
      <c r="H1268" s="32"/>
      <c r="I1268" s="7"/>
      <c r="J1268" s="40"/>
      <c r="K1268" s="6"/>
      <c r="L1268" s="32"/>
      <c r="M1268" s="7"/>
      <c r="N1268" s="40"/>
      <c r="O1268" s="3166" t="s">
        <v>6143</v>
      </c>
      <c r="P1268" s="3167"/>
      <c r="Q1268" s="2647"/>
      <c r="R1268" s="40"/>
      <c r="S1268" s="6"/>
      <c r="T1268" s="32"/>
      <c r="U1268" s="7"/>
      <c r="V1268" s="40"/>
      <c r="W1268" s="6"/>
      <c r="X1268" s="32"/>
      <c r="Y1268" s="7"/>
      <c r="Z1268" s="32"/>
      <c r="AA1268" s="2630"/>
      <c r="AB1268" s="2631"/>
    </row>
    <row r="1271" spans="1:28">
      <c r="A1271" s="2080"/>
      <c r="B1271" s="2573"/>
    </row>
    <row r="1272" spans="1:28" ht="40.5">
      <c r="A1272" s="3" t="s">
        <v>5063</v>
      </c>
      <c r="B1272" s="23"/>
      <c r="C1272" s="3"/>
      <c r="D1272" s="3"/>
      <c r="E1272" s="3"/>
      <c r="F1272" s="3"/>
      <c r="G1272" s="3"/>
      <c r="H1272" s="3"/>
      <c r="I1272" s="3"/>
      <c r="J1272" s="3"/>
      <c r="K1272" s="3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B1272" s="4"/>
    </row>
    <row r="1273" spans="1:28" ht="40.5" thickBot="1">
      <c r="A1273" s="5" t="s">
        <v>5064</v>
      </c>
    </row>
    <row r="1274" spans="1:28">
      <c r="A1274" s="3537" t="s">
        <v>2</v>
      </c>
      <c r="B1274" s="3540" t="s">
        <v>3</v>
      </c>
      <c r="C1274" s="3537" t="s">
        <v>5065</v>
      </c>
      <c r="D1274" s="3538"/>
      <c r="E1274" s="3536" t="s">
        <v>5066</v>
      </c>
      <c r="F1274" s="3536"/>
      <c r="G1274" s="3537" t="s">
        <v>5067</v>
      </c>
      <c r="H1274" s="3538"/>
      <c r="I1274" s="3536" t="s">
        <v>5068</v>
      </c>
      <c r="J1274" s="3536"/>
      <c r="K1274" s="3537" t="s">
        <v>5069</v>
      </c>
      <c r="L1274" s="3538"/>
      <c r="M1274" s="3536" t="s">
        <v>5070</v>
      </c>
      <c r="N1274" s="3536"/>
      <c r="O1274" s="3537"/>
      <c r="P1274" s="3538"/>
      <c r="Q1274" s="3536" t="s">
        <v>5071</v>
      </c>
      <c r="R1274" s="3536"/>
      <c r="S1274" s="3537" t="s">
        <v>5072</v>
      </c>
      <c r="T1274" s="3538"/>
      <c r="U1274" s="3536" t="s">
        <v>5073</v>
      </c>
      <c r="V1274" s="3536"/>
      <c r="W1274" s="3537" t="s">
        <v>5074</v>
      </c>
      <c r="X1274" s="3538"/>
      <c r="Y1274" s="3536" t="s">
        <v>5075</v>
      </c>
      <c r="Z1274" s="3538"/>
      <c r="AA1274" s="3536" t="s">
        <v>5076</v>
      </c>
      <c r="AB1274" s="3536"/>
    </row>
    <row r="1275" spans="1:28" ht="40.5" thickBot="1">
      <c r="A1275" s="3539"/>
      <c r="B1275" s="3541"/>
      <c r="C1275" s="1" t="s">
        <v>5078</v>
      </c>
      <c r="D1275" s="35" t="s">
        <v>5079</v>
      </c>
      <c r="E1275" s="2" t="s">
        <v>5078</v>
      </c>
      <c r="F1275" s="36" t="s">
        <v>5079</v>
      </c>
      <c r="G1275" s="1" t="s">
        <v>5078</v>
      </c>
      <c r="H1275" s="35" t="s">
        <v>5079</v>
      </c>
      <c r="I1275" s="2" t="s">
        <v>5078</v>
      </c>
      <c r="J1275" s="36" t="s">
        <v>5079</v>
      </c>
      <c r="K1275" s="1" t="s">
        <v>5078</v>
      </c>
      <c r="L1275" s="35" t="s">
        <v>5079</v>
      </c>
      <c r="M1275" s="2" t="s">
        <v>5078</v>
      </c>
      <c r="N1275" s="36" t="s">
        <v>5079</v>
      </c>
      <c r="O1275" s="1"/>
      <c r="P1275" s="35"/>
      <c r="Q1275" s="2" t="s">
        <v>5078</v>
      </c>
      <c r="R1275" s="36" t="s">
        <v>5079</v>
      </c>
      <c r="S1275" s="1" t="s">
        <v>5078</v>
      </c>
      <c r="T1275" s="35" t="s">
        <v>5079</v>
      </c>
      <c r="U1275" s="2" t="s">
        <v>5078</v>
      </c>
      <c r="V1275" s="36" t="s">
        <v>5079</v>
      </c>
      <c r="W1275" s="1" t="s">
        <v>5078</v>
      </c>
      <c r="X1275" s="35" t="s">
        <v>5079</v>
      </c>
      <c r="Y1275" s="2" t="s">
        <v>5078</v>
      </c>
      <c r="Z1275" s="35" t="s">
        <v>5079</v>
      </c>
      <c r="AA1275" s="2" t="s">
        <v>5078</v>
      </c>
      <c r="AB1275" s="36" t="s">
        <v>5079</v>
      </c>
    </row>
    <row r="1276" spans="1:28">
      <c r="A1276" s="2664" t="s">
        <v>6144</v>
      </c>
      <c r="B1276" s="2693" t="s">
        <v>6145</v>
      </c>
      <c r="C1276" s="2687" t="s">
        <v>6146</v>
      </c>
      <c r="D1276" s="10"/>
      <c r="E1276" s="11"/>
      <c r="F1276" s="12"/>
      <c r="G1276" s="9"/>
      <c r="H1276" s="10"/>
      <c r="I1276" s="11"/>
      <c r="J1276" s="12"/>
      <c r="K1276" s="9"/>
      <c r="L1276" s="10"/>
      <c r="M1276" s="11"/>
      <c r="N1276" s="12"/>
      <c r="O1276" s="2674" t="s">
        <v>6147</v>
      </c>
      <c r="P1276" s="2675"/>
      <c r="R1276" s="12"/>
      <c r="S1276" s="9"/>
      <c r="T1276" s="10"/>
      <c r="U1276" s="11"/>
      <c r="V1276" s="12"/>
      <c r="W1276" s="9"/>
      <c r="X1276" s="10"/>
      <c r="Y1276" s="11"/>
      <c r="Z1276" s="10"/>
      <c r="AA1276" s="33"/>
      <c r="AB1276" s="10"/>
    </row>
    <row r="1277" spans="1:28">
      <c r="A1277" s="2664" t="s">
        <v>6148</v>
      </c>
      <c r="B1277" s="2694" t="s">
        <v>6149</v>
      </c>
      <c r="C1277" s="2688" t="s">
        <v>6150</v>
      </c>
      <c r="D1277" s="15"/>
      <c r="E1277" s="16"/>
      <c r="F1277" s="17"/>
      <c r="G1277" s="14"/>
      <c r="H1277" s="15"/>
      <c r="I1277" s="16"/>
      <c r="J1277" s="17"/>
      <c r="K1277" s="14"/>
      <c r="L1277" s="15"/>
      <c r="M1277" s="16"/>
      <c r="N1277" s="17"/>
      <c r="O1277" s="2674" t="s">
        <v>6151</v>
      </c>
      <c r="P1277" s="15"/>
      <c r="Q1277" s="16"/>
      <c r="R1277" s="17"/>
      <c r="S1277" s="14"/>
      <c r="T1277" s="15"/>
      <c r="U1277" s="16"/>
      <c r="V1277" s="17"/>
      <c r="W1277" s="14"/>
      <c r="X1277" s="15"/>
      <c r="Y1277" s="16"/>
      <c r="Z1277" s="15"/>
      <c r="AA1277" s="30"/>
      <c r="AB1277" s="15"/>
    </row>
    <row r="1278" spans="1:28">
      <c r="A1278" s="2668" t="s">
        <v>6152</v>
      </c>
      <c r="B1278" s="2685" t="s">
        <v>6153</v>
      </c>
      <c r="C1278" s="2689">
        <v>118.83</v>
      </c>
      <c r="D1278" s="15"/>
      <c r="E1278" s="16"/>
      <c r="F1278" s="17"/>
      <c r="G1278" s="14"/>
      <c r="H1278" s="15"/>
      <c r="I1278" s="16"/>
      <c r="J1278" s="17"/>
      <c r="K1278" s="14"/>
      <c r="L1278" s="15"/>
      <c r="M1278" s="16"/>
      <c r="N1278" s="17"/>
      <c r="O1278" s="2676" t="s">
        <v>6154</v>
      </c>
      <c r="P1278" s="15"/>
      <c r="Q1278" s="16"/>
      <c r="R1278" s="17"/>
      <c r="S1278" s="14"/>
      <c r="T1278" s="15"/>
      <c r="U1278" s="16"/>
      <c r="V1278" s="17"/>
      <c r="W1278" s="14"/>
      <c r="X1278" s="15"/>
      <c r="Y1278" s="16"/>
      <c r="Z1278" s="15"/>
      <c r="AA1278" s="30"/>
      <c r="AB1278" s="15"/>
    </row>
    <row r="1279" spans="1:28">
      <c r="A1279" s="2668" t="s">
        <v>6155</v>
      </c>
      <c r="B1279" s="2691" t="s">
        <v>6156</v>
      </c>
      <c r="C1279" s="2690" t="s">
        <v>6157</v>
      </c>
      <c r="D1279" s="15"/>
      <c r="E1279" s="16"/>
      <c r="F1279" s="17"/>
      <c r="G1279" s="14"/>
      <c r="H1279" s="15"/>
      <c r="I1279" s="16"/>
      <c r="J1279" s="17"/>
      <c r="K1279" s="14"/>
      <c r="L1279" s="15"/>
      <c r="M1279" s="16"/>
      <c r="N1279" s="17"/>
      <c r="O1279" s="2676" t="s">
        <v>6158</v>
      </c>
      <c r="P1279" s="15"/>
      <c r="Q1279" s="16"/>
      <c r="R1279" s="17"/>
      <c r="S1279" s="14"/>
      <c r="T1279" s="15"/>
      <c r="U1279" s="16"/>
      <c r="V1279" s="17"/>
      <c r="W1279" s="14"/>
      <c r="X1279" s="15"/>
      <c r="Y1279" s="16"/>
      <c r="Z1279" s="15"/>
      <c r="AA1279" s="30"/>
      <c r="AB1279" s="15"/>
    </row>
    <row r="1280" spans="1:28">
      <c r="A1280" s="2668" t="s">
        <v>6159</v>
      </c>
      <c r="B1280" s="2692" t="s">
        <v>6160</v>
      </c>
      <c r="C1280" s="2690" t="s">
        <v>6161</v>
      </c>
      <c r="D1280" s="15"/>
      <c r="E1280" s="16"/>
      <c r="F1280" s="17"/>
      <c r="G1280" s="14"/>
      <c r="H1280" s="15"/>
      <c r="I1280" s="16"/>
      <c r="J1280" s="17"/>
      <c r="K1280" s="14"/>
      <c r="L1280" s="15"/>
      <c r="M1280" s="16"/>
      <c r="N1280" s="17"/>
      <c r="O1280" s="2676" t="s">
        <v>6162</v>
      </c>
      <c r="P1280" s="15"/>
      <c r="Q1280" s="16"/>
      <c r="R1280" s="17"/>
      <c r="S1280" s="14"/>
      <c r="T1280" s="15"/>
      <c r="U1280" s="16"/>
      <c r="V1280" s="17"/>
      <c r="W1280" s="14"/>
      <c r="X1280" s="15"/>
      <c r="Y1280" s="16"/>
      <c r="Z1280" s="15"/>
      <c r="AA1280" s="30"/>
      <c r="AB1280" s="15"/>
    </row>
    <row r="1281" spans="1:28">
      <c r="A1281" s="2663" t="s">
        <v>6163</v>
      </c>
      <c r="B1281" s="2686" t="s">
        <v>6164</v>
      </c>
      <c r="C1281" s="2690" t="s">
        <v>6165</v>
      </c>
      <c r="D1281" s="15"/>
      <c r="E1281" s="16"/>
      <c r="F1281" s="17"/>
      <c r="G1281" s="14"/>
      <c r="H1281" s="15"/>
      <c r="I1281" s="16"/>
      <c r="J1281" s="17"/>
      <c r="K1281" s="14"/>
      <c r="L1281" s="15"/>
      <c r="M1281" s="16"/>
      <c r="N1281" s="17"/>
      <c r="O1281" s="2672" t="s">
        <v>6166</v>
      </c>
      <c r="P1281" s="2455"/>
      <c r="Q1281" s="16"/>
      <c r="R1281" s="17"/>
      <c r="S1281" s="14"/>
      <c r="T1281" s="15"/>
      <c r="U1281" s="16"/>
      <c r="V1281" s="17"/>
      <c r="W1281" s="14"/>
      <c r="X1281" s="15"/>
      <c r="Y1281" s="16"/>
      <c r="Z1281" s="15"/>
      <c r="AA1281" s="30"/>
      <c r="AB1281" s="15"/>
    </row>
    <row r="1282" spans="1:28" ht="40.5" thickBot="1">
      <c r="A1282" s="2669" t="s">
        <v>6167</v>
      </c>
      <c r="B1282" s="2621"/>
      <c r="C1282" s="14"/>
      <c r="D1282" s="15"/>
      <c r="E1282" s="16"/>
      <c r="F1282" s="17"/>
      <c r="G1282" s="14"/>
      <c r="H1282" s="15"/>
      <c r="I1282" s="16"/>
      <c r="J1282" s="17"/>
      <c r="K1282" s="14"/>
      <c r="L1282" s="15"/>
      <c r="M1282" s="16"/>
      <c r="N1282" s="17"/>
      <c r="O1282" s="2677" t="s">
        <v>6168</v>
      </c>
      <c r="P1282" s="15"/>
      <c r="Q1282" s="16"/>
      <c r="R1282" s="17"/>
      <c r="S1282" s="14"/>
      <c r="T1282" s="15"/>
      <c r="U1282" s="16"/>
      <c r="V1282" s="17"/>
      <c r="W1282" s="14"/>
      <c r="X1282" s="15"/>
      <c r="Y1282" s="16"/>
      <c r="Z1282" s="15"/>
      <c r="AA1282" s="30"/>
      <c r="AB1282" s="15"/>
    </row>
    <row r="1283" spans="1:28" ht="40.5" thickTop="1">
      <c r="A1283" s="2665" t="s">
        <v>6169</v>
      </c>
      <c r="B1283" s="2621"/>
      <c r="C1283" s="14"/>
      <c r="D1283" s="15"/>
      <c r="E1283" s="16"/>
      <c r="F1283" s="17"/>
      <c r="G1283" s="14"/>
      <c r="H1283" s="15"/>
      <c r="I1283" s="16"/>
      <c r="J1283" s="17"/>
      <c r="K1283" s="14"/>
      <c r="L1283" s="15"/>
      <c r="M1283" s="16"/>
      <c r="N1283" s="17"/>
      <c r="O1283" s="2678" t="s">
        <v>6170</v>
      </c>
      <c r="P1283" s="2652"/>
      <c r="Q1283" s="2049"/>
      <c r="R1283" s="17"/>
      <c r="S1283" s="14"/>
      <c r="T1283" s="15"/>
      <c r="U1283" s="16"/>
      <c r="V1283" s="17"/>
      <c r="W1283" s="14"/>
      <c r="X1283" s="15"/>
      <c r="Y1283" s="16"/>
      <c r="Z1283" s="15"/>
      <c r="AA1283" s="30"/>
      <c r="AB1283" s="15"/>
    </row>
    <row r="1284" spans="1:28">
      <c r="A1284" s="2665" t="s">
        <v>6171</v>
      </c>
      <c r="B1284" s="2622"/>
      <c r="C1284" s="14"/>
      <c r="D1284" s="15"/>
      <c r="E1284" s="16"/>
      <c r="F1284" s="17"/>
      <c r="G1284" s="14"/>
      <c r="H1284" s="15"/>
      <c r="I1284" s="16"/>
      <c r="J1284" s="17"/>
      <c r="K1284" s="14"/>
      <c r="L1284" s="15"/>
      <c r="M1284" s="16"/>
      <c r="N1284" s="17"/>
      <c r="O1284" s="2678" t="s">
        <v>6172</v>
      </c>
      <c r="P1284" s="2652"/>
      <c r="Q1284" s="2049"/>
      <c r="R1284" s="17"/>
      <c r="S1284" s="14"/>
      <c r="T1284" s="15"/>
      <c r="U1284" s="16"/>
      <c r="V1284" s="17"/>
      <c r="W1284" s="14"/>
      <c r="X1284" s="15"/>
      <c r="Y1284" s="16"/>
      <c r="Z1284" s="15"/>
      <c r="AA1284" s="30"/>
      <c r="AB1284" s="15"/>
    </row>
    <row r="1285" spans="1:28">
      <c r="A1285" s="2665" t="s">
        <v>6173</v>
      </c>
      <c r="B1285" s="2622"/>
      <c r="C1285" s="14"/>
      <c r="D1285" s="15"/>
      <c r="E1285" s="16"/>
      <c r="F1285" s="17"/>
      <c r="G1285" s="14"/>
      <c r="H1285" s="15"/>
      <c r="I1285" s="16"/>
      <c r="J1285" s="17"/>
      <c r="K1285" s="14"/>
      <c r="L1285" s="15"/>
      <c r="M1285" s="16"/>
      <c r="N1285" s="17"/>
      <c r="O1285" s="2679" t="s">
        <v>6174</v>
      </c>
      <c r="P1285" s="2670"/>
      <c r="Q1285" s="791"/>
      <c r="R1285" s="17"/>
      <c r="S1285" s="14"/>
      <c r="T1285" s="15"/>
      <c r="U1285" s="16"/>
      <c r="V1285" s="17"/>
      <c r="W1285" s="14"/>
      <c r="X1285" s="15"/>
      <c r="Y1285" s="16"/>
      <c r="Z1285" s="15"/>
      <c r="AA1285" s="30"/>
      <c r="AB1285" s="15"/>
    </row>
    <row r="1286" spans="1:28">
      <c r="A1286" s="2667" t="s">
        <v>6175</v>
      </c>
      <c r="B1286" s="2623"/>
      <c r="C1286" s="14"/>
      <c r="D1286" s="15"/>
      <c r="E1286" s="16"/>
      <c r="F1286" s="17"/>
      <c r="G1286" s="14"/>
      <c r="H1286" s="15"/>
      <c r="I1286" s="16"/>
      <c r="J1286" s="17"/>
      <c r="K1286" s="14"/>
      <c r="L1286" s="15"/>
      <c r="M1286" s="16"/>
      <c r="N1286" s="17"/>
      <c r="O1286" s="2680" t="s">
        <v>6175</v>
      </c>
      <c r="P1286" s="2659"/>
      <c r="Q1286" s="2660"/>
      <c r="R1286" s="2661"/>
      <c r="S1286" s="2673"/>
      <c r="T1286" s="15"/>
      <c r="U1286" s="16"/>
      <c r="V1286" s="17"/>
      <c r="W1286" s="14"/>
      <c r="X1286" s="15"/>
      <c r="Y1286" s="16"/>
      <c r="Z1286" s="15"/>
      <c r="AA1286" s="30"/>
      <c r="AB1286" s="15"/>
    </row>
    <row r="1287" spans="1:28">
      <c r="A1287" s="2666" t="s">
        <v>6176</v>
      </c>
      <c r="B1287" s="2624"/>
      <c r="C1287" s="14"/>
      <c r="D1287" s="15"/>
      <c r="E1287" s="16"/>
      <c r="F1287" s="17"/>
      <c r="G1287" s="14"/>
      <c r="H1287" s="15"/>
      <c r="I1287" s="16"/>
      <c r="J1287" s="17"/>
      <c r="K1287" s="14"/>
      <c r="L1287" s="15"/>
      <c r="M1287" s="16"/>
      <c r="N1287" s="17"/>
      <c r="O1287" s="2680" t="s">
        <v>6176</v>
      </c>
      <c r="P1287" s="2659"/>
      <c r="Q1287" s="2660"/>
      <c r="R1287" s="2661"/>
      <c r="S1287" s="2673"/>
      <c r="T1287" s="15"/>
      <c r="U1287" s="16"/>
      <c r="V1287" s="17"/>
      <c r="W1287" s="14"/>
      <c r="X1287" s="15"/>
      <c r="Y1287" s="16"/>
      <c r="Z1287" s="15"/>
      <c r="AA1287" s="30"/>
      <c r="AB1287" s="15"/>
    </row>
    <row r="1288" spans="1:28">
      <c r="A1288" s="2666" t="s">
        <v>6177</v>
      </c>
      <c r="B1288" s="2624"/>
      <c r="C1288" s="14"/>
      <c r="D1288" s="15"/>
      <c r="E1288" s="16"/>
      <c r="F1288" s="17"/>
      <c r="G1288" s="14"/>
      <c r="H1288" s="15"/>
      <c r="I1288" s="16"/>
      <c r="J1288" s="17"/>
      <c r="K1288" s="14"/>
      <c r="L1288" s="15"/>
      <c r="M1288" s="16"/>
      <c r="N1288" s="17"/>
      <c r="O1288" s="2681" t="s">
        <v>6177</v>
      </c>
      <c r="P1288" s="2656"/>
      <c r="Q1288" s="2657"/>
      <c r="R1288" s="2658"/>
      <c r="S1288" s="14"/>
      <c r="T1288" s="15"/>
      <c r="U1288" s="16"/>
      <c r="V1288" s="17"/>
      <c r="W1288" s="14"/>
      <c r="X1288" s="15"/>
      <c r="Y1288" s="16"/>
      <c r="Z1288" s="15"/>
      <c r="AA1288" s="30"/>
      <c r="AB1288" s="15"/>
    </row>
    <row r="1289" spans="1:28">
      <c r="A1289" s="2663" t="s">
        <v>6178</v>
      </c>
      <c r="B1289" s="2625"/>
      <c r="C1289" s="14"/>
      <c r="D1289" s="15"/>
      <c r="E1289" s="16"/>
      <c r="F1289" s="17"/>
      <c r="G1289" s="14"/>
      <c r="H1289" s="15"/>
      <c r="I1289" s="16"/>
      <c r="J1289" s="17"/>
      <c r="K1289" s="14"/>
      <c r="L1289" s="15"/>
      <c r="M1289" s="16"/>
      <c r="N1289" s="17"/>
      <c r="O1289" s="2682" t="s">
        <v>6178</v>
      </c>
      <c r="P1289" s="2652"/>
      <c r="Q1289" s="2049"/>
      <c r="R1289" s="2653"/>
      <c r="S1289" s="14"/>
      <c r="T1289" s="15"/>
      <c r="U1289" s="16"/>
      <c r="V1289" s="17"/>
      <c r="W1289" s="14"/>
      <c r="X1289" s="15"/>
      <c r="Y1289" s="16"/>
      <c r="Z1289" s="15"/>
      <c r="AA1289" s="30"/>
      <c r="AB1289" s="15"/>
    </row>
    <row r="1290" spans="1:28">
      <c r="A1290" s="2663" t="s">
        <v>6179</v>
      </c>
      <c r="B1290" s="2626"/>
      <c r="C1290" s="14"/>
      <c r="D1290" s="15"/>
      <c r="E1290" s="16"/>
      <c r="F1290" s="17"/>
      <c r="G1290" s="14"/>
      <c r="H1290" s="15"/>
      <c r="I1290" s="16"/>
      <c r="J1290" s="17"/>
      <c r="K1290" s="14"/>
      <c r="L1290" s="15"/>
      <c r="M1290" s="16"/>
      <c r="N1290" s="17"/>
      <c r="O1290" s="2671" t="s">
        <v>6179</v>
      </c>
      <c r="P1290" s="15"/>
      <c r="Q1290" s="16"/>
      <c r="R1290" s="17"/>
      <c r="S1290" s="14"/>
      <c r="T1290" s="15"/>
      <c r="U1290" s="16"/>
      <c r="V1290" s="17"/>
      <c r="W1290" s="14"/>
      <c r="X1290" s="15"/>
      <c r="Y1290" s="16"/>
      <c r="Z1290" s="15"/>
      <c r="AA1290" s="30"/>
      <c r="AB1290" s="15"/>
    </row>
    <row r="1291" spans="1:28">
      <c r="A1291" s="2663" t="s">
        <v>6180</v>
      </c>
      <c r="B1291" s="2626"/>
      <c r="C1291" s="14"/>
      <c r="D1291" s="15"/>
      <c r="E1291" s="16"/>
      <c r="F1291" s="17"/>
      <c r="G1291" s="14"/>
      <c r="H1291" s="15"/>
      <c r="I1291" s="16"/>
      <c r="J1291" s="17"/>
      <c r="K1291" s="14"/>
      <c r="L1291" s="15"/>
      <c r="M1291" s="16"/>
      <c r="N1291" s="17"/>
      <c r="O1291" s="2671" t="s">
        <v>6180</v>
      </c>
      <c r="P1291" s="15"/>
      <c r="Q1291" s="16"/>
      <c r="R1291" s="17"/>
      <c r="S1291" s="14"/>
      <c r="T1291" s="15"/>
      <c r="U1291" s="16"/>
      <c r="V1291" s="17"/>
      <c r="W1291" s="14"/>
      <c r="X1291" s="15"/>
      <c r="Y1291" s="16"/>
      <c r="Z1291" s="15"/>
      <c r="AA1291" s="30"/>
      <c r="AB1291" s="15"/>
    </row>
    <row r="1292" spans="1:28">
      <c r="A1292" s="1007" t="s">
        <v>6181</v>
      </c>
      <c r="B1292" s="2624"/>
      <c r="C1292" s="14"/>
      <c r="D1292" s="15"/>
      <c r="E1292" s="16"/>
      <c r="F1292" s="17"/>
      <c r="G1292" s="14"/>
      <c r="H1292" s="15"/>
      <c r="I1292" s="16"/>
      <c r="J1292" s="17"/>
      <c r="K1292" s="14"/>
      <c r="L1292" s="15"/>
      <c r="M1292" s="16"/>
      <c r="N1292" s="17"/>
      <c r="O1292" s="14"/>
      <c r="P1292" s="15"/>
      <c r="Q1292" s="16"/>
      <c r="R1292" s="17"/>
      <c r="S1292" s="14"/>
      <c r="T1292" s="15"/>
      <c r="U1292" s="16"/>
      <c r="V1292" s="17"/>
      <c r="W1292" s="14"/>
      <c r="X1292" s="15"/>
      <c r="Y1292" s="16"/>
      <c r="Z1292" s="15"/>
      <c r="AA1292" s="30"/>
      <c r="AB1292" s="15"/>
    </row>
    <row r="1293" spans="1:28" ht="40.5" thickBot="1">
      <c r="A1293" s="1007" t="s">
        <v>6182</v>
      </c>
      <c r="B1293" s="2627"/>
      <c r="C1293" s="6"/>
      <c r="D1293" s="32"/>
      <c r="E1293" s="7"/>
      <c r="F1293" s="40"/>
      <c r="G1293" s="6"/>
      <c r="H1293" s="32"/>
      <c r="I1293" s="7"/>
      <c r="J1293" s="40"/>
      <c r="K1293" s="6"/>
      <c r="L1293" s="32"/>
      <c r="M1293" s="7"/>
      <c r="N1293" s="40"/>
      <c r="O1293" s="6"/>
      <c r="P1293" s="32"/>
      <c r="Q1293" s="7"/>
      <c r="R1293" s="40"/>
      <c r="S1293" s="6"/>
      <c r="T1293" s="32"/>
      <c r="U1293" s="7"/>
      <c r="V1293" s="40"/>
      <c r="W1293" s="6"/>
      <c r="X1293" s="32"/>
      <c r="Y1293" s="7"/>
      <c r="Z1293" s="32"/>
      <c r="AA1293" s="2630"/>
      <c r="AB1293" s="2631"/>
    </row>
    <row r="1294" spans="1:28">
      <c r="A1294" s="2080"/>
      <c r="B1294" s="2573"/>
    </row>
    <row r="1295" spans="1:28" ht="40.5">
      <c r="A1295" s="3" t="s">
        <v>5063</v>
      </c>
      <c r="B1295" s="23"/>
      <c r="C1295" s="3"/>
      <c r="D1295" s="3"/>
      <c r="E1295" s="3"/>
      <c r="F1295" s="3"/>
      <c r="G1295" s="3"/>
      <c r="H1295" s="3"/>
      <c r="I1295" s="3"/>
      <c r="J1295" s="3"/>
      <c r="K1295" s="3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B1295" s="4"/>
    </row>
    <row r="1296" spans="1:28" ht="40.5" thickBot="1">
      <c r="A1296" s="5" t="s">
        <v>5064</v>
      </c>
    </row>
    <row r="1297" spans="1:28">
      <c r="A1297" s="3537" t="s">
        <v>2</v>
      </c>
      <c r="B1297" s="3540" t="s">
        <v>3</v>
      </c>
      <c r="C1297" s="3537" t="s">
        <v>5065</v>
      </c>
      <c r="D1297" s="3538"/>
      <c r="E1297" s="3536" t="s">
        <v>5066</v>
      </c>
      <c r="F1297" s="3536"/>
      <c r="G1297" s="3537" t="s">
        <v>5067</v>
      </c>
      <c r="H1297" s="3538"/>
      <c r="I1297" s="3536" t="s">
        <v>5068</v>
      </c>
      <c r="J1297" s="3536"/>
      <c r="K1297" s="3537" t="s">
        <v>5069</v>
      </c>
      <c r="L1297" s="3538"/>
      <c r="M1297" s="3536" t="s">
        <v>5070</v>
      </c>
      <c r="N1297" s="3536"/>
      <c r="O1297" s="3537"/>
      <c r="P1297" s="3538"/>
      <c r="Q1297" s="3536" t="s">
        <v>5071</v>
      </c>
      <c r="R1297" s="3536"/>
      <c r="S1297" s="3537" t="s">
        <v>5072</v>
      </c>
      <c r="T1297" s="3538"/>
      <c r="U1297" s="3536" t="s">
        <v>5073</v>
      </c>
      <c r="V1297" s="3536"/>
      <c r="W1297" s="3537" t="s">
        <v>5074</v>
      </c>
      <c r="X1297" s="3538"/>
      <c r="Y1297" s="3536" t="s">
        <v>5075</v>
      </c>
      <c r="Z1297" s="3538"/>
      <c r="AA1297" s="3536" t="s">
        <v>5076</v>
      </c>
      <c r="AB1297" s="3536"/>
    </row>
    <row r="1298" spans="1:28" ht="40.5" thickBot="1">
      <c r="A1298" s="3539"/>
      <c r="B1298" s="3541"/>
      <c r="C1298" s="1" t="s">
        <v>5078</v>
      </c>
      <c r="D1298" s="35" t="s">
        <v>5079</v>
      </c>
      <c r="E1298" s="2" t="s">
        <v>5078</v>
      </c>
      <c r="F1298" s="36" t="s">
        <v>5079</v>
      </c>
      <c r="G1298" s="1" t="s">
        <v>5078</v>
      </c>
      <c r="H1298" s="35" t="s">
        <v>5079</v>
      </c>
      <c r="I1298" s="2" t="s">
        <v>5078</v>
      </c>
      <c r="J1298" s="36" t="s">
        <v>5079</v>
      </c>
      <c r="K1298" s="1" t="s">
        <v>5078</v>
      </c>
      <c r="L1298" s="35" t="s">
        <v>5079</v>
      </c>
      <c r="M1298" s="2" t="s">
        <v>5078</v>
      </c>
      <c r="N1298" s="36" t="s">
        <v>5079</v>
      </c>
      <c r="O1298" s="1"/>
      <c r="P1298" s="35"/>
      <c r="Q1298" s="2" t="s">
        <v>5078</v>
      </c>
      <c r="R1298" s="36" t="s">
        <v>5079</v>
      </c>
      <c r="S1298" s="1" t="s">
        <v>5078</v>
      </c>
      <c r="T1298" s="35" t="s">
        <v>5079</v>
      </c>
      <c r="U1298" s="2" t="s">
        <v>5078</v>
      </c>
      <c r="V1298" s="36" t="s">
        <v>5079</v>
      </c>
      <c r="W1298" s="1" t="s">
        <v>5078</v>
      </c>
      <c r="X1298" s="35" t="s">
        <v>5079</v>
      </c>
      <c r="Y1298" s="2" t="s">
        <v>5078</v>
      </c>
      <c r="Z1298" s="35" t="s">
        <v>5079</v>
      </c>
      <c r="AA1298" s="2" t="s">
        <v>5078</v>
      </c>
      <c r="AB1298" s="36" t="s">
        <v>5079</v>
      </c>
    </row>
    <row r="1299" spans="1:28">
      <c r="A1299" s="3208" t="s">
        <v>6183</v>
      </c>
      <c r="B1299" s="2632"/>
      <c r="C1299" s="9"/>
      <c r="D1299" s="10"/>
      <c r="E1299" s="11"/>
      <c r="F1299" s="12"/>
      <c r="G1299" s="9"/>
      <c r="H1299" s="10"/>
      <c r="I1299" s="11"/>
      <c r="J1299" s="12"/>
      <c r="K1299" s="9"/>
      <c r="L1299" s="10"/>
      <c r="M1299" s="11"/>
      <c r="N1299" s="12"/>
      <c r="O1299" s="3209" t="s">
        <v>6184</v>
      </c>
      <c r="P1299" s="3210"/>
      <c r="Q1299" s="2644"/>
      <c r="R1299" s="12"/>
      <c r="S1299" s="9"/>
      <c r="T1299" s="10"/>
      <c r="U1299" s="11"/>
      <c r="V1299" s="12"/>
      <c r="W1299" s="9"/>
      <c r="X1299" s="10"/>
      <c r="Y1299" s="11"/>
      <c r="Z1299" s="10"/>
      <c r="AA1299" s="33"/>
      <c r="AB1299" s="10"/>
    </row>
    <row r="1300" spans="1:28">
      <c r="A1300" s="3208" t="s">
        <v>6185</v>
      </c>
      <c r="B1300" s="2621"/>
      <c r="C1300" s="14"/>
      <c r="D1300" s="15"/>
      <c r="E1300" s="16"/>
      <c r="F1300" s="17"/>
      <c r="G1300" s="14"/>
      <c r="H1300" s="15"/>
      <c r="I1300" s="16"/>
      <c r="J1300" s="17"/>
      <c r="K1300" s="14"/>
      <c r="L1300" s="15"/>
      <c r="M1300" s="16"/>
      <c r="N1300" s="17"/>
      <c r="O1300" s="3209" t="s">
        <v>6186</v>
      </c>
      <c r="P1300" s="3211"/>
      <c r="Q1300" s="791"/>
      <c r="R1300" s="17"/>
      <c r="S1300" s="14"/>
      <c r="T1300" s="15"/>
      <c r="U1300" s="16"/>
      <c r="V1300" s="17"/>
      <c r="W1300" s="14"/>
      <c r="X1300" s="15"/>
      <c r="Y1300" s="16"/>
      <c r="Z1300" s="15"/>
      <c r="AA1300" s="30"/>
      <c r="AB1300" s="15"/>
    </row>
    <row r="1301" spans="1:28">
      <c r="A1301" s="3208" t="s">
        <v>6187</v>
      </c>
      <c r="B1301" s="2621"/>
      <c r="C1301" s="14"/>
      <c r="D1301" s="15"/>
      <c r="E1301" s="16"/>
      <c r="F1301" s="17"/>
      <c r="G1301" s="14"/>
      <c r="H1301" s="15"/>
      <c r="I1301" s="16"/>
      <c r="J1301" s="17"/>
      <c r="K1301" s="14"/>
      <c r="L1301" s="15"/>
      <c r="M1301" s="16"/>
      <c r="N1301" s="17"/>
      <c r="O1301" s="3209" t="s">
        <v>6188</v>
      </c>
      <c r="P1301" s="3211"/>
      <c r="Q1301" s="791"/>
      <c r="R1301" s="17"/>
      <c r="S1301" s="14"/>
      <c r="T1301" s="15"/>
      <c r="U1301" s="16"/>
      <c r="V1301" s="17"/>
      <c r="W1301" s="14"/>
      <c r="X1301" s="15"/>
      <c r="Y1301" s="16"/>
      <c r="Z1301" s="15"/>
      <c r="AA1301" s="30"/>
      <c r="AB1301" s="15"/>
    </row>
    <row r="1302" spans="1:28">
      <c r="A1302" s="2684" t="s">
        <v>6189</v>
      </c>
      <c r="B1302" s="2621"/>
      <c r="C1302" s="14"/>
      <c r="D1302" s="15"/>
      <c r="E1302" s="16"/>
      <c r="F1302" s="17"/>
      <c r="G1302" s="14"/>
      <c r="H1302" s="15"/>
      <c r="I1302" s="16"/>
      <c r="J1302" s="17"/>
      <c r="K1302" s="14"/>
      <c r="L1302" s="15"/>
      <c r="M1302" s="16"/>
      <c r="N1302" s="17"/>
      <c r="O1302" s="2683" t="s">
        <v>6190</v>
      </c>
      <c r="P1302" s="2670"/>
      <c r="Q1302" s="791"/>
      <c r="R1302" s="17"/>
      <c r="S1302" s="14"/>
      <c r="T1302" s="15"/>
      <c r="U1302" s="16"/>
      <c r="V1302" s="17"/>
      <c r="W1302" s="14"/>
      <c r="X1302" s="15"/>
      <c r="Y1302" s="16"/>
      <c r="Z1302" s="15"/>
      <c r="AA1302" s="30"/>
      <c r="AB1302" s="15"/>
    </row>
    <row r="1303" spans="1:28">
      <c r="A1303" s="2684" t="s">
        <v>6191</v>
      </c>
      <c r="B1303" s="2622"/>
      <c r="C1303" s="14"/>
      <c r="D1303" s="15"/>
      <c r="E1303" s="16"/>
      <c r="F1303" s="17"/>
      <c r="G1303" s="14"/>
      <c r="H1303" s="15"/>
      <c r="I1303" s="16"/>
      <c r="J1303" s="17"/>
      <c r="K1303" s="14"/>
      <c r="L1303" s="15"/>
      <c r="M1303" s="16"/>
      <c r="N1303" s="17"/>
      <c r="O1303" s="2683" t="s">
        <v>6192</v>
      </c>
      <c r="P1303" s="2670"/>
      <c r="Q1303" s="791"/>
      <c r="R1303" s="17"/>
      <c r="S1303" s="14"/>
      <c r="T1303" s="15"/>
      <c r="U1303" s="16"/>
      <c r="V1303" s="17"/>
      <c r="W1303" s="14"/>
      <c r="X1303" s="15"/>
      <c r="Y1303" s="16"/>
      <c r="Z1303" s="15"/>
      <c r="AA1303" s="30"/>
      <c r="AB1303" s="15"/>
    </row>
    <row r="1304" spans="1:28">
      <c r="A1304" s="2684" t="s">
        <v>6193</v>
      </c>
      <c r="B1304" s="2621"/>
      <c r="C1304" s="14"/>
      <c r="D1304" s="15"/>
      <c r="E1304" s="16"/>
      <c r="F1304" s="17"/>
      <c r="G1304" s="14"/>
      <c r="H1304" s="15"/>
      <c r="I1304" s="16"/>
      <c r="J1304" s="17"/>
      <c r="K1304" s="14"/>
      <c r="L1304" s="15"/>
      <c r="M1304" s="16"/>
      <c r="N1304" s="17"/>
      <c r="O1304" s="2683" t="s">
        <v>6194</v>
      </c>
      <c r="P1304" s="2670"/>
      <c r="Q1304" s="791"/>
      <c r="R1304" s="17"/>
      <c r="S1304" s="14"/>
      <c r="T1304" s="15"/>
      <c r="U1304" s="16"/>
      <c r="V1304" s="17"/>
      <c r="W1304" s="14"/>
      <c r="X1304" s="15"/>
      <c r="Y1304" s="16"/>
      <c r="Z1304" s="15"/>
      <c r="AA1304" s="30"/>
      <c r="AB1304" s="15"/>
    </row>
    <row r="1305" spans="1:28">
      <c r="A1305" s="3201" t="s">
        <v>6195</v>
      </c>
      <c r="B1305" s="2622"/>
      <c r="C1305" s="14"/>
      <c r="D1305" s="15"/>
      <c r="E1305" s="16"/>
      <c r="F1305" s="17"/>
      <c r="G1305" s="14"/>
      <c r="H1305" s="15"/>
      <c r="I1305" s="16"/>
      <c r="J1305" s="17"/>
      <c r="K1305" s="14"/>
      <c r="L1305" s="15"/>
      <c r="M1305" s="16"/>
      <c r="N1305" s="17"/>
      <c r="O1305" s="3203" t="s">
        <v>6195</v>
      </c>
      <c r="P1305" s="3204"/>
      <c r="Q1305" s="2655"/>
      <c r="R1305" s="17"/>
      <c r="S1305" s="14"/>
      <c r="T1305" s="15"/>
      <c r="U1305" s="16"/>
      <c r="V1305" s="17"/>
      <c r="W1305" s="14"/>
      <c r="X1305" s="15"/>
      <c r="Y1305" s="16"/>
      <c r="Z1305" s="15"/>
      <c r="AA1305" s="30"/>
      <c r="AB1305" s="15"/>
    </row>
    <row r="1306" spans="1:28">
      <c r="A1306" s="3202" t="s">
        <v>6196</v>
      </c>
      <c r="B1306" s="2621"/>
      <c r="C1306" s="14"/>
      <c r="D1306" s="15"/>
      <c r="E1306" s="16"/>
      <c r="F1306" s="17"/>
      <c r="G1306" s="14"/>
      <c r="H1306" s="15"/>
      <c r="I1306" s="16"/>
      <c r="J1306" s="17"/>
      <c r="K1306" s="14"/>
      <c r="L1306" s="15"/>
      <c r="M1306" s="16"/>
      <c r="N1306" s="17"/>
      <c r="O1306" s="3205" t="s">
        <v>6196</v>
      </c>
      <c r="P1306" s="3204"/>
      <c r="Q1306" s="2655"/>
      <c r="R1306" s="17"/>
      <c r="S1306" s="14"/>
      <c r="T1306" s="15"/>
      <c r="U1306" s="16"/>
      <c r="V1306" s="17"/>
      <c r="W1306" s="14"/>
      <c r="X1306" s="15"/>
      <c r="Y1306" s="16"/>
      <c r="Z1306" s="15"/>
      <c r="AA1306" s="30"/>
      <c r="AB1306" s="15"/>
    </row>
    <row r="1307" spans="1:28">
      <c r="A1307" s="3202" t="s">
        <v>6197</v>
      </c>
      <c r="B1307" s="2622"/>
      <c r="C1307" s="14"/>
      <c r="D1307" s="15"/>
      <c r="E1307" s="16"/>
      <c r="F1307" s="17"/>
      <c r="G1307" s="14"/>
      <c r="H1307" s="15"/>
      <c r="I1307" s="16"/>
      <c r="J1307" s="17"/>
      <c r="K1307" s="14"/>
      <c r="L1307" s="15"/>
      <c r="M1307" s="16"/>
      <c r="N1307" s="17"/>
      <c r="O1307" s="3205" t="s">
        <v>6197</v>
      </c>
      <c r="P1307" s="3204"/>
      <c r="Q1307" s="2655"/>
      <c r="R1307" s="17"/>
      <c r="S1307" s="14"/>
      <c r="T1307" s="15"/>
      <c r="U1307" s="16"/>
      <c r="V1307" s="17"/>
      <c r="W1307" s="14"/>
      <c r="X1307" s="15"/>
      <c r="Y1307" s="16"/>
      <c r="Z1307" s="15"/>
      <c r="AA1307" s="30"/>
      <c r="AB1307" s="15"/>
    </row>
    <row r="1308" spans="1:28">
      <c r="A1308" s="3202" t="s">
        <v>6198</v>
      </c>
      <c r="B1308" s="2622"/>
      <c r="C1308" s="14"/>
      <c r="D1308" s="15"/>
      <c r="E1308" s="16"/>
      <c r="F1308" s="17"/>
      <c r="G1308" s="14"/>
      <c r="H1308" s="15"/>
      <c r="I1308" s="16"/>
      <c r="J1308" s="17"/>
      <c r="K1308" s="14"/>
      <c r="L1308" s="15"/>
      <c r="M1308" s="16"/>
      <c r="N1308" s="17"/>
      <c r="O1308" s="3205" t="s">
        <v>6198</v>
      </c>
      <c r="P1308" s="3204"/>
      <c r="Q1308" s="2655"/>
      <c r="R1308" s="17"/>
      <c r="S1308" s="14"/>
      <c r="T1308" s="15"/>
      <c r="U1308" s="16"/>
      <c r="V1308" s="17"/>
      <c r="W1308" s="14"/>
      <c r="X1308" s="15"/>
      <c r="Y1308" s="16"/>
      <c r="Z1308" s="15"/>
      <c r="AA1308" s="30"/>
      <c r="AB1308" s="15"/>
    </row>
    <row r="1309" spans="1:28">
      <c r="A1309" s="3202" t="s">
        <v>6199</v>
      </c>
      <c r="B1309" s="2621"/>
      <c r="C1309" s="14"/>
      <c r="D1309" s="15"/>
      <c r="E1309" s="16"/>
      <c r="F1309" s="17"/>
      <c r="G1309" s="14"/>
      <c r="H1309" s="15"/>
      <c r="I1309" s="16"/>
      <c r="J1309" s="17"/>
      <c r="K1309" s="14"/>
      <c r="L1309" s="15"/>
      <c r="M1309" s="16"/>
      <c r="N1309" s="17"/>
      <c r="O1309" s="3206" t="s">
        <v>6199</v>
      </c>
      <c r="P1309" s="3207"/>
      <c r="Q1309" s="2645"/>
      <c r="R1309" s="17"/>
      <c r="S1309" s="14"/>
      <c r="T1309" s="15"/>
      <c r="U1309" s="16"/>
      <c r="V1309" s="17"/>
      <c r="W1309" s="14"/>
      <c r="X1309" s="15"/>
      <c r="Y1309" s="16"/>
      <c r="Z1309" s="15"/>
      <c r="AA1309" s="30"/>
      <c r="AB1309" s="15"/>
    </row>
    <row r="1310" spans="1:28">
      <c r="A1310" s="3202" t="s">
        <v>6200</v>
      </c>
      <c r="B1310" s="2621"/>
      <c r="C1310" s="14"/>
      <c r="D1310" s="15"/>
      <c r="E1310" s="16"/>
      <c r="F1310" s="17"/>
      <c r="G1310" s="14"/>
      <c r="H1310" s="15"/>
      <c r="I1310" s="16"/>
      <c r="J1310" s="17"/>
      <c r="K1310" s="14"/>
      <c r="L1310" s="15"/>
      <c r="M1310" s="16"/>
      <c r="N1310" s="17"/>
      <c r="O1310" s="3206" t="s">
        <v>6200</v>
      </c>
      <c r="P1310" s="3207"/>
      <c r="Q1310" s="2645"/>
      <c r="R1310" s="17"/>
      <c r="S1310" s="14"/>
      <c r="T1310" s="15"/>
      <c r="U1310" s="16"/>
      <c r="V1310" s="17"/>
      <c r="W1310" s="14"/>
      <c r="X1310" s="15"/>
      <c r="Y1310" s="16"/>
      <c r="Z1310" s="15"/>
      <c r="AA1310" s="30"/>
      <c r="AB1310" s="15"/>
    </row>
    <row r="1311" spans="1:28">
      <c r="A1311" s="3202" t="s">
        <v>6201</v>
      </c>
      <c r="B1311" s="2621"/>
      <c r="C1311" s="14"/>
      <c r="D1311" s="15"/>
      <c r="E1311" s="16"/>
      <c r="F1311" s="17"/>
      <c r="G1311" s="14"/>
      <c r="H1311" s="15"/>
      <c r="I1311" s="16"/>
      <c r="J1311" s="17"/>
      <c r="K1311" s="14"/>
      <c r="L1311" s="15"/>
      <c r="M1311" s="16"/>
      <c r="N1311" s="17"/>
      <c r="O1311" s="3206" t="s">
        <v>6201</v>
      </c>
      <c r="P1311" s="3207"/>
      <c r="Q1311" s="2645"/>
      <c r="R1311" s="17"/>
      <c r="S1311" s="14"/>
      <c r="T1311" s="15"/>
      <c r="U1311" s="16"/>
      <c r="V1311" s="17"/>
      <c r="W1311" s="14"/>
      <c r="X1311" s="15"/>
      <c r="Y1311" s="16"/>
      <c r="Z1311" s="15"/>
      <c r="AA1311" s="30"/>
      <c r="AB1311" s="15"/>
    </row>
    <row r="1312" spans="1:28">
      <c r="A1312" s="3202" t="s">
        <v>6202</v>
      </c>
      <c r="B1312" s="2622"/>
      <c r="C1312" s="14"/>
      <c r="D1312" s="15"/>
      <c r="E1312" s="16"/>
      <c r="F1312" s="17"/>
      <c r="G1312" s="14"/>
      <c r="H1312" s="15"/>
      <c r="I1312" s="16"/>
      <c r="J1312" s="17"/>
      <c r="K1312" s="14"/>
      <c r="L1312" s="15"/>
      <c r="M1312" s="16"/>
      <c r="N1312" s="17"/>
      <c r="O1312" s="3206" t="s">
        <v>6202</v>
      </c>
      <c r="P1312" s="3207"/>
      <c r="Q1312" s="2645"/>
      <c r="R1312" s="17"/>
      <c r="S1312" s="14"/>
      <c r="T1312" s="15"/>
      <c r="U1312" s="16"/>
      <c r="V1312" s="17"/>
      <c r="W1312" s="14"/>
      <c r="X1312" s="15"/>
      <c r="Y1312" s="16"/>
      <c r="Z1312" s="15"/>
      <c r="AA1312" s="30"/>
      <c r="AB1312" s="15"/>
    </row>
    <row r="1313" spans="1:28">
      <c r="A1313" s="74" t="s">
        <v>840</v>
      </c>
      <c r="B1313" s="2621"/>
      <c r="C1313" s="14"/>
      <c r="D1313" s="15"/>
      <c r="E1313" s="16"/>
      <c r="F1313" s="17"/>
      <c r="G1313" s="14"/>
      <c r="H1313" s="15"/>
      <c r="I1313" s="16"/>
      <c r="J1313" s="17"/>
      <c r="K1313" s="14"/>
      <c r="L1313" s="15"/>
      <c r="M1313" s="16"/>
      <c r="N1313" s="17"/>
      <c r="O1313" s="3199" t="s">
        <v>762</v>
      </c>
      <c r="P1313" s="2654"/>
      <c r="Q1313" s="16"/>
      <c r="R1313" s="17"/>
      <c r="S1313" s="14"/>
      <c r="T1313" s="15"/>
      <c r="U1313" s="16"/>
      <c r="V1313" s="17"/>
      <c r="W1313" s="14"/>
      <c r="X1313" s="15"/>
      <c r="Y1313" s="16"/>
      <c r="Z1313" s="15"/>
      <c r="AA1313" s="30"/>
      <c r="AB1313" s="15"/>
    </row>
    <row r="1314" spans="1:28">
      <c r="A1314" s="406" t="s">
        <v>6203</v>
      </c>
      <c r="B1314" s="2622"/>
      <c r="C1314" s="14"/>
      <c r="D1314" s="15"/>
      <c r="E1314" s="16"/>
      <c r="F1314" s="17"/>
      <c r="G1314" s="14"/>
      <c r="H1314" s="15"/>
      <c r="I1314" s="16"/>
      <c r="J1314" s="17"/>
      <c r="K1314" s="14"/>
      <c r="L1314" s="15"/>
      <c r="M1314" s="16"/>
      <c r="N1314" s="17"/>
      <c r="O1314" s="3200" t="s">
        <v>6204</v>
      </c>
      <c r="P1314" s="2654"/>
      <c r="Q1314" s="16"/>
      <c r="R1314" s="17"/>
      <c r="S1314" s="14"/>
      <c r="T1314" s="15"/>
      <c r="U1314" s="16"/>
      <c r="V1314" s="17"/>
      <c r="W1314" s="14"/>
      <c r="X1314" s="15"/>
      <c r="Y1314" s="16"/>
      <c r="Z1314" s="15"/>
      <c r="AA1314" s="30"/>
      <c r="AB1314" s="15"/>
    </row>
    <row r="1315" spans="1:28">
      <c r="A1315" s="406" t="s">
        <v>6205</v>
      </c>
      <c r="B1315" s="2621"/>
      <c r="C1315" s="14"/>
      <c r="D1315" s="15"/>
      <c r="E1315" s="16"/>
      <c r="F1315" s="17"/>
      <c r="G1315" s="14"/>
      <c r="H1315" s="15"/>
      <c r="I1315" s="16"/>
      <c r="J1315" s="17"/>
      <c r="K1315" s="14"/>
      <c r="L1315" s="15"/>
      <c r="M1315" s="16"/>
      <c r="N1315" s="17"/>
      <c r="O1315" s="3200" t="s">
        <v>6206</v>
      </c>
      <c r="P1315" s="2654"/>
      <c r="Q1315" s="2049"/>
      <c r="R1315" s="17"/>
      <c r="S1315" s="14"/>
      <c r="T1315" s="15"/>
      <c r="U1315" s="16"/>
      <c r="V1315" s="17"/>
      <c r="W1315" s="14"/>
      <c r="X1315" s="15"/>
      <c r="Y1315" s="16"/>
      <c r="Z1315" s="15"/>
      <c r="AA1315" s="30"/>
      <c r="AB1315" s="15"/>
    </row>
    <row r="1316" spans="1:28">
      <c r="A1316" s="406" t="s">
        <v>6207</v>
      </c>
      <c r="B1316" s="2622"/>
      <c r="C1316" s="14"/>
      <c r="D1316" s="15"/>
      <c r="E1316" s="16"/>
      <c r="F1316" s="17"/>
      <c r="G1316" s="14"/>
      <c r="H1316" s="15"/>
      <c r="I1316" s="16"/>
      <c r="J1316" s="17"/>
      <c r="K1316" s="14"/>
      <c r="L1316" s="15"/>
      <c r="M1316" s="16"/>
      <c r="N1316" s="17"/>
      <c r="O1316" s="3200" t="s">
        <v>6208</v>
      </c>
      <c r="P1316" s="2654"/>
      <c r="Q1316" s="2049"/>
      <c r="R1316" s="17"/>
      <c r="S1316" s="14"/>
      <c r="T1316" s="15"/>
      <c r="U1316" s="16"/>
      <c r="V1316" s="17"/>
      <c r="W1316" s="14"/>
      <c r="X1316" s="15"/>
      <c r="Y1316" s="16"/>
      <c r="Z1316" s="15"/>
      <c r="AA1316" s="30"/>
      <c r="AB1316" s="15"/>
    </row>
    <row r="1317" spans="1:28">
      <c r="A1317" s="406" t="s">
        <v>6209</v>
      </c>
      <c r="B1317" s="2622"/>
      <c r="C1317" s="14"/>
      <c r="D1317" s="15"/>
      <c r="E1317" s="16"/>
      <c r="F1317" s="17"/>
      <c r="G1317" s="14"/>
      <c r="H1317" s="15"/>
      <c r="I1317" s="16"/>
      <c r="J1317" s="17"/>
      <c r="K1317" s="14"/>
      <c r="L1317" s="15"/>
      <c r="M1317" s="16"/>
      <c r="N1317" s="17"/>
      <c r="O1317" s="3200" t="s">
        <v>6210</v>
      </c>
      <c r="P1317" s="2654"/>
      <c r="Q1317" s="791"/>
      <c r="R1317" s="17"/>
      <c r="S1317" s="14"/>
      <c r="T1317" s="15"/>
      <c r="U1317" s="16"/>
      <c r="V1317" s="17"/>
      <c r="W1317" s="14"/>
      <c r="X1317" s="15"/>
      <c r="Y1317" s="16"/>
      <c r="Z1317" s="15"/>
      <c r="AA1317" s="30"/>
      <c r="AB1317" s="15"/>
    </row>
    <row r="1318" spans="1:28">
      <c r="A1318" s="406" t="s">
        <v>6211</v>
      </c>
      <c r="B1318" s="2622"/>
      <c r="C1318" s="14"/>
      <c r="D1318" s="15"/>
      <c r="E1318" s="16"/>
      <c r="F1318" s="17"/>
      <c r="G1318" s="14"/>
      <c r="H1318" s="15"/>
      <c r="I1318" s="16"/>
      <c r="J1318" s="17"/>
      <c r="K1318" s="14"/>
      <c r="L1318" s="15"/>
      <c r="M1318" s="16"/>
      <c r="N1318" s="17"/>
      <c r="O1318" s="3200" t="s">
        <v>6212</v>
      </c>
      <c r="P1318" s="2654"/>
      <c r="Q1318" s="16"/>
      <c r="R1318" s="17"/>
      <c r="S1318" s="14"/>
      <c r="T1318" s="15"/>
      <c r="U1318" s="16"/>
      <c r="V1318" s="17"/>
      <c r="W1318" s="14"/>
      <c r="X1318" s="15"/>
      <c r="Y1318" s="16"/>
      <c r="Z1318" s="15"/>
      <c r="AA1318" s="30"/>
      <c r="AB1318" s="15"/>
    </row>
    <row r="1319" spans="1:28">
      <c r="A1319" s="2080"/>
      <c r="B1319" s="2573"/>
    </row>
    <row r="1320" spans="1:28" ht="40.5">
      <c r="A1320" s="3" t="s">
        <v>5063</v>
      </c>
      <c r="B1320" s="23"/>
      <c r="C1320" s="3"/>
      <c r="D1320" s="3"/>
      <c r="E1320" s="3"/>
      <c r="F1320" s="3"/>
      <c r="G1320" s="3"/>
      <c r="H1320" s="3"/>
      <c r="I1320" s="3"/>
      <c r="J1320" s="3"/>
      <c r="K1320" s="3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B1320" s="4"/>
    </row>
    <row r="1321" spans="1:28" ht="40.5" thickBot="1">
      <c r="A1321" s="5" t="s">
        <v>5064</v>
      </c>
    </row>
    <row r="1322" spans="1:28">
      <c r="A1322" s="3537" t="s">
        <v>2</v>
      </c>
      <c r="B1322" s="3540" t="s">
        <v>3</v>
      </c>
      <c r="C1322" s="3537" t="s">
        <v>5065</v>
      </c>
      <c r="D1322" s="3538"/>
      <c r="E1322" s="3536" t="s">
        <v>5066</v>
      </c>
      <c r="F1322" s="3536"/>
      <c r="G1322" s="3537" t="s">
        <v>5067</v>
      </c>
      <c r="H1322" s="3538"/>
      <c r="I1322" s="3536" t="s">
        <v>5068</v>
      </c>
      <c r="J1322" s="3536"/>
      <c r="K1322" s="3537" t="s">
        <v>5069</v>
      </c>
      <c r="L1322" s="3538"/>
      <c r="M1322" s="3536" t="s">
        <v>5070</v>
      </c>
      <c r="N1322" s="3536"/>
      <c r="O1322" s="3537"/>
      <c r="P1322" s="3538"/>
      <c r="Q1322" s="3536" t="s">
        <v>5071</v>
      </c>
      <c r="R1322" s="3536"/>
      <c r="S1322" s="3537" t="s">
        <v>5072</v>
      </c>
      <c r="T1322" s="3538"/>
      <c r="U1322" s="3536" t="s">
        <v>5073</v>
      </c>
      <c r="V1322" s="3536"/>
      <c r="W1322" s="3537" t="s">
        <v>5074</v>
      </c>
      <c r="X1322" s="3538"/>
      <c r="Y1322" s="3536" t="s">
        <v>5075</v>
      </c>
      <c r="Z1322" s="3538"/>
      <c r="AA1322" s="3536" t="s">
        <v>5076</v>
      </c>
      <c r="AB1322" s="3536"/>
    </row>
    <row r="1323" spans="1:28" ht="40.5" thickBot="1">
      <c r="A1323" s="3539"/>
      <c r="B1323" s="3541"/>
      <c r="C1323" s="1" t="s">
        <v>5078</v>
      </c>
      <c r="D1323" s="35" t="s">
        <v>5079</v>
      </c>
      <c r="E1323" s="2" t="s">
        <v>5078</v>
      </c>
      <c r="F1323" s="36" t="s">
        <v>5079</v>
      </c>
      <c r="G1323" s="1" t="s">
        <v>5078</v>
      </c>
      <c r="H1323" s="35" t="s">
        <v>5079</v>
      </c>
      <c r="I1323" s="2" t="s">
        <v>5078</v>
      </c>
      <c r="J1323" s="36" t="s">
        <v>5079</v>
      </c>
      <c r="K1323" s="1" t="s">
        <v>5078</v>
      </c>
      <c r="L1323" s="35" t="s">
        <v>5079</v>
      </c>
      <c r="M1323" s="2" t="s">
        <v>5078</v>
      </c>
      <c r="N1323" s="36" t="s">
        <v>5079</v>
      </c>
      <c r="O1323" s="1"/>
      <c r="P1323" s="35"/>
      <c r="Q1323" s="2" t="s">
        <v>5078</v>
      </c>
      <c r="R1323" s="36" t="s">
        <v>5079</v>
      </c>
      <c r="S1323" s="1" t="s">
        <v>5078</v>
      </c>
      <c r="T1323" s="35" t="s">
        <v>5079</v>
      </c>
      <c r="U1323" s="2" t="s">
        <v>5078</v>
      </c>
      <c r="V1323" s="36" t="s">
        <v>5079</v>
      </c>
      <c r="W1323" s="1" t="s">
        <v>5078</v>
      </c>
      <c r="X1323" s="35" t="s">
        <v>5079</v>
      </c>
      <c r="Y1323" s="2" t="s">
        <v>5078</v>
      </c>
      <c r="Z1323" s="35" t="s">
        <v>5079</v>
      </c>
      <c r="AA1323" s="2" t="s">
        <v>5078</v>
      </c>
      <c r="AB1323" s="36" t="s">
        <v>5079</v>
      </c>
    </row>
    <row r="1324" spans="1:28">
      <c r="A1324" s="3219" t="s">
        <v>6213</v>
      </c>
      <c r="B1324" s="2632"/>
      <c r="C1324" s="9"/>
      <c r="D1324" s="10"/>
      <c r="E1324" s="11"/>
      <c r="F1324" s="12"/>
      <c r="G1324" s="9"/>
      <c r="H1324" s="10"/>
      <c r="I1324" s="11"/>
      <c r="J1324" s="12"/>
      <c r="K1324" s="9"/>
      <c r="L1324" s="10"/>
      <c r="M1324" s="11"/>
      <c r="N1324" s="12"/>
      <c r="O1324" s="3224" t="s">
        <v>762</v>
      </c>
      <c r="P1324" s="3226"/>
      <c r="R1324" s="12"/>
      <c r="S1324" s="9"/>
      <c r="T1324" s="10"/>
      <c r="U1324" s="11"/>
      <c r="V1324" s="12"/>
      <c r="W1324" s="9"/>
      <c r="X1324" s="10"/>
      <c r="Y1324" s="11"/>
      <c r="Z1324" s="10"/>
      <c r="AA1324" s="33"/>
      <c r="AB1324" s="10"/>
    </row>
    <row r="1325" spans="1:28">
      <c r="A1325" s="3219" t="s">
        <v>6214</v>
      </c>
      <c r="B1325" s="2621"/>
      <c r="C1325" s="14"/>
      <c r="D1325" s="15"/>
      <c r="E1325" s="16"/>
      <c r="F1325" s="17"/>
      <c r="G1325" s="14"/>
      <c r="H1325" s="15"/>
      <c r="I1325" s="16"/>
      <c r="J1325" s="17"/>
      <c r="K1325" s="14"/>
      <c r="L1325" s="15"/>
      <c r="M1325" s="16"/>
      <c r="N1325" s="17"/>
      <c r="O1325" s="3225" t="s">
        <v>6215</v>
      </c>
      <c r="P1325" s="3223"/>
      <c r="Q1325" s="791"/>
      <c r="R1325" s="17"/>
      <c r="S1325" s="14"/>
      <c r="T1325" s="15"/>
      <c r="U1325" s="16"/>
      <c r="V1325" s="17"/>
      <c r="W1325" s="14"/>
      <c r="X1325" s="15"/>
      <c r="Y1325" s="16"/>
      <c r="Z1325" s="15"/>
      <c r="AA1325" s="30"/>
      <c r="AB1325" s="15"/>
    </row>
    <row r="1326" spans="1:28">
      <c r="A1326" s="3219" t="s">
        <v>840</v>
      </c>
      <c r="B1326" s="2621"/>
      <c r="C1326" s="14"/>
      <c r="D1326" s="15"/>
      <c r="E1326" s="16"/>
      <c r="F1326" s="17"/>
      <c r="G1326" s="14"/>
      <c r="H1326" s="15"/>
      <c r="I1326" s="16"/>
      <c r="J1326" s="17"/>
      <c r="K1326" s="14"/>
      <c r="L1326" s="15"/>
      <c r="M1326" s="16"/>
      <c r="N1326" s="17"/>
      <c r="O1326" s="3222" t="s">
        <v>6216</v>
      </c>
      <c r="P1326" s="3223"/>
      <c r="Q1326" s="791"/>
      <c r="R1326" s="17"/>
      <c r="S1326" s="14"/>
      <c r="T1326" s="15"/>
      <c r="U1326" s="16"/>
      <c r="V1326" s="17"/>
      <c r="W1326" s="14"/>
      <c r="X1326" s="15"/>
      <c r="Y1326" s="16"/>
      <c r="Z1326" s="15"/>
      <c r="AA1326" s="30"/>
      <c r="AB1326" s="15"/>
    </row>
    <row r="1327" spans="1:28">
      <c r="A1327" s="3220" t="s">
        <v>6217</v>
      </c>
      <c r="B1327" s="2621"/>
      <c r="C1327" s="14"/>
      <c r="D1327" s="15"/>
      <c r="E1327" s="16"/>
      <c r="F1327" s="17"/>
      <c r="G1327" s="14"/>
      <c r="H1327" s="15"/>
      <c r="I1327" s="16"/>
      <c r="J1327" s="17"/>
      <c r="K1327" s="14"/>
      <c r="L1327" s="15"/>
      <c r="M1327" s="16"/>
      <c r="N1327" s="17"/>
      <c r="O1327" s="3220" t="s">
        <v>6179</v>
      </c>
      <c r="P1327" s="3221"/>
      <c r="Q1327" s="16"/>
      <c r="R1327" s="17"/>
      <c r="S1327" s="14"/>
      <c r="T1327" s="15"/>
      <c r="U1327" s="16"/>
      <c r="V1327" s="17"/>
      <c r="W1327" s="14"/>
      <c r="X1327" s="15"/>
      <c r="Y1327" s="16"/>
      <c r="Z1327" s="15"/>
      <c r="AA1327" s="30"/>
      <c r="AB1327" s="15"/>
    </row>
    <row r="1328" spans="1:28">
      <c r="A1328" s="3009" t="s">
        <v>6180</v>
      </c>
      <c r="B1328" s="2622"/>
      <c r="C1328" s="14"/>
      <c r="D1328" s="15"/>
      <c r="E1328" s="16"/>
      <c r="F1328" s="17"/>
      <c r="G1328" s="14"/>
      <c r="H1328" s="15"/>
      <c r="I1328" s="16"/>
      <c r="J1328" s="17"/>
      <c r="K1328" s="14"/>
      <c r="L1328" s="15"/>
      <c r="M1328" s="16"/>
      <c r="N1328" s="17"/>
      <c r="O1328" s="2939" t="s">
        <v>6180</v>
      </c>
      <c r="P1328" s="15"/>
      <c r="Q1328" s="16"/>
      <c r="R1328" s="17"/>
      <c r="S1328" s="14"/>
      <c r="T1328" s="15"/>
      <c r="U1328" s="16"/>
      <c r="V1328" s="17"/>
      <c r="W1328" s="14"/>
      <c r="X1328" s="15"/>
      <c r="Y1328" s="16"/>
      <c r="Z1328" s="15"/>
      <c r="AA1328" s="30"/>
      <c r="AB1328" s="15"/>
    </row>
    <row r="1329" spans="1:28">
      <c r="A1329" s="3009" t="s">
        <v>6218</v>
      </c>
      <c r="B1329" s="2621"/>
      <c r="C1329" s="14"/>
      <c r="D1329" s="15"/>
      <c r="E1329" s="16"/>
      <c r="F1329" s="17"/>
      <c r="G1329" s="14"/>
      <c r="H1329" s="15"/>
      <c r="I1329" s="16"/>
      <c r="J1329" s="17"/>
      <c r="K1329" s="14"/>
      <c r="L1329" s="15"/>
      <c r="M1329" s="16"/>
      <c r="N1329" s="17"/>
      <c r="O1329" s="3010" t="s">
        <v>6218</v>
      </c>
      <c r="P1329" s="3214"/>
      <c r="Q1329" s="3215"/>
      <c r="R1329" s="3216"/>
      <c r="S1329" s="14"/>
      <c r="T1329" s="15"/>
      <c r="U1329" s="16"/>
      <c r="V1329" s="17"/>
      <c r="W1329" s="14"/>
      <c r="X1329" s="15"/>
      <c r="Y1329" s="16"/>
      <c r="Z1329" s="15"/>
      <c r="AA1329" s="30"/>
      <c r="AB1329" s="15"/>
    </row>
    <row r="1330" spans="1:28">
      <c r="A1330" s="3009" t="s">
        <v>6219</v>
      </c>
      <c r="B1330" s="2621"/>
      <c r="C1330" s="14"/>
      <c r="D1330" s="15"/>
      <c r="E1330" s="16"/>
      <c r="F1330" s="17"/>
      <c r="G1330" s="14"/>
      <c r="H1330" s="15"/>
      <c r="I1330" s="16"/>
      <c r="J1330" s="17"/>
      <c r="K1330" s="14"/>
      <c r="L1330" s="15"/>
      <c r="M1330" s="16"/>
      <c r="N1330" s="17"/>
      <c r="O1330" s="3010" t="s">
        <v>6219</v>
      </c>
      <c r="P1330" s="3214"/>
      <c r="Q1330" s="3215"/>
      <c r="R1330" s="3216"/>
      <c r="S1330" s="14"/>
      <c r="T1330" s="15"/>
      <c r="U1330" s="16"/>
      <c r="V1330" s="17"/>
      <c r="W1330" s="14"/>
      <c r="X1330" s="15"/>
      <c r="Y1330" s="16"/>
      <c r="Z1330" s="15"/>
      <c r="AA1330" s="30"/>
      <c r="AB1330" s="15"/>
    </row>
    <row r="1331" spans="1:28">
      <c r="A1331" s="3009" t="s">
        <v>6220</v>
      </c>
      <c r="B1331" s="2621"/>
      <c r="C1331" s="14"/>
      <c r="D1331" s="15"/>
      <c r="E1331" s="16"/>
      <c r="F1331" s="17"/>
      <c r="G1331" s="14"/>
      <c r="H1331" s="15"/>
      <c r="I1331" s="16"/>
      <c r="J1331" s="17"/>
      <c r="K1331" s="14"/>
      <c r="L1331" s="15"/>
      <c r="M1331" s="16"/>
      <c r="N1331" s="17"/>
      <c r="O1331" s="2939" t="s">
        <v>6220</v>
      </c>
      <c r="P1331" s="15"/>
      <c r="Q1331" s="16"/>
      <c r="R1331" s="3216"/>
      <c r="S1331" s="14"/>
      <c r="T1331" s="15"/>
      <c r="U1331" s="16"/>
      <c r="V1331" s="17"/>
      <c r="W1331" s="14"/>
      <c r="X1331" s="15"/>
      <c r="Y1331" s="16"/>
      <c r="Z1331" s="15"/>
      <c r="AA1331" s="30"/>
      <c r="AB1331" s="15"/>
    </row>
    <row r="1332" spans="1:28">
      <c r="A1332" s="3227" t="s">
        <v>6221</v>
      </c>
      <c r="B1332" s="2622"/>
      <c r="C1332" s="14"/>
      <c r="D1332" s="15"/>
      <c r="E1332" s="16"/>
      <c r="F1332" s="17"/>
      <c r="G1332" s="14"/>
      <c r="H1332" s="15"/>
      <c r="I1332" s="16"/>
      <c r="J1332" s="17"/>
      <c r="K1332" s="14"/>
      <c r="L1332" s="15"/>
      <c r="M1332" s="16"/>
      <c r="N1332" s="17"/>
      <c r="O1332" s="3217" t="s">
        <v>6221</v>
      </c>
      <c r="P1332" s="3218"/>
      <c r="Q1332" s="16"/>
      <c r="R1332" s="3216"/>
      <c r="S1332" s="14"/>
      <c r="T1332" s="15"/>
      <c r="U1332" s="16"/>
      <c r="V1332" s="17"/>
      <c r="W1332" s="14"/>
      <c r="X1332" s="15"/>
      <c r="Y1332" s="16"/>
      <c r="Z1332" s="15"/>
      <c r="AA1332" s="30"/>
      <c r="AB1332" s="15"/>
    </row>
    <row r="1333" spans="1:28">
      <c r="A1333" s="3228" t="s">
        <v>6222</v>
      </c>
      <c r="B1333" s="2621"/>
      <c r="C1333" s="14"/>
      <c r="D1333" s="15"/>
      <c r="E1333" s="16"/>
      <c r="F1333" s="17"/>
      <c r="G1333" s="14"/>
      <c r="H1333" s="15"/>
      <c r="I1333" s="16"/>
      <c r="J1333" s="17"/>
      <c r="K1333" s="14"/>
      <c r="L1333" s="15"/>
      <c r="M1333" s="16"/>
      <c r="N1333" s="17"/>
      <c r="O1333" s="3213" t="s">
        <v>6222</v>
      </c>
      <c r="P1333" s="3214"/>
      <c r="Q1333" s="3215"/>
      <c r="R1333" s="3216"/>
      <c r="S1333" s="14"/>
      <c r="T1333" s="15"/>
      <c r="U1333" s="16"/>
      <c r="V1333" s="17"/>
      <c r="W1333" s="14"/>
      <c r="X1333" s="15"/>
      <c r="Y1333" s="16"/>
      <c r="Z1333" s="15"/>
      <c r="AA1333" s="30"/>
      <c r="AB1333" s="15"/>
    </row>
    <row r="1334" spans="1:28">
      <c r="A1334" s="3228" t="s">
        <v>6223</v>
      </c>
      <c r="B1334" s="2621"/>
      <c r="C1334" s="14"/>
      <c r="D1334" s="15"/>
      <c r="E1334" s="16"/>
      <c r="F1334" s="17"/>
      <c r="G1334" s="14"/>
      <c r="H1334" s="15"/>
      <c r="I1334" s="16"/>
      <c r="J1334" s="17"/>
      <c r="K1334" s="14"/>
      <c r="L1334" s="15"/>
      <c r="M1334" s="16"/>
      <c r="N1334" s="17"/>
      <c r="O1334" s="3213" t="s">
        <v>6223</v>
      </c>
      <c r="P1334" s="3214"/>
      <c r="Q1334" s="3215"/>
      <c r="R1334" s="17"/>
      <c r="S1334" s="14"/>
      <c r="T1334" s="15"/>
      <c r="U1334" s="16"/>
      <c r="V1334" s="17"/>
      <c r="W1334" s="14"/>
      <c r="X1334" s="15"/>
      <c r="Y1334" s="16"/>
      <c r="Z1334" s="15"/>
      <c r="AA1334" s="30"/>
      <c r="AB1334" s="15"/>
    </row>
    <row r="1335" spans="1:28">
      <c r="A1335" s="3228" t="s">
        <v>727</v>
      </c>
      <c r="B1335" s="2621"/>
      <c r="C1335" s="14"/>
      <c r="D1335" s="15"/>
      <c r="E1335" s="16"/>
      <c r="F1335" s="17"/>
      <c r="G1335" s="14"/>
      <c r="H1335" s="15"/>
      <c r="I1335" s="16"/>
      <c r="J1335" s="17"/>
      <c r="K1335" s="14"/>
      <c r="L1335" s="15"/>
      <c r="M1335" s="16"/>
      <c r="N1335" s="17"/>
      <c r="O1335" s="3213" t="s">
        <v>727</v>
      </c>
      <c r="P1335" s="3214"/>
      <c r="Q1335" s="3215"/>
      <c r="R1335" s="17"/>
      <c r="S1335" s="14"/>
      <c r="T1335" s="15"/>
      <c r="U1335" s="16"/>
      <c r="V1335" s="17"/>
      <c r="W1335" s="14"/>
      <c r="X1335" s="15"/>
      <c r="Y1335" s="16"/>
      <c r="Z1335" s="15"/>
      <c r="AA1335" s="30"/>
      <c r="AB1335" s="15"/>
    </row>
    <row r="1336" spans="1:28">
      <c r="A1336" s="3228" t="s">
        <v>703</v>
      </c>
      <c r="B1336" s="2622"/>
      <c r="C1336" s="14"/>
      <c r="D1336" s="15"/>
      <c r="E1336" s="16"/>
      <c r="F1336" s="17"/>
      <c r="G1336" s="14"/>
      <c r="H1336" s="15"/>
      <c r="I1336" s="16"/>
      <c r="J1336" s="17"/>
      <c r="K1336" s="14"/>
      <c r="L1336" s="15"/>
      <c r="M1336" s="16"/>
      <c r="N1336" s="17"/>
      <c r="O1336" s="3213" t="s">
        <v>703</v>
      </c>
      <c r="P1336" s="3214"/>
      <c r="Q1336" s="3215"/>
      <c r="R1336" s="17"/>
      <c r="S1336" s="14"/>
      <c r="T1336" s="15"/>
      <c r="U1336" s="16"/>
      <c r="V1336" s="17"/>
      <c r="W1336" s="14"/>
      <c r="X1336" s="15"/>
      <c r="Y1336" s="16"/>
      <c r="Z1336" s="15"/>
      <c r="AA1336" s="30"/>
      <c r="AB1336" s="15"/>
    </row>
    <row r="1337" spans="1:28">
      <c r="A1337" s="3229" t="s">
        <v>703</v>
      </c>
      <c r="B1337" s="2622"/>
      <c r="C1337" s="14"/>
      <c r="D1337" s="15"/>
      <c r="E1337" s="16"/>
      <c r="F1337" s="17"/>
      <c r="G1337" s="14"/>
      <c r="H1337" s="15"/>
      <c r="I1337" s="16"/>
      <c r="J1337" s="17"/>
      <c r="K1337" s="14"/>
      <c r="L1337" s="15"/>
      <c r="M1337" s="16"/>
      <c r="N1337" s="17"/>
      <c r="O1337" s="3212" t="s">
        <v>703</v>
      </c>
      <c r="P1337" s="3214"/>
      <c r="Q1337" s="3215"/>
      <c r="R1337" s="17"/>
      <c r="S1337" s="14"/>
      <c r="T1337" s="15"/>
      <c r="U1337" s="16"/>
      <c r="V1337" s="17"/>
      <c r="W1337" s="14"/>
      <c r="X1337" s="15"/>
      <c r="Y1337" s="16"/>
      <c r="Z1337" s="15"/>
      <c r="AA1337" s="30"/>
      <c r="AB1337" s="15"/>
    </row>
    <row r="1338" spans="1:28">
      <c r="A1338" s="3230" t="s">
        <v>6224</v>
      </c>
      <c r="B1338" s="2621"/>
      <c r="C1338" s="14"/>
      <c r="D1338" s="15"/>
      <c r="E1338" s="16"/>
      <c r="F1338" s="17"/>
      <c r="G1338" s="14"/>
      <c r="H1338" s="15"/>
      <c r="I1338" s="16"/>
      <c r="J1338" s="17"/>
      <c r="K1338" s="14"/>
      <c r="L1338" s="15"/>
      <c r="M1338" s="16"/>
      <c r="N1338" s="17"/>
      <c r="O1338" s="2664" t="s">
        <v>6224</v>
      </c>
      <c r="P1338" s="15"/>
      <c r="Q1338" s="16"/>
      <c r="R1338" s="17"/>
      <c r="S1338" s="14"/>
      <c r="T1338" s="15"/>
      <c r="U1338" s="16"/>
      <c r="V1338" s="17"/>
      <c r="W1338" s="14"/>
      <c r="X1338" s="15"/>
      <c r="Y1338" s="16"/>
      <c r="Z1338" s="15"/>
      <c r="AA1338" s="30"/>
      <c r="AB1338" s="15"/>
    </row>
    <row r="1339" spans="1:28">
      <c r="A1339" s="2668" t="s">
        <v>6225</v>
      </c>
      <c r="B1339" s="2621"/>
      <c r="C1339" s="14"/>
      <c r="D1339" s="15"/>
      <c r="E1339" s="16"/>
      <c r="F1339" s="17"/>
      <c r="G1339" s="14"/>
      <c r="H1339" s="15"/>
      <c r="I1339" s="16"/>
      <c r="J1339" s="17"/>
      <c r="K1339" s="14"/>
      <c r="L1339" s="15"/>
      <c r="M1339" s="16"/>
      <c r="N1339" s="17"/>
      <c r="O1339" s="2668" t="s">
        <v>6225</v>
      </c>
      <c r="P1339" s="15"/>
      <c r="Q1339" s="16"/>
      <c r="R1339" s="17"/>
      <c r="S1339" s="14"/>
      <c r="T1339" s="15"/>
      <c r="U1339" s="16"/>
      <c r="V1339" s="17"/>
      <c r="W1339" s="14"/>
      <c r="X1339" s="15"/>
      <c r="Y1339" s="16"/>
      <c r="Z1339" s="15"/>
      <c r="AA1339" s="30"/>
      <c r="AB1339" s="15"/>
    </row>
    <row r="1340" spans="1:28">
      <c r="A1340" s="2665"/>
      <c r="B1340" s="2621"/>
      <c r="C1340" s="14"/>
      <c r="D1340" s="15"/>
      <c r="E1340" s="16"/>
      <c r="F1340" s="17"/>
      <c r="G1340" s="14"/>
      <c r="H1340" s="15"/>
      <c r="I1340" s="16"/>
      <c r="J1340" s="17"/>
      <c r="K1340" s="14"/>
      <c r="L1340" s="15"/>
      <c r="M1340" s="16"/>
      <c r="N1340" s="17"/>
      <c r="O1340" s="2678"/>
      <c r="P1340" s="2652"/>
      <c r="Q1340" s="2049"/>
      <c r="R1340" s="17"/>
      <c r="S1340" s="14"/>
      <c r="T1340" s="15"/>
      <c r="U1340" s="16"/>
      <c r="V1340" s="17"/>
      <c r="W1340" s="14"/>
      <c r="X1340" s="15"/>
      <c r="Y1340" s="16"/>
      <c r="Z1340" s="15"/>
      <c r="AA1340" s="30"/>
      <c r="AB1340" s="15"/>
    </row>
    <row r="1341" spans="1:28">
      <c r="A1341" s="2665"/>
      <c r="B1341" s="2622"/>
      <c r="C1341" s="14"/>
      <c r="D1341" s="15"/>
      <c r="E1341" s="16"/>
      <c r="F1341" s="17"/>
      <c r="G1341" s="14"/>
      <c r="H1341" s="15"/>
      <c r="I1341" s="16"/>
      <c r="J1341" s="17"/>
      <c r="K1341" s="14"/>
      <c r="L1341" s="15"/>
      <c r="M1341" s="16"/>
      <c r="N1341" s="17"/>
      <c r="O1341" s="2678"/>
      <c r="P1341" s="2652"/>
      <c r="Q1341" s="2049"/>
      <c r="R1341" s="17"/>
      <c r="S1341" s="14"/>
      <c r="T1341" s="15"/>
      <c r="U1341" s="16"/>
      <c r="V1341" s="17"/>
      <c r="W1341" s="14"/>
      <c r="X1341" s="15"/>
      <c r="Y1341" s="16"/>
      <c r="Z1341" s="15"/>
      <c r="AA1341" s="30"/>
      <c r="AB1341" s="15"/>
    </row>
    <row r="1342" spans="1:28">
      <c r="A1342" s="2665"/>
      <c r="B1342" s="2622"/>
      <c r="C1342" s="14"/>
      <c r="D1342" s="15"/>
      <c r="E1342" s="16"/>
      <c r="F1342" s="17"/>
      <c r="G1342" s="14"/>
      <c r="H1342" s="15"/>
      <c r="I1342" s="16"/>
      <c r="J1342" s="17"/>
      <c r="K1342" s="14"/>
      <c r="L1342" s="15"/>
      <c r="M1342" s="16"/>
      <c r="N1342" s="17"/>
      <c r="O1342" s="2679"/>
      <c r="P1342" s="2670"/>
      <c r="Q1342" s="791"/>
      <c r="R1342" s="17"/>
      <c r="S1342" s="14"/>
      <c r="T1342" s="15"/>
      <c r="U1342" s="16"/>
      <c r="V1342" s="17"/>
      <c r="W1342" s="14"/>
      <c r="X1342" s="15"/>
      <c r="Y1342" s="16"/>
      <c r="Z1342" s="15"/>
      <c r="AA1342" s="30"/>
      <c r="AB1342" s="15"/>
    </row>
    <row r="1343" spans="1:28">
      <c r="A1343" s="2668"/>
      <c r="B1343" s="2622"/>
      <c r="C1343" s="14"/>
      <c r="D1343" s="15"/>
      <c r="E1343" s="16"/>
      <c r="F1343" s="17"/>
      <c r="G1343" s="14"/>
      <c r="H1343" s="15"/>
      <c r="I1343" s="16"/>
      <c r="J1343" s="17"/>
      <c r="K1343" s="14"/>
      <c r="L1343" s="15"/>
      <c r="M1343" s="16"/>
      <c r="N1343" s="17"/>
      <c r="O1343" s="2676"/>
      <c r="P1343" s="15"/>
      <c r="Q1343" s="16"/>
      <c r="R1343" s="17"/>
      <c r="S1343" s="14"/>
      <c r="T1343" s="15"/>
      <c r="U1343" s="16"/>
      <c r="V1343" s="17"/>
      <c r="W1343" s="14"/>
      <c r="X1343" s="15"/>
      <c r="Y1343" s="16"/>
      <c r="Z1343" s="15"/>
      <c r="AA1343" s="30"/>
      <c r="AB1343" s="15"/>
    </row>
    <row r="1344" spans="1:28">
      <c r="A1344" s="2080"/>
      <c r="B1344" s="2573"/>
    </row>
    <row r="1345" spans="1:28" ht="40.5">
      <c r="A1345" s="3" t="s">
        <v>5063</v>
      </c>
      <c r="B1345" s="23"/>
      <c r="C1345" s="3"/>
      <c r="D1345" s="3"/>
      <c r="E1345" s="3"/>
      <c r="F1345" s="3"/>
      <c r="G1345" s="3"/>
      <c r="H1345" s="3"/>
      <c r="I1345" s="3"/>
      <c r="J1345" s="3"/>
      <c r="K1345" s="3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B1345" s="4"/>
    </row>
    <row r="1346" spans="1:28" ht="40.5" thickBot="1">
      <c r="A1346" s="5" t="s">
        <v>5064</v>
      </c>
    </row>
    <row r="1347" spans="1:28">
      <c r="A1347" s="3537" t="s">
        <v>2</v>
      </c>
      <c r="B1347" s="3540" t="s">
        <v>3</v>
      </c>
      <c r="C1347" s="3537" t="s">
        <v>5065</v>
      </c>
      <c r="D1347" s="3538"/>
      <c r="E1347" s="3536" t="s">
        <v>5066</v>
      </c>
      <c r="F1347" s="3536"/>
      <c r="G1347" s="3537" t="s">
        <v>5067</v>
      </c>
      <c r="H1347" s="3538"/>
      <c r="I1347" s="3536" t="s">
        <v>5068</v>
      </c>
      <c r="J1347" s="3536"/>
      <c r="K1347" s="3537" t="s">
        <v>5069</v>
      </c>
      <c r="L1347" s="3538"/>
      <c r="M1347" s="3536" t="s">
        <v>5070</v>
      </c>
      <c r="N1347" s="3536"/>
      <c r="O1347" s="3537"/>
      <c r="P1347" s="3538"/>
      <c r="Q1347" s="3536" t="s">
        <v>5071</v>
      </c>
      <c r="R1347" s="3536"/>
      <c r="S1347" s="3537" t="s">
        <v>5072</v>
      </c>
      <c r="T1347" s="3538"/>
      <c r="U1347" s="3536" t="s">
        <v>5073</v>
      </c>
      <c r="V1347" s="3536"/>
      <c r="W1347" s="3537" t="s">
        <v>5074</v>
      </c>
      <c r="X1347" s="3538"/>
      <c r="Y1347" s="3536" t="s">
        <v>5075</v>
      </c>
      <c r="Z1347" s="3538"/>
      <c r="AA1347" s="3536" t="s">
        <v>5076</v>
      </c>
      <c r="AB1347" s="3536"/>
    </row>
    <row r="1348" spans="1:28" ht="40.5" thickBot="1">
      <c r="A1348" s="3539"/>
      <c r="B1348" s="3541"/>
      <c r="C1348" s="1" t="s">
        <v>5078</v>
      </c>
      <c r="D1348" s="35" t="s">
        <v>5079</v>
      </c>
      <c r="E1348" s="2" t="s">
        <v>5078</v>
      </c>
      <c r="F1348" s="36" t="s">
        <v>5079</v>
      </c>
      <c r="G1348" s="1" t="s">
        <v>5078</v>
      </c>
      <c r="H1348" s="35" t="s">
        <v>5079</v>
      </c>
      <c r="I1348" s="2" t="s">
        <v>5078</v>
      </c>
      <c r="J1348" s="36" t="s">
        <v>5079</v>
      </c>
      <c r="K1348" s="1" t="s">
        <v>5078</v>
      </c>
      <c r="L1348" s="35" t="s">
        <v>5079</v>
      </c>
      <c r="M1348" s="2" t="s">
        <v>5078</v>
      </c>
      <c r="N1348" s="36" t="s">
        <v>5079</v>
      </c>
      <c r="O1348" s="1"/>
      <c r="P1348" s="35"/>
      <c r="Q1348" s="2" t="s">
        <v>5078</v>
      </c>
      <c r="R1348" s="36" t="s">
        <v>5079</v>
      </c>
      <c r="S1348" s="1" t="s">
        <v>5078</v>
      </c>
      <c r="T1348" s="35" t="s">
        <v>5079</v>
      </c>
      <c r="U1348" s="2" t="s">
        <v>5078</v>
      </c>
      <c r="V1348" s="36" t="s">
        <v>5079</v>
      </c>
      <c r="W1348" s="1" t="s">
        <v>5078</v>
      </c>
      <c r="X1348" s="35" t="s">
        <v>5079</v>
      </c>
      <c r="Y1348" s="2" t="s">
        <v>5078</v>
      </c>
      <c r="Z1348" s="35" t="s">
        <v>5079</v>
      </c>
      <c r="AA1348" s="2" t="s">
        <v>5078</v>
      </c>
      <c r="AB1348" s="36" t="s">
        <v>5079</v>
      </c>
    </row>
    <row r="1349" spans="1:28">
      <c r="A1349" s="115" t="s">
        <v>6226</v>
      </c>
      <c r="B1349" s="2632"/>
      <c r="C1349" s="9"/>
      <c r="D1349" s="10"/>
      <c r="E1349" s="11"/>
      <c r="F1349" s="12"/>
      <c r="G1349" s="9"/>
      <c r="H1349" s="10"/>
      <c r="I1349" s="11"/>
      <c r="J1349" s="12"/>
      <c r="K1349" s="9"/>
      <c r="L1349" s="10"/>
      <c r="M1349" s="11"/>
      <c r="N1349" s="12"/>
      <c r="O1349" s="2674"/>
      <c r="P1349" s="2675"/>
      <c r="R1349" s="12"/>
      <c r="S1349" s="9"/>
      <c r="T1349" s="10"/>
      <c r="U1349" s="11"/>
      <c r="V1349" s="12"/>
      <c r="W1349" s="9"/>
      <c r="X1349" s="10"/>
      <c r="Y1349" s="11"/>
      <c r="Z1349" s="10"/>
      <c r="AA1349" s="33"/>
      <c r="AB1349" s="10"/>
    </row>
    <row r="1350" spans="1:28">
      <c r="A1350" s="115" t="s">
        <v>6227</v>
      </c>
      <c r="B1350" s="2621"/>
      <c r="C1350" s="14"/>
      <c r="D1350" s="15"/>
      <c r="E1350" s="16"/>
      <c r="F1350" s="17"/>
      <c r="G1350" s="14"/>
      <c r="H1350" s="15"/>
      <c r="I1350" s="16"/>
      <c r="J1350" s="17"/>
      <c r="K1350" s="14"/>
      <c r="L1350" s="15"/>
      <c r="M1350" s="16"/>
      <c r="N1350" s="17"/>
      <c r="O1350" s="2674"/>
      <c r="P1350" s="15"/>
      <c r="Q1350" s="16"/>
      <c r="R1350" s="17"/>
      <c r="S1350" s="14"/>
      <c r="T1350" s="15"/>
      <c r="U1350" s="16"/>
      <c r="V1350" s="17"/>
      <c r="W1350" s="14"/>
      <c r="X1350" s="15"/>
      <c r="Y1350" s="16"/>
      <c r="Z1350" s="15"/>
      <c r="AA1350" s="30"/>
      <c r="AB1350" s="15"/>
    </row>
    <row r="1351" spans="1:28">
      <c r="A1351" s="115" t="s">
        <v>6228</v>
      </c>
      <c r="B1351" s="2621"/>
      <c r="C1351" s="14"/>
      <c r="D1351" s="15"/>
      <c r="E1351" s="16"/>
      <c r="F1351" s="17"/>
      <c r="G1351" s="14"/>
      <c r="H1351" s="15"/>
      <c r="I1351" s="16"/>
      <c r="J1351" s="17"/>
      <c r="K1351" s="14"/>
      <c r="L1351" s="15"/>
      <c r="M1351" s="16"/>
      <c r="N1351" s="17"/>
      <c r="O1351" s="2676"/>
      <c r="P1351" s="15"/>
      <c r="Q1351" s="16"/>
      <c r="R1351" s="17"/>
      <c r="S1351" s="14"/>
      <c r="T1351" s="15"/>
      <c r="U1351" s="16"/>
      <c r="V1351" s="17"/>
      <c r="W1351" s="14"/>
      <c r="X1351" s="15"/>
      <c r="Y1351" s="16"/>
      <c r="Z1351" s="15"/>
      <c r="AA1351" s="30"/>
      <c r="AB1351" s="15"/>
    </row>
    <row r="1352" spans="1:28">
      <c r="A1352" s="115" t="s">
        <v>5827</v>
      </c>
      <c r="B1352" s="2621"/>
      <c r="C1352" s="14"/>
      <c r="D1352" s="15"/>
      <c r="E1352" s="16"/>
      <c r="F1352" s="17"/>
      <c r="G1352" s="14"/>
      <c r="H1352" s="15"/>
      <c r="I1352" s="16"/>
      <c r="J1352" s="17"/>
      <c r="K1352" s="14"/>
      <c r="L1352" s="15"/>
      <c r="M1352" s="16"/>
      <c r="N1352" s="17"/>
      <c r="O1352" s="2676"/>
      <c r="P1352" s="15"/>
      <c r="Q1352" s="16"/>
      <c r="R1352" s="17"/>
      <c r="S1352" s="14"/>
      <c r="T1352" s="15"/>
      <c r="U1352" s="16"/>
      <c r="V1352" s="17"/>
      <c r="W1352" s="14"/>
      <c r="X1352" s="15"/>
      <c r="Y1352" s="16"/>
      <c r="Z1352" s="15"/>
      <c r="AA1352" s="30"/>
      <c r="AB1352" s="15"/>
    </row>
    <row r="1353" spans="1:28">
      <c r="A1353" s="115" t="s">
        <v>5825</v>
      </c>
      <c r="B1353" s="2622"/>
      <c r="C1353" s="14"/>
      <c r="D1353" s="15"/>
      <c r="E1353" s="16"/>
      <c r="F1353" s="17"/>
      <c r="G1353" s="14"/>
      <c r="H1353" s="15"/>
      <c r="I1353" s="16"/>
      <c r="J1353" s="17"/>
      <c r="K1353" s="14"/>
      <c r="L1353" s="15"/>
      <c r="M1353" s="16"/>
      <c r="N1353" s="17"/>
      <c r="O1353" s="2676"/>
      <c r="P1353" s="15"/>
      <c r="Q1353" s="16"/>
      <c r="R1353" s="17"/>
      <c r="S1353" s="14"/>
      <c r="T1353" s="15"/>
      <c r="U1353" s="16"/>
      <c r="V1353" s="17"/>
      <c r="W1353" s="14"/>
      <c r="X1353" s="15"/>
      <c r="Y1353" s="16"/>
      <c r="Z1353" s="15"/>
      <c r="AA1353" s="30"/>
      <c r="AB1353" s="15"/>
    </row>
    <row r="1354" spans="1:28">
      <c r="A1354" s="115" t="s">
        <v>5827</v>
      </c>
      <c r="B1354" s="2621"/>
      <c r="C1354" s="14"/>
      <c r="D1354" s="15"/>
      <c r="E1354" s="16"/>
      <c r="F1354" s="17"/>
      <c r="G1354" s="14"/>
      <c r="H1354" s="15"/>
      <c r="I1354" s="16"/>
      <c r="J1354" s="17"/>
      <c r="K1354" s="14"/>
      <c r="L1354" s="15"/>
      <c r="M1354" s="16"/>
      <c r="N1354" s="17"/>
      <c r="O1354" s="2672"/>
      <c r="P1354" s="2455"/>
      <c r="Q1354" s="16"/>
      <c r="R1354" s="17"/>
      <c r="S1354" s="14"/>
      <c r="T1354" s="15"/>
      <c r="U1354" s="16"/>
      <c r="V1354" s="17"/>
      <c r="W1354" s="14"/>
      <c r="X1354" s="15"/>
      <c r="Y1354" s="16"/>
      <c r="Z1354" s="15"/>
      <c r="AA1354" s="30"/>
      <c r="AB1354" s="15"/>
    </row>
    <row r="1355" spans="1:28" ht="40.5" thickBot="1">
      <c r="A1355" s="115" t="s">
        <v>5825</v>
      </c>
      <c r="B1355" s="787"/>
      <c r="C1355" s="14"/>
      <c r="D1355" s="15"/>
      <c r="E1355" s="16"/>
      <c r="F1355" s="17"/>
      <c r="G1355" s="14"/>
      <c r="H1355" s="15"/>
      <c r="I1355" s="16"/>
      <c r="J1355" s="17"/>
      <c r="K1355" s="14"/>
      <c r="L1355" s="15"/>
      <c r="M1355" s="16"/>
      <c r="N1355" s="17"/>
      <c r="O1355" s="2677"/>
      <c r="P1355" s="15"/>
      <c r="Q1355" s="16"/>
      <c r="R1355" s="17"/>
      <c r="S1355" s="14"/>
      <c r="T1355" s="15"/>
      <c r="U1355" s="16"/>
      <c r="V1355" s="17"/>
      <c r="W1355" s="14"/>
      <c r="X1355" s="15"/>
      <c r="Y1355" s="16"/>
      <c r="Z1355" s="15"/>
      <c r="AA1355" s="30"/>
      <c r="AB1355" s="15"/>
    </row>
    <row r="1356" spans="1:28" ht="40.5" thickTop="1">
      <c r="A1356" s="560"/>
      <c r="B1356" s="787"/>
      <c r="C1356" s="14"/>
      <c r="D1356" s="15"/>
      <c r="E1356" s="16"/>
      <c r="F1356" s="17"/>
      <c r="G1356" s="14"/>
      <c r="H1356" s="15"/>
      <c r="I1356" s="16"/>
      <c r="J1356" s="17"/>
      <c r="K1356" s="14"/>
      <c r="L1356" s="15"/>
      <c r="M1356" s="16"/>
      <c r="N1356" s="17"/>
      <c r="O1356" s="2678"/>
      <c r="P1356" s="2652"/>
      <c r="Q1356" s="2049"/>
      <c r="R1356" s="17"/>
      <c r="S1356" s="14"/>
      <c r="T1356" s="15"/>
      <c r="U1356" s="16"/>
      <c r="V1356" s="17"/>
      <c r="W1356" s="14"/>
      <c r="X1356" s="15"/>
      <c r="Y1356" s="16"/>
      <c r="Z1356" s="15"/>
      <c r="AA1356" s="30"/>
      <c r="AB1356" s="15"/>
    </row>
    <row r="1357" spans="1:28">
      <c r="A1357" s="560" t="s">
        <v>6229</v>
      </c>
      <c r="B1357" s="787" t="s">
        <v>5829</v>
      </c>
      <c r="C1357" s="14"/>
      <c r="D1357" s="15"/>
      <c r="E1357" s="16"/>
      <c r="F1357" s="17"/>
      <c r="G1357" s="14"/>
      <c r="H1357" s="15"/>
      <c r="I1357" s="16"/>
      <c r="J1357" s="17"/>
      <c r="K1357" s="14"/>
      <c r="L1357" s="15"/>
      <c r="M1357" s="16"/>
      <c r="N1357" s="17"/>
      <c r="O1357" s="2678"/>
      <c r="P1357" s="2652"/>
      <c r="Q1357" s="2049"/>
      <c r="R1357" s="17"/>
      <c r="S1357" s="14"/>
      <c r="T1357" s="15"/>
      <c r="U1357" s="16"/>
      <c r="V1357" s="17"/>
      <c r="W1357" s="14"/>
      <c r="X1357" s="15"/>
      <c r="Y1357" s="16"/>
      <c r="Z1357" s="15"/>
      <c r="AA1357" s="30"/>
      <c r="AB1357" s="15"/>
    </row>
    <row r="1358" spans="1:28">
      <c r="A1358" s="115" t="s">
        <v>5830</v>
      </c>
      <c r="B1358" s="390" t="s">
        <v>320</v>
      </c>
      <c r="C1358" s="14"/>
      <c r="D1358" s="15"/>
      <c r="E1358" s="16"/>
      <c r="F1358" s="17"/>
      <c r="G1358" s="14"/>
      <c r="H1358" s="15"/>
      <c r="I1358" s="16"/>
      <c r="J1358" s="17"/>
      <c r="K1358" s="14"/>
      <c r="L1358" s="15"/>
      <c r="M1358" s="16"/>
      <c r="N1358" s="17"/>
      <c r="O1358" s="2679"/>
      <c r="P1358" s="2670"/>
      <c r="Q1358" s="791"/>
      <c r="R1358" s="17"/>
      <c r="S1358" s="14"/>
      <c r="T1358" s="15"/>
      <c r="U1358" s="16"/>
      <c r="V1358" s="17"/>
      <c r="W1358" s="14"/>
      <c r="X1358" s="15"/>
      <c r="Y1358" s="16"/>
      <c r="Z1358" s="15"/>
      <c r="AA1358" s="30"/>
      <c r="AB1358" s="15"/>
    </row>
    <row r="1359" spans="1:28">
      <c r="A1359" s="1941" t="s">
        <v>5832</v>
      </c>
      <c r="B1359" s="1047" t="s">
        <v>316</v>
      </c>
      <c r="C1359" s="14"/>
      <c r="D1359" s="15"/>
      <c r="E1359" s="16"/>
      <c r="F1359" s="17"/>
      <c r="G1359" s="14"/>
      <c r="H1359" s="15"/>
      <c r="I1359" s="16"/>
      <c r="J1359" s="17"/>
      <c r="K1359" s="14"/>
      <c r="L1359" s="15"/>
      <c r="M1359" s="16"/>
      <c r="N1359" s="17"/>
      <c r="O1359" s="2674"/>
      <c r="P1359" s="15"/>
      <c r="Q1359" s="16"/>
      <c r="R1359" s="17"/>
      <c r="S1359" s="14"/>
      <c r="T1359" s="15"/>
      <c r="U1359" s="16"/>
      <c r="V1359" s="17"/>
      <c r="W1359" s="14"/>
      <c r="X1359" s="15"/>
      <c r="Y1359" s="16"/>
      <c r="Z1359" s="15"/>
      <c r="AA1359" s="30"/>
      <c r="AB1359" s="15"/>
    </row>
    <row r="1360" spans="1:28">
      <c r="A1360" s="1941" t="s">
        <v>5832</v>
      </c>
      <c r="B1360" s="1047" t="s">
        <v>980</v>
      </c>
      <c r="C1360" s="14"/>
      <c r="D1360" s="15"/>
      <c r="E1360" s="16"/>
      <c r="F1360" s="17"/>
      <c r="G1360" s="14"/>
      <c r="H1360" s="15"/>
      <c r="I1360" s="16"/>
      <c r="J1360" s="17"/>
      <c r="K1360" s="14"/>
      <c r="L1360" s="15"/>
      <c r="M1360" s="16"/>
      <c r="N1360" s="17"/>
      <c r="O1360" s="2676"/>
      <c r="P1360" s="15"/>
      <c r="Q1360" s="16"/>
      <c r="R1360" s="17"/>
      <c r="S1360" s="14"/>
      <c r="T1360" s="15"/>
      <c r="U1360" s="16"/>
      <c r="V1360" s="17"/>
      <c r="W1360" s="14"/>
      <c r="X1360" s="15"/>
      <c r="Y1360" s="16"/>
      <c r="Z1360" s="15"/>
      <c r="AA1360" s="30"/>
      <c r="AB1360" s="15"/>
    </row>
    <row r="1361" spans="1:28">
      <c r="A1361" s="1941" t="s">
        <v>5844</v>
      </c>
      <c r="B1361" s="1047" t="s">
        <v>980</v>
      </c>
      <c r="C1361" s="14"/>
      <c r="D1361" s="15"/>
      <c r="E1361" s="16"/>
      <c r="F1361" s="17"/>
      <c r="G1361" s="14"/>
      <c r="H1361" s="15"/>
      <c r="I1361" s="16"/>
      <c r="J1361" s="17"/>
      <c r="K1361" s="14"/>
      <c r="L1361" s="15"/>
      <c r="M1361" s="16"/>
      <c r="N1361" s="17"/>
      <c r="O1361" s="2676"/>
      <c r="P1361" s="15"/>
      <c r="Q1361" s="16"/>
      <c r="R1361" s="17"/>
      <c r="S1361" s="14"/>
      <c r="T1361" s="15"/>
      <c r="U1361" s="16"/>
      <c r="V1361" s="17"/>
      <c r="W1361" s="14"/>
      <c r="X1361" s="15"/>
      <c r="Y1361" s="16"/>
      <c r="Z1361" s="15"/>
      <c r="AA1361" s="30"/>
      <c r="AB1361" s="15"/>
    </row>
    <row r="1362" spans="1:28">
      <c r="A1362" s="3231" t="s">
        <v>5844</v>
      </c>
      <c r="B1362" s="3231" t="s">
        <v>316</v>
      </c>
      <c r="C1362" s="14"/>
      <c r="D1362" s="15"/>
      <c r="E1362" s="16"/>
      <c r="F1362" s="17"/>
      <c r="G1362" s="14"/>
      <c r="H1362" s="15"/>
      <c r="I1362" s="16"/>
      <c r="J1362" s="17"/>
      <c r="K1362" s="14"/>
      <c r="L1362" s="15"/>
      <c r="M1362" s="16"/>
      <c r="N1362" s="17"/>
      <c r="O1362" s="2676"/>
      <c r="P1362" s="15"/>
      <c r="Q1362" s="16"/>
      <c r="R1362" s="17"/>
      <c r="S1362" s="14"/>
      <c r="T1362" s="15"/>
      <c r="U1362" s="16"/>
      <c r="V1362" s="17"/>
      <c r="W1362" s="14"/>
      <c r="X1362" s="15"/>
      <c r="Y1362" s="16"/>
      <c r="Z1362" s="15"/>
      <c r="AA1362" s="30"/>
      <c r="AB1362" s="15"/>
    </row>
    <row r="1363" spans="1:28">
      <c r="A1363" s="116" t="s">
        <v>5836</v>
      </c>
      <c r="B1363" s="2586" t="s">
        <v>5837</v>
      </c>
      <c r="C1363" s="14"/>
      <c r="D1363" s="15"/>
      <c r="E1363" s="16"/>
      <c r="F1363" s="17"/>
      <c r="G1363" s="14"/>
      <c r="H1363" s="15"/>
      <c r="I1363" s="16"/>
      <c r="J1363" s="17"/>
      <c r="K1363" s="14"/>
      <c r="L1363" s="15"/>
      <c r="M1363" s="16"/>
      <c r="N1363" s="17"/>
      <c r="O1363" s="2672"/>
      <c r="P1363" s="2455"/>
      <c r="Q1363" s="16"/>
      <c r="R1363" s="17"/>
      <c r="S1363" s="14"/>
      <c r="T1363" s="15"/>
      <c r="U1363" s="16"/>
      <c r="V1363" s="17"/>
      <c r="W1363" s="14"/>
      <c r="X1363" s="15"/>
      <c r="Y1363" s="16"/>
      <c r="Z1363" s="15"/>
      <c r="AA1363" s="30"/>
      <c r="AB1363" s="15"/>
    </row>
    <row r="1364" spans="1:28">
      <c r="A1364" s="115" t="s">
        <v>5836</v>
      </c>
      <c r="B1364" s="787" t="s">
        <v>5839</v>
      </c>
      <c r="C1364" s="14"/>
      <c r="D1364" s="15"/>
      <c r="E1364" s="16"/>
      <c r="F1364" s="17"/>
      <c r="G1364" s="14"/>
      <c r="H1364" s="15"/>
      <c r="I1364" s="16"/>
      <c r="J1364" s="17"/>
      <c r="K1364" s="14"/>
      <c r="L1364" s="15"/>
      <c r="M1364" s="16"/>
      <c r="N1364" s="17"/>
      <c r="O1364" s="2672"/>
      <c r="P1364" s="2455"/>
      <c r="Q1364" s="16"/>
      <c r="R1364" s="17"/>
      <c r="S1364" s="14"/>
      <c r="T1364" s="15"/>
      <c r="U1364" s="16"/>
      <c r="V1364" s="17"/>
      <c r="W1364" s="14"/>
      <c r="X1364" s="15"/>
      <c r="Y1364" s="16"/>
      <c r="Z1364" s="15"/>
      <c r="AA1364" s="30"/>
      <c r="AB1364" s="15"/>
    </row>
    <row r="1365" spans="1:28">
      <c r="A1365" s="115" t="s">
        <v>5841</v>
      </c>
      <c r="B1365" s="787" t="s">
        <v>5842</v>
      </c>
      <c r="C1365" s="14"/>
      <c r="D1365" s="15"/>
      <c r="E1365" s="16"/>
      <c r="F1365" s="17"/>
      <c r="G1365" s="14"/>
      <c r="H1365" s="15"/>
      <c r="I1365" s="16"/>
      <c r="J1365" s="17"/>
      <c r="K1365" s="14"/>
      <c r="L1365" s="15"/>
      <c r="M1365" s="16"/>
      <c r="N1365" s="17"/>
      <c r="O1365" s="2678"/>
      <c r="P1365" s="2652"/>
      <c r="Q1365" s="2049"/>
      <c r="R1365" s="17"/>
      <c r="S1365" s="14"/>
      <c r="T1365" s="15"/>
      <c r="U1365" s="16"/>
      <c r="V1365" s="17"/>
      <c r="W1365" s="14"/>
      <c r="X1365" s="15"/>
      <c r="Y1365" s="16"/>
      <c r="Z1365" s="15"/>
      <c r="AA1365" s="30"/>
      <c r="AB1365" s="15"/>
    </row>
    <row r="1366" spans="1:28">
      <c r="A1366" s="115"/>
      <c r="B1366" s="787"/>
      <c r="C1366" s="14"/>
      <c r="D1366" s="15"/>
      <c r="E1366" s="16"/>
      <c r="F1366" s="17"/>
      <c r="G1366" s="14"/>
      <c r="H1366" s="15"/>
      <c r="I1366" s="16"/>
      <c r="J1366" s="17"/>
      <c r="K1366" s="14"/>
      <c r="L1366" s="15"/>
      <c r="M1366" s="16"/>
      <c r="N1366" s="17"/>
      <c r="O1366" s="2678"/>
      <c r="P1366" s="2652"/>
      <c r="Q1366" s="2049"/>
      <c r="R1366" s="17"/>
      <c r="S1366" s="14"/>
      <c r="T1366" s="15"/>
      <c r="U1366" s="16"/>
      <c r="V1366" s="17"/>
      <c r="W1366" s="14"/>
      <c r="X1366" s="15"/>
      <c r="Y1366" s="16"/>
      <c r="Z1366" s="15"/>
      <c r="AA1366" s="30"/>
      <c r="AB1366" s="15"/>
    </row>
    <row r="1367" spans="1:28">
      <c r="A1367" s="3232"/>
      <c r="B1367" s="523"/>
      <c r="C1367" s="14"/>
      <c r="D1367" s="15"/>
      <c r="E1367" s="16"/>
      <c r="F1367" s="17"/>
      <c r="G1367" s="14"/>
      <c r="H1367" s="15"/>
      <c r="I1367" s="16"/>
      <c r="J1367" s="17"/>
      <c r="K1367" s="14"/>
      <c r="L1367" s="15"/>
      <c r="M1367" s="16"/>
      <c r="N1367" s="17"/>
      <c r="O1367" s="2679"/>
      <c r="P1367" s="2670"/>
      <c r="Q1367" s="791"/>
      <c r="R1367" s="17"/>
      <c r="S1367" s="14"/>
      <c r="T1367" s="15"/>
      <c r="U1367" s="16"/>
      <c r="V1367" s="17"/>
      <c r="W1367" s="14"/>
      <c r="X1367" s="15"/>
      <c r="Y1367" s="16"/>
      <c r="Z1367" s="15"/>
      <c r="AA1367" s="30"/>
      <c r="AB1367" s="15"/>
    </row>
    <row r="1368" spans="1:28">
      <c r="A1368" s="3233" t="s">
        <v>6230</v>
      </c>
      <c r="B1368" s="992" t="s">
        <v>5477</v>
      </c>
      <c r="C1368" s="14"/>
      <c r="D1368" s="15"/>
      <c r="E1368" s="16"/>
      <c r="F1368" s="17"/>
      <c r="G1368" s="14"/>
      <c r="H1368" s="15"/>
      <c r="I1368" s="16"/>
      <c r="J1368" s="17"/>
      <c r="K1368" s="14"/>
      <c r="L1368" s="15"/>
      <c r="M1368" s="16"/>
      <c r="N1368" s="17"/>
      <c r="O1368" s="2676"/>
      <c r="P1368" s="15"/>
      <c r="Q1368" s="16"/>
      <c r="R1368" s="17"/>
      <c r="S1368" s="14"/>
      <c r="T1368" s="15"/>
      <c r="U1368" s="16"/>
      <c r="V1368" s="17"/>
      <c r="W1368" s="14"/>
      <c r="X1368" s="15"/>
      <c r="Y1368" s="16"/>
      <c r="Z1368" s="15"/>
      <c r="AA1368" s="30"/>
      <c r="AB1368" s="15"/>
    </row>
    <row r="1369" spans="1:28">
      <c r="A1369" s="3234"/>
      <c r="B1369" s="3235"/>
    </row>
    <row r="1370" spans="1:28" ht="40.5">
      <c r="A1370" s="3" t="s">
        <v>5063</v>
      </c>
      <c r="B1370" s="23"/>
      <c r="C1370" s="3"/>
      <c r="D1370" s="3"/>
      <c r="E1370" s="3"/>
      <c r="F1370" s="3"/>
      <c r="G1370" s="3"/>
      <c r="H1370" s="3"/>
      <c r="I1370" s="3"/>
      <c r="J1370" s="3"/>
      <c r="K1370" s="3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B1370" s="4"/>
    </row>
    <row r="1371" spans="1:28" ht="40.5" thickBot="1">
      <c r="A1371" s="5" t="s">
        <v>5064</v>
      </c>
    </row>
    <row r="1372" spans="1:28">
      <c r="A1372" s="3537" t="s">
        <v>2</v>
      </c>
      <c r="B1372" s="3540" t="s">
        <v>3</v>
      </c>
      <c r="C1372" s="3537" t="s">
        <v>5065</v>
      </c>
      <c r="D1372" s="3538"/>
      <c r="E1372" s="3536" t="s">
        <v>5066</v>
      </c>
      <c r="F1372" s="3536"/>
      <c r="G1372" s="3537" t="s">
        <v>5067</v>
      </c>
      <c r="H1372" s="3538"/>
      <c r="I1372" s="3536" t="s">
        <v>5068</v>
      </c>
      <c r="J1372" s="3536"/>
      <c r="K1372" s="3537" t="s">
        <v>5069</v>
      </c>
      <c r="L1372" s="3538"/>
      <c r="M1372" s="3536" t="s">
        <v>5070</v>
      </c>
      <c r="N1372" s="3536"/>
      <c r="O1372" s="3537"/>
      <c r="P1372" s="3538"/>
      <c r="Q1372" s="3536" t="s">
        <v>5071</v>
      </c>
      <c r="R1372" s="3536"/>
      <c r="S1372" s="3537" t="s">
        <v>5072</v>
      </c>
      <c r="T1372" s="3538"/>
      <c r="U1372" s="3536" t="s">
        <v>5073</v>
      </c>
      <c r="V1372" s="3536"/>
      <c r="W1372" s="3537" t="s">
        <v>5074</v>
      </c>
      <c r="X1372" s="3538"/>
      <c r="Y1372" s="3536" t="s">
        <v>5075</v>
      </c>
      <c r="Z1372" s="3538"/>
      <c r="AA1372" s="3536" t="s">
        <v>5076</v>
      </c>
      <c r="AB1372" s="3536"/>
    </row>
    <row r="1373" spans="1:28" ht="40.5" thickBot="1">
      <c r="A1373" s="3539"/>
      <c r="B1373" s="3541"/>
      <c r="C1373" s="1" t="s">
        <v>5078</v>
      </c>
      <c r="D1373" s="35" t="s">
        <v>5079</v>
      </c>
      <c r="E1373" s="2" t="s">
        <v>5078</v>
      </c>
      <c r="F1373" s="36" t="s">
        <v>5079</v>
      </c>
      <c r="G1373" s="1" t="s">
        <v>5078</v>
      </c>
      <c r="H1373" s="35" t="s">
        <v>5079</v>
      </c>
      <c r="I1373" s="2" t="s">
        <v>5078</v>
      </c>
      <c r="J1373" s="36" t="s">
        <v>5079</v>
      </c>
      <c r="K1373" s="1" t="s">
        <v>5078</v>
      </c>
      <c r="L1373" s="35" t="s">
        <v>5079</v>
      </c>
      <c r="M1373" s="2" t="s">
        <v>5078</v>
      </c>
      <c r="N1373" s="36" t="s">
        <v>5079</v>
      </c>
      <c r="O1373" s="1"/>
      <c r="P1373" s="35"/>
      <c r="Q1373" s="2" t="s">
        <v>5078</v>
      </c>
      <c r="R1373" s="36" t="s">
        <v>5079</v>
      </c>
      <c r="S1373" s="1" t="s">
        <v>5078</v>
      </c>
      <c r="T1373" s="35" t="s">
        <v>5079</v>
      </c>
      <c r="U1373" s="2" t="s">
        <v>5078</v>
      </c>
      <c r="V1373" s="36" t="s">
        <v>5079</v>
      </c>
      <c r="W1373" s="1" t="s">
        <v>5078</v>
      </c>
      <c r="X1373" s="35" t="s">
        <v>5079</v>
      </c>
      <c r="Y1373" s="2" t="s">
        <v>5078</v>
      </c>
      <c r="Z1373" s="35" t="s">
        <v>5079</v>
      </c>
      <c r="AA1373" s="2" t="s">
        <v>5078</v>
      </c>
      <c r="AB1373" s="36" t="s">
        <v>5079</v>
      </c>
    </row>
    <row r="1374" spans="1:28">
      <c r="A1374" s="560" t="s">
        <v>5847</v>
      </c>
      <c r="B1374" s="2632"/>
      <c r="C1374" s="9"/>
      <c r="D1374" s="10"/>
      <c r="E1374" s="11"/>
      <c r="F1374" s="12"/>
      <c r="G1374" s="9"/>
      <c r="H1374" s="10"/>
      <c r="I1374" s="11"/>
      <c r="J1374" s="12"/>
      <c r="K1374" s="9"/>
      <c r="L1374" s="10"/>
      <c r="M1374" s="11"/>
      <c r="N1374" s="12"/>
      <c r="O1374" s="2674"/>
      <c r="P1374" s="2675"/>
      <c r="R1374" s="12"/>
      <c r="S1374" s="9"/>
      <c r="T1374" s="10"/>
      <c r="U1374" s="11"/>
      <c r="V1374" s="12"/>
      <c r="W1374" s="9"/>
      <c r="X1374" s="10"/>
      <c r="Y1374" s="11"/>
      <c r="Z1374" s="10"/>
      <c r="AA1374" s="33"/>
      <c r="AB1374" s="10"/>
    </row>
    <row r="1375" spans="1:28">
      <c r="A1375" s="560" t="s">
        <v>5850</v>
      </c>
      <c r="B1375" s="2621"/>
      <c r="C1375" s="14"/>
      <c r="D1375" s="15"/>
      <c r="E1375" s="16"/>
      <c r="F1375" s="17"/>
      <c r="G1375" s="14"/>
      <c r="H1375" s="15"/>
      <c r="I1375" s="16"/>
      <c r="J1375" s="17"/>
      <c r="K1375" s="14"/>
      <c r="L1375" s="15"/>
      <c r="M1375" s="16"/>
      <c r="N1375" s="17"/>
      <c r="O1375" s="2674"/>
      <c r="P1375" s="15"/>
      <c r="Q1375" s="16"/>
      <c r="R1375" s="17"/>
      <c r="S1375" s="14"/>
      <c r="T1375" s="15"/>
      <c r="U1375" s="16"/>
      <c r="V1375" s="17"/>
      <c r="W1375" s="14"/>
      <c r="X1375" s="15"/>
      <c r="Y1375" s="16"/>
      <c r="Z1375" s="15"/>
      <c r="AA1375" s="30"/>
      <c r="AB1375" s="15"/>
    </row>
    <row r="1376" spans="1:28">
      <c r="A1376" s="560" t="s">
        <v>5853</v>
      </c>
      <c r="B1376" s="2621"/>
      <c r="C1376" s="14"/>
      <c r="D1376" s="15"/>
      <c r="E1376" s="16"/>
      <c r="F1376" s="17"/>
      <c r="G1376" s="14"/>
      <c r="H1376" s="15"/>
      <c r="I1376" s="16"/>
      <c r="J1376" s="17"/>
      <c r="K1376" s="14"/>
      <c r="L1376" s="15"/>
      <c r="M1376" s="16"/>
      <c r="N1376" s="17"/>
      <c r="O1376" s="2676"/>
      <c r="P1376" s="15"/>
      <c r="Q1376" s="16"/>
      <c r="R1376" s="17"/>
      <c r="S1376" s="14"/>
      <c r="T1376" s="15"/>
      <c r="U1376" s="16"/>
      <c r="V1376" s="17"/>
      <c r="W1376" s="14"/>
      <c r="X1376" s="15"/>
      <c r="Y1376" s="16"/>
      <c r="Z1376" s="15"/>
      <c r="AA1376" s="30"/>
      <c r="AB1376" s="15"/>
    </row>
    <row r="1377" spans="1:28">
      <c r="A1377" s="2587" t="s">
        <v>5856</v>
      </c>
      <c r="B1377" s="2621"/>
      <c r="C1377" s="14"/>
      <c r="D1377" s="15"/>
      <c r="E1377" s="16"/>
      <c r="F1377" s="17"/>
      <c r="G1377" s="14"/>
      <c r="H1377" s="15"/>
      <c r="I1377" s="16"/>
      <c r="J1377" s="17"/>
      <c r="K1377" s="14"/>
      <c r="L1377" s="15"/>
      <c r="M1377" s="16"/>
      <c r="N1377" s="17"/>
      <c r="O1377" s="2676"/>
      <c r="P1377" s="15"/>
      <c r="Q1377" s="16"/>
      <c r="R1377" s="17"/>
      <c r="S1377" s="14"/>
      <c r="T1377" s="15"/>
      <c r="U1377" s="16"/>
      <c r="V1377" s="17"/>
      <c r="W1377" s="14"/>
      <c r="X1377" s="15"/>
      <c r="Y1377" s="16"/>
      <c r="Z1377" s="15"/>
      <c r="AA1377" s="30"/>
      <c r="AB1377" s="15"/>
    </row>
    <row r="1378" spans="1:28">
      <c r="A1378" s="2587" t="s">
        <v>5859</v>
      </c>
      <c r="B1378" s="2622"/>
      <c r="C1378" s="14"/>
      <c r="D1378" s="15"/>
      <c r="E1378" s="16"/>
      <c r="F1378" s="17"/>
      <c r="G1378" s="14"/>
      <c r="H1378" s="15"/>
      <c r="I1378" s="16"/>
      <c r="J1378" s="17"/>
      <c r="K1378" s="14"/>
      <c r="L1378" s="15"/>
      <c r="M1378" s="16"/>
      <c r="N1378" s="17"/>
      <c r="O1378" s="2676"/>
      <c r="P1378" s="15"/>
      <c r="Q1378" s="16"/>
      <c r="R1378" s="17"/>
      <c r="S1378" s="14"/>
      <c r="T1378" s="15"/>
      <c r="U1378" s="16"/>
      <c r="V1378" s="17"/>
      <c r="W1378" s="14"/>
      <c r="X1378" s="15"/>
      <c r="Y1378" s="16"/>
      <c r="Z1378" s="15"/>
      <c r="AA1378" s="30"/>
      <c r="AB1378" s="15"/>
    </row>
    <row r="1379" spans="1:28">
      <c r="A1379" s="2587"/>
      <c r="B1379" s="2621"/>
      <c r="C1379" s="14"/>
      <c r="D1379" s="15"/>
      <c r="E1379" s="16"/>
      <c r="F1379" s="17"/>
      <c r="G1379" s="14"/>
      <c r="H1379" s="15"/>
      <c r="I1379" s="16"/>
      <c r="J1379" s="17"/>
      <c r="K1379" s="14"/>
      <c r="L1379" s="15"/>
      <c r="M1379" s="16"/>
      <c r="N1379" s="17"/>
      <c r="O1379" s="2672"/>
      <c r="P1379" s="2455"/>
      <c r="Q1379" s="16"/>
      <c r="R1379" s="17"/>
      <c r="S1379" s="14"/>
      <c r="T1379" s="15"/>
      <c r="U1379" s="16"/>
      <c r="V1379" s="17"/>
      <c r="W1379" s="14"/>
      <c r="X1379" s="15"/>
      <c r="Y1379" s="16"/>
      <c r="Z1379" s="15"/>
      <c r="AA1379" s="30"/>
      <c r="AB1379" s="15"/>
    </row>
    <row r="1380" spans="1:28" ht="40.5" thickBot="1">
      <c r="A1380" s="933" t="s">
        <v>5869</v>
      </c>
      <c r="B1380" s="812" t="s">
        <v>980</v>
      </c>
      <c r="C1380" s="14"/>
      <c r="D1380" s="15"/>
      <c r="E1380" s="16"/>
      <c r="F1380" s="17"/>
      <c r="G1380" s="14"/>
      <c r="H1380" s="15"/>
      <c r="I1380" s="16"/>
      <c r="J1380" s="17"/>
      <c r="K1380" s="14"/>
      <c r="L1380" s="15"/>
      <c r="M1380" s="16"/>
      <c r="N1380" s="17"/>
      <c r="O1380" s="2677"/>
      <c r="P1380" s="15"/>
      <c r="Q1380" s="16"/>
      <c r="R1380" s="17"/>
      <c r="S1380" s="14"/>
      <c r="T1380" s="15"/>
      <c r="U1380" s="16"/>
      <c r="V1380" s="17"/>
      <c r="W1380" s="14"/>
      <c r="X1380" s="15"/>
      <c r="Y1380" s="16"/>
      <c r="Z1380" s="15"/>
      <c r="AA1380" s="30"/>
      <c r="AB1380" s="15"/>
    </row>
    <row r="1381" spans="1:28" ht="40.5" thickTop="1">
      <c r="A1381" s="933" t="s">
        <v>5870</v>
      </c>
      <c r="B1381" s="812" t="s">
        <v>980</v>
      </c>
      <c r="C1381" s="14"/>
      <c r="D1381" s="15"/>
      <c r="E1381" s="16"/>
      <c r="F1381" s="17"/>
      <c r="G1381" s="14"/>
      <c r="H1381" s="15"/>
      <c r="I1381" s="16"/>
      <c r="J1381" s="17"/>
      <c r="K1381" s="14"/>
      <c r="L1381" s="15"/>
      <c r="M1381" s="16"/>
      <c r="N1381" s="17"/>
      <c r="O1381" s="2678"/>
      <c r="P1381" s="2652"/>
      <c r="Q1381" s="2049"/>
      <c r="R1381" s="17"/>
      <c r="S1381" s="14"/>
      <c r="T1381" s="15"/>
      <c r="U1381" s="16"/>
      <c r="V1381" s="17"/>
      <c r="W1381" s="14"/>
      <c r="X1381" s="15"/>
      <c r="Y1381" s="16"/>
      <c r="Z1381" s="15"/>
      <c r="AA1381" s="30"/>
      <c r="AB1381" s="15"/>
    </row>
    <row r="1382" spans="1:28">
      <c r="A1382" s="933" t="s">
        <v>5872</v>
      </c>
      <c r="B1382" s="812" t="s">
        <v>316</v>
      </c>
      <c r="C1382" s="14"/>
      <c r="D1382" s="15"/>
      <c r="E1382" s="16"/>
      <c r="F1382" s="17"/>
      <c r="G1382" s="14"/>
      <c r="H1382" s="15"/>
      <c r="I1382" s="16"/>
      <c r="J1382" s="17"/>
      <c r="K1382" s="14"/>
      <c r="L1382" s="15"/>
      <c r="M1382" s="16"/>
      <c r="N1382" s="17"/>
      <c r="O1382" s="2678"/>
      <c r="P1382" s="2652"/>
      <c r="Q1382" s="2049"/>
      <c r="R1382" s="17"/>
      <c r="S1382" s="14"/>
      <c r="T1382" s="15"/>
      <c r="U1382" s="16"/>
      <c r="V1382" s="17"/>
      <c r="W1382" s="14"/>
      <c r="X1382" s="15"/>
      <c r="Y1382" s="16"/>
      <c r="Z1382" s="15"/>
      <c r="AA1382" s="30"/>
      <c r="AB1382" s="15"/>
    </row>
    <row r="1383" spans="1:28">
      <c r="A1383" s="925" t="s">
        <v>5864</v>
      </c>
      <c r="B1383" s="341" t="s">
        <v>980</v>
      </c>
      <c r="C1383" s="14"/>
      <c r="D1383" s="15"/>
      <c r="E1383" s="16"/>
      <c r="F1383" s="17"/>
      <c r="G1383" s="14"/>
      <c r="H1383" s="15"/>
      <c r="I1383" s="16"/>
      <c r="J1383" s="17"/>
      <c r="K1383" s="14"/>
      <c r="L1383" s="15"/>
      <c r="M1383" s="16"/>
      <c r="N1383" s="17"/>
      <c r="O1383" s="2679"/>
      <c r="P1383" s="2670"/>
      <c r="Q1383" s="791"/>
      <c r="R1383" s="17"/>
      <c r="S1383" s="14"/>
      <c r="T1383" s="15"/>
      <c r="U1383" s="16"/>
      <c r="V1383" s="17"/>
      <c r="W1383" s="14"/>
      <c r="X1383" s="15"/>
      <c r="Y1383" s="16"/>
      <c r="Z1383" s="15"/>
      <c r="AA1383" s="30"/>
      <c r="AB1383" s="15"/>
    </row>
    <row r="1384" spans="1:28">
      <c r="A1384" s="925" t="s">
        <v>5866</v>
      </c>
      <c r="B1384" s="341" t="s">
        <v>316</v>
      </c>
      <c r="C1384" s="14"/>
      <c r="D1384" s="15"/>
      <c r="E1384" s="16"/>
      <c r="F1384" s="17"/>
      <c r="G1384" s="14"/>
      <c r="H1384" s="15"/>
      <c r="I1384" s="16"/>
      <c r="J1384" s="17"/>
      <c r="K1384" s="14"/>
      <c r="L1384" s="15"/>
      <c r="M1384" s="16"/>
      <c r="N1384" s="17"/>
      <c r="O1384" s="2674"/>
      <c r="P1384" s="15"/>
      <c r="Q1384" s="16"/>
      <c r="R1384" s="17"/>
      <c r="S1384" s="14"/>
      <c r="T1384" s="15"/>
      <c r="U1384" s="16"/>
      <c r="V1384" s="17"/>
      <c r="W1384" s="14"/>
      <c r="X1384" s="15"/>
      <c r="Y1384" s="16"/>
      <c r="Z1384" s="15"/>
      <c r="AA1384" s="30"/>
      <c r="AB1384" s="15"/>
    </row>
    <row r="1385" spans="1:28">
      <c r="A1385" s="925" t="s">
        <v>5868</v>
      </c>
      <c r="B1385" s="320" t="s">
        <v>320</v>
      </c>
      <c r="C1385" s="14"/>
      <c r="D1385" s="15"/>
      <c r="E1385" s="16"/>
      <c r="F1385" s="17"/>
      <c r="G1385" s="14"/>
      <c r="H1385" s="15"/>
      <c r="I1385" s="16"/>
      <c r="J1385" s="17"/>
      <c r="K1385" s="14"/>
      <c r="L1385" s="15"/>
      <c r="M1385" s="16"/>
      <c r="N1385" s="17"/>
      <c r="O1385" s="2676"/>
      <c r="P1385" s="15"/>
      <c r="Q1385" s="16"/>
      <c r="R1385" s="17"/>
      <c r="S1385" s="14"/>
      <c r="T1385" s="15"/>
      <c r="U1385" s="16"/>
      <c r="V1385" s="17"/>
      <c r="W1385" s="14"/>
      <c r="X1385" s="15"/>
      <c r="Y1385" s="16"/>
      <c r="Z1385" s="15"/>
      <c r="AA1385" s="30"/>
      <c r="AB1385" s="15"/>
    </row>
    <row r="1386" spans="1:28">
      <c r="A1386" s="933" t="s">
        <v>5862</v>
      </c>
      <c r="B1386" s="812" t="s">
        <v>980</v>
      </c>
      <c r="C1386" s="14"/>
      <c r="D1386" s="15"/>
      <c r="E1386" s="16"/>
      <c r="F1386" s="17"/>
      <c r="G1386" s="14"/>
      <c r="H1386" s="15"/>
      <c r="I1386" s="16"/>
      <c r="J1386" s="17"/>
      <c r="K1386" s="14"/>
      <c r="L1386" s="15"/>
      <c r="M1386" s="16"/>
      <c r="N1386" s="17"/>
      <c r="O1386" s="2676"/>
      <c r="P1386" s="15"/>
      <c r="Q1386" s="16"/>
      <c r="R1386" s="17"/>
      <c r="S1386" s="14"/>
      <c r="T1386" s="15"/>
      <c r="U1386" s="16"/>
      <c r="V1386" s="17"/>
      <c r="W1386" s="14"/>
      <c r="X1386" s="15"/>
      <c r="Y1386" s="16"/>
      <c r="Z1386" s="15"/>
      <c r="AA1386" s="30"/>
      <c r="AB1386" s="15"/>
    </row>
    <row r="1387" spans="1:28">
      <c r="A1387" s="933" t="s">
        <v>5863</v>
      </c>
      <c r="B1387" s="812" t="s">
        <v>316</v>
      </c>
      <c r="C1387" s="14"/>
      <c r="D1387" s="15"/>
      <c r="E1387" s="16"/>
      <c r="F1387" s="17"/>
      <c r="G1387" s="14"/>
      <c r="H1387" s="15"/>
      <c r="I1387" s="16"/>
      <c r="J1387" s="17"/>
      <c r="K1387" s="14"/>
      <c r="L1387" s="15"/>
      <c r="M1387" s="16"/>
      <c r="N1387" s="17"/>
      <c r="O1387" s="2676"/>
      <c r="P1387" s="15"/>
      <c r="Q1387" s="16"/>
      <c r="R1387" s="17"/>
      <c r="S1387" s="14"/>
      <c r="T1387" s="15"/>
      <c r="U1387" s="16"/>
      <c r="V1387" s="17"/>
      <c r="W1387" s="14"/>
      <c r="X1387" s="15"/>
      <c r="Y1387" s="16"/>
      <c r="Z1387" s="15"/>
      <c r="AA1387" s="30"/>
      <c r="AB1387" s="15"/>
    </row>
    <row r="1388" spans="1:28">
      <c r="A1388" s="2733"/>
      <c r="B1388" s="2781"/>
      <c r="C1388" s="14"/>
      <c r="D1388" s="15"/>
      <c r="E1388" s="16"/>
      <c r="F1388" s="17"/>
      <c r="G1388" s="14"/>
      <c r="H1388" s="15"/>
      <c r="I1388" s="16"/>
      <c r="J1388" s="17"/>
      <c r="K1388" s="14"/>
      <c r="L1388" s="15"/>
      <c r="M1388" s="16"/>
      <c r="N1388" s="17"/>
      <c r="O1388" s="2672"/>
      <c r="P1388" s="2455"/>
      <c r="Q1388" s="16"/>
      <c r="R1388" s="17"/>
      <c r="S1388" s="14"/>
      <c r="T1388" s="15"/>
      <c r="U1388" s="16"/>
      <c r="V1388" s="17"/>
      <c r="W1388" s="14"/>
      <c r="X1388" s="15"/>
      <c r="Y1388" s="16"/>
      <c r="Z1388" s="15"/>
      <c r="AA1388" s="30"/>
      <c r="AB1388" s="15"/>
    </row>
    <row r="1389" spans="1:28">
      <c r="A1389" s="115" t="s">
        <v>6231</v>
      </c>
      <c r="B1389" s="390" t="s">
        <v>5378</v>
      </c>
      <c r="C1389" s="14"/>
      <c r="D1389" s="15"/>
      <c r="E1389" s="16"/>
      <c r="F1389" s="17"/>
      <c r="G1389" s="14"/>
      <c r="H1389" s="15"/>
      <c r="I1389" s="16"/>
      <c r="J1389" s="17"/>
      <c r="K1389" s="14"/>
      <c r="L1389" s="15"/>
      <c r="M1389" s="16"/>
      <c r="N1389" s="17"/>
      <c r="O1389" s="2672"/>
      <c r="P1389" s="2455"/>
      <c r="Q1389" s="16"/>
      <c r="R1389" s="17"/>
      <c r="S1389" s="14"/>
      <c r="T1389" s="15"/>
      <c r="U1389" s="16"/>
      <c r="V1389" s="17"/>
      <c r="W1389" s="14"/>
      <c r="X1389" s="15"/>
      <c r="Y1389" s="16"/>
      <c r="Z1389" s="15"/>
      <c r="AA1389" s="30"/>
      <c r="AB1389" s="15"/>
    </row>
    <row r="1390" spans="1:28">
      <c r="A1390" s="115" t="s">
        <v>6232</v>
      </c>
      <c r="B1390" s="390" t="s">
        <v>5378</v>
      </c>
      <c r="C1390" s="14"/>
      <c r="D1390" s="15"/>
      <c r="E1390" s="16"/>
      <c r="F1390" s="17"/>
      <c r="G1390" s="14"/>
      <c r="H1390" s="15"/>
      <c r="I1390" s="16"/>
      <c r="J1390" s="17"/>
      <c r="K1390" s="14"/>
      <c r="L1390" s="15"/>
      <c r="M1390" s="16"/>
      <c r="N1390" s="17"/>
      <c r="O1390" s="2678"/>
      <c r="P1390" s="2652"/>
      <c r="Q1390" s="2049"/>
      <c r="R1390" s="17"/>
      <c r="S1390" s="14"/>
      <c r="T1390" s="15"/>
      <c r="U1390" s="16"/>
      <c r="V1390" s="17"/>
      <c r="W1390" s="14"/>
      <c r="X1390" s="15"/>
      <c r="Y1390" s="16"/>
      <c r="Z1390" s="15"/>
      <c r="AA1390" s="30"/>
      <c r="AB1390" s="15"/>
    </row>
    <row r="1391" spans="1:28">
      <c r="A1391" s="74" t="s">
        <v>6233</v>
      </c>
      <c r="B1391" s="3237"/>
      <c r="C1391" s="14"/>
      <c r="D1391" s="15"/>
      <c r="E1391" s="16"/>
      <c r="F1391" s="17"/>
      <c r="G1391" s="14"/>
      <c r="H1391" s="15"/>
      <c r="I1391" s="16"/>
      <c r="J1391" s="17"/>
      <c r="K1391" s="14"/>
      <c r="L1391" s="15"/>
      <c r="M1391" s="16"/>
      <c r="N1391" s="17"/>
      <c r="O1391" s="2678"/>
      <c r="P1391" s="2652"/>
      <c r="Q1391" s="2049"/>
      <c r="R1391" s="17"/>
      <c r="S1391" s="14"/>
      <c r="T1391" s="15"/>
      <c r="U1391" s="16"/>
      <c r="V1391" s="17"/>
      <c r="W1391" s="14"/>
      <c r="X1391" s="15"/>
      <c r="Y1391" s="16"/>
      <c r="Z1391" s="15"/>
      <c r="AA1391" s="30"/>
      <c r="AB1391" s="15"/>
    </row>
    <row r="1392" spans="1:28">
      <c r="A1392" s="2665"/>
      <c r="B1392" s="2622"/>
      <c r="C1392" s="14"/>
      <c r="D1392" s="15"/>
      <c r="E1392" s="16"/>
      <c r="F1392" s="17"/>
      <c r="G1392" s="14"/>
      <c r="H1392" s="15"/>
      <c r="I1392" s="16"/>
      <c r="J1392" s="17"/>
      <c r="K1392" s="14"/>
      <c r="L1392" s="15"/>
      <c r="M1392" s="16"/>
      <c r="N1392" s="17"/>
      <c r="O1392" s="2679"/>
      <c r="P1392" s="2670"/>
      <c r="Q1392" s="791"/>
      <c r="R1392" s="17"/>
      <c r="S1392" s="14"/>
      <c r="T1392" s="15"/>
      <c r="U1392" s="16"/>
      <c r="V1392" s="17"/>
      <c r="W1392" s="14"/>
      <c r="X1392" s="15"/>
      <c r="Y1392" s="16"/>
      <c r="Z1392" s="15"/>
      <c r="AA1392" s="30"/>
      <c r="AB1392" s="15"/>
    </row>
    <row r="1393" spans="1:28">
      <c r="A1393" s="2668"/>
      <c r="B1393" s="2622"/>
      <c r="C1393" s="14"/>
      <c r="D1393" s="15"/>
      <c r="E1393" s="16"/>
      <c r="F1393" s="17"/>
      <c r="G1393" s="14"/>
      <c r="H1393" s="15"/>
      <c r="I1393" s="16"/>
      <c r="J1393" s="17"/>
      <c r="K1393" s="14"/>
      <c r="L1393" s="15"/>
      <c r="M1393" s="16"/>
      <c r="N1393" s="17"/>
      <c r="O1393" s="2676"/>
      <c r="P1393" s="15"/>
      <c r="Q1393" s="16"/>
      <c r="R1393" s="17"/>
      <c r="S1393" s="14"/>
      <c r="T1393" s="15"/>
      <c r="U1393" s="16"/>
      <c r="V1393" s="17"/>
      <c r="W1393" s="14"/>
      <c r="X1393" s="15"/>
      <c r="Y1393" s="16"/>
      <c r="Z1393" s="15"/>
      <c r="AA1393" s="30"/>
      <c r="AB1393" s="15"/>
    </row>
    <row r="1394" spans="1:28">
      <c r="A1394" s="2080"/>
      <c r="B1394" s="2573"/>
    </row>
    <row r="1395" spans="1:28" ht="40.5">
      <c r="A1395" s="3" t="s">
        <v>5063</v>
      </c>
      <c r="B1395" s="23"/>
      <c r="C1395" s="3"/>
      <c r="D1395" s="3"/>
      <c r="E1395" s="3"/>
      <c r="F1395" s="3"/>
      <c r="G1395" s="3"/>
      <c r="H1395" s="3"/>
      <c r="I1395" s="3"/>
      <c r="J1395" s="3"/>
      <c r="K1395" s="3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B1395" s="4"/>
    </row>
    <row r="1396" spans="1:28" ht="40.5" thickBot="1">
      <c r="A1396" s="5" t="s">
        <v>5064</v>
      </c>
    </row>
    <row r="1397" spans="1:28">
      <c r="A1397" s="3537" t="s">
        <v>2</v>
      </c>
      <c r="B1397" s="3540" t="s">
        <v>3</v>
      </c>
      <c r="C1397" s="3537" t="s">
        <v>5065</v>
      </c>
      <c r="D1397" s="3538"/>
      <c r="E1397" s="3536" t="s">
        <v>5066</v>
      </c>
      <c r="F1397" s="3536"/>
      <c r="G1397" s="3537" t="s">
        <v>5067</v>
      </c>
      <c r="H1397" s="3538"/>
      <c r="I1397" s="3536" t="s">
        <v>5068</v>
      </c>
      <c r="J1397" s="3536"/>
      <c r="K1397" s="3537" t="s">
        <v>5069</v>
      </c>
      <c r="L1397" s="3538"/>
      <c r="M1397" s="3536" t="s">
        <v>5070</v>
      </c>
      <c r="N1397" s="3536"/>
      <c r="O1397" s="3537"/>
      <c r="P1397" s="3538"/>
      <c r="Q1397" s="3536" t="s">
        <v>5071</v>
      </c>
      <c r="R1397" s="3536"/>
      <c r="S1397" s="3537" t="s">
        <v>5072</v>
      </c>
      <c r="T1397" s="3538"/>
      <c r="U1397" s="3536" t="s">
        <v>5073</v>
      </c>
      <c r="V1397" s="3536"/>
      <c r="W1397" s="3537" t="s">
        <v>5074</v>
      </c>
      <c r="X1397" s="3538"/>
      <c r="Y1397" s="3536" t="s">
        <v>5075</v>
      </c>
      <c r="Z1397" s="3538"/>
      <c r="AA1397" s="3536" t="s">
        <v>5076</v>
      </c>
      <c r="AB1397" s="3536"/>
    </row>
    <row r="1398" spans="1:28" ht="40.5" thickBot="1">
      <c r="A1398" s="3539"/>
      <c r="B1398" s="3541"/>
      <c r="C1398" s="1" t="s">
        <v>5078</v>
      </c>
      <c r="D1398" s="35" t="s">
        <v>5079</v>
      </c>
      <c r="E1398" s="2" t="s">
        <v>5078</v>
      </c>
      <c r="F1398" s="36" t="s">
        <v>5079</v>
      </c>
      <c r="G1398" s="1" t="s">
        <v>5078</v>
      </c>
      <c r="H1398" s="35" t="s">
        <v>5079</v>
      </c>
      <c r="I1398" s="2" t="s">
        <v>5078</v>
      </c>
      <c r="J1398" s="36" t="s">
        <v>5079</v>
      </c>
      <c r="K1398" s="1" t="s">
        <v>5078</v>
      </c>
      <c r="L1398" s="35" t="s">
        <v>5079</v>
      </c>
      <c r="M1398" s="2" t="s">
        <v>5078</v>
      </c>
      <c r="N1398" s="36" t="s">
        <v>5079</v>
      </c>
      <c r="O1398" s="1"/>
      <c r="P1398" s="35"/>
      <c r="Q1398" s="2" t="s">
        <v>5078</v>
      </c>
      <c r="R1398" s="36" t="s">
        <v>5079</v>
      </c>
      <c r="S1398" s="1" t="s">
        <v>5078</v>
      </c>
      <c r="T1398" s="35" t="s">
        <v>5079</v>
      </c>
      <c r="U1398" s="2" t="s">
        <v>5078</v>
      </c>
      <c r="V1398" s="36" t="s">
        <v>5079</v>
      </c>
      <c r="W1398" s="1" t="s">
        <v>5078</v>
      </c>
      <c r="X1398" s="35" t="s">
        <v>5079</v>
      </c>
      <c r="Y1398" s="2" t="s">
        <v>5078</v>
      </c>
      <c r="Z1398" s="35" t="s">
        <v>5079</v>
      </c>
      <c r="AA1398" s="2" t="s">
        <v>5078</v>
      </c>
      <c r="AB1398" s="36" t="s">
        <v>5079</v>
      </c>
    </row>
    <row r="1399" spans="1:28">
      <c r="A1399" s="925" t="s">
        <v>6234</v>
      </c>
      <c r="B1399" s="2571" t="s">
        <v>6235</v>
      </c>
      <c r="C1399" s="9"/>
      <c r="D1399" s="10"/>
      <c r="E1399" s="11"/>
      <c r="F1399" s="12"/>
      <c r="G1399" s="9"/>
      <c r="H1399" s="10"/>
      <c r="I1399" s="11"/>
      <c r="J1399" s="12"/>
      <c r="K1399" s="9"/>
      <c r="L1399" s="10"/>
      <c r="M1399" s="11"/>
      <c r="N1399" s="12"/>
      <c r="O1399" s="2674"/>
      <c r="P1399" s="2675"/>
      <c r="R1399" s="12"/>
      <c r="S1399" s="9"/>
      <c r="T1399" s="10"/>
      <c r="U1399" s="11"/>
      <c r="V1399" s="12"/>
      <c r="W1399" s="9"/>
      <c r="X1399" s="10"/>
      <c r="Y1399" s="11"/>
      <c r="Z1399" s="10"/>
      <c r="AA1399" s="33"/>
      <c r="AB1399" s="10"/>
    </row>
    <row r="1400" spans="1:28">
      <c r="A1400" s="3236" t="s">
        <v>6236</v>
      </c>
      <c r="B1400" s="2178" t="s">
        <v>6237</v>
      </c>
      <c r="C1400" s="14"/>
      <c r="D1400" s="15"/>
      <c r="E1400" s="16"/>
      <c r="F1400" s="17"/>
      <c r="G1400" s="14"/>
      <c r="H1400" s="15"/>
      <c r="I1400" s="16"/>
      <c r="J1400" s="17"/>
      <c r="K1400" s="14"/>
      <c r="L1400" s="15"/>
      <c r="M1400" s="16"/>
      <c r="N1400" s="17"/>
      <c r="O1400" s="2674"/>
      <c r="P1400" s="15"/>
      <c r="Q1400" s="16"/>
      <c r="R1400" s="17"/>
      <c r="S1400" s="14"/>
      <c r="T1400" s="15"/>
      <c r="U1400" s="16"/>
      <c r="V1400" s="17"/>
      <c r="W1400" s="14"/>
      <c r="X1400" s="15"/>
      <c r="Y1400" s="16"/>
      <c r="Z1400" s="15"/>
      <c r="AA1400" s="30"/>
      <c r="AB1400" s="15"/>
    </row>
    <row r="1401" spans="1:28">
      <c r="A1401" s="74" t="s">
        <v>6238</v>
      </c>
      <c r="B1401" s="101" t="s">
        <v>6239</v>
      </c>
      <c r="C1401" s="14"/>
      <c r="D1401" s="15"/>
      <c r="E1401" s="16"/>
      <c r="F1401" s="17"/>
      <c r="G1401" s="14"/>
      <c r="H1401" s="15"/>
      <c r="I1401" s="16"/>
      <c r="J1401" s="17"/>
      <c r="K1401" s="14"/>
      <c r="L1401" s="15"/>
      <c r="M1401" s="16"/>
      <c r="N1401" s="17"/>
      <c r="O1401" s="2676"/>
      <c r="P1401" s="15"/>
      <c r="Q1401" s="16"/>
      <c r="R1401" s="17"/>
      <c r="S1401" s="14"/>
      <c r="T1401" s="15"/>
      <c r="U1401" s="16"/>
      <c r="V1401" s="17"/>
      <c r="W1401" s="14"/>
      <c r="X1401" s="15"/>
      <c r="Y1401" s="16"/>
      <c r="Z1401" s="15"/>
      <c r="AA1401" s="30"/>
      <c r="AB1401" s="15"/>
    </row>
    <row r="1402" spans="1:28">
      <c r="A1402" s="74" t="s">
        <v>6240</v>
      </c>
      <c r="B1402" s="101" t="s">
        <v>6239</v>
      </c>
      <c r="C1402" s="14"/>
      <c r="D1402" s="15"/>
      <c r="E1402" s="16"/>
      <c r="F1402" s="17"/>
      <c r="G1402" s="14"/>
      <c r="H1402" s="15"/>
      <c r="I1402" s="16"/>
      <c r="J1402" s="17"/>
      <c r="K1402" s="14"/>
      <c r="L1402" s="15"/>
      <c r="M1402" s="16"/>
      <c r="N1402" s="17"/>
      <c r="O1402" s="2676"/>
      <c r="P1402" s="15"/>
      <c r="Q1402" s="16"/>
      <c r="R1402" s="17"/>
      <c r="S1402" s="14"/>
      <c r="T1402" s="15"/>
      <c r="U1402" s="16"/>
      <c r="V1402" s="17"/>
      <c r="W1402" s="14"/>
      <c r="X1402" s="15"/>
      <c r="Y1402" s="16"/>
      <c r="Z1402" s="15"/>
      <c r="AA1402" s="30"/>
      <c r="AB1402" s="15"/>
    </row>
    <row r="1403" spans="1:28">
      <c r="A1403" s="3239" t="s">
        <v>6241</v>
      </c>
      <c r="B1403" s="3240" t="s">
        <v>1876</v>
      </c>
      <c r="C1403" s="14"/>
      <c r="D1403" s="15"/>
      <c r="E1403" s="16"/>
      <c r="F1403" s="17"/>
      <c r="G1403" s="14"/>
      <c r="H1403" s="15"/>
      <c r="I1403" s="16"/>
      <c r="J1403" s="17"/>
      <c r="K1403" s="14"/>
      <c r="L1403" s="15"/>
      <c r="M1403" s="16"/>
      <c r="N1403" s="17"/>
      <c r="O1403" s="2676"/>
      <c r="P1403" s="15"/>
      <c r="Q1403" s="16"/>
      <c r="R1403" s="17"/>
      <c r="S1403" s="14"/>
      <c r="T1403" s="15"/>
      <c r="U1403" s="16"/>
      <c r="V1403" s="17"/>
      <c r="W1403" s="14"/>
      <c r="X1403" s="15"/>
      <c r="Y1403" s="16"/>
      <c r="Z1403" s="15"/>
      <c r="AA1403" s="30"/>
      <c r="AB1403" s="15"/>
    </row>
    <row r="1404" spans="1:28">
      <c r="A1404" s="3239" t="s">
        <v>6242</v>
      </c>
      <c r="B1404" s="3240" t="s">
        <v>1876</v>
      </c>
      <c r="C1404" s="14"/>
      <c r="D1404" s="15"/>
      <c r="E1404" s="16"/>
      <c r="F1404" s="17"/>
      <c r="G1404" s="14"/>
      <c r="H1404" s="15"/>
      <c r="I1404" s="16"/>
      <c r="J1404" s="17"/>
      <c r="K1404" s="14"/>
      <c r="L1404" s="15"/>
      <c r="M1404" s="16"/>
      <c r="N1404" s="17"/>
      <c r="O1404" s="2672"/>
      <c r="P1404" s="2455"/>
      <c r="Q1404" s="16"/>
      <c r="R1404" s="17"/>
      <c r="S1404" s="14"/>
      <c r="T1404" s="15"/>
      <c r="U1404" s="16"/>
      <c r="V1404" s="17"/>
      <c r="W1404" s="14"/>
      <c r="X1404" s="15"/>
      <c r="Y1404" s="16"/>
      <c r="Z1404" s="15"/>
      <c r="AA1404" s="30"/>
      <c r="AB1404" s="15"/>
    </row>
    <row r="1405" spans="1:28" ht="40.5" thickBot="1">
      <c r="A1405" s="3239" t="s">
        <v>6243</v>
      </c>
      <c r="B1405" s="3240" t="s">
        <v>1876</v>
      </c>
      <c r="C1405" s="14"/>
      <c r="D1405" s="15"/>
      <c r="E1405" s="16"/>
      <c r="F1405" s="17"/>
      <c r="G1405" s="14"/>
      <c r="H1405" s="15"/>
      <c r="I1405" s="16"/>
      <c r="J1405" s="17"/>
      <c r="K1405" s="14"/>
      <c r="L1405" s="15"/>
      <c r="M1405" s="16"/>
      <c r="N1405" s="17"/>
      <c r="O1405" s="2677"/>
      <c r="P1405" s="15"/>
      <c r="Q1405" s="16"/>
      <c r="R1405" s="17"/>
      <c r="S1405" s="14"/>
      <c r="T1405" s="15"/>
      <c r="U1405" s="16"/>
      <c r="V1405" s="17"/>
      <c r="W1405" s="14"/>
      <c r="X1405" s="15"/>
      <c r="Y1405" s="16"/>
      <c r="Z1405" s="15"/>
      <c r="AA1405" s="30"/>
      <c r="AB1405" s="15"/>
    </row>
    <row r="1406" spans="1:28" ht="40.5" thickTop="1">
      <c r="A1406" s="2827" t="s">
        <v>6244</v>
      </c>
      <c r="B1406" s="2820" t="s">
        <v>4122</v>
      </c>
      <c r="C1406" s="14"/>
      <c r="D1406" s="15"/>
      <c r="E1406" s="16"/>
      <c r="F1406" s="17"/>
      <c r="G1406" s="14"/>
      <c r="H1406" s="15"/>
      <c r="I1406" s="16"/>
      <c r="J1406" s="17"/>
      <c r="K1406" s="14"/>
      <c r="L1406" s="15"/>
      <c r="M1406" s="16"/>
      <c r="N1406" s="17"/>
      <c r="O1406" s="2678"/>
      <c r="P1406" s="2652"/>
      <c r="Q1406" s="2049"/>
      <c r="R1406" s="17"/>
      <c r="S1406" s="14"/>
      <c r="T1406" s="15"/>
      <c r="U1406" s="16"/>
      <c r="V1406" s="17"/>
      <c r="W1406" s="14"/>
      <c r="X1406" s="15"/>
      <c r="Y1406" s="16"/>
      <c r="Z1406" s="15"/>
      <c r="AA1406" s="30"/>
      <c r="AB1406" s="15"/>
    </row>
    <row r="1407" spans="1:28">
      <c r="A1407" s="2827" t="s">
        <v>6245</v>
      </c>
      <c r="B1407" s="2820" t="s">
        <v>4122</v>
      </c>
      <c r="C1407" s="14"/>
      <c r="D1407" s="15"/>
      <c r="E1407" s="16"/>
      <c r="F1407" s="17"/>
      <c r="G1407" s="14"/>
      <c r="H1407" s="15"/>
      <c r="I1407" s="16"/>
      <c r="J1407" s="17"/>
      <c r="K1407" s="14"/>
      <c r="L1407" s="15"/>
      <c r="M1407" s="16"/>
      <c r="N1407" s="17"/>
      <c r="O1407" s="2678"/>
      <c r="P1407" s="2652"/>
      <c r="Q1407" s="2049"/>
      <c r="R1407" s="17"/>
      <c r="S1407" s="14"/>
      <c r="T1407" s="15"/>
      <c r="U1407" s="16"/>
      <c r="V1407" s="17"/>
      <c r="W1407" s="14"/>
      <c r="X1407" s="15"/>
      <c r="Y1407" s="16"/>
      <c r="Z1407" s="15"/>
      <c r="AA1407" s="30"/>
      <c r="AB1407" s="15"/>
    </row>
    <row r="1408" spans="1:28">
      <c r="A1408" s="3238" t="s">
        <v>6246</v>
      </c>
      <c r="B1408" s="2820" t="s">
        <v>4122</v>
      </c>
      <c r="C1408" s="14"/>
      <c r="D1408" s="15"/>
      <c r="E1408" s="16"/>
      <c r="F1408" s="17"/>
      <c r="G1408" s="14"/>
      <c r="H1408" s="15"/>
      <c r="I1408" s="16"/>
      <c r="J1408" s="17"/>
      <c r="K1408" s="14"/>
      <c r="L1408" s="15"/>
      <c r="M1408" s="16"/>
      <c r="N1408" s="17"/>
      <c r="O1408" s="2679"/>
      <c r="P1408" s="2670"/>
      <c r="Q1408" s="791"/>
      <c r="R1408" s="17"/>
      <c r="S1408" s="14"/>
      <c r="T1408" s="15"/>
      <c r="U1408" s="16"/>
      <c r="V1408" s="17"/>
      <c r="W1408" s="14"/>
      <c r="X1408" s="15"/>
      <c r="Y1408" s="16"/>
      <c r="Z1408" s="15"/>
      <c r="AA1408" s="30"/>
      <c r="AB1408" s="15"/>
    </row>
    <row r="1409" spans="1:28">
      <c r="A1409" s="2827" t="s">
        <v>6247</v>
      </c>
      <c r="B1409" s="2820" t="s">
        <v>4122</v>
      </c>
      <c r="C1409" s="14"/>
      <c r="D1409" s="15"/>
      <c r="E1409" s="16"/>
      <c r="F1409" s="17"/>
      <c r="G1409" s="14"/>
      <c r="H1409" s="15"/>
      <c r="I1409" s="16"/>
      <c r="J1409" s="17"/>
      <c r="K1409" s="14"/>
      <c r="L1409" s="15"/>
      <c r="M1409" s="16"/>
      <c r="N1409" s="17"/>
      <c r="O1409" s="2674"/>
      <c r="P1409" s="15"/>
      <c r="Q1409" s="16"/>
      <c r="R1409" s="17"/>
      <c r="S1409" s="14"/>
      <c r="T1409" s="15"/>
      <c r="U1409" s="16"/>
      <c r="V1409" s="17"/>
      <c r="W1409" s="14"/>
      <c r="X1409" s="15"/>
      <c r="Y1409" s="16"/>
      <c r="Z1409" s="15"/>
      <c r="AA1409" s="30"/>
      <c r="AB1409" s="15"/>
    </row>
    <row r="1410" spans="1:28">
      <c r="A1410" s="115" t="s">
        <v>6248</v>
      </c>
      <c r="B1410" s="2288"/>
      <c r="C1410" s="14"/>
      <c r="D1410" s="15"/>
      <c r="E1410" s="16"/>
      <c r="F1410" s="17"/>
      <c r="G1410" s="14"/>
      <c r="H1410" s="15"/>
      <c r="I1410" s="16"/>
      <c r="J1410" s="17"/>
      <c r="K1410" s="14"/>
      <c r="L1410" s="15"/>
      <c r="M1410" s="16"/>
      <c r="N1410" s="17"/>
      <c r="O1410" s="2676"/>
      <c r="P1410" s="15"/>
      <c r="Q1410" s="16"/>
      <c r="R1410" s="17"/>
      <c r="S1410" s="14"/>
      <c r="T1410" s="15"/>
      <c r="U1410" s="16"/>
      <c r="V1410" s="17"/>
      <c r="W1410" s="14"/>
      <c r="X1410" s="15"/>
      <c r="Y1410" s="16"/>
      <c r="Z1410" s="15"/>
      <c r="AA1410" s="30"/>
      <c r="AB1410" s="15"/>
    </row>
    <row r="1411" spans="1:28">
      <c r="A1411" s="115" t="s">
        <v>6249</v>
      </c>
      <c r="B1411" s="2288"/>
      <c r="C1411" s="14"/>
      <c r="D1411" s="15"/>
      <c r="E1411" s="16"/>
      <c r="F1411" s="17"/>
      <c r="G1411" s="14"/>
      <c r="H1411" s="15"/>
      <c r="I1411" s="16"/>
      <c r="J1411" s="17"/>
      <c r="K1411" s="14"/>
      <c r="L1411" s="15"/>
      <c r="M1411" s="16"/>
      <c r="N1411" s="17"/>
      <c r="O1411" s="2676"/>
      <c r="P1411" s="15"/>
      <c r="Q1411" s="16"/>
      <c r="R1411" s="17"/>
      <c r="S1411" s="14"/>
      <c r="T1411" s="15"/>
      <c r="U1411" s="16"/>
      <c r="V1411" s="17"/>
      <c r="W1411" s="14"/>
      <c r="X1411" s="15"/>
      <c r="Y1411" s="16"/>
      <c r="Z1411" s="15"/>
      <c r="AA1411" s="30"/>
      <c r="AB1411" s="15"/>
    </row>
    <row r="1412" spans="1:28">
      <c r="A1412" s="115" t="s">
        <v>6249</v>
      </c>
      <c r="B1412" s="3010" t="s">
        <v>6250</v>
      </c>
      <c r="C1412" s="14"/>
      <c r="D1412" s="15"/>
      <c r="E1412" s="16"/>
      <c r="F1412" s="17"/>
      <c r="G1412" s="14"/>
      <c r="H1412" s="15"/>
      <c r="I1412" s="16"/>
      <c r="J1412" s="17"/>
      <c r="K1412" s="14"/>
      <c r="L1412" s="15"/>
      <c r="M1412" s="16"/>
      <c r="N1412" s="17"/>
      <c r="O1412" s="2676"/>
      <c r="P1412" s="15"/>
      <c r="Q1412" s="16"/>
      <c r="R1412" s="17"/>
      <c r="S1412" s="14"/>
      <c r="T1412" s="15"/>
      <c r="U1412" s="16"/>
      <c r="V1412" s="17"/>
      <c r="W1412" s="14"/>
      <c r="X1412" s="15"/>
      <c r="Y1412" s="16"/>
      <c r="Z1412" s="15"/>
      <c r="AA1412" s="30"/>
      <c r="AB1412" s="15"/>
    </row>
    <row r="1413" spans="1:28">
      <c r="A1413" s="1205" t="s">
        <v>6251</v>
      </c>
      <c r="B1413" s="2288" t="s">
        <v>192</v>
      </c>
      <c r="C1413" s="14"/>
      <c r="D1413" s="15"/>
      <c r="E1413" s="16"/>
      <c r="F1413" s="17"/>
      <c r="G1413" s="14"/>
      <c r="H1413" s="15"/>
      <c r="I1413" s="16"/>
      <c r="J1413" s="17"/>
      <c r="K1413" s="14"/>
      <c r="L1413" s="15"/>
      <c r="M1413" s="16"/>
      <c r="N1413" s="17"/>
      <c r="O1413" s="2672"/>
      <c r="P1413" s="2455"/>
      <c r="Q1413" s="16"/>
      <c r="R1413" s="17"/>
      <c r="S1413" s="14"/>
      <c r="T1413" s="15"/>
      <c r="U1413" s="16"/>
      <c r="V1413" s="17"/>
      <c r="W1413" s="14"/>
      <c r="X1413" s="15"/>
      <c r="Y1413" s="16"/>
      <c r="Z1413" s="15"/>
      <c r="AA1413" s="30"/>
      <c r="AB1413" s="15"/>
    </row>
    <row r="1414" spans="1:28">
      <c r="A1414" s="115" t="s">
        <v>6252</v>
      </c>
      <c r="B1414" s="2288"/>
      <c r="C1414" s="14"/>
      <c r="D1414" s="15"/>
      <c r="E1414" s="16"/>
      <c r="F1414" s="17"/>
      <c r="G1414" s="14"/>
      <c r="H1414" s="15"/>
      <c r="I1414" s="16"/>
      <c r="J1414" s="17"/>
      <c r="K1414" s="14"/>
      <c r="L1414" s="15"/>
      <c r="M1414" s="16"/>
      <c r="N1414" s="17"/>
      <c r="O1414" s="2672"/>
      <c r="P1414" s="2455"/>
      <c r="Q1414" s="16"/>
      <c r="R1414" s="17"/>
      <c r="S1414" s="14"/>
      <c r="T1414" s="15"/>
      <c r="U1414" s="16"/>
      <c r="V1414" s="17"/>
      <c r="W1414" s="14"/>
      <c r="X1414" s="15"/>
      <c r="Y1414" s="16"/>
      <c r="Z1414" s="15"/>
      <c r="AA1414" s="30"/>
      <c r="AB1414" s="15"/>
    </row>
    <row r="1415" spans="1:28">
      <c r="A1415" s="115" t="s">
        <v>6253</v>
      </c>
      <c r="B1415" s="3010"/>
      <c r="C1415" s="14"/>
      <c r="D1415" s="15"/>
      <c r="E1415" s="16"/>
      <c r="F1415" s="17"/>
      <c r="G1415" s="14"/>
      <c r="H1415" s="15"/>
      <c r="I1415" s="16"/>
      <c r="J1415" s="17"/>
      <c r="K1415" s="14"/>
      <c r="L1415" s="15"/>
      <c r="M1415" s="16"/>
      <c r="N1415" s="17"/>
      <c r="O1415" s="2678"/>
      <c r="P1415" s="2652"/>
      <c r="Q1415" s="2049"/>
      <c r="R1415" s="17"/>
      <c r="S1415" s="14"/>
      <c r="T1415" s="15"/>
      <c r="U1415" s="16"/>
      <c r="V1415" s="17"/>
      <c r="W1415" s="14"/>
      <c r="X1415" s="15"/>
      <c r="Y1415" s="16"/>
      <c r="Z1415" s="15"/>
      <c r="AA1415" s="30"/>
      <c r="AB1415" s="15"/>
    </row>
    <row r="1416" spans="1:28">
      <c r="A1416" s="1205" t="s">
        <v>6254</v>
      </c>
      <c r="B1416" s="2288"/>
      <c r="C1416" s="14"/>
      <c r="D1416" s="15"/>
      <c r="E1416" s="16"/>
      <c r="F1416" s="17"/>
      <c r="G1416" s="14"/>
      <c r="H1416" s="15"/>
      <c r="I1416" s="16"/>
      <c r="J1416" s="17"/>
      <c r="K1416" s="14"/>
      <c r="L1416" s="15"/>
      <c r="M1416" s="16"/>
      <c r="N1416" s="17"/>
      <c r="O1416" s="2678"/>
      <c r="P1416" s="2652"/>
      <c r="Q1416" s="2049"/>
      <c r="R1416" s="17"/>
      <c r="S1416" s="14"/>
      <c r="T1416" s="15"/>
      <c r="U1416" s="16"/>
      <c r="V1416" s="17"/>
      <c r="W1416" s="14"/>
      <c r="X1416" s="15"/>
      <c r="Y1416" s="16"/>
      <c r="Z1416" s="15"/>
      <c r="AA1416" s="30"/>
      <c r="AB1416" s="15"/>
    </row>
    <row r="1417" spans="1:28">
      <c r="A1417" s="1205" t="s">
        <v>6255</v>
      </c>
      <c r="B1417" s="2288"/>
      <c r="C1417" s="14"/>
      <c r="D1417" s="15"/>
      <c r="E1417" s="16"/>
      <c r="F1417" s="17"/>
      <c r="G1417" s="14"/>
      <c r="H1417" s="15"/>
      <c r="I1417" s="16"/>
      <c r="J1417" s="17"/>
      <c r="K1417" s="14"/>
      <c r="L1417" s="15"/>
      <c r="M1417" s="16"/>
      <c r="N1417" s="17"/>
      <c r="O1417" s="2679"/>
      <c r="P1417" s="2670"/>
      <c r="Q1417" s="791"/>
      <c r="R1417" s="17"/>
      <c r="S1417" s="14"/>
      <c r="T1417" s="15"/>
      <c r="U1417" s="16"/>
      <c r="V1417" s="17"/>
      <c r="W1417" s="14"/>
      <c r="X1417" s="15"/>
      <c r="Y1417" s="16"/>
      <c r="Z1417" s="15"/>
      <c r="AA1417" s="30"/>
      <c r="AB1417" s="15"/>
    </row>
    <row r="1418" spans="1:28">
      <c r="A1418" s="1205"/>
      <c r="B1418" s="2288"/>
      <c r="C1418" s="14"/>
      <c r="D1418" s="15"/>
      <c r="E1418" s="16"/>
      <c r="F1418" s="17"/>
      <c r="G1418" s="14"/>
      <c r="H1418" s="15"/>
      <c r="I1418" s="16"/>
      <c r="J1418" s="17"/>
      <c r="K1418" s="14"/>
      <c r="L1418" s="15"/>
      <c r="M1418" s="16"/>
      <c r="N1418" s="17"/>
      <c r="O1418" s="2676"/>
      <c r="P1418" s="15"/>
      <c r="Q1418" s="16"/>
      <c r="R1418" s="17"/>
      <c r="S1418" s="14"/>
      <c r="T1418" s="15"/>
      <c r="U1418" s="16"/>
      <c r="V1418" s="17"/>
      <c r="W1418" s="14"/>
      <c r="X1418" s="15"/>
      <c r="Y1418" s="16"/>
      <c r="Z1418" s="15"/>
      <c r="AA1418" s="30"/>
      <c r="AB1418" s="15"/>
    </row>
    <row r="1419" spans="1:28">
      <c r="A1419" s="2080"/>
      <c r="B1419" s="2573"/>
    </row>
    <row r="1420" spans="1:28" ht="40.5">
      <c r="A1420" s="3" t="s">
        <v>5063</v>
      </c>
      <c r="B1420" s="23"/>
      <c r="C1420" s="3"/>
      <c r="D1420" s="3"/>
      <c r="E1420" s="3"/>
      <c r="F1420" s="3"/>
      <c r="G1420" s="3"/>
      <c r="H1420" s="3"/>
      <c r="I1420" s="3"/>
      <c r="J1420" s="3"/>
      <c r="K1420" s="3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B1420" s="4"/>
    </row>
    <row r="1421" spans="1:28" ht="40.5" thickBot="1">
      <c r="A1421" s="5" t="s">
        <v>5064</v>
      </c>
    </row>
    <row r="1422" spans="1:28">
      <c r="A1422" s="3537" t="s">
        <v>2</v>
      </c>
      <c r="B1422" s="3540" t="s">
        <v>3</v>
      </c>
      <c r="C1422" s="3537" t="s">
        <v>5065</v>
      </c>
      <c r="D1422" s="3538"/>
      <c r="E1422" s="3536" t="s">
        <v>5066</v>
      </c>
      <c r="F1422" s="3536"/>
      <c r="G1422" s="3537" t="s">
        <v>5067</v>
      </c>
      <c r="H1422" s="3538"/>
      <c r="I1422" s="3536" t="s">
        <v>5068</v>
      </c>
      <c r="J1422" s="3536"/>
      <c r="K1422" s="3537" t="s">
        <v>5069</v>
      </c>
      <c r="L1422" s="3538"/>
      <c r="M1422" s="3536" t="s">
        <v>5070</v>
      </c>
      <c r="N1422" s="3536"/>
      <c r="O1422" s="3537"/>
      <c r="P1422" s="3538"/>
      <c r="Q1422" s="3536" t="s">
        <v>5071</v>
      </c>
      <c r="R1422" s="3536"/>
      <c r="S1422" s="3537" t="s">
        <v>5072</v>
      </c>
      <c r="T1422" s="3538"/>
      <c r="U1422" s="3536" t="s">
        <v>5073</v>
      </c>
      <c r="V1422" s="3536"/>
      <c r="W1422" s="3537" t="s">
        <v>5074</v>
      </c>
      <c r="X1422" s="3538"/>
      <c r="Y1422" s="3536" t="s">
        <v>5075</v>
      </c>
      <c r="Z1422" s="3538"/>
      <c r="AA1422" s="3536" t="s">
        <v>5076</v>
      </c>
      <c r="AB1422" s="3536"/>
    </row>
    <row r="1423" spans="1:28" ht="40.5" thickBot="1">
      <c r="A1423" s="3539"/>
      <c r="B1423" s="3541"/>
      <c r="C1423" s="1" t="s">
        <v>5078</v>
      </c>
      <c r="D1423" s="35" t="s">
        <v>5079</v>
      </c>
      <c r="E1423" s="2" t="s">
        <v>5078</v>
      </c>
      <c r="F1423" s="36" t="s">
        <v>5079</v>
      </c>
      <c r="G1423" s="1" t="s">
        <v>5078</v>
      </c>
      <c r="H1423" s="35" t="s">
        <v>5079</v>
      </c>
      <c r="I1423" s="2" t="s">
        <v>5078</v>
      </c>
      <c r="J1423" s="36" t="s">
        <v>5079</v>
      </c>
      <c r="K1423" s="1" t="s">
        <v>5078</v>
      </c>
      <c r="L1423" s="35" t="s">
        <v>5079</v>
      </c>
      <c r="M1423" s="2" t="s">
        <v>5078</v>
      </c>
      <c r="N1423" s="36" t="s">
        <v>5079</v>
      </c>
      <c r="O1423" s="1"/>
      <c r="P1423" s="35"/>
      <c r="Q1423" s="2" t="s">
        <v>5078</v>
      </c>
      <c r="R1423" s="36" t="s">
        <v>5079</v>
      </c>
      <c r="S1423" s="1" t="s">
        <v>5078</v>
      </c>
      <c r="T1423" s="35" t="s">
        <v>5079</v>
      </c>
      <c r="U1423" s="2" t="s">
        <v>5078</v>
      </c>
      <c r="V1423" s="36" t="s">
        <v>5079</v>
      </c>
      <c r="W1423" s="1" t="s">
        <v>5078</v>
      </c>
      <c r="X1423" s="35" t="s">
        <v>5079</v>
      </c>
      <c r="Y1423" s="2" t="s">
        <v>5078</v>
      </c>
      <c r="Z1423" s="35" t="s">
        <v>5079</v>
      </c>
      <c r="AA1423" s="2" t="s">
        <v>5078</v>
      </c>
      <c r="AB1423" s="36" t="s">
        <v>5079</v>
      </c>
    </row>
    <row r="1424" spans="1:28">
      <c r="A1424" s="224" t="s">
        <v>6256</v>
      </c>
      <c r="B1424" s="320" t="s">
        <v>617</v>
      </c>
      <c r="C1424" s="9"/>
      <c r="D1424" s="10"/>
      <c r="E1424" s="11"/>
      <c r="F1424" s="12"/>
      <c r="G1424" s="9"/>
      <c r="H1424" s="10"/>
      <c r="I1424" s="11"/>
      <c r="J1424" s="12"/>
      <c r="K1424" s="9"/>
      <c r="L1424" s="10"/>
      <c r="M1424" s="11"/>
      <c r="N1424" s="12"/>
      <c r="O1424" s="2674"/>
      <c r="P1424" s="2675"/>
      <c r="R1424" s="12"/>
      <c r="S1424" s="9"/>
      <c r="T1424" s="10"/>
      <c r="U1424" s="11"/>
      <c r="V1424" s="12"/>
      <c r="W1424" s="9"/>
      <c r="X1424" s="10"/>
      <c r="Y1424" s="11"/>
      <c r="Z1424" s="10"/>
      <c r="AA1424" s="33"/>
      <c r="AB1424" s="10"/>
    </row>
    <row r="1425" spans="1:28">
      <c r="A1425" s="224" t="s">
        <v>6257</v>
      </c>
      <c r="B1425" s="320" t="s">
        <v>617</v>
      </c>
      <c r="C1425" s="14"/>
      <c r="D1425" s="15"/>
      <c r="E1425" s="16"/>
      <c r="F1425" s="17"/>
      <c r="G1425" s="14"/>
      <c r="H1425" s="15"/>
      <c r="I1425" s="16"/>
      <c r="J1425" s="17"/>
      <c r="K1425" s="14"/>
      <c r="L1425" s="15"/>
      <c r="M1425" s="16"/>
      <c r="N1425" s="17"/>
      <c r="O1425" s="2674"/>
      <c r="P1425" s="15"/>
      <c r="Q1425" s="16"/>
      <c r="R1425" s="17"/>
      <c r="S1425" s="14"/>
      <c r="T1425" s="15"/>
      <c r="U1425" s="16"/>
      <c r="V1425" s="17"/>
      <c r="W1425" s="14"/>
      <c r="X1425" s="15"/>
      <c r="Y1425" s="16"/>
      <c r="Z1425" s="15"/>
      <c r="AA1425" s="30"/>
      <c r="AB1425" s="15"/>
    </row>
    <row r="1426" spans="1:28">
      <c r="A1426" s="224" t="s">
        <v>6258</v>
      </c>
      <c r="B1426" s="320" t="s">
        <v>617</v>
      </c>
      <c r="C1426" s="14"/>
      <c r="D1426" s="15"/>
      <c r="E1426" s="16"/>
      <c r="F1426" s="17"/>
      <c r="G1426" s="14"/>
      <c r="H1426" s="15"/>
      <c r="I1426" s="16"/>
      <c r="J1426" s="17"/>
      <c r="K1426" s="14"/>
      <c r="L1426" s="15"/>
      <c r="M1426" s="16"/>
      <c r="N1426" s="17"/>
      <c r="O1426" s="2676"/>
      <c r="P1426" s="15"/>
      <c r="Q1426" s="16"/>
      <c r="R1426" s="17"/>
      <c r="S1426" s="14"/>
      <c r="T1426" s="15"/>
      <c r="U1426" s="16"/>
      <c r="V1426" s="17"/>
      <c r="W1426" s="14"/>
      <c r="X1426" s="15"/>
      <c r="Y1426" s="16"/>
      <c r="Z1426" s="15"/>
      <c r="AA1426" s="30"/>
      <c r="AB1426" s="15"/>
    </row>
    <row r="1427" spans="1:28">
      <c r="A1427" s="224" t="s">
        <v>6259</v>
      </c>
      <c r="B1427" s="320" t="s">
        <v>617</v>
      </c>
      <c r="C1427" s="14"/>
      <c r="D1427" s="15"/>
      <c r="E1427" s="16"/>
      <c r="F1427" s="17"/>
      <c r="G1427" s="14"/>
      <c r="H1427" s="15"/>
      <c r="I1427" s="16"/>
      <c r="J1427" s="17"/>
      <c r="K1427" s="14"/>
      <c r="L1427" s="15"/>
      <c r="M1427" s="16"/>
      <c r="N1427" s="17"/>
      <c r="O1427" s="2676"/>
      <c r="P1427" s="15"/>
      <c r="Q1427" s="16"/>
      <c r="R1427" s="17"/>
      <c r="S1427" s="14"/>
      <c r="T1427" s="15"/>
      <c r="U1427" s="16"/>
      <c r="V1427" s="17"/>
      <c r="W1427" s="14"/>
      <c r="X1427" s="15"/>
      <c r="Y1427" s="16"/>
      <c r="Z1427" s="15"/>
      <c r="AA1427" s="30"/>
      <c r="AB1427" s="15"/>
    </row>
    <row r="1428" spans="1:28">
      <c r="A1428" s="224" t="s">
        <v>6260</v>
      </c>
      <c r="B1428" s="320" t="s">
        <v>617</v>
      </c>
      <c r="C1428" s="14"/>
      <c r="D1428" s="15"/>
      <c r="E1428" s="16"/>
      <c r="F1428" s="17"/>
      <c r="G1428" s="14"/>
      <c r="H1428" s="15"/>
      <c r="I1428" s="16"/>
      <c r="J1428" s="17"/>
      <c r="K1428" s="14"/>
      <c r="L1428" s="15"/>
      <c r="M1428" s="16"/>
      <c r="N1428" s="17"/>
      <c r="O1428" s="2676"/>
      <c r="P1428" s="15"/>
      <c r="Q1428" s="16"/>
      <c r="R1428" s="17"/>
      <c r="S1428" s="14"/>
      <c r="T1428" s="15"/>
      <c r="U1428" s="16"/>
      <c r="V1428" s="17"/>
      <c r="W1428" s="14"/>
      <c r="X1428" s="15"/>
      <c r="Y1428" s="16"/>
      <c r="Z1428" s="15"/>
      <c r="AA1428" s="30"/>
      <c r="AB1428" s="15"/>
    </row>
    <row r="1429" spans="1:28">
      <c r="A1429" s="3241" t="s">
        <v>6261</v>
      </c>
      <c r="B1429" s="320" t="s">
        <v>617</v>
      </c>
      <c r="C1429" s="14"/>
      <c r="D1429" s="15"/>
      <c r="E1429" s="16"/>
      <c r="F1429" s="17"/>
      <c r="G1429" s="14"/>
      <c r="H1429" s="15"/>
      <c r="I1429" s="16"/>
      <c r="J1429" s="17"/>
      <c r="K1429" s="14"/>
      <c r="L1429" s="15"/>
      <c r="M1429" s="16"/>
      <c r="N1429" s="17"/>
      <c r="O1429" s="2672"/>
      <c r="P1429" s="2455"/>
      <c r="Q1429" s="16"/>
      <c r="R1429" s="17"/>
      <c r="S1429" s="14"/>
      <c r="T1429" s="15"/>
      <c r="U1429" s="16"/>
      <c r="V1429" s="17"/>
      <c r="W1429" s="14"/>
      <c r="X1429" s="15"/>
      <c r="Y1429" s="16"/>
      <c r="Z1429" s="15"/>
      <c r="AA1429" s="30"/>
      <c r="AB1429" s="15"/>
    </row>
    <row r="1430" spans="1:28" ht="40.5" thickBot="1">
      <c r="A1430" s="224" t="s">
        <v>6262</v>
      </c>
      <c r="B1430" s="320" t="s">
        <v>617</v>
      </c>
      <c r="C1430" s="14"/>
      <c r="D1430" s="15"/>
      <c r="E1430" s="16"/>
      <c r="F1430" s="17"/>
      <c r="G1430" s="14"/>
      <c r="H1430" s="15"/>
      <c r="I1430" s="16"/>
      <c r="J1430" s="17"/>
      <c r="K1430" s="14"/>
      <c r="L1430" s="15"/>
      <c r="M1430" s="16"/>
      <c r="N1430" s="17"/>
      <c r="O1430" s="2677"/>
      <c r="P1430" s="15"/>
      <c r="Q1430" s="16"/>
      <c r="R1430" s="17"/>
      <c r="S1430" s="14"/>
      <c r="T1430" s="15"/>
      <c r="U1430" s="16"/>
      <c r="V1430" s="17"/>
      <c r="W1430" s="14"/>
      <c r="X1430" s="15"/>
      <c r="Y1430" s="16"/>
      <c r="Z1430" s="15"/>
      <c r="AA1430" s="30"/>
      <c r="AB1430" s="15"/>
    </row>
    <row r="1431" spans="1:28" ht="40.5" thickTop="1">
      <c r="A1431" s="224" t="s">
        <v>6263</v>
      </c>
      <c r="B1431" s="320" t="s">
        <v>617</v>
      </c>
      <c r="C1431" s="14"/>
      <c r="D1431" s="15"/>
      <c r="E1431" s="16"/>
      <c r="F1431" s="17"/>
      <c r="G1431" s="14"/>
      <c r="H1431" s="15"/>
      <c r="I1431" s="16"/>
      <c r="J1431" s="17"/>
      <c r="K1431" s="14"/>
      <c r="L1431" s="15"/>
      <c r="M1431" s="16"/>
      <c r="N1431" s="17"/>
      <c r="O1431" s="2678"/>
      <c r="P1431" s="2652"/>
      <c r="Q1431" s="2049"/>
      <c r="R1431" s="17"/>
      <c r="S1431" s="14"/>
      <c r="T1431" s="15"/>
      <c r="U1431" s="16"/>
      <c r="V1431" s="17"/>
      <c r="W1431" s="14"/>
      <c r="X1431" s="15"/>
      <c r="Y1431" s="16"/>
      <c r="Z1431" s="15"/>
      <c r="AA1431" s="30"/>
      <c r="AB1431" s="15"/>
    </row>
    <row r="1432" spans="1:28">
      <c r="A1432" s="224" t="s">
        <v>6264</v>
      </c>
      <c r="B1432" s="320" t="s">
        <v>617</v>
      </c>
      <c r="C1432" s="14"/>
      <c r="D1432" s="15"/>
      <c r="E1432" s="16"/>
      <c r="F1432" s="17"/>
      <c r="G1432" s="14"/>
      <c r="H1432" s="15"/>
      <c r="I1432" s="16"/>
      <c r="J1432" s="17"/>
      <c r="K1432" s="14"/>
      <c r="L1432" s="15"/>
      <c r="M1432" s="16"/>
      <c r="N1432" s="17"/>
      <c r="O1432" s="2678"/>
      <c r="P1432" s="2652"/>
      <c r="Q1432" s="2049"/>
      <c r="R1432" s="17"/>
      <c r="S1432" s="14"/>
      <c r="T1432" s="15"/>
      <c r="U1432" s="16"/>
      <c r="V1432" s="17"/>
      <c r="W1432" s="14"/>
      <c r="X1432" s="15"/>
      <c r="Y1432" s="16"/>
      <c r="Z1432" s="15"/>
      <c r="AA1432" s="30"/>
      <c r="AB1432" s="15"/>
    </row>
    <row r="1433" spans="1:28">
      <c r="A1433" s="224" t="s">
        <v>6265</v>
      </c>
      <c r="B1433" s="320" t="s">
        <v>617</v>
      </c>
      <c r="C1433" s="14"/>
      <c r="D1433" s="15"/>
      <c r="E1433" s="16"/>
      <c r="F1433" s="17"/>
      <c r="G1433" s="14"/>
      <c r="H1433" s="15"/>
      <c r="I1433" s="16"/>
      <c r="J1433" s="17"/>
      <c r="K1433" s="14"/>
      <c r="L1433" s="15"/>
      <c r="M1433" s="16"/>
      <c r="N1433" s="17"/>
      <c r="O1433" s="2679"/>
      <c r="P1433" s="2670"/>
      <c r="Q1433" s="791"/>
      <c r="R1433" s="17"/>
      <c r="S1433" s="14"/>
      <c r="T1433" s="15"/>
      <c r="U1433" s="16"/>
      <c r="V1433" s="17"/>
      <c r="W1433" s="14"/>
      <c r="X1433" s="15"/>
      <c r="Y1433" s="16"/>
      <c r="Z1433" s="15"/>
      <c r="AA1433" s="30"/>
      <c r="AB1433" s="15"/>
    </row>
    <row r="1434" spans="1:28">
      <c r="A1434" s="224" t="s">
        <v>6266</v>
      </c>
      <c r="B1434" s="320" t="s">
        <v>617</v>
      </c>
      <c r="C1434" s="14"/>
      <c r="D1434" s="15"/>
      <c r="E1434" s="16"/>
      <c r="F1434" s="17"/>
      <c r="G1434" s="14"/>
      <c r="H1434" s="15"/>
      <c r="I1434" s="16"/>
      <c r="J1434" s="17"/>
      <c r="K1434" s="14"/>
      <c r="L1434" s="15"/>
      <c r="M1434" s="16"/>
      <c r="N1434" s="17"/>
      <c r="O1434" s="2674"/>
      <c r="P1434" s="15"/>
      <c r="Q1434" s="16"/>
      <c r="R1434" s="17"/>
      <c r="S1434" s="14"/>
      <c r="T1434" s="15"/>
      <c r="U1434" s="16"/>
      <c r="V1434" s="17"/>
      <c r="W1434" s="14"/>
      <c r="X1434" s="15"/>
      <c r="Y1434" s="16"/>
      <c r="Z1434" s="15"/>
      <c r="AA1434" s="30"/>
      <c r="AB1434" s="15"/>
    </row>
    <row r="1435" spans="1:28">
      <c r="A1435" s="224" t="s">
        <v>6267</v>
      </c>
      <c r="B1435" s="320" t="s">
        <v>617</v>
      </c>
      <c r="C1435" s="14"/>
      <c r="D1435" s="15"/>
      <c r="E1435" s="16"/>
      <c r="F1435" s="17"/>
      <c r="G1435" s="14"/>
      <c r="H1435" s="15"/>
      <c r="I1435" s="16"/>
      <c r="J1435" s="17"/>
      <c r="K1435" s="14"/>
      <c r="L1435" s="15"/>
      <c r="M1435" s="16"/>
      <c r="N1435" s="17"/>
      <c r="O1435" s="2676"/>
      <c r="P1435" s="15"/>
      <c r="Q1435" s="16"/>
      <c r="R1435" s="17"/>
      <c r="S1435" s="14"/>
      <c r="T1435" s="15"/>
      <c r="U1435" s="16"/>
      <c r="V1435" s="17"/>
      <c r="W1435" s="14"/>
      <c r="X1435" s="15"/>
      <c r="Y1435" s="16"/>
      <c r="Z1435" s="15"/>
      <c r="AA1435" s="30"/>
      <c r="AB1435" s="15"/>
    </row>
    <row r="1436" spans="1:28">
      <c r="A1436" s="224"/>
      <c r="B1436" s="320"/>
      <c r="C1436" s="14"/>
      <c r="D1436" s="15"/>
      <c r="E1436" s="16"/>
      <c r="F1436" s="17"/>
      <c r="G1436" s="14"/>
      <c r="H1436" s="15"/>
      <c r="I1436" s="16"/>
      <c r="J1436" s="17"/>
      <c r="K1436" s="14"/>
      <c r="L1436" s="15"/>
      <c r="M1436" s="16"/>
      <c r="N1436" s="17"/>
      <c r="O1436" s="2676"/>
      <c r="P1436" s="15"/>
      <c r="Q1436" s="16"/>
      <c r="R1436" s="17"/>
      <c r="S1436" s="14"/>
      <c r="T1436" s="15"/>
      <c r="U1436" s="16"/>
      <c r="V1436" s="17"/>
      <c r="W1436" s="14"/>
      <c r="X1436" s="15"/>
      <c r="Y1436" s="16"/>
      <c r="Z1436" s="15"/>
      <c r="AA1436" s="30"/>
      <c r="AB1436" s="15"/>
    </row>
    <row r="1437" spans="1:28">
      <c r="A1437" s="2668"/>
      <c r="B1437" s="2622"/>
      <c r="C1437" s="14"/>
      <c r="D1437" s="15"/>
      <c r="E1437" s="16"/>
      <c r="F1437" s="17"/>
      <c r="G1437" s="14"/>
      <c r="H1437" s="15"/>
      <c r="I1437" s="16"/>
      <c r="J1437" s="17"/>
      <c r="K1437" s="14"/>
      <c r="L1437" s="15"/>
      <c r="M1437" s="16"/>
      <c r="N1437" s="17"/>
      <c r="O1437" s="2676"/>
      <c r="P1437" s="15"/>
      <c r="Q1437" s="16"/>
      <c r="R1437" s="17"/>
      <c r="S1437" s="14"/>
      <c r="T1437" s="15"/>
      <c r="U1437" s="16"/>
      <c r="V1437" s="17"/>
      <c r="W1437" s="14"/>
      <c r="X1437" s="15"/>
      <c r="Y1437" s="16"/>
      <c r="Z1437" s="15"/>
      <c r="AA1437" s="30"/>
      <c r="AB1437" s="15"/>
    </row>
    <row r="1438" spans="1:28">
      <c r="A1438" s="2663"/>
      <c r="B1438" s="2621"/>
      <c r="C1438" s="14"/>
      <c r="D1438" s="15"/>
      <c r="E1438" s="16"/>
      <c r="F1438" s="17"/>
      <c r="G1438" s="14"/>
      <c r="H1438" s="15"/>
      <c r="I1438" s="16"/>
      <c r="J1438" s="17"/>
      <c r="K1438" s="14"/>
      <c r="L1438" s="15"/>
      <c r="M1438" s="16"/>
      <c r="N1438" s="17"/>
      <c r="O1438" s="2672"/>
      <c r="P1438" s="2455"/>
      <c r="Q1438" s="16"/>
      <c r="R1438" s="17"/>
      <c r="S1438" s="14"/>
      <c r="T1438" s="15"/>
      <c r="U1438" s="16"/>
      <c r="V1438" s="17"/>
      <c r="W1438" s="14"/>
      <c r="X1438" s="15"/>
      <c r="Y1438" s="16"/>
      <c r="Z1438" s="15"/>
      <c r="AA1438" s="30"/>
      <c r="AB1438" s="15"/>
    </row>
    <row r="1439" spans="1:28">
      <c r="A1439" s="2663"/>
      <c r="B1439" s="2621"/>
      <c r="C1439" s="14"/>
      <c r="D1439" s="15"/>
      <c r="E1439" s="16"/>
      <c r="F1439" s="17"/>
      <c r="G1439" s="14"/>
      <c r="H1439" s="15"/>
      <c r="I1439" s="16"/>
      <c r="J1439" s="17"/>
      <c r="K1439" s="14"/>
      <c r="L1439" s="15"/>
      <c r="M1439" s="16"/>
      <c r="N1439" s="17"/>
      <c r="O1439" s="2672"/>
      <c r="P1439" s="2455"/>
      <c r="Q1439" s="16"/>
      <c r="R1439" s="17"/>
      <c r="S1439" s="14"/>
      <c r="T1439" s="15"/>
      <c r="U1439" s="16"/>
      <c r="V1439" s="17"/>
      <c r="W1439" s="14"/>
      <c r="X1439" s="15"/>
      <c r="Y1439" s="16"/>
      <c r="Z1439" s="15"/>
      <c r="AA1439" s="30"/>
      <c r="AB1439" s="15"/>
    </row>
    <row r="1440" spans="1:28">
      <c r="A1440" s="2665"/>
      <c r="B1440" s="2621"/>
      <c r="C1440" s="14"/>
      <c r="D1440" s="15"/>
      <c r="E1440" s="16"/>
      <c r="F1440" s="17"/>
      <c r="G1440" s="14"/>
      <c r="H1440" s="15"/>
      <c r="I1440" s="16"/>
      <c r="J1440" s="17"/>
      <c r="K1440" s="14"/>
      <c r="L1440" s="15"/>
      <c r="M1440" s="16"/>
      <c r="N1440" s="17"/>
      <c r="O1440" s="2678"/>
      <c r="P1440" s="2652"/>
      <c r="Q1440" s="2049"/>
      <c r="R1440" s="17"/>
      <c r="S1440" s="14"/>
      <c r="T1440" s="15"/>
      <c r="U1440" s="16"/>
      <c r="V1440" s="17"/>
      <c r="W1440" s="14"/>
      <c r="X1440" s="15"/>
      <c r="Y1440" s="16"/>
      <c r="Z1440" s="15"/>
      <c r="AA1440" s="30"/>
      <c r="AB1440" s="15"/>
    </row>
    <row r="1441" spans="1:28">
      <c r="A1441" s="2665"/>
      <c r="B1441" s="2622"/>
      <c r="C1441" s="14"/>
      <c r="D1441" s="15"/>
      <c r="E1441" s="16"/>
      <c r="F1441" s="17"/>
      <c r="G1441" s="14"/>
      <c r="H1441" s="15"/>
      <c r="I1441" s="16"/>
      <c r="J1441" s="17"/>
      <c r="K1441" s="14"/>
      <c r="L1441" s="15"/>
      <c r="M1441" s="16"/>
      <c r="N1441" s="17"/>
      <c r="O1441" s="2678"/>
      <c r="P1441" s="2652"/>
      <c r="Q1441" s="2049"/>
      <c r="R1441" s="17"/>
      <c r="S1441" s="14"/>
      <c r="T1441" s="15"/>
      <c r="U1441" s="16"/>
      <c r="V1441" s="17"/>
      <c r="W1441" s="14"/>
      <c r="X1441" s="15"/>
      <c r="Y1441" s="16"/>
      <c r="Z1441" s="15"/>
      <c r="AA1441" s="30"/>
      <c r="AB1441" s="15"/>
    </row>
    <row r="1442" spans="1:28">
      <c r="A1442" s="2665"/>
      <c r="B1442" s="2622"/>
      <c r="C1442" s="14"/>
      <c r="D1442" s="15"/>
      <c r="E1442" s="16"/>
      <c r="F1442" s="17"/>
      <c r="G1442" s="14"/>
      <c r="H1442" s="15"/>
      <c r="I1442" s="16"/>
      <c r="J1442" s="17"/>
      <c r="K1442" s="14"/>
      <c r="L1442" s="15"/>
      <c r="M1442" s="16"/>
      <c r="N1442" s="17"/>
      <c r="O1442" s="2679"/>
      <c r="P1442" s="2670"/>
      <c r="Q1442" s="791"/>
      <c r="R1442" s="17"/>
      <c r="S1442" s="14"/>
      <c r="T1442" s="15"/>
      <c r="U1442" s="16"/>
      <c r="V1442" s="17"/>
      <c r="W1442" s="14"/>
      <c r="X1442" s="15"/>
      <c r="Y1442" s="16"/>
      <c r="Z1442" s="15"/>
      <c r="AA1442" s="30"/>
      <c r="AB1442" s="15"/>
    </row>
    <row r="1443" spans="1:28">
      <c r="A1443" s="2668"/>
      <c r="B1443" s="2622"/>
      <c r="C1443" s="14"/>
      <c r="D1443" s="15"/>
      <c r="E1443" s="16"/>
      <c r="F1443" s="17"/>
      <c r="G1443" s="14"/>
      <c r="H1443" s="15"/>
      <c r="I1443" s="16"/>
      <c r="J1443" s="17"/>
      <c r="K1443" s="14"/>
      <c r="L1443" s="15"/>
      <c r="M1443" s="16"/>
      <c r="N1443" s="17"/>
      <c r="O1443" s="2676"/>
      <c r="P1443" s="15"/>
      <c r="Q1443" s="16"/>
      <c r="R1443" s="17"/>
      <c r="S1443" s="14"/>
      <c r="T1443" s="15"/>
      <c r="U1443" s="16"/>
      <c r="V1443" s="17"/>
      <c r="W1443" s="14"/>
      <c r="X1443" s="15"/>
      <c r="Y1443" s="16"/>
      <c r="Z1443" s="15"/>
      <c r="AA1443" s="30"/>
      <c r="AB1443" s="15"/>
    </row>
    <row r="1444" spans="1:28">
      <c r="A1444" s="2080"/>
      <c r="B1444" s="2573"/>
    </row>
    <row r="1445" spans="1:28" ht="40.5">
      <c r="A1445" s="3" t="s">
        <v>5063</v>
      </c>
      <c r="B1445" s="23"/>
      <c r="C1445" s="3"/>
      <c r="D1445" s="3"/>
      <c r="E1445" s="3"/>
      <c r="F1445" s="3"/>
      <c r="G1445" s="3"/>
      <c r="H1445" s="3"/>
      <c r="I1445" s="3"/>
      <c r="J1445" s="3"/>
      <c r="K1445" s="3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B1445" s="4"/>
    </row>
    <row r="1446" spans="1:28" ht="40.5" thickBot="1">
      <c r="A1446" s="5" t="s">
        <v>5064</v>
      </c>
    </row>
    <row r="1447" spans="1:28">
      <c r="A1447" s="3537" t="s">
        <v>2</v>
      </c>
      <c r="B1447" s="3550" t="s">
        <v>3</v>
      </c>
      <c r="C1447" s="3537" t="s">
        <v>5065</v>
      </c>
      <c r="D1447" s="3538"/>
      <c r="E1447" s="3536" t="s">
        <v>5066</v>
      </c>
      <c r="F1447" s="3536"/>
      <c r="G1447" s="3537" t="s">
        <v>5067</v>
      </c>
      <c r="H1447" s="3538"/>
      <c r="I1447" s="3536" t="s">
        <v>5068</v>
      </c>
      <c r="J1447" s="3536"/>
      <c r="K1447" s="3537" t="s">
        <v>5069</v>
      </c>
      <c r="L1447" s="3538"/>
      <c r="M1447" s="3536" t="s">
        <v>5070</v>
      </c>
      <c r="N1447" s="3536"/>
      <c r="O1447" s="3537"/>
      <c r="P1447" s="3538"/>
      <c r="Q1447" s="3536" t="s">
        <v>5071</v>
      </c>
      <c r="R1447" s="3536"/>
      <c r="S1447" s="3537" t="s">
        <v>5072</v>
      </c>
      <c r="T1447" s="3538"/>
      <c r="U1447" s="3536" t="s">
        <v>5073</v>
      </c>
      <c r="V1447" s="3536"/>
      <c r="W1447" s="3537" t="s">
        <v>5074</v>
      </c>
      <c r="X1447" s="3538"/>
      <c r="Y1447" s="3536" t="s">
        <v>5075</v>
      </c>
      <c r="Z1447" s="3538"/>
      <c r="AA1447" s="3536" t="s">
        <v>5076</v>
      </c>
      <c r="AB1447" s="3538"/>
    </row>
    <row r="1448" spans="1:28" ht="40.5" thickBot="1">
      <c r="A1448" s="3539"/>
      <c r="B1448" s="3552"/>
      <c r="C1448" s="1" t="s">
        <v>5078</v>
      </c>
      <c r="D1448" s="35" t="s">
        <v>5079</v>
      </c>
      <c r="E1448" s="2" t="s">
        <v>5078</v>
      </c>
      <c r="F1448" s="36" t="s">
        <v>5079</v>
      </c>
      <c r="G1448" s="1" t="s">
        <v>5078</v>
      </c>
      <c r="H1448" s="35" t="s">
        <v>5079</v>
      </c>
      <c r="I1448" s="2" t="s">
        <v>5078</v>
      </c>
      <c r="J1448" s="36" t="s">
        <v>5079</v>
      </c>
      <c r="K1448" s="1" t="s">
        <v>5078</v>
      </c>
      <c r="L1448" s="35" t="s">
        <v>5079</v>
      </c>
      <c r="M1448" s="2" t="s">
        <v>5078</v>
      </c>
      <c r="N1448" s="36" t="s">
        <v>5079</v>
      </c>
      <c r="O1448" s="1"/>
      <c r="P1448" s="35"/>
      <c r="Q1448" s="2" t="s">
        <v>5078</v>
      </c>
      <c r="R1448" s="36" t="s">
        <v>5079</v>
      </c>
      <c r="S1448" s="1" t="s">
        <v>5078</v>
      </c>
      <c r="T1448" s="35" t="s">
        <v>5079</v>
      </c>
      <c r="U1448" s="2" t="s">
        <v>5078</v>
      </c>
      <c r="V1448" s="36" t="s">
        <v>5079</v>
      </c>
      <c r="W1448" s="1" t="s">
        <v>5078</v>
      </c>
      <c r="X1448" s="35" t="s">
        <v>5079</v>
      </c>
      <c r="Y1448" s="2" t="s">
        <v>5078</v>
      </c>
      <c r="Z1448" s="35" t="s">
        <v>5079</v>
      </c>
      <c r="AA1448" s="2" t="s">
        <v>5078</v>
      </c>
      <c r="AB1448" s="35" t="s">
        <v>5079</v>
      </c>
    </row>
    <row r="1449" spans="1:28">
      <c r="A1449" s="3243" t="s">
        <v>6268</v>
      </c>
      <c r="B1449" s="3244" t="s">
        <v>284</v>
      </c>
      <c r="C1449" s="3261"/>
      <c r="D1449" s="3262"/>
      <c r="E1449" s="3263"/>
      <c r="F1449" s="3264"/>
      <c r="G1449" s="3265"/>
      <c r="H1449" s="3262"/>
      <c r="I1449" s="3263"/>
      <c r="J1449" s="3264"/>
      <c r="K1449" s="3265"/>
      <c r="L1449" s="3262"/>
      <c r="M1449" s="3263"/>
      <c r="N1449" s="3264"/>
      <c r="O1449" s="3257" t="s">
        <v>6268</v>
      </c>
      <c r="P1449" s="3266"/>
      <c r="Q1449" s="3255"/>
      <c r="R1449" s="3264"/>
      <c r="S1449" s="3265"/>
      <c r="T1449" s="3262"/>
      <c r="U1449" s="3263"/>
      <c r="V1449" s="3264"/>
      <c r="W1449" s="3265"/>
      <c r="X1449" s="3262"/>
      <c r="Y1449" s="3263"/>
      <c r="Z1449" s="3262"/>
      <c r="AA1449" s="3267"/>
      <c r="AB1449" s="3262"/>
    </row>
    <row r="1450" spans="1:28">
      <c r="A1450" s="3243" t="s">
        <v>6269</v>
      </c>
      <c r="B1450" s="3245" t="s">
        <v>284</v>
      </c>
      <c r="C1450" s="3260"/>
      <c r="D1450" s="3247"/>
      <c r="E1450" s="3248"/>
      <c r="F1450" s="3249"/>
      <c r="G1450" s="3246"/>
      <c r="H1450" s="3247"/>
      <c r="I1450" s="3248"/>
      <c r="J1450" s="3249"/>
      <c r="K1450" s="3246"/>
      <c r="L1450" s="3247"/>
      <c r="M1450" s="3248"/>
      <c r="N1450" s="3249"/>
      <c r="O1450" s="3257" t="s">
        <v>6269</v>
      </c>
      <c r="P1450" s="3247"/>
      <c r="Q1450" s="3248"/>
      <c r="R1450" s="3249"/>
      <c r="S1450" s="3246"/>
      <c r="T1450" s="3247"/>
      <c r="U1450" s="3248"/>
      <c r="V1450" s="3249"/>
      <c r="W1450" s="3246"/>
      <c r="X1450" s="3247"/>
      <c r="Y1450" s="3248"/>
      <c r="Z1450" s="3247"/>
      <c r="AA1450" s="3250"/>
      <c r="AB1450" s="3247"/>
    </row>
    <row r="1451" spans="1:28">
      <c r="A1451" s="3243" t="s">
        <v>6270</v>
      </c>
      <c r="B1451" s="3245" t="s">
        <v>284</v>
      </c>
      <c r="C1451" s="3260"/>
      <c r="D1451" s="3247"/>
      <c r="E1451" s="3248"/>
      <c r="F1451" s="3249"/>
      <c r="G1451" s="3246"/>
      <c r="H1451" s="3247"/>
      <c r="I1451" s="3248"/>
      <c r="J1451" s="3249"/>
      <c r="K1451" s="3246"/>
      <c r="L1451" s="3247"/>
      <c r="M1451" s="3248"/>
      <c r="N1451" s="3249"/>
      <c r="O1451" s="3257" t="s">
        <v>6270</v>
      </c>
      <c r="P1451" s="3247"/>
      <c r="Q1451" s="3248"/>
      <c r="R1451" s="3249"/>
      <c r="S1451" s="3246"/>
      <c r="T1451" s="3247"/>
      <c r="U1451" s="3248"/>
      <c r="V1451" s="3249"/>
      <c r="W1451" s="3246"/>
      <c r="X1451" s="3247"/>
      <c r="Y1451" s="3248"/>
      <c r="Z1451" s="3247"/>
      <c r="AA1451" s="3250"/>
      <c r="AB1451" s="3247"/>
    </row>
    <row r="1452" spans="1:28">
      <c r="A1452" s="3243" t="s">
        <v>6271</v>
      </c>
      <c r="B1452" s="3245" t="s">
        <v>284</v>
      </c>
      <c r="C1452" s="3260"/>
      <c r="D1452" s="3247"/>
      <c r="E1452" s="3248"/>
      <c r="F1452" s="3249"/>
      <c r="G1452" s="3246"/>
      <c r="H1452" s="3247"/>
      <c r="I1452" s="3248"/>
      <c r="J1452" s="3249"/>
      <c r="K1452" s="3246"/>
      <c r="L1452" s="3247"/>
      <c r="M1452" s="3248"/>
      <c r="N1452" s="3249"/>
      <c r="O1452" s="3257" t="s">
        <v>6271</v>
      </c>
      <c r="P1452" s="3247"/>
      <c r="Q1452" s="3248"/>
      <c r="R1452" s="3249"/>
      <c r="S1452" s="3246"/>
      <c r="T1452" s="3247"/>
      <c r="U1452" s="3248"/>
      <c r="V1452" s="3249"/>
      <c r="W1452" s="3246"/>
      <c r="X1452" s="3247"/>
      <c r="Y1452" s="3248"/>
      <c r="Z1452" s="3247"/>
      <c r="AA1452" s="3250"/>
      <c r="AB1452" s="3247"/>
    </row>
    <row r="1453" spans="1:28">
      <c r="A1453" s="3243" t="s">
        <v>6272</v>
      </c>
      <c r="B1453" s="3245" t="s">
        <v>284</v>
      </c>
      <c r="C1453" s="3260"/>
      <c r="D1453" s="3247"/>
      <c r="E1453" s="3248"/>
      <c r="F1453" s="3249"/>
      <c r="G1453" s="3246"/>
      <c r="H1453" s="3247"/>
      <c r="I1453" s="3248"/>
      <c r="J1453" s="3249"/>
      <c r="K1453" s="3246"/>
      <c r="L1453" s="3247"/>
      <c r="M1453" s="3248"/>
      <c r="N1453" s="3249"/>
      <c r="O1453" s="3257" t="s">
        <v>6272</v>
      </c>
      <c r="P1453" s="3247"/>
      <c r="Q1453" s="3248"/>
      <c r="R1453" s="3249"/>
      <c r="S1453" s="3246"/>
      <c r="T1453" s="3247"/>
      <c r="U1453" s="3248"/>
      <c r="V1453" s="3249"/>
      <c r="W1453" s="3246"/>
      <c r="X1453" s="3247"/>
      <c r="Y1453" s="3248"/>
      <c r="Z1453" s="3247"/>
      <c r="AA1453" s="3250"/>
      <c r="AB1453" s="3247"/>
    </row>
    <row r="1454" spans="1:28">
      <c r="A1454" s="770" t="s">
        <v>6019</v>
      </c>
      <c r="B1454" s="321" t="s">
        <v>284</v>
      </c>
      <c r="C1454" s="831"/>
      <c r="D1454" s="15"/>
      <c r="E1454" s="16"/>
      <c r="F1454" s="17"/>
      <c r="G1454" s="14"/>
      <c r="H1454" s="15"/>
      <c r="I1454" s="16"/>
      <c r="J1454" s="17"/>
      <c r="K1454" s="14"/>
      <c r="L1454" s="15"/>
      <c r="M1454" s="16"/>
      <c r="N1454" s="17"/>
      <c r="O1454" s="3259" t="s">
        <v>6019</v>
      </c>
      <c r="P1454" s="2455"/>
      <c r="Q1454" s="16"/>
      <c r="R1454" s="17"/>
      <c r="S1454" s="14"/>
      <c r="T1454" s="15"/>
      <c r="U1454" s="16"/>
      <c r="V1454" s="17"/>
      <c r="W1454" s="14"/>
      <c r="X1454" s="15"/>
      <c r="Y1454" s="16"/>
      <c r="Z1454" s="15"/>
      <c r="AA1454" s="30"/>
      <c r="AB1454" s="15"/>
    </row>
    <row r="1455" spans="1:28">
      <c r="A1455" s="770" t="s">
        <v>6020</v>
      </c>
      <c r="B1455" s="321" t="s">
        <v>284</v>
      </c>
      <c r="C1455" s="831"/>
      <c r="D1455" s="15"/>
      <c r="E1455" s="16"/>
      <c r="F1455" s="17"/>
      <c r="G1455" s="14"/>
      <c r="H1455" s="15"/>
      <c r="I1455" s="16"/>
      <c r="J1455" s="17"/>
      <c r="K1455" s="14"/>
      <c r="L1455" s="15"/>
      <c r="M1455" s="16"/>
      <c r="N1455" s="17"/>
      <c r="O1455" s="3259" t="s">
        <v>6020</v>
      </c>
      <c r="P1455" s="15"/>
      <c r="Q1455" s="16"/>
      <c r="R1455" s="17"/>
      <c r="S1455" s="14"/>
      <c r="T1455" s="15"/>
      <c r="U1455" s="16"/>
      <c r="V1455" s="17"/>
      <c r="W1455" s="14"/>
      <c r="X1455" s="15"/>
      <c r="Y1455" s="16"/>
      <c r="Z1455" s="15"/>
      <c r="AA1455" s="30"/>
      <c r="AB1455" s="15"/>
    </row>
    <row r="1456" spans="1:28">
      <c r="A1456" s="770" t="s">
        <v>6021</v>
      </c>
      <c r="B1456" s="321" t="s">
        <v>284</v>
      </c>
      <c r="C1456" s="831"/>
      <c r="D1456" s="15"/>
      <c r="E1456" s="16"/>
      <c r="F1456" s="17"/>
      <c r="G1456" s="14"/>
      <c r="H1456" s="15"/>
      <c r="I1456" s="16"/>
      <c r="J1456" s="17"/>
      <c r="K1456" s="14"/>
      <c r="L1456" s="15"/>
      <c r="M1456" s="16"/>
      <c r="N1456" s="17"/>
      <c r="O1456" s="3259" t="s">
        <v>6021</v>
      </c>
      <c r="P1456" s="2652"/>
      <c r="Q1456" s="2049"/>
      <c r="R1456" s="17"/>
      <c r="S1456" s="14"/>
      <c r="T1456" s="15"/>
      <c r="U1456" s="16"/>
      <c r="V1456" s="17"/>
      <c r="W1456" s="14"/>
      <c r="X1456" s="15"/>
      <c r="Y1456" s="16"/>
      <c r="Z1456" s="15"/>
      <c r="AA1456" s="30"/>
      <c r="AB1456" s="15"/>
    </row>
    <row r="1457" spans="1:28">
      <c r="A1457" s="770" t="s">
        <v>6022</v>
      </c>
      <c r="B1457" s="321" t="s">
        <v>284</v>
      </c>
      <c r="C1457" s="831"/>
      <c r="D1457" s="15"/>
      <c r="E1457" s="16"/>
      <c r="F1457" s="17"/>
      <c r="G1457" s="14"/>
      <c r="H1457" s="15"/>
      <c r="I1457" s="16"/>
      <c r="J1457" s="17"/>
      <c r="K1457" s="14"/>
      <c r="L1457" s="15"/>
      <c r="M1457" s="16"/>
      <c r="N1457" s="17"/>
      <c r="O1457" s="3259" t="s">
        <v>6022</v>
      </c>
      <c r="P1457" s="2652"/>
      <c r="Q1457" s="2049"/>
      <c r="R1457" s="17"/>
      <c r="S1457" s="14"/>
      <c r="T1457" s="15"/>
      <c r="U1457" s="16"/>
      <c r="V1457" s="17"/>
      <c r="W1457" s="14"/>
      <c r="X1457" s="15"/>
      <c r="Y1457" s="16"/>
      <c r="Z1457" s="15"/>
      <c r="AA1457" s="30"/>
      <c r="AB1457" s="15"/>
    </row>
    <row r="1458" spans="1:28">
      <c r="A1458" s="770" t="s">
        <v>6019</v>
      </c>
      <c r="B1458" s="321" t="s">
        <v>284</v>
      </c>
      <c r="C1458" s="831"/>
      <c r="D1458" s="15"/>
      <c r="E1458" s="16"/>
      <c r="F1458" s="17"/>
      <c r="G1458" s="14"/>
      <c r="H1458" s="15"/>
      <c r="I1458" s="16"/>
      <c r="J1458" s="17"/>
      <c r="K1458" s="14"/>
      <c r="L1458" s="15"/>
      <c r="M1458" s="16"/>
      <c r="N1458" s="17"/>
      <c r="O1458" s="3259" t="s">
        <v>6019</v>
      </c>
      <c r="P1458" s="2670"/>
      <c r="Q1458" s="791"/>
      <c r="R1458" s="17"/>
      <c r="S1458" s="14"/>
      <c r="T1458" s="15"/>
      <c r="U1458" s="16"/>
      <c r="V1458" s="17"/>
      <c r="W1458" s="14"/>
      <c r="X1458" s="15"/>
      <c r="Y1458" s="16"/>
      <c r="Z1458" s="15"/>
      <c r="AA1458" s="30"/>
      <c r="AB1458" s="15"/>
    </row>
    <row r="1459" spans="1:28">
      <c r="A1459" s="3243" t="s">
        <v>6023</v>
      </c>
      <c r="B1459" s="3245" t="s">
        <v>284</v>
      </c>
      <c r="C1459" s="3260"/>
      <c r="D1459" s="3247"/>
      <c r="E1459" s="3248"/>
      <c r="F1459" s="3249"/>
      <c r="G1459" s="3246"/>
      <c r="H1459" s="3247"/>
      <c r="I1459" s="3248"/>
      <c r="J1459" s="3249"/>
      <c r="K1459" s="3246"/>
      <c r="L1459" s="3247"/>
      <c r="M1459" s="3248"/>
      <c r="N1459" s="3249"/>
      <c r="O1459" s="3257" t="s">
        <v>6023</v>
      </c>
      <c r="P1459" s="3247"/>
      <c r="Q1459" s="3248"/>
      <c r="R1459" s="3249"/>
      <c r="S1459" s="3246"/>
      <c r="T1459" s="3247"/>
      <c r="U1459" s="3248"/>
      <c r="V1459" s="3249"/>
      <c r="W1459" s="3246"/>
      <c r="X1459" s="3247"/>
      <c r="Y1459" s="3248"/>
      <c r="Z1459" s="3247"/>
      <c r="AA1459" s="3250"/>
      <c r="AB1459" s="3247"/>
    </row>
    <row r="1460" spans="1:28">
      <c r="A1460" s="3243" t="s">
        <v>6024</v>
      </c>
      <c r="B1460" s="3245" t="s">
        <v>284</v>
      </c>
      <c r="C1460" s="3260"/>
      <c r="D1460" s="3247"/>
      <c r="E1460" s="3248"/>
      <c r="F1460" s="3249"/>
      <c r="G1460" s="3246"/>
      <c r="H1460" s="3247"/>
      <c r="I1460" s="3248"/>
      <c r="J1460" s="3249"/>
      <c r="K1460" s="3246"/>
      <c r="L1460" s="3247"/>
      <c r="M1460" s="3248"/>
      <c r="N1460" s="3249"/>
      <c r="O1460" s="3257" t="s">
        <v>6024</v>
      </c>
      <c r="P1460" s="3247"/>
      <c r="Q1460" s="3248"/>
      <c r="R1460" s="3249"/>
      <c r="S1460" s="3246"/>
      <c r="T1460" s="3247"/>
      <c r="U1460" s="3248"/>
      <c r="V1460" s="3249"/>
      <c r="W1460" s="3246"/>
      <c r="X1460" s="3247"/>
      <c r="Y1460" s="3248"/>
      <c r="Z1460" s="3247"/>
      <c r="AA1460" s="3250"/>
      <c r="AB1460" s="3247"/>
    </row>
    <row r="1461" spans="1:28">
      <c r="A1461" s="3243" t="s">
        <v>6025</v>
      </c>
      <c r="B1461" s="3245" t="s">
        <v>284</v>
      </c>
      <c r="C1461" s="3260"/>
      <c r="D1461" s="3247"/>
      <c r="E1461" s="3248"/>
      <c r="F1461" s="3249"/>
      <c r="G1461" s="3246"/>
      <c r="H1461" s="3247"/>
      <c r="I1461" s="3248"/>
      <c r="J1461" s="3249"/>
      <c r="K1461" s="3246"/>
      <c r="L1461" s="3247"/>
      <c r="M1461" s="3248"/>
      <c r="N1461" s="3249"/>
      <c r="O1461" s="3257" t="s">
        <v>6025</v>
      </c>
      <c r="P1461" s="3247"/>
      <c r="Q1461" s="3248"/>
      <c r="R1461" s="3249"/>
      <c r="S1461" s="3246"/>
      <c r="T1461" s="3247"/>
      <c r="U1461" s="3248"/>
      <c r="V1461" s="3249"/>
      <c r="W1461" s="3246"/>
      <c r="X1461" s="3247"/>
      <c r="Y1461" s="3248"/>
      <c r="Z1461" s="3247"/>
      <c r="AA1461" s="3250"/>
      <c r="AB1461" s="3247"/>
    </row>
    <row r="1462" spans="1:28">
      <c r="A1462" s="770" t="s">
        <v>6026</v>
      </c>
      <c r="B1462" s="321" t="s">
        <v>284</v>
      </c>
      <c r="C1462" s="831"/>
      <c r="D1462" s="15"/>
      <c r="E1462" s="16"/>
      <c r="F1462" s="17"/>
      <c r="G1462" s="14"/>
      <c r="H1462" s="15"/>
      <c r="I1462" s="16"/>
      <c r="J1462" s="17"/>
      <c r="K1462" s="14"/>
      <c r="L1462" s="15"/>
      <c r="M1462" s="16"/>
      <c r="N1462" s="17"/>
      <c r="O1462" s="3258" t="s">
        <v>6026</v>
      </c>
      <c r="P1462" s="2662"/>
      <c r="Q1462" s="16"/>
      <c r="R1462" s="17"/>
      <c r="S1462" s="14"/>
      <c r="T1462" s="15"/>
      <c r="U1462" s="16"/>
      <c r="V1462" s="17"/>
      <c r="W1462" s="14"/>
      <c r="X1462" s="15"/>
      <c r="Y1462" s="16"/>
      <c r="Z1462" s="15"/>
      <c r="AA1462" s="30"/>
      <c r="AB1462" s="15"/>
    </row>
    <row r="1463" spans="1:28">
      <c r="A1463" s="770" t="s">
        <v>6027</v>
      </c>
      <c r="B1463" s="321" t="s">
        <v>284</v>
      </c>
      <c r="C1463" s="831"/>
      <c r="D1463" s="15"/>
      <c r="E1463" s="16"/>
      <c r="F1463" s="17"/>
      <c r="G1463" s="14"/>
      <c r="H1463" s="15"/>
      <c r="I1463" s="16"/>
      <c r="J1463" s="17"/>
      <c r="K1463" s="14"/>
      <c r="L1463" s="15"/>
      <c r="M1463" s="16"/>
      <c r="N1463" s="17"/>
      <c r="O1463" s="3258" t="s">
        <v>6027</v>
      </c>
      <c r="P1463" s="2662"/>
      <c r="Q1463" s="16"/>
      <c r="R1463" s="17"/>
      <c r="S1463" s="14"/>
      <c r="T1463" s="15"/>
      <c r="U1463" s="16"/>
      <c r="V1463" s="17"/>
      <c r="W1463" s="14"/>
      <c r="X1463" s="15"/>
      <c r="Y1463" s="16"/>
      <c r="Z1463" s="15"/>
      <c r="AA1463" s="30"/>
      <c r="AB1463" s="15"/>
    </row>
    <row r="1464" spans="1:28">
      <c r="A1464" s="770" t="s">
        <v>6028</v>
      </c>
      <c r="B1464" s="321" t="s">
        <v>284</v>
      </c>
      <c r="C1464" s="831"/>
      <c r="D1464" s="15"/>
      <c r="E1464" s="16"/>
      <c r="F1464" s="17"/>
      <c r="G1464" s="14"/>
      <c r="H1464" s="15"/>
      <c r="I1464" s="16"/>
      <c r="J1464" s="17"/>
      <c r="K1464" s="14"/>
      <c r="L1464" s="15"/>
      <c r="M1464" s="16"/>
      <c r="N1464" s="17"/>
      <c r="O1464" s="3258" t="s">
        <v>6028</v>
      </c>
      <c r="P1464" s="2662"/>
      <c r="Q1464" s="16"/>
      <c r="R1464" s="17"/>
      <c r="S1464" s="14"/>
      <c r="T1464" s="15"/>
      <c r="U1464" s="16"/>
      <c r="V1464" s="17"/>
      <c r="W1464" s="14"/>
      <c r="X1464" s="15"/>
      <c r="Y1464" s="16"/>
      <c r="Z1464" s="15"/>
      <c r="AA1464" s="30"/>
      <c r="AB1464" s="15"/>
    </row>
    <row r="1465" spans="1:28">
      <c r="A1465" s="770" t="s">
        <v>6029</v>
      </c>
      <c r="B1465" s="321" t="s">
        <v>284</v>
      </c>
      <c r="C1465" s="831"/>
      <c r="D1465" s="15"/>
      <c r="E1465" s="16"/>
      <c r="F1465" s="17"/>
      <c r="G1465" s="14"/>
      <c r="H1465" s="15"/>
      <c r="I1465" s="16"/>
      <c r="J1465" s="17"/>
      <c r="K1465" s="14"/>
      <c r="L1465" s="15"/>
      <c r="M1465" s="16"/>
      <c r="N1465" s="17"/>
      <c r="O1465" s="3258" t="s">
        <v>6029</v>
      </c>
      <c r="P1465" s="2662"/>
      <c r="Q1465" s="2049"/>
      <c r="R1465" s="17"/>
      <c r="S1465" s="14"/>
      <c r="T1465" s="15"/>
      <c r="U1465" s="16"/>
      <c r="V1465" s="17"/>
      <c r="W1465" s="14"/>
      <c r="X1465" s="15"/>
      <c r="Y1465" s="16"/>
      <c r="Z1465" s="15"/>
      <c r="AA1465" s="30"/>
      <c r="AB1465" s="15"/>
    </row>
    <row r="1466" spans="1:28">
      <c r="A1466" s="770" t="s">
        <v>6030</v>
      </c>
      <c r="B1466" s="321" t="s">
        <v>284</v>
      </c>
      <c r="C1466" s="831"/>
      <c r="D1466" s="15"/>
      <c r="E1466" s="16"/>
      <c r="F1466" s="17"/>
      <c r="G1466" s="14"/>
      <c r="H1466" s="15"/>
      <c r="I1466" s="16"/>
      <c r="J1466" s="17"/>
      <c r="K1466" s="14"/>
      <c r="L1466" s="15"/>
      <c r="M1466" s="16"/>
      <c r="N1466" s="17"/>
      <c r="O1466" s="3258" t="s">
        <v>6030</v>
      </c>
      <c r="P1466" s="2662"/>
      <c r="Q1466" s="2049"/>
      <c r="R1466" s="17"/>
      <c r="S1466" s="14"/>
      <c r="T1466" s="15"/>
      <c r="U1466" s="16"/>
      <c r="V1466" s="17"/>
      <c r="W1466" s="14"/>
      <c r="X1466" s="15"/>
      <c r="Y1466" s="16"/>
      <c r="Z1466" s="15"/>
      <c r="AA1466" s="30"/>
      <c r="AB1466" s="15"/>
    </row>
    <row r="1467" spans="1:28">
      <c r="A1467" s="770" t="s">
        <v>6031</v>
      </c>
      <c r="B1467" s="321" t="s">
        <v>284</v>
      </c>
      <c r="C1467" s="831"/>
      <c r="D1467" s="15"/>
      <c r="E1467" s="16"/>
      <c r="F1467" s="17"/>
      <c r="G1467" s="14"/>
      <c r="H1467" s="15"/>
      <c r="I1467" s="16"/>
      <c r="J1467" s="17"/>
      <c r="K1467" s="14"/>
      <c r="L1467" s="15"/>
      <c r="M1467" s="16"/>
      <c r="N1467" s="17"/>
      <c r="O1467" s="3258" t="s">
        <v>6031</v>
      </c>
      <c r="P1467" s="2662"/>
      <c r="Q1467" s="791"/>
      <c r="R1467" s="17"/>
      <c r="S1467" s="14"/>
      <c r="T1467" s="15"/>
      <c r="U1467" s="16"/>
      <c r="V1467" s="17"/>
      <c r="W1467" s="14"/>
      <c r="X1467" s="15"/>
      <c r="Y1467" s="16"/>
      <c r="Z1467" s="15"/>
      <c r="AA1467" s="30"/>
      <c r="AB1467" s="15"/>
    </row>
    <row r="1468" spans="1:28" ht="40.5" thickBot="1">
      <c r="A1468" s="74"/>
      <c r="B1468" s="3457"/>
      <c r="C1468" s="3242"/>
      <c r="D1468" s="32"/>
      <c r="E1468" s="16"/>
      <c r="F1468" s="17"/>
      <c r="G1468" s="14"/>
      <c r="H1468" s="15"/>
      <c r="I1468" s="16"/>
      <c r="J1468" s="17"/>
      <c r="K1468" s="14"/>
      <c r="L1468" s="15"/>
      <c r="M1468" s="16"/>
      <c r="N1468" s="17"/>
      <c r="O1468" s="2676"/>
      <c r="P1468" s="15"/>
      <c r="Q1468" s="16"/>
      <c r="R1468" s="17"/>
      <c r="S1468" s="14"/>
      <c r="T1468" s="15"/>
      <c r="U1468" s="16"/>
      <c r="V1468" s="17"/>
      <c r="W1468" s="14"/>
      <c r="X1468" s="15"/>
      <c r="Y1468" s="16"/>
      <c r="Z1468" s="15"/>
      <c r="AA1468" s="30"/>
      <c r="AB1468" s="15"/>
    </row>
    <row r="1469" spans="1:28">
      <c r="A1469" s="109"/>
      <c r="B1469" s="104"/>
      <c r="C1469" s="104"/>
    </row>
    <row r="1470" spans="1:28" ht="40.5">
      <c r="A1470" s="109"/>
      <c r="B1470" s="104"/>
      <c r="C1470" s="104"/>
      <c r="D1470" s="3"/>
      <c r="E1470" s="3"/>
      <c r="F1470" s="3"/>
      <c r="G1470" s="3"/>
      <c r="H1470" s="3"/>
      <c r="I1470" s="3"/>
      <c r="J1470" s="3"/>
      <c r="K1470" s="3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B1470" s="4"/>
    </row>
    <row r="1471" spans="1:28" ht="40.5" thickBot="1">
      <c r="A1471" s="5" t="s">
        <v>5064</v>
      </c>
    </row>
    <row r="1472" spans="1:28">
      <c r="A1472" s="3537" t="s">
        <v>2</v>
      </c>
      <c r="B1472" s="3540" t="s">
        <v>3</v>
      </c>
      <c r="C1472" s="3537" t="s">
        <v>5065</v>
      </c>
      <c r="D1472" s="3538"/>
      <c r="E1472" s="3536" t="s">
        <v>5066</v>
      </c>
      <c r="F1472" s="3536"/>
      <c r="G1472" s="3537" t="s">
        <v>5067</v>
      </c>
      <c r="H1472" s="3538"/>
      <c r="I1472" s="3536" t="s">
        <v>5068</v>
      </c>
      <c r="J1472" s="3536"/>
      <c r="K1472" s="3537" t="s">
        <v>5069</v>
      </c>
      <c r="L1472" s="3538"/>
      <c r="M1472" s="3536" t="s">
        <v>5070</v>
      </c>
      <c r="N1472" s="3536"/>
      <c r="O1472" s="3537"/>
      <c r="P1472" s="3538"/>
      <c r="Q1472" s="3536" t="s">
        <v>5071</v>
      </c>
      <c r="R1472" s="3536"/>
      <c r="S1472" s="3537" t="s">
        <v>5072</v>
      </c>
      <c r="T1472" s="3538"/>
      <c r="U1472" s="3536" t="s">
        <v>5073</v>
      </c>
      <c r="V1472" s="3536"/>
      <c r="W1472" s="3537" t="s">
        <v>5074</v>
      </c>
      <c r="X1472" s="3538"/>
      <c r="Y1472" s="3536" t="s">
        <v>5075</v>
      </c>
      <c r="Z1472" s="3538"/>
      <c r="AA1472" s="3536" t="s">
        <v>5076</v>
      </c>
      <c r="AB1472" s="3536"/>
    </row>
    <row r="1473" spans="1:28" ht="40.5" thickBot="1">
      <c r="A1473" s="3539"/>
      <c r="B1473" s="3541"/>
      <c r="C1473" s="1" t="s">
        <v>5078</v>
      </c>
      <c r="D1473" s="35" t="s">
        <v>5079</v>
      </c>
      <c r="E1473" s="2" t="s">
        <v>5078</v>
      </c>
      <c r="F1473" s="36" t="s">
        <v>5079</v>
      </c>
      <c r="G1473" s="1" t="s">
        <v>5078</v>
      </c>
      <c r="H1473" s="35" t="s">
        <v>5079</v>
      </c>
      <c r="I1473" s="2" t="s">
        <v>5078</v>
      </c>
      <c r="J1473" s="36" t="s">
        <v>5079</v>
      </c>
      <c r="K1473" s="1" t="s">
        <v>5078</v>
      </c>
      <c r="L1473" s="35" t="s">
        <v>5079</v>
      </c>
      <c r="M1473" s="2" t="s">
        <v>5078</v>
      </c>
      <c r="N1473" s="36" t="s">
        <v>5079</v>
      </c>
      <c r="O1473" s="1"/>
      <c r="P1473" s="35"/>
      <c r="Q1473" s="2" t="s">
        <v>5078</v>
      </c>
      <c r="R1473" s="36" t="s">
        <v>5079</v>
      </c>
      <c r="S1473" s="1" t="s">
        <v>5078</v>
      </c>
      <c r="T1473" s="35" t="s">
        <v>5079</v>
      </c>
      <c r="U1473" s="2" t="s">
        <v>5078</v>
      </c>
      <c r="V1473" s="36" t="s">
        <v>5079</v>
      </c>
      <c r="W1473" s="1" t="s">
        <v>5078</v>
      </c>
      <c r="X1473" s="35" t="s">
        <v>5079</v>
      </c>
      <c r="Y1473" s="2" t="s">
        <v>5078</v>
      </c>
      <c r="Z1473" s="35" t="s">
        <v>5079</v>
      </c>
      <c r="AA1473" s="2" t="s">
        <v>5078</v>
      </c>
      <c r="AB1473" s="36" t="s">
        <v>5079</v>
      </c>
    </row>
    <row r="1474" spans="1:28">
      <c r="A1474" s="81" t="s">
        <v>6273</v>
      </c>
      <c r="B1474" s="101" t="s">
        <v>6034</v>
      </c>
      <c r="C1474" s="9"/>
      <c r="D1474" s="10"/>
      <c r="E1474" s="11"/>
      <c r="F1474" s="12"/>
      <c r="G1474" s="9"/>
      <c r="H1474" s="10"/>
      <c r="I1474" s="11"/>
      <c r="J1474" s="12"/>
      <c r="K1474" s="9"/>
      <c r="L1474" s="10"/>
      <c r="M1474" s="11"/>
      <c r="N1474" s="12"/>
      <c r="O1474" s="2861" t="s">
        <v>6274</v>
      </c>
      <c r="P1474" s="3252"/>
      <c r="R1474" s="12"/>
      <c r="S1474" s="9"/>
      <c r="T1474" s="10"/>
      <c r="U1474" s="11"/>
      <c r="V1474" s="12"/>
      <c r="W1474" s="9"/>
      <c r="X1474" s="10"/>
      <c r="Y1474" s="11"/>
      <c r="Z1474" s="10"/>
      <c r="AA1474" s="33"/>
      <c r="AB1474" s="10"/>
    </row>
    <row r="1475" spans="1:28">
      <c r="A1475" s="81" t="s">
        <v>6275</v>
      </c>
      <c r="B1475" s="101" t="s">
        <v>6034</v>
      </c>
      <c r="C1475" s="14"/>
      <c r="D1475" s="15"/>
      <c r="E1475" s="16"/>
      <c r="F1475" s="17"/>
      <c r="G1475" s="14"/>
      <c r="H1475" s="15"/>
      <c r="I1475" s="16"/>
      <c r="J1475" s="17"/>
      <c r="K1475" s="14"/>
      <c r="L1475" s="15"/>
      <c r="M1475" s="16"/>
      <c r="N1475" s="17"/>
      <c r="O1475" s="2861" t="s">
        <v>6276</v>
      </c>
      <c r="P1475" s="2662"/>
      <c r="Q1475" s="16"/>
      <c r="R1475" s="17"/>
      <c r="S1475" s="14"/>
      <c r="T1475" s="15"/>
      <c r="U1475" s="16"/>
      <c r="V1475" s="17"/>
      <c r="W1475" s="14"/>
      <c r="X1475" s="15"/>
      <c r="Y1475" s="16"/>
      <c r="Z1475" s="15"/>
      <c r="AA1475" s="30"/>
      <c r="AB1475" s="15"/>
    </row>
    <row r="1476" spans="1:28">
      <c r="A1476" s="81" t="s">
        <v>6277</v>
      </c>
      <c r="B1476" s="101" t="s">
        <v>6034</v>
      </c>
      <c r="C1476" s="14"/>
      <c r="D1476" s="15"/>
      <c r="E1476" s="16"/>
      <c r="F1476" s="17"/>
      <c r="G1476" s="14"/>
      <c r="H1476" s="15"/>
      <c r="I1476" s="16"/>
      <c r="J1476" s="17"/>
      <c r="K1476" s="14"/>
      <c r="L1476" s="15"/>
      <c r="M1476" s="16"/>
      <c r="N1476" s="17"/>
      <c r="O1476" s="2861" t="s">
        <v>6278</v>
      </c>
      <c r="P1476" s="2662"/>
      <c r="Q1476" s="16"/>
      <c r="R1476" s="17"/>
      <c r="S1476" s="14"/>
      <c r="T1476" s="15"/>
      <c r="U1476" s="16"/>
      <c r="V1476" s="17"/>
      <c r="W1476" s="14"/>
      <c r="X1476" s="15"/>
      <c r="Y1476" s="16"/>
      <c r="Z1476" s="15"/>
      <c r="AA1476" s="30"/>
      <c r="AB1476" s="15"/>
    </row>
    <row r="1477" spans="1:28">
      <c r="A1477" s="81" t="s">
        <v>6279</v>
      </c>
      <c r="B1477" s="101" t="s">
        <v>6034</v>
      </c>
      <c r="C1477" s="14"/>
      <c r="D1477" s="15"/>
      <c r="E1477" s="16"/>
      <c r="F1477" s="17"/>
      <c r="G1477" s="14"/>
      <c r="H1477" s="15"/>
      <c r="I1477" s="16"/>
      <c r="J1477" s="17"/>
      <c r="K1477" s="14"/>
      <c r="L1477" s="15"/>
      <c r="M1477" s="16"/>
      <c r="N1477" s="17"/>
      <c r="O1477" s="2861" t="s">
        <v>6280</v>
      </c>
      <c r="P1477" s="2662"/>
      <c r="Q1477" s="16"/>
      <c r="R1477" s="17"/>
      <c r="S1477" s="14"/>
      <c r="T1477" s="15"/>
      <c r="U1477" s="16"/>
      <c r="V1477" s="17"/>
      <c r="W1477" s="14"/>
      <c r="X1477" s="15"/>
      <c r="Y1477" s="16"/>
      <c r="Z1477" s="15"/>
      <c r="AA1477" s="30"/>
      <c r="AB1477" s="15"/>
    </row>
    <row r="1478" spans="1:28">
      <c r="A1478" s="81" t="s">
        <v>6281</v>
      </c>
      <c r="B1478" s="101" t="s">
        <v>6034</v>
      </c>
      <c r="C1478" s="14"/>
      <c r="D1478" s="15"/>
      <c r="E1478" s="16"/>
      <c r="F1478" s="17"/>
      <c r="G1478" s="14"/>
      <c r="H1478" s="15"/>
      <c r="I1478" s="16"/>
      <c r="J1478" s="17"/>
      <c r="K1478" s="14"/>
      <c r="L1478" s="15"/>
      <c r="M1478" s="16"/>
      <c r="N1478" s="17"/>
      <c r="O1478" s="2642" t="s">
        <v>6282</v>
      </c>
      <c r="P1478" s="2652"/>
      <c r="Q1478" s="16"/>
      <c r="R1478" s="17"/>
      <c r="S1478" s="14"/>
      <c r="T1478" s="15"/>
      <c r="U1478" s="16"/>
      <c r="V1478" s="17"/>
      <c r="W1478" s="14"/>
      <c r="X1478" s="15"/>
      <c r="Y1478" s="16"/>
      <c r="Z1478" s="15"/>
      <c r="AA1478" s="30"/>
      <c r="AB1478" s="15"/>
    </row>
    <row r="1479" spans="1:28">
      <c r="A1479" s="81" t="s">
        <v>6283</v>
      </c>
      <c r="B1479" s="101" t="s">
        <v>6034</v>
      </c>
      <c r="C1479" s="14"/>
      <c r="D1479" s="15"/>
      <c r="E1479" s="16"/>
      <c r="F1479" s="17"/>
      <c r="G1479" s="14"/>
      <c r="H1479" s="15"/>
      <c r="I1479" s="16"/>
      <c r="J1479" s="17"/>
      <c r="K1479" s="14"/>
      <c r="L1479" s="15"/>
      <c r="M1479" s="16"/>
      <c r="N1479" s="17"/>
      <c r="O1479" s="2642" t="s">
        <v>6284</v>
      </c>
      <c r="P1479" s="2652"/>
      <c r="Q1479" s="16"/>
      <c r="R1479" s="17"/>
      <c r="S1479" s="14"/>
      <c r="T1479" s="15"/>
      <c r="U1479" s="16"/>
      <c r="V1479" s="17"/>
      <c r="W1479" s="14"/>
      <c r="X1479" s="15"/>
      <c r="Y1479" s="16"/>
      <c r="Z1479" s="15"/>
      <c r="AA1479" s="30"/>
      <c r="AB1479" s="15"/>
    </row>
    <row r="1480" spans="1:28">
      <c r="A1480" s="3243" t="s">
        <v>6285</v>
      </c>
      <c r="B1480" s="3105" t="s">
        <v>6041</v>
      </c>
      <c r="C1480" s="3246"/>
      <c r="D1480" s="3247"/>
      <c r="E1480" s="3248"/>
      <c r="F1480" s="3249"/>
      <c r="G1480" s="3246"/>
      <c r="H1480" s="3247"/>
      <c r="I1480" s="3248"/>
      <c r="J1480" s="3249"/>
      <c r="K1480" s="3246"/>
      <c r="L1480" s="3247"/>
      <c r="M1480" s="3248"/>
      <c r="N1480" s="3249"/>
      <c r="O1480" s="3253" t="s">
        <v>6274</v>
      </c>
      <c r="P1480" s="3254"/>
      <c r="Q1480" s="3255"/>
      <c r="R1480" s="3249"/>
      <c r="S1480" s="3246"/>
      <c r="T1480" s="3247"/>
      <c r="U1480" s="3248"/>
      <c r="V1480" s="3249"/>
      <c r="W1480" s="3246"/>
      <c r="X1480" s="3247"/>
      <c r="Y1480" s="3248"/>
      <c r="Z1480" s="3247"/>
      <c r="AA1480" s="3250"/>
      <c r="AB1480" s="3247"/>
    </row>
    <row r="1481" spans="1:28">
      <c r="A1481" s="3243" t="s">
        <v>6286</v>
      </c>
      <c r="B1481" s="3105" t="s">
        <v>6041</v>
      </c>
      <c r="C1481" s="3246"/>
      <c r="D1481" s="3247"/>
      <c r="E1481" s="3248"/>
      <c r="F1481" s="3249"/>
      <c r="G1481" s="3246"/>
      <c r="H1481" s="3247"/>
      <c r="I1481" s="3248"/>
      <c r="J1481" s="3249"/>
      <c r="K1481" s="3246"/>
      <c r="L1481" s="3247"/>
      <c r="M1481" s="3248"/>
      <c r="N1481" s="3249"/>
      <c r="O1481" s="3253" t="s">
        <v>6276</v>
      </c>
      <c r="P1481" s="3256"/>
      <c r="Q1481" s="3248"/>
      <c r="R1481" s="3249"/>
      <c r="S1481" s="3246"/>
      <c r="T1481" s="3247"/>
      <c r="U1481" s="3248"/>
      <c r="V1481" s="3249"/>
      <c r="W1481" s="3246"/>
      <c r="X1481" s="3247"/>
      <c r="Y1481" s="3248"/>
      <c r="Z1481" s="3247"/>
      <c r="AA1481" s="3250"/>
      <c r="AB1481" s="3247"/>
    </row>
    <row r="1482" spans="1:28">
      <c r="A1482" s="3243" t="s">
        <v>6287</v>
      </c>
      <c r="B1482" s="3105" t="s">
        <v>6041</v>
      </c>
      <c r="C1482" s="3246"/>
      <c r="D1482" s="3247"/>
      <c r="E1482" s="3248"/>
      <c r="F1482" s="3249"/>
      <c r="G1482" s="3246"/>
      <c r="H1482" s="3247"/>
      <c r="I1482" s="3248"/>
      <c r="J1482" s="3249"/>
      <c r="K1482" s="3246"/>
      <c r="L1482" s="3247"/>
      <c r="M1482" s="3248"/>
      <c r="N1482" s="3249"/>
      <c r="O1482" s="3253" t="s">
        <v>6278</v>
      </c>
      <c r="P1482" s="3256"/>
      <c r="Q1482" s="3248"/>
      <c r="R1482" s="3249"/>
      <c r="S1482" s="3246"/>
      <c r="T1482" s="3247"/>
      <c r="U1482" s="3248"/>
      <c r="V1482" s="3249"/>
      <c r="W1482" s="3246"/>
      <c r="X1482" s="3247"/>
      <c r="Y1482" s="3248"/>
      <c r="Z1482" s="3247"/>
      <c r="AA1482" s="3250"/>
      <c r="AB1482" s="3247"/>
    </row>
    <row r="1483" spans="1:28">
      <c r="A1483" s="3243" t="s">
        <v>6288</v>
      </c>
      <c r="B1483" s="3105" t="s">
        <v>6041</v>
      </c>
      <c r="C1483" s="3246"/>
      <c r="D1483" s="3247"/>
      <c r="E1483" s="3248"/>
      <c r="F1483" s="3249"/>
      <c r="G1483" s="3246"/>
      <c r="H1483" s="3247"/>
      <c r="I1483" s="3248"/>
      <c r="J1483" s="3249"/>
      <c r="K1483" s="3246"/>
      <c r="L1483" s="3247"/>
      <c r="M1483" s="3248"/>
      <c r="N1483" s="3249"/>
      <c r="O1483" s="3253" t="s">
        <v>6280</v>
      </c>
      <c r="P1483" s="3256"/>
      <c r="Q1483" s="3248"/>
      <c r="R1483" s="3249"/>
      <c r="S1483" s="3246"/>
      <c r="T1483" s="3247"/>
      <c r="U1483" s="3248"/>
      <c r="V1483" s="3249"/>
      <c r="W1483" s="3246"/>
      <c r="X1483" s="3247"/>
      <c r="Y1483" s="3248"/>
      <c r="Z1483" s="3247"/>
      <c r="AA1483" s="3250"/>
      <c r="AB1483" s="3247"/>
    </row>
    <row r="1484" spans="1:28">
      <c r="A1484" s="3243" t="s">
        <v>6289</v>
      </c>
      <c r="B1484" s="3105" t="s">
        <v>6041</v>
      </c>
      <c r="C1484" s="3246"/>
      <c r="D1484" s="3247"/>
      <c r="E1484" s="3248"/>
      <c r="F1484" s="3249"/>
      <c r="G1484" s="3246"/>
      <c r="H1484" s="3247"/>
      <c r="I1484" s="3248"/>
      <c r="J1484" s="3249"/>
      <c r="K1484" s="3246"/>
      <c r="L1484" s="3247"/>
      <c r="M1484" s="3248"/>
      <c r="N1484" s="3249"/>
      <c r="O1484" s="3257" t="s">
        <v>6282</v>
      </c>
      <c r="P1484" s="3251"/>
      <c r="Q1484" s="3248"/>
      <c r="R1484" s="3249"/>
      <c r="S1484" s="3246"/>
      <c r="T1484" s="3247"/>
      <c r="U1484" s="3248"/>
      <c r="V1484" s="3249"/>
      <c r="W1484" s="3246"/>
      <c r="X1484" s="3247"/>
      <c r="Y1484" s="3248"/>
      <c r="Z1484" s="3247"/>
      <c r="AA1484" s="3250"/>
      <c r="AB1484" s="3247"/>
    </row>
    <row r="1485" spans="1:28">
      <c r="A1485" s="3243" t="s">
        <v>6290</v>
      </c>
      <c r="B1485" s="3105" t="s">
        <v>6041</v>
      </c>
      <c r="C1485" s="3246"/>
      <c r="D1485" s="3247"/>
      <c r="E1485" s="3248"/>
      <c r="F1485" s="3249"/>
      <c r="G1485" s="3246"/>
      <c r="H1485" s="3247"/>
      <c r="I1485" s="3248"/>
      <c r="J1485" s="3249"/>
      <c r="K1485" s="3246"/>
      <c r="L1485" s="3247"/>
      <c r="M1485" s="3248"/>
      <c r="N1485" s="3249"/>
      <c r="O1485" s="3257" t="s">
        <v>6284</v>
      </c>
      <c r="P1485" s="3251"/>
      <c r="Q1485" s="3248"/>
      <c r="R1485" s="3249"/>
      <c r="S1485" s="3246"/>
      <c r="T1485" s="3247"/>
      <c r="U1485" s="3248"/>
      <c r="V1485" s="3249"/>
      <c r="W1485" s="3246"/>
      <c r="X1485" s="3247"/>
      <c r="Y1485" s="3248"/>
      <c r="Z1485" s="3247"/>
      <c r="AA1485" s="3250"/>
      <c r="AB1485" s="3247"/>
    </row>
    <row r="1486" spans="1:28">
      <c r="A1486" s="2668"/>
      <c r="B1486" s="2621"/>
      <c r="C1486" s="14"/>
      <c r="D1486" s="15"/>
      <c r="E1486" s="16"/>
      <c r="F1486" s="17"/>
      <c r="G1486" s="14"/>
      <c r="H1486" s="15"/>
      <c r="I1486" s="16"/>
      <c r="J1486" s="17"/>
      <c r="K1486" s="14"/>
      <c r="L1486" s="15"/>
      <c r="M1486" s="16"/>
      <c r="N1486" s="17"/>
      <c r="O1486" s="2676"/>
      <c r="P1486" s="15"/>
      <c r="Q1486" s="16"/>
      <c r="R1486" s="17"/>
      <c r="S1486" s="14"/>
      <c r="T1486" s="15"/>
      <c r="U1486" s="16"/>
      <c r="V1486" s="17"/>
      <c r="W1486" s="14"/>
      <c r="X1486" s="15"/>
      <c r="Y1486" s="16"/>
      <c r="Z1486" s="15"/>
      <c r="AA1486" s="30"/>
      <c r="AB1486" s="15"/>
    </row>
    <row r="1487" spans="1:28">
      <c r="A1487" s="81" t="s">
        <v>6291</v>
      </c>
      <c r="B1487" s="101" t="s">
        <v>6015</v>
      </c>
      <c r="C1487" s="14"/>
      <c r="D1487" s="15"/>
      <c r="E1487" s="16"/>
      <c r="F1487" s="17"/>
      <c r="G1487" s="14"/>
      <c r="H1487" s="15"/>
      <c r="I1487" s="16"/>
      <c r="J1487" s="17"/>
      <c r="K1487" s="14"/>
      <c r="L1487" s="15"/>
      <c r="M1487" s="16"/>
      <c r="N1487" s="17"/>
      <c r="O1487" s="2676"/>
      <c r="P1487" s="15"/>
      <c r="Q1487" s="16"/>
      <c r="R1487" s="17"/>
      <c r="S1487" s="14"/>
      <c r="T1487" s="15"/>
      <c r="U1487" s="16"/>
      <c r="V1487" s="17"/>
      <c r="W1487" s="14"/>
      <c r="X1487" s="15"/>
      <c r="Y1487" s="16"/>
      <c r="Z1487" s="15"/>
      <c r="AA1487" s="30"/>
      <c r="AB1487" s="15"/>
    </row>
    <row r="1488" spans="1:28">
      <c r="A1488" s="1918" t="s">
        <v>6291</v>
      </c>
      <c r="B1488" s="992" t="s">
        <v>6016</v>
      </c>
      <c r="C1488" s="14"/>
      <c r="D1488" s="15"/>
      <c r="E1488" s="16"/>
      <c r="F1488" s="17"/>
      <c r="G1488" s="14"/>
      <c r="H1488" s="15"/>
      <c r="I1488" s="16"/>
      <c r="J1488" s="17"/>
      <c r="K1488" s="14"/>
      <c r="L1488" s="15"/>
      <c r="M1488" s="16"/>
      <c r="N1488" s="17"/>
      <c r="O1488" s="2672"/>
      <c r="P1488" s="2455"/>
      <c r="Q1488" s="16"/>
      <c r="R1488" s="17"/>
      <c r="S1488" s="14"/>
      <c r="T1488" s="15"/>
      <c r="U1488" s="16"/>
      <c r="V1488" s="17"/>
      <c r="W1488" s="14"/>
      <c r="X1488" s="15"/>
      <c r="Y1488" s="16"/>
      <c r="Z1488" s="15"/>
      <c r="AA1488" s="30"/>
      <c r="AB1488" s="15"/>
    </row>
    <row r="1489" spans="1:28">
      <c r="A1489" s="2663" t="s">
        <v>5916</v>
      </c>
      <c r="B1489" s="2621"/>
      <c r="C1489" s="14"/>
      <c r="D1489" s="15"/>
      <c r="E1489" s="16"/>
      <c r="F1489" s="17"/>
      <c r="G1489" s="14"/>
      <c r="H1489" s="15"/>
      <c r="I1489" s="16"/>
      <c r="J1489" s="17"/>
      <c r="K1489" s="14"/>
      <c r="L1489" s="15"/>
      <c r="M1489" s="16"/>
      <c r="N1489" s="17"/>
      <c r="O1489" s="2672"/>
      <c r="P1489" s="2455"/>
      <c r="Q1489" s="16"/>
      <c r="R1489" s="17"/>
      <c r="S1489" s="14"/>
      <c r="T1489" s="15"/>
      <c r="U1489" s="16"/>
      <c r="V1489" s="17"/>
      <c r="W1489" s="14"/>
      <c r="X1489" s="15"/>
      <c r="Y1489" s="16"/>
      <c r="Z1489" s="15"/>
      <c r="AA1489" s="30"/>
      <c r="AB1489" s="15"/>
    </row>
    <row r="1490" spans="1:28">
      <c r="A1490" s="2665"/>
      <c r="B1490" s="2621"/>
      <c r="C1490" s="14"/>
      <c r="D1490" s="15"/>
      <c r="E1490" s="16"/>
      <c r="F1490" s="17"/>
      <c r="G1490" s="14"/>
      <c r="H1490" s="15"/>
      <c r="I1490" s="16"/>
      <c r="J1490" s="17"/>
      <c r="K1490" s="14"/>
      <c r="L1490" s="15"/>
      <c r="M1490" s="16"/>
      <c r="N1490" s="17"/>
      <c r="O1490" s="2678"/>
      <c r="P1490" s="2652"/>
      <c r="Q1490" s="2049"/>
      <c r="R1490" s="17"/>
      <c r="S1490" s="14"/>
      <c r="T1490" s="15"/>
      <c r="U1490" s="16"/>
      <c r="V1490" s="17"/>
      <c r="W1490" s="14"/>
      <c r="X1490" s="15"/>
      <c r="Y1490" s="16"/>
      <c r="Z1490" s="15"/>
      <c r="AA1490" s="30"/>
      <c r="AB1490" s="15"/>
    </row>
    <row r="1491" spans="1:28">
      <c r="A1491" s="2665"/>
      <c r="B1491" s="2622"/>
      <c r="C1491" s="14"/>
      <c r="D1491" s="15"/>
      <c r="E1491" s="16"/>
      <c r="F1491" s="17"/>
      <c r="G1491" s="14"/>
      <c r="H1491" s="15"/>
      <c r="I1491" s="16"/>
      <c r="J1491" s="17"/>
      <c r="K1491" s="14"/>
      <c r="L1491" s="15"/>
      <c r="M1491" s="16"/>
      <c r="N1491" s="17"/>
      <c r="O1491" s="2678"/>
      <c r="P1491" s="2652"/>
      <c r="Q1491" s="2049"/>
      <c r="R1491" s="17"/>
      <c r="S1491" s="14"/>
      <c r="T1491" s="15"/>
      <c r="U1491" s="16"/>
      <c r="V1491" s="17"/>
      <c r="W1491" s="14"/>
      <c r="X1491" s="15"/>
      <c r="Y1491" s="16"/>
      <c r="Z1491" s="15"/>
      <c r="AA1491" s="30"/>
      <c r="AB1491" s="15"/>
    </row>
    <row r="1492" spans="1:28">
      <c r="A1492" s="2665"/>
      <c r="B1492" s="2622"/>
      <c r="C1492" s="14"/>
      <c r="D1492" s="15"/>
      <c r="E1492" s="16"/>
      <c r="F1492" s="17"/>
      <c r="G1492" s="14"/>
      <c r="H1492" s="15"/>
      <c r="I1492" s="16"/>
      <c r="J1492" s="17"/>
      <c r="K1492" s="14"/>
      <c r="L1492" s="15"/>
      <c r="M1492" s="16"/>
      <c r="N1492" s="17"/>
      <c r="O1492" s="2679"/>
      <c r="P1492" s="2670"/>
      <c r="Q1492" s="791"/>
      <c r="R1492" s="17"/>
      <c r="S1492" s="14"/>
      <c r="T1492" s="15"/>
      <c r="U1492" s="16"/>
      <c r="V1492" s="17"/>
      <c r="W1492" s="14"/>
      <c r="X1492" s="15"/>
      <c r="Y1492" s="16"/>
      <c r="Z1492" s="15"/>
      <c r="AA1492" s="30"/>
      <c r="AB1492" s="15"/>
    </row>
    <row r="1493" spans="1:28">
      <c r="A1493" s="2668"/>
      <c r="B1493" s="2622"/>
      <c r="C1493" s="14"/>
      <c r="D1493" s="15"/>
      <c r="E1493" s="16"/>
      <c r="F1493" s="17"/>
      <c r="G1493" s="14"/>
      <c r="H1493" s="15"/>
      <c r="I1493" s="16"/>
      <c r="J1493" s="17"/>
      <c r="K1493" s="14"/>
      <c r="L1493" s="15"/>
      <c r="M1493" s="16"/>
      <c r="N1493" s="17"/>
      <c r="O1493" s="2676"/>
      <c r="P1493" s="15"/>
      <c r="Q1493" s="16"/>
      <c r="R1493" s="17"/>
      <c r="S1493" s="14"/>
      <c r="T1493" s="15"/>
      <c r="U1493" s="16"/>
      <c r="V1493" s="17"/>
      <c r="W1493" s="14"/>
      <c r="X1493" s="15"/>
      <c r="Y1493" s="16"/>
      <c r="Z1493" s="15"/>
      <c r="AA1493" s="30"/>
      <c r="AB1493" s="15"/>
    </row>
    <row r="1506" spans="1:28" ht="40.5">
      <c r="A1506" s="3" t="s">
        <v>5063</v>
      </c>
      <c r="B1506" s="23"/>
      <c r="C1506" s="3"/>
      <c r="D1506" s="3"/>
      <c r="E1506" s="3"/>
      <c r="F1506" s="3"/>
      <c r="G1506" s="3"/>
      <c r="H1506" s="3"/>
      <c r="I1506" s="3"/>
      <c r="J1506" s="3"/>
      <c r="K1506" s="3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B1506" s="4"/>
    </row>
    <row r="1507" spans="1:28" ht="40.5" thickBot="1">
      <c r="A1507" s="5" t="s">
        <v>5064</v>
      </c>
    </row>
    <row r="1508" spans="1:28">
      <c r="A1508" s="3544" t="s">
        <v>2</v>
      </c>
      <c r="B1508" s="3546" t="s">
        <v>3</v>
      </c>
      <c r="C1508" s="3537" t="s">
        <v>5065</v>
      </c>
      <c r="D1508" s="3538"/>
      <c r="E1508" s="3536" t="s">
        <v>5066</v>
      </c>
      <c r="F1508" s="3536"/>
      <c r="G1508" s="3537" t="s">
        <v>5067</v>
      </c>
      <c r="H1508" s="3538"/>
      <c r="I1508" s="3536" t="s">
        <v>5068</v>
      </c>
      <c r="J1508" s="3536"/>
      <c r="K1508" s="3537" t="s">
        <v>5069</v>
      </c>
      <c r="L1508" s="3538"/>
      <c r="M1508" s="3536" t="s">
        <v>5070</v>
      </c>
      <c r="N1508" s="3536"/>
      <c r="O1508" s="3542"/>
      <c r="P1508" s="3542"/>
      <c r="Q1508" s="3536" t="s">
        <v>5071</v>
      </c>
      <c r="R1508" s="3536"/>
      <c r="S1508" s="3536" t="s">
        <v>5072</v>
      </c>
      <c r="T1508" s="3536"/>
      <c r="U1508" s="3472" t="s">
        <v>5073</v>
      </c>
      <c r="V1508" s="3473"/>
      <c r="W1508" s="3536" t="s">
        <v>5074</v>
      </c>
      <c r="X1508" s="3536"/>
      <c r="Y1508" s="3472" t="s">
        <v>5075</v>
      </c>
      <c r="Z1508" s="3475"/>
      <c r="AA1508" s="3537" t="s">
        <v>5076</v>
      </c>
      <c r="AB1508" s="3538"/>
    </row>
    <row r="1509" spans="1:28" ht="40.5" thickBot="1">
      <c r="A1509" s="3545"/>
      <c r="B1509" s="3547"/>
      <c r="C1509" s="1" t="s">
        <v>5078</v>
      </c>
      <c r="D1509" s="35" t="s">
        <v>5079</v>
      </c>
      <c r="E1509" s="2" t="s">
        <v>5078</v>
      </c>
      <c r="F1509" s="36" t="s">
        <v>5079</v>
      </c>
      <c r="G1509" s="1" t="s">
        <v>5078</v>
      </c>
      <c r="H1509" s="35" t="s">
        <v>5079</v>
      </c>
      <c r="I1509" s="2" t="s">
        <v>5078</v>
      </c>
      <c r="J1509" s="36" t="s">
        <v>5079</v>
      </c>
      <c r="K1509" s="1" t="s">
        <v>5078</v>
      </c>
      <c r="L1509" s="35" t="s">
        <v>5079</v>
      </c>
      <c r="M1509" s="2" t="s">
        <v>5078</v>
      </c>
      <c r="N1509" s="36" t="s">
        <v>5079</v>
      </c>
      <c r="O1509" s="2769"/>
      <c r="P1509" s="2820"/>
      <c r="Q1509" s="2" t="s">
        <v>5078</v>
      </c>
      <c r="R1509" s="36" t="s">
        <v>5079</v>
      </c>
      <c r="S1509" s="1" t="s">
        <v>5078</v>
      </c>
      <c r="T1509" s="35" t="s">
        <v>5079</v>
      </c>
      <c r="U1509" s="2" t="s">
        <v>5078</v>
      </c>
      <c r="V1509" s="36" t="s">
        <v>5079</v>
      </c>
      <c r="W1509" s="1" t="s">
        <v>5078</v>
      </c>
      <c r="X1509" s="35" t="s">
        <v>5079</v>
      </c>
      <c r="Y1509" s="2" t="s">
        <v>5078</v>
      </c>
      <c r="Z1509" s="36" t="s">
        <v>5079</v>
      </c>
      <c r="AA1509" s="1" t="s">
        <v>5078</v>
      </c>
      <c r="AB1509" s="35" t="s">
        <v>5079</v>
      </c>
    </row>
    <row r="1510" spans="1:28">
      <c r="A1510" s="433" t="s">
        <v>5766</v>
      </c>
      <c r="B1510" s="2574" t="s">
        <v>5767</v>
      </c>
      <c r="C1510" s="9"/>
      <c r="D1510" s="10"/>
      <c r="E1510" s="11"/>
      <c r="F1510" s="12"/>
      <c r="G1510" s="9"/>
      <c r="H1510" s="10"/>
      <c r="I1510" s="11"/>
      <c r="J1510" s="12"/>
      <c r="K1510" s="9"/>
      <c r="L1510" s="10"/>
      <c r="M1510" s="11"/>
      <c r="N1510" s="12"/>
      <c r="O1510" s="2821" t="s">
        <v>5768</v>
      </c>
      <c r="P1510" s="2822"/>
      <c r="Q1510" s="11"/>
      <c r="R1510" s="12"/>
      <c r="S1510" s="9"/>
      <c r="T1510" s="10"/>
      <c r="U1510" s="11"/>
      <c r="V1510" s="12"/>
      <c r="W1510" s="9"/>
      <c r="X1510" s="10"/>
      <c r="Y1510" s="11"/>
      <c r="Z1510" s="12"/>
      <c r="AA1510" s="33"/>
      <c r="AB1510" s="10"/>
    </row>
    <row r="1511" spans="1:28" ht="40.5" thickBot="1">
      <c r="A1511" s="2134" t="s">
        <v>5766</v>
      </c>
      <c r="B1511" s="2575" t="s">
        <v>5769</v>
      </c>
      <c r="C1511" s="14"/>
      <c r="D1511" s="15"/>
      <c r="E1511" s="16"/>
      <c r="F1511" s="17"/>
      <c r="G1511" s="14"/>
      <c r="H1511" s="15"/>
      <c r="I1511" s="16"/>
      <c r="J1511" s="17"/>
      <c r="K1511" s="14"/>
      <c r="L1511" s="15"/>
      <c r="M1511" s="16"/>
      <c r="N1511" s="17"/>
      <c r="O1511" s="2823" t="s">
        <v>5770</v>
      </c>
      <c r="P1511" s="2823"/>
      <c r="Q1511" s="2646"/>
      <c r="R1511" s="17"/>
      <c r="S1511" s="14"/>
      <c r="T1511" s="15"/>
      <c r="U1511" s="16"/>
      <c r="V1511" s="17"/>
      <c r="W1511" s="14"/>
      <c r="X1511" s="15"/>
      <c r="Y1511" s="16"/>
      <c r="Z1511" s="17"/>
      <c r="AA1511" s="30"/>
      <c r="AB1511" s="15"/>
    </row>
    <row r="1512" spans="1:28" ht="40.5" thickTop="1">
      <c r="A1512" s="551" t="s">
        <v>5771</v>
      </c>
      <c r="B1512" s="473" t="s">
        <v>5772</v>
      </c>
      <c r="C1512" s="14"/>
      <c r="D1512" s="15"/>
      <c r="E1512" s="16"/>
      <c r="F1512" s="17"/>
      <c r="G1512" s="14"/>
      <c r="H1512" s="15"/>
      <c r="I1512" s="16"/>
      <c r="J1512" s="17"/>
      <c r="K1512" s="14"/>
      <c r="L1512" s="15"/>
      <c r="M1512" s="16"/>
      <c r="N1512" s="17"/>
      <c r="O1512" s="2823" t="s">
        <v>5773</v>
      </c>
      <c r="P1512" s="2823"/>
      <c r="Q1512" s="2646"/>
      <c r="R1512" s="17"/>
      <c r="S1512" s="14"/>
      <c r="T1512" s="15"/>
      <c r="U1512" s="16"/>
      <c r="V1512" s="17"/>
      <c r="W1512" s="14"/>
      <c r="X1512" s="15"/>
      <c r="Y1512" s="16"/>
      <c r="Z1512" s="17"/>
      <c r="AA1512" s="30"/>
      <c r="AB1512" s="15"/>
    </row>
    <row r="1513" spans="1:28">
      <c r="A1513" s="2576" t="s">
        <v>6292</v>
      </c>
      <c r="B1513" s="2577" t="s">
        <v>5772</v>
      </c>
      <c r="C1513" s="14"/>
      <c r="D1513" s="15"/>
      <c r="E1513" s="16"/>
      <c r="F1513" s="17"/>
      <c r="G1513" s="14"/>
      <c r="H1513" s="15"/>
      <c r="I1513" s="16"/>
      <c r="J1513" s="17"/>
      <c r="K1513" s="14"/>
      <c r="L1513" s="15"/>
      <c r="M1513" s="16"/>
      <c r="N1513" s="17"/>
      <c r="O1513" s="2823" t="s">
        <v>5775</v>
      </c>
      <c r="P1513" s="2823"/>
      <c r="Q1513" s="2646"/>
      <c r="R1513" s="17"/>
      <c r="S1513" s="14"/>
      <c r="T1513" s="15"/>
      <c r="U1513" s="16"/>
      <c r="V1513" s="17"/>
      <c r="W1513" s="14"/>
      <c r="X1513" s="15"/>
      <c r="Y1513" s="16"/>
      <c r="Z1513" s="17"/>
      <c r="AA1513" s="30"/>
      <c r="AB1513" s="15"/>
    </row>
    <row r="1514" spans="1:28">
      <c r="A1514" s="2576" t="s">
        <v>6293</v>
      </c>
      <c r="B1514" s="2577" t="s">
        <v>5772</v>
      </c>
      <c r="C1514" s="14"/>
      <c r="D1514" s="15"/>
      <c r="E1514" s="16"/>
      <c r="F1514" s="17"/>
      <c r="G1514" s="14"/>
      <c r="H1514" s="15"/>
      <c r="I1514" s="16"/>
      <c r="J1514" s="17"/>
      <c r="K1514" s="14"/>
      <c r="L1514" s="15"/>
      <c r="M1514" s="16"/>
      <c r="N1514" s="17"/>
      <c r="O1514" s="2823" t="s">
        <v>5775</v>
      </c>
      <c r="P1514" s="2823"/>
      <c r="Q1514" s="2646"/>
      <c r="R1514" s="17"/>
      <c r="S1514" s="14"/>
      <c r="T1514" s="15"/>
      <c r="U1514" s="16"/>
      <c r="V1514" s="17"/>
      <c r="W1514" s="14"/>
      <c r="X1514" s="15"/>
      <c r="Y1514" s="16"/>
      <c r="Z1514" s="17"/>
      <c r="AA1514" s="30"/>
      <c r="AB1514" s="15"/>
    </row>
    <row r="1515" spans="1:28">
      <c r="A1515" s="2576" t="s">
        <v>6294</v>
      </c>
      <c r="B1515" s="2577" t="s">
        <v>5772</v>
      </c>
      <c r="C1515" s="14"/>
      <c r="D1515" s="15"/>
      <c r="E1515" s="16"/>
      <c r="F1515" s="17"/>
      <c r="G1515" s="14"/>
      <c r="H1515" s="15"/>
      <c r="I1515" s="16"/>
      <c r="J1515" s="17"/>
      <c r="K1515" s="14"/>
      <c r="L1515" s="15"/>
      <c r="M1515" s="16"/>
      <c r="N1515" s="17"/>
      <c r="O1515" s="2823" t="s">
        <v>5777</v>
      </c>
      <c r="P1515" s="2823"/>
      <c r="Q1515" s="2646"/>
      <c r="R1515" s="17"/>
      <c r="S1515" s="14"/>
      <c r="T1515" s="15"/>
      <c r="U1515" s="16"/>
      <c r="V1515" s="17"/>
      <c r="W1515" s="14"/>
      <c r="X1515" s="15"/>
      <c r="Y1515" s="16"/>
      <c r="Z1515" s="17"/>
      <c r="AA1515" s="30"/>
      <c r="AB1515" s="15"/>
    </row>
    <row r="1516" spans="1:28">
      <c r="A1516" s="2576" t="s">
        <v>6295</v>
      </c>
      <c r="B1516" s="2577" t="s">
        <v>5772</v>
      </c>
      <c r="C1516" s="14"/>
      <c r="D1516" s="15"/>
      <c r="E1516" s="16"/>
      <c r="F1516" s="17"/>
      <c r="G1516" s="14"/>
      <c r="H1516" s="15"/>
      <c r="I1516" s="16"/>
      <c r="J1516" s="17"/>
      <c r="K1516" s="14"/>
      <c r="L1516" s="15"/>
      <c r="M1516" s="16"/>
      <c r="N1516" s="17"/>
      <c r="O1516" s="2823" t="s">
        <v>5777</v>
      </c>
      <c r="P1516" s="2823"/>
      <c r="Q1516" s="2646"/>
      <c r="R1516" s="17"/>
      <c r="S1516" s="14"/>
      <c r="T1516" s="15"/>
      <c r="U1516" s="16"/>
      <c r="V1516" s="17"/>
      <c r="W1516" s="14"/>
      <c r="X1516" s="15"/>
      <c r="Y1516" s="16"/>
      <c r="Z1516" s="17"/>
      <c r="AA1516" s="30"/>
      <c r="AB1516" s="15"/>
    </row>
    <row r="1517" spans="1:28" ht="40.5" thickBot="1">
      <c r="A1517" s="2578" t="s">
        <v>5778</v>
      </c>
      <c r="B1517" s="2579" t="s">
        <v>5772</v>
      </c>
      <c r="C1517" s="2430"/>
      <c r="D1517" s="2431"/>
      <c r="E1517" s="2432"/>
      <c r="F1517" s="2566"/>
      <c r="G1517" s="2430"/>
      <c r="H1517" s="2431"/>
      <c r="I1517" s="2432"/>
      <c r="J1517" s="2566"/>
      <c r="K1517" s="2430"/>
      <c r="L1517" s="2431"/>
      <c r="M1517" s="2432"/>
      <c r="N1517" s="2566"/>
      <c r="O1517" s="2911" t="s">
        <v>5779</v>
      </c>
      <c r="P1517" s="2911"/>
      <c r="Q1517" s="2902"/>
      <c r="R1517" s="2566"/>
      <c r="S1517" s="2430"/>
      <c r="T1517" s="2431"/>
      <c r="U1517" s="2432"/>
      <c r="V1517" s="2566"/>
      <c r="W1517" s="2430"/>
      <c r="X1517" s="2431"/>
      <c r="Y1517" s="2432"/>
      <c r="Z1517" s="2566"/>
      <c r="AA1517" s="2433"/>
      <c r="AB1517" s="2431"/>
    </row>
    <row r="1518" spans="1:28" ht="40.5" thickTop="1">
      <c r="A1518" s="233" t="s">
        <v>6296</v>
      </c>
      <c r="B1518" s="117" t="s">
        <v>1905</v>
      </c>
      <c r="C1518" s="9"/>
      <c r="D1518" s="10"/>
      <c r="E1518" s="11"/>
      <c r="F1518" s="12"/>
      <c r="G1518" s="9"/>
      <c r="H1518" s="10"/>
      <c r="I1518" s="11"/>
      <c r="J1518" s="12"/>
      <c r="K1518" s="9"/>
      <c r="L1518" s="10"/>
      <c r="M1518" s="11"/>
      <c r="N1518" s="12"/>
      <c r="O1518" s="2909" t="s">
        <v>5780</v>
      </c>
      <c r="P1518" s="2909"/>
      <c r="Q1518" s="2901"/>
      <c r="R1518" s="12"/>
      <c r="S1518" s="9"/>
      <c r="T1518" s="10"/>
      <c r="U1518" s="11"/>
      <c r="V1518" s="12"/>
      <c r="W1518" s="9"/>
      <c r="X1518" s="10"/>
      <c r="Y1518" s="11"/>
      <c r="Z1518" s="12"/>
      <c r="AA1518" s="33"/>
      <c r="AB1518" s="10"/>
    </row>
    <row r="1519" spans="1:28">
      <c r="A1519" s="233" t="s">
        <v>6297</v>
      </c>
      <c r="B1519" s="117" t="s">
        <v>1905</v>
      </c>
      <c r="C1519" s="14"/>
      <c r="D1519" s="15"/>
      <c r="E1519" s="16"/>
      <c r="F1519" s="17"/>
      <c r="G1519" s="14"/>
      <c r="H1519" s="15"/>
      <c r="I1519" s="16"/>
      <c r="J1519" s="17"/>
      <c r="K1519" s="14"/>
      <c r="L1519" s="15"/>
      <c r="M1519" s="16"/>
      <c r="N1519" s="17"/>
      <c r="O1519" s="2823" t="s">
        <v>5780</v>
      </c>
      <c r="P1519" s="2823"/>
      <c r="Q1519" s="2646"/>
      <c r="R1519" s="17"/>
      <c r="S1519" s="14"/>
      <c r="T1519" s="15"/>
      <c r="U1519" s="16"/>
      <c r="V1519" s="17"/>
      <c r="W1519" s="14"/>
      <c r="X1519" s="15"/>
      <c r="Y1519" s="16"/>
      <c r="Z1519" s="17"/>
      <c r="AA1519" s="30"/>
      <c r="AB1519" s="15"/>
    </row>
    <row r="1520" spans="1:28">
      <c r="A1520" s="233" t="s">
        <v>6298</v>
      </c>
      <c r="B1520" s="117" t="s">
        <v>1905</v>
      </c>
      <c r="C1520" s="14"/>
      <c r="D1520" s="15"/>
      <c r="E1520" s="16"/>
      <c r="F1520" s="17"/>
      <c r="G1520" s="14"/>
      <c r="H1520" s="15"/>
      <c r="I1520" s="16"/>
      <c r="J1520" s="17"/>
      <c r="K1520" s="14"/>
      <c r="L1520" s="15"/>
      <c r="M1520" s="16"/>
      <c r="N1520" s="17"/>
      <c r="O1520" s="2823" t="s">
        <v>5780</v>
      </c>
      <c r="P1520" s="2823"/>
      <c r="Q1520" s="2646"/>
      <c r="R1520" s="17"/>
      <c r="S1520" s="14"/>
      <c r="T1520" s="15"/>
      <c r="U1520" s="16"/>
      <c r="V1520" s="17"/>
      <c r="W1520" s="14"/>
      <c r="X1520" s="15"/>
      <c r="Y1520" s="16"/>
      <c r="Z1520" s="17"/>
      <c r="AA1520" s="30"/>
      <c r="AB1520" s="15"/>
    </row>
    <row r="1521" spans="1:28">
      <c r="A1521" s="233" t="s">
        <v>6299</v>
      </c>
      <c r="B1521" s="117" t="s">
        <v>1905</v>
      </c>
      <c r="C1521" s="14"/>
      <c r="D1521" s="15"/>
      <c r="E1521" s="16"/>
      <c r="F1521" s="17"/>
      <c r="G1521" s="14"/>
      <c r="H1521" s="15"/>
      <c r="I1521" s="16"/>
      <c r="J1521" s="17"/>
      <c r="K1521" s="14"/>
      <c r="L1521" s="15"/>
      <c r="M1521" s="16"/>
      <c r="N1521" s="17"/>
      <c r="O1521" s="2823" t="s">
        <v>5780</v>
      </c>
      <c r="P1521" s="2823"/>
      <c r="Q1521" s="2646"/>
      <c r="R1521" s="17"/>
      <c r="S1521" s="14"/>
      <c r="T1521" s="15"/>
      <c r="U1521" s="16"/>
      <c r="V1521" s="17"/>
      <c r="W1521" s="14"/>
      <c r="X1521" s="15"/>
      <c r="Y1521" s="16"/>
      <c r="Z1521" s="17"/>
      <c r="AA1521" s="30"/>
      <c r="AB1521" s="15"/>
    </row>
    <row r="1522" spans="1:28">
      <c r="A1522" s="139" t="s">
        <v>6300</v>
      </c>
      <c r="B1522" s="207" t="s">
        <v>1905</v>
      </c>
      <c r="C1522" s="14"/>
      <c r="D1522" s="15"/>
      <c r="E1522" s="16"/>
      <c r="F1522" s="17"/>
      <c r="G1522" s="14"/>
      <c r="H1522" s="15"/>
      <c r="I1522" s="16"/>
      <c r="J1522" s="17"/>
      <c r="K1522" s="14"/>
      <c r="L1522" s="15"/>
      <c r="M1522" s="16"/>
      <c r="N1522" s="17"/>
      <c r="O1522" s="2823" t="s">
        <v>5782</v>
      </c>
      <c r="P1522" s="2823"/>
      <c r="Q1522" s="2646"/>
      <c r="R1522" s="17"/>
      <c r="S1522" s="14"/>
      <c r="T1522" s="15"/>
      <c r="U1522" s="16"/>
      <c r="V1522" s="17"/>
      <c r="W1522" s="14"/>
      <c r="X1522" s="15"/>
      <c r="Y1522" s="16"/>
      <c r="Z1522" s="17"/>
      <c r="AA1522" s="30"/>
      <c r="AB1522" s="15"/>
    </row>
    <row r="1523" spans="1:28">
      <c r="A1523" s="139" t="s">
        <v>6301</v>
      </c>
      <c r="B1523" s="207" t="s">
        <v>1905</v>
      </c>
      <c r="C1523" s="14"/>
      <c r="D1523" s="15"/>
      <c r="E1523" s="16"/>
      <c r="F1523" s="17"/>
      <c r="G1523" s="14"/>
      <c r="H1523" s="15"/>
      <c r="I1523" s="16"/>
      <c r="J1523" s="17"/>
      <c r="K1523" s="14"/>
      <c r="L1523" s="15"/>
      <c r="M1523" s="16"/>
      <c r="N1523" s="17"/>
      <c r="O1523" s="2823" t="s">
        <v>5782</v>
      </c>
      <c r="P1523" s="2823"/>
      <c r="Q1523" s="2646"/>
      <c r="R1523" s="17"/>
      <c r="S1523" s="14"/>
      <c r="T1523" s="15"/>
      <c r="U1523" s="16"/>
      <c r="V1523" s="17"/>
      <c r="W1523" s="14"/>
      <c r="X1523" s="15"/>
      <c r="Y1523" s="16"/>
      <c r="Z1523" s="17"/>
      <c r="AA1523" s="30"/>
      <c r="AB1523" s="15"/>
    </row>
    <row r="1524" spans="1:28">
      <c r="A1524" s="460" t="s">
        <v>6302</v>
      </c>
      <c r="B1524" s="207" t="s">
        <v>1905</v>
      </c>
      <c r="C1524" s="14"/>
      <c r="D1524" s="15"/>
      <c r="E1524" s="16"/>
      <c r="F1524" s="17"/>
      <c r="G1524" s="14"/>
      <c r="H1524" s="15"/>
      <c r="I1524" s="16"/>
      <c r="J1524" s="17"/>
      <c r="K1524" s="14"/>
      <c r="L1524" s="15"/>
      <c r="M1524" s="16"/>
      <c r="N1524" s="17"/>
      <c r="O1524" s="2823" t="s">
        <v>5786</v>
      </c>
      <c r="P1524" s="2823"/>
      <c r="Q1524" s="2646"/>
      <c r="R1524" s="17"/>
      <c r="S1524" s="14"/>
      <c r="T1524" s="15"/>
      <c r="U1524" s="16"/>
      <c r="V1524" s="17"/>
      <c r="W1524" s="14"/>
      <c r="X1524" s="15"/>
      <c r="Y1524" s="16"/>
      <c r="Z1524" s="17"/>
      <c r="AA1524" s="30"/>
      <c r="AB1524" s="15"/>
    </row>
    <row r="1525" spans="1:28">
      <c r="A1525" s="460" t="s">
        <v>6303</v>
      </c>
      <c r="B1525" s="207" t="s">
        <v>1905</v>
      </c>
      <c r="C1525" s="14"/>
      <c r="D1525" s="15"/>
      <c r="E1525" s="16"/>
      <c r="F1525" s="17"/>
      <c r="G1525" s="14"/>
      <c r="H1525" s="15"/>
      <c r="I1525" s="16"/>
      <c r="J1525" s="17"/>
      <c r="K1525" s="14"/>
      <c r="L1525" s="15"/>
      <c r="M1525" s="16"/>
      <c r="N1525" s="17"/>
      <c r="O1525" s="2823" t="s">
        <v>5786</v>
      </c>
      <c r="P1525" s="2823"/>
      <c r="Q1525" s="2646"/>
      <c r="R1525" s="17"/>
      <c r="S1525" s="14"/>
      <c r="T1525" s="15"/>
      <c r="U1525" s="16"/>
      <c r="V1525" s="17"/>
      <c r="W1525" s="14"/>
      <c r="X1525" s="15"/>
      <c r="Y1525" s="16"/>
      <c r="Z1525" s="17"/>
      <c r="AA1525" s="30"/>
      <c r="AB1525" s="15"/>
    </row>
    <row r="1526" spans="1:28">
      <c r="A1526" s="139" t="s">
        <v>5787</v>
      </c>
      <c r="B1526" s="207" t="s">
        <v>1905</v>
      </c>
      <c r="C1526" s="14"/>
      <c r="D1526" s="15"/>
      <c r="E1526" s="16"/>
      <c r="F1526" s="17"/>
      <c r="G1526" s="14"/>
      <c r="H1526" s="15"/>
      <c r="I1526" s="16"/>
      <c r="J1526" s="17"/>
      <c r="K1526" s="14"/>
      <c r="L1526" s="15"/>
      <c r="M1526" s="16"/>
      <c r="N1526" s="17"/>
      <c r="O1526" s="2823" t="s">
        <v>5788</v>
      </c>
      <c r="P1526" s="2823"/>
      <c r="Q1526" s="2646"/>
      <c r="R1526" s="17"/>
      <c r="S1526" s="14"/>
      <c r="T1526" s="15"/>
      <c r="U1526" s="16"/>
      <c r="V1526" s="17"/>
      <c r="W1526" s="14"/>
      <c r="X1526" s="15"/>
      <c r="Y1526" s="16"/>
      <c r="Z1526" s="17"/>
      <c r="AA1526" s="30"/>
      <c r="AB1526" s="15"/>
    </row>
    <row r="1527" spans="1:28">
      <c r="A1527" s="433" t="s">
        <v>5789</v>
      </c>
      <c r="B1527" s="521" t="s">
        <v>1905</v>
      </c>
      <c r="C1527" s="19"/>
      <c r="D1527" s="20"/>
      <c r="E1527" s="21"/>
      <c r="F1527" s="22"/>
      <c r="G1527" s="19"/>
      <c r="H1527" s="20"/>
      <c r="I1527" s="21"/>
      <c r="J1527" s="22"/>
      <c r="K1527" s="19"/>
      <c r="L1527" s="20"/>
      <c r="M1527" s="21"/>
      <c r="N1527" s="22"/>
      <c r="O1527" s="2907" t="s">
        <v>5790</v>
      </c>
      <c r="P1527" s="2907"/>
      <c r="Q1527" s="2908"/>
      <c r="R1527" s="22"/>
      <c r="S1527" s="19"/>
      <c r="T1527" s="20"/>
      <c r="U1527" s="21"/>
      <c r="V1527" s="22"/>
      <c r="W1527" s="19"/>
      <c r="X1527" s="20"/>
      <c r="Y1527" s="21"/>
      <c r="Z1527" s="22"/>
      <c r="AA1527" s="98"/>
      <c r="AB1527" s="20"/>
    </row>
    <row r="1528" spans="1:28" ht="40.5" thickBot="1">
      <c r="A1528" s="2134" t="s">
        <v>6304</v>
      </c>
      <c r="B1528" s="2580" t="s">
        <v>1905</v>
      </c>
      <c r="C1528" s="2430"/>
      <c r="D1528" s="2431"/>
      <c r="E1528" s="2432"/>
      <c r="F1528" s="2566"/>
      <c r="G1528" s="2430"/>
      <c r="H1528" s="2431"/>
      <c r="I1528" s="2432"/>
      <c r="J1528" s="2566"/>
      <c r="K1528" s="2430"/>
      <c r="L1528" s="2431"/>
      <c r="M1528" s="2432"/>
      <c r="N1528" s="2566"/>
      <c r="O1528" s="2911" t="s">
        <v>6305</v>
      </c>
      <c r="P1528" s="2911"/>
      <c r="Q1528" s="2902"/>
      <c r="R1528" s="2566"/>
      <c r="S1528" s="2430"/>
      <c r="T1528" s="2431"/>
      <c r="U1528" s="2432"/>
      <c r="V1528" s="2566"/>
      <c r="W1528" s="2430"/>
      <c r="X1528" s="2431"/>
      <c r="Y1528" s="2432"/>
      <c r="Z1528" s="2566"/>
      <c r="AA1528" s="2433"/>
      <c r="AB1528" s="2431"/>
    </row>
    <row r="1529" spans="1:28" ht="40.5" thickTop="1">
      <c r="A1529" s="2581" t="s">
        <v>6306</v>
      </c>
      <c r="B1529" s="2318" t="s">
        <v>5792</v>
      </c>
      <c r="C1529" s="9"/>
      <c r="D1529" s="10"/>
      <c r="E1529" s="11"/>
      <c r="F1529" s="12"/>
      <c r="G1529" s="9"/>
      <c r="H1529" s="10"/>
      <c r="I1529" s="11"/>
      <c r="J1529" s="12"/>
      <c r="K1529" s="9"/>
      <c r="L1529" s="10"/>
      <c r="M1529" s="11"/>
      <c r="N1529" s="12"/>
      <c r="O1529" s="2909" t="s">
        <v>5793</v>
      </c>
      <c r="P1529" s="2909"/>
      <c r="Q1529" s="2901"/>
      <c r="R1529" s="12"/>
      <c r="S1529" s="9"/>
      <c r="T1529" s="10"/>
      <c r="U1529" s="11"/>
      <c r="V1529" s="12"/>
      <c r="W1529" s="9"/>
      <c r="X1529" s="10"/>
      <c r="Y1529" s="11"/>
      <c r="Z1529" s="12"/>
      <c r="AA1529" s="33"/>
      <c r="AB1529" s="10"/>
    </row>
    <row r="1530" spans="1:28">
      <c r="A1530" s="2581" t="s">
        <v>6307</v>
      </c>
      <c r="B1530" s="2318" t="s">
        <v>5792</v>
      </c>
      <c r="C1530" s="14"/>
      <c r="D1530" s="15"/>
      <c r="E1530" s="16"/>
      <c r="F1530" s="17"/>
      <c r="G1530" s="14"/>
      <c r="H1530" s="15"/>
      <c r="I1530" s="16"/>
      <c r="J1530" s="17"/>
      <c r="K1530" s="14"/>
      <c r="L1530" s="15"/>
      <c r="M1530" s="16"/>
      <c r="N1530" s="17"/>
      <c r="O1530" s="2823" t="s">
        <v>5793</v>
      </c>
      <c r="P1530" s="2823"/>
      <c r="Q1530" s="2646"/>
      <c r="R1530" s="17"/>
      <c r="S1530" s="14"/>
      <c r="T1530" s="15"/>
      <c r="U1530" s="16"/>
      <c r="V1530" s="17"/>
      <c r="W1530" s="14"/>
      <c r="X1530" s="15"/>
      <c r="Y1530" s="16"/>
      <c r="Z1530" s="17"/>
      <c r="AA1530" s="30"/>
      <c r="AB1530" s="15"/>
    </row>
    <row r="1531" spans="1:28">
      <c r="A1531" s="2582" t="s">
        <v>6308</v>
      </c>
      <c r="B1531" s="1541" t="s">
        <v>5792</v>
      </c>
      <c r="C1531" s="14"/>
      <c r="D1531" s="15"/>
      <c r="E1531" s="16"/>
      <c r="F1531" s="17"/>
      <c r="G1531" s="14"/>
      <c r="H1531" s="15"/>
      <c r="I1531" s="16"/>
      <c r="J1531" s="17"/>
      <c r="K1531" s="14"/>
      <c r="L1531" s="15"/>
      <c r="M1531" s="16"/>
      <c r="N1531" s="17"/>
      <c r="O1531" s="2823" t="s">
        <v>5795</v>
      </c>
      <c r="P1531" s="2823"/>
      <c r="Q1531" s="2646"/>
      <c r="R1531" s="17"/>
      <c r="S1531" s="14"/>
      <c r="T1531" s="15"/>
      <c r="U1531" s="16"/>
      <c r="V1531" s="17"/>
      <c r="W1531" s="14"/>
      <c r="X1531" s="15"/>
      <c r="Y1531" s="16"/>
      <c r="Z1531" s="17"/>
      <c r="AA1531" s="30"/>
      <c r="AB1531" s="15"/>
    </row>
    <row r="1532" spans="1:28">
      <c r="A1532" s="2582" t="s">
        <v>6309</v>
      </c>
      <c r="B1532" s="1541" t="s">
        <v>5792</v>
      </c>
      <c r="C1532" s="14"/>
      <c r="D1532" s="15"/>
      <c r="E1532" s="16"/>
      <c r="F1532" s="17"/>
      <c r="G1532" s="14"/>
      <c r="H1532" s="15"/>
      <c r="I1532" s="16"/>
      <c r="J1532" s="17"/>
      <c r="K1532" s="14"/>
      <c r="L1532" s="15"/>
      <c r="M1532" s="16"/>
      <c r="N1532" s="17"/>
      <c r="O1532" s="2823" t="s">
        <v>5795</v>
      </c>
      <c r="P1532" s="2823"/>
      <c r="Q1532" s="2646"/>
      <c r="R1532" s="17"/>
      <c r="S1532" s="14"/>
      <c r="T1532" s="15"/>
      <c r="U1532" s="16"/>
      <c r="V1532" s="17"/>
      <c r="W1532" s="14"/>
      <c r="X1532" s="15"/>
      <c r="Y1532" s="16"/>
      <c r="Z1532" s="17"/>
      <c r="AA1532" s="30"/>
      <c r="AB1532" s="15"/>
    </row>
    <row r="1533" spans="1:28">
      <c r="A1533" s="2199" t="s">
        <v>6310</v>
      </c>
      <c r="B1533" s="1541" t="s">
        <v>5792</v>
      </c>
      <c r="C1533" s="14"/>
      <c r="D1533" s="15"/>
      <c r="E1533" s="16"/>
      <c r="F1533" s="17"/>
      <c r="G1533" s="14"/>
      <c r="H1533" s="15"/>
      <c r="I1533" s="16"/>
      <c r="J1533" s="17"/>
      <c r="K1533" s="14"/>
      <c r="L1533" s="15"/>
      <c r="M1533" s="16"/>
      <c r="N1533" s="17"/>
      <c r="O1533" s="2824" t="s">
        <v>5797</v>
      </c>
      <c r="P1533" s="2824"/>
      <c r="Q1533" s="2646"/>
      <c r="R1533" s="17"/>
      <c r="S1533" s="14"/>
      <c r="T1533" s="15"/>
      <c r="U1533" s="16"/>
      <c r="V1533" s="17"/>
      <c r="W1533" s="14"/>
      <c r="X1533" s="15"/>
      <c r="Y1533" s="16"/>
      <c r="Z1533" s="17"/>
      <c r="AA1533" s="30"/>
      <c r="AB1533" s="15"/>
    </row>
    <row r="1534" spans="1:28" ht="40.5">
      <c r="A1534" s="3" t="s">
        <v>5063</v>
      </c>
      <c r="B1534" s="23"/>
      <c r="C1534" s="3"/>
      <c r="D1534" s="3"/>
      <c r="E1534" s="3"/>
      <c r="F1534" s="3"/>
      <c r="G1534" s="3"/>
      <c r="H1534" s="3"/>
      <c r="I1534" s="3"/>
      <c r="J1534" s="3"/>
      <c r="K1534" s="3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B1534" s="4"/>
    </row>
    <row r="1535" spans="1:28" ht="40.5" thickBot="1">
      <c r="A1535" s="5" t="s">
        <v>5064</v>
      </c>
    </row>
    <row r="1536" spans="1:28">
      <c r="A1536" s="3544" t="s">
        <v>2</v>
      </c>
      <c r="B1536" s="3546" t="s">
        <v>3</v>
      </c>
      <c r="C1536" s="3537" t="s">
        <v>5065</v>
      </c>
      <c r="D1536" s="3538"/>
      <c r="E1536" s="3536" t="s">
        <v>5066</v>
      </c>
      <c r="F1536" s="3536"/>
      <c r="G1536" s="3537" t="s">
        <v>5067</v>
      </c>
      <c r="H1536" s="3538"/>
      <c r="I1536" s="3536" t="s">
        <v>5068</v>
      </c>
      <c r="J1536" s="3536"/>
      <c r="K1536" s="3537" t="s">
        <v>5069</v>
      </c>
      <c r="L1536" s="3538"/>
      <c r="M1536" s="3536" t="s">
        <v>5070</v>
      </c>
      <c r="N1536" s="3536"/>
      <c r="O1536" s="3542"/>
      <c r="P1536" s="3542"/>
      <c r="Q1536" s="3536" t="s">
        <v>5071</v>
      </c>
      <c r="R1536" s="3536"/>
      <c r="S1536" s="3536" t="s">
        <v>5072</v>
      </c>
      <c r="T1536" s="3536"/>
      <c r="U1536" s="3472" t="s">
        <v>5073</v>
      </c>
      <c r="V1536" s="3473"/>
      <c r="W1536" s="3536" t="s">
        <v>5074</v>
      </c>
      <c r="X1536" s="3536"/>
      <c r="Y1536" s="3472" t="s">
        <v>5075</v>
      </c>
      <c r="Z1536" s="3475"/>
      <c r="AA1536" s="3537" t="s">
        <v>5076</v>
      </c>
      <c r="AB1536" s="3538"/>
    </row>
    <row r="1537" spans="1:28">
      <c r="A1537" s="3553"/>
      <c r="B1537" s="3554"/>
      <c r="C1537" s="3278" t="s">
        <v>5078</v>
      </c>
      <c r="D1537" s="3279" t="s">
        <v>5079</v>
      </c>
      <c r="E1537" s="2587" t="s">
        <v>5078</v>
      </c>
      <c r="F1537" s="3280" t="s">
        <v>5079</v>
      </c>
      <c r="G1537" s="3278" t="s">
        <v>5078</v>
      </c>
      <c r="H1537" s="3279" t="s">
        <v>5079</v>
      </c>
      <c r="I1537" s="2587" t="s">
        <v>5078</v>
      </c>
      <c r="J1537" s="3280" t="s">
        <v>5079</v>
      </c>
      <c r="K1537" s="3278" t="s">
        <v>5078</v>
      </c>
      <c r="L1537" s="3279" t="s">
        <v>5079</v>
      </c>
      <c r="M1537" s="2587" t="s">
        <v>5078</v>
      </c>
      <c r="N1537" s="3280" t="s">
        <v>5079</v>
      </c>
      <c r="O1537" s="2763"/>
      <c r="P1537" s="3281"/>
      <c r="Q1537" s="2587" t="s">
        <v>5078</v>
      </c>
      <c r="R1537" s="3280" t="s">
        <v>5079</v>
      </c>
      <c r="S1537" s="3278" t="s">
        <v>5078</v>
      </c>
      <c r="T1537" s="3279" t="s">
        <v>5079</v>
      </c>
      <c r="U1537" s="2587" t="s">
        <v>5078</v>
      </c>
      <c r="V1537" s="3280" t="s">
        <v>5079</v>
      </c>
      <c r="W1537" s="3278" t="s">
        <v>5078</v>
      </c>
      <c r="X1537" s="3279" t="s">
        <v>5079</v>
      </c>
      <c r="Y1537" s="2587" t="s">
        <v>5078</v>
      </c>
      <c r="Z1537" s="3280" t="s">
        <v>5079</v>
      </c>
      <c r="AA1537" s="3278" t="s">
        <v>5078</v>
      </c>
      <c r="AB1537" s="3279" t="s">
        <v>5079</v>
      </c>
    </row>
    <row r="1538" spans="1:28">
      <c r="A1538" s="2199" t="s">
        <v>6311</v>
      </c>
      <c r="B1538" s="1541" t="s">
        <v>5792</v>
      </c>
      <c r="C1538" s="14"/>
      <c r="D1538" s="15"/>
      <c r="E1538" s="16"/>
      <c r="F1538" s="17"/>
      <c r="G1538" s="14"/>
      <c r="H1538" s="15"/>
      <c r="I1538" s="16"/>
      <c r="J1538" s="17"/>
      <c r="K1538" s="14"/>
      <c r="L1538" s="15"/>
      <c r="M1538" s="16"/>
      <c r="N1538" s="17"/>
      <c r="O1538" s="2824" t="s">
        <v>5797</v>
      </c>
      <c r="P1538" s="2824"/>
      <c r="Q1538" s="2646"/>
      <c r="R1538" s="17"/>
      <c r="S1538" s="14"/>
      <c r="T1538" s="15"/>
      <c r="U1538" s="16"/>
      <c r="V1538" s="17"/>
      <c r="W1538" s="14"/>
      <c r="X1538" s="15"/>
      <c r="Y1538" s="16"/>
      <c r="Z1538" s="17"/>
      <c r="AA1538" s="30"/>
      <c r="AB1538" s="15"/>
    </row>
    <row r="1539" spans="1:28">
      <c r="A1539" s="2582" t="s">
        <v>5787</v>
      </c>
      <c r="B1539" s="1541" t="s">
        <v>5792</v>
      </c>
      <c r="C1539" s="14"/>
      <c r="D1539" s="15"/>
      <c r="E1539" s="16"/>
      <c r="F1539" s="17"/>
      <c r="G1539" s="14"/>
      <c r="H1539" s="15"/>
      <c r="I1539" s="16"/>
      <c r="J1539" s="17"/>
      <c r="K1539" s="14"/>
      <c r="L1539" s="15"/>
      <c r="M1539" s="16"/>
      <c r="N1539" s="17"/>
      <c r="O1539" s="2994" t="s">
        <v>5798</v>
      </c>
      <c r="P1539" s="2826"/>
      <c r="Q1539" s="2645"/>
      <c r="R1539" s="1795"/>
      <c r="S1539" s="14"/>
      <c r="T1539" s="15"/>
      <c r="U1539" s="16"/>
      <c r="V1539" s="17"/>
      <c r="W1539" s="14"/>
      <c r="X1539" s="15"/>
      <c r="Y1539" s="16"/>
      <c r="Z1539" s="17"/>
      <c r="AA1539" s="30"/>
      <c r="AB1539" s="15"/>
    </row>
    <row r="1540" spans="1:28">
      <c r="A1540" s="3277" t="s">
        <v>5789</v>
      </c>
      <c r="B1540" s="1541" t="s">
        <v>5792</v>
      </c>
      <c r="C1540" s="16"/>
      <c r="D1540" s="15"/>
      <c r="E1540" s="16"/>
      <c r="F1540" s="17"/>
      <c r="G1540" s="14"/>
      <c r="H1540" s="15"/>
      <c r="I1540" s="16"/>
      <c r="J1540" s="17"/>
      <c r="K1540" s="14"/>
      <c r="L1540" s="15"/>
      <c r="M1540" s="16"/>
      <c r="N1540" s="17"/>
      <c r="O1540" s="2994" t="s">
        <v>5799</v>
      </c>
      <c r="P1540" s="2826"/>
      <c r="Q1540" s="2649"/>
      <c r="R1540" s="2650"/>
      <c r="S1540" s="2651"/>
      <c r="T1540" s="2648"/>
      <c r="U1540" s="16"/>
      <c r="V1540" s="17"/>
      <c r="W1540" s="14"/>
      <c r="X1540" s="15"/>
      <c r="Y1540" s="16"/>
      <c r="Z1540" s="17"/>
      <c r="AA1540" s="30"/>
      <c r="AB1540" s="15"/>
    </row>
    <row r="1541" spans="1:28" ht="40.5" thickBot="1">
      <c r="A1541" s="3275" t="s">
        <v>6304</v>
      </c>
      <c r="B1541" s="3276" t="s">
        <v>5792</v>
      </c>
      <c r="C1541" s="2430"/>
      <c r="D1541" s="2431"/>
      <c r="E1541" s="2432"/>
      <c r="F1541" s="2566"/>
      <c r="G1541" s="2430"/>
      <c r="H1541" s="2431"/>
      <c r="I1541" s="2432"/>
      <c r="J1541" s="2566"/>
      <c r="K1541" s="2430"/>
      <c r="L1541" s="2431"/>
      <c r="M1541" s="2432"/>
      <c r="N1541" s="2566"/>
      <c r="O1541" s="3286" t="s">
        <v>6312</v>
      </c>
      <c r="P1541" s="3287"/>
      <c r="Q1541" s="3288"/>
      <c r="R1541" s="3289"/>
      <c r="S1541" s="3290"/>
      <c r="T1541" s="3291"/>
      <c r="U1541" s="2432"/>
      <c r="V1541" s="2566"/>
      <c r="W1541" s="2430"/>
      <c r="X1541" s="2431"/>
      <c r="Y1541" s="2432"/>
      <c r="Z1541" s="2566"/>
      <c r="AA1541" s="2433"/>
      <c r="AB1541" s="2431"/>
    </row>
    <row r="1542" spans="1:28" ht="41.25" thickTop="1" thickBot="1">
      <c r="A1542" s="233" t="s">
        <v>6313</v>
      </c>
      <c r="B1542" s="117" t="s">
        <v>5800</v>
      </c>
      <c r="C1542" s="3282"/>
      <c r="D1542" s="2631"/>
      <c r="E1542" s="3283"/>
      <c r="F1542" s="3284"/>
      <c r="G1542" s="3282"/>
      <c r="H1542" s="2631"/>
      <c r="I1542" s="3283"/>
      <c r="J1542" s="3284"/>
      <c r="K1542" s="3282"/>
      <c r="L1542" s="2631"/>
      <c r="M1542" s="3283"/>
      <c r="N1542" s="3284"/>
      <c r="O1542" s="2909" t="s">
        <v>5801</v>
      </c>
      <c r="P1542" s="2909"/>
      <c r="Q1542" s="3285"/>
      <c r="R1542" s="3284"/>
      <c r="S1542" s="3282"/>
      <c r="T1542" s="2631"/>
      <c r="U1542" s="3283"/>
      <c r="V1542" s="3284"/>
      <c r="W1542" s="3282"/>
      <c r="X1542" s="2631"/>
      <c r="Y1542" s="3283"/>
      <c r="Z1542" s="3284"/>
      <c r="AA1542" s="2630"/>
      <c r="AB1542" s="2631"/>
    </row>
    <row r="1543" spans="1:28" ht="40.5" thickBot="1">
      <c r="A1543" s="233" t="s">
        <v>6314</v>
      </c>
      <c r="B1543" s="117" t="s">
        <v>5800</v>
      </c>
      <c r="C1543" s="6"/>
      <c r="D1543" s="32"/>
      <c r="E1543" s="7"/>
      <c r="F1543" s="40"/>
      <c r="G1543" s="6"/>
      <c r="H1543" s="32"/>
      <c r="I1543" s="7"/>
      <c r="J1543" s="40"/>
      <c r="K1543" s="6"/>
      <c r="L1543" s="32"/>
      <c r="M1543" s="7"/>
      <c r="N1543" s="40"/>
      <c r="O1543" s="2823" t="s">
        <v>5801</v>
      </c>
      <c r="P1543" s="2823"/>
      <c r="Q1543" s="2647"/>
      <c r="R1543" s="40"/>
      <c r="S1543" s="6"/>
      <c r="T1543" s="32"/>
      <c r="U1543" s="7"/>
      <c r="V1543" s="40"/>
      <c r="W1543" s="6"/>
      <c r="X1543" s="32"/>
      <c r="Y1543" s="7"/>
      <c r="Z1543" s="40"/>
      <c r="AA1543" s="2630"/>
      <c r="AB1543" s="2631"/>
    </row>
    <row r="1544" spans="1:28" ht="40.5" thickBot="1">
      <c r="A1544" s="139" t="s">
        <v>6315</v>
      </c>
      <c r="B1544" s="207" t="s">
        <v>5800</v>
      </c>
      <c r="C1544" s="6"/>
      <c r="D1544" s="32"/>
      <c r="E1544" s="7"/>
      <c r="F1544" s="40"/>
      <c r="G1544" s="6"/>
      <c r="H1544" s="32"/>
      <c r="I1544" s="7"/>
      <c r="J1544" s="40"/>
      <c r="K1544" s="6"/>
      <c r="L1544" s="32"/>
      <c r="M1544" s="7"/>
      <c r="N1544" s="40"/>
      <c r="O1544" s="3008" t="s">
        <v>5803</v>
      </c>
      <c r="P1544" s="2906"/>
      <c r="Q1544" s="7"/>
      <c r="R1544" s="40"/>
      <c r="S1544" s="6"/>
      <c r="T1544" s="32"/>
      <c r="U1544" s="7"/>
      <c r="V1544" s="40"/>
      <c r="W1544" s="6"/>
      <c r="X1544" s="32"/>
      <c r="Y1544" s="7"/>
      <c r="Z1544" s="32"/>
      <c r="AA1544" s="31"/>
      <c r="AB1544" s="32"/>
    </row>
    <row r="1545" spans="1:28" ht="40.5" thickBot="1">
      <c r="A1545" s="139" t="s">
        <v>6316</v>
      </c>
      <c r="B1545" s="207" t="s">
        <v>5800</v>
      </c>
      <c r="C1545" s="6"/>
      <c r="D1545" s="32"/>
      <c r="E1545" s="7"/>
      <c r="F1545" s="40"/>
      <c r="G1545" s="6"/>
      <c r="H1545" s="32"/>
      <c r="I1545" s="7"/>
      <c r="J1545" s="40"/>
      <c r="K1545" s="6"/>
      <c r="L1545" s="32"/>
      <c r="M1545" s="7"/>
      <c r="N1545" s="40"/>
      <c r="O1545" s="3008" t="s">
        <v>5803</v>
      </c>
      <c r="P1545" s="2906"/>
      <c r="Q1545" s="7"/>
      <c r="R1545" s="40"/>
      <c r="S1545" s="6"/>
      <c r="T1545" s="32"/>
      <c r="U1545" s="7"/>
      <c r="V1545" s="40"/>
      <c r="W1545" s="6"/>
      <c r="X1545" s="32"/>
      <c r="Y1545" s="7"/>
      <c r="Z1545" s="32"/>
      <c r="AA1545" s="31"/>
      <c r="AB1545" s="32"/>
    </row>
    <row r="1546" spans="1:28" ht="40.5" thickBot="1">
      <c r="A1546" s="139" t="s">
        <v>6317</v>
      </c>
      <c r="B1546" s="207" t="s">
        <v>5800</v>
      </c>
      <c r="C1546" s="6"/>
      <c r="D1546" s="32"/>
      <c r="E1546" s="7"/>
      <c r="F1546" s="40"/>
      <c r="G1546" s="6"/>
      <c r="H1546" s="32"/>
      <c r="I1546" s="7"/>
      <c r="J1546" s="40"/>
      <c r="K1546" s="6"/>
      <c r="L1546" s="32"/>
      <c r="M1546" s="7"/>
      <c r="N1546" s="40"/>
      <c r="O1546" s="3008" t="s">
        <v>5802</v>
      </c>
      <c r="P1546" s="2906"/>
      <c r="Q1546" s="7"/>
      <c r="R1546" s="40"/>
      <c r="S1546" s="6"/>
      <c r="T1546" s="32"/>
      <c r="U1546" s="7"/>
      <c r="V1546" s="40"/>
      <c r="W1546" s="6"/>
      <c r="X1546" s="32"/>
      <c r="Y1546" s="7"/>
      <c r="Z1546" s="32"/>
      <c r="AA1546" s="31"/>
      <c r="AB1546" s="32"/>
    </row>
    <row r="1547" spans="1:28" ht="40.5" thickBot="1">
      <c r="A1547" s="139" t="s">
        <v>6318</v>
      </c>
      <c r="B1547" s="207" t="s">
        <v>5800</v>
      </c>
      <c r="C1547" s="6"/>
      <c r="D1547" s="32"/>
      <c r="E1547" s="7"/>
      <c r="F1547" s="40"/>
      <c r="G1547" s="6"/>
      <c r="H1547" s="32"/>
      <c r="I1547" s="7"/>
      <c r="J1547" s="40"/>
      <c r="K1547" s="6"/>
      <c r="L1547" s="32"/>
      <c r="M1547" s="7"/>
      <c r="N1547" s="40"/>
      <c r="O1547" s="3008" t="s">
        <v>5802</v>
      </c>
      <c r="P1547" s="2906"/>
      <c r="Q1547" s="7"/>
      <c r="R1547" s="40"/>
      <c r="S1547" s="6"/>
      <c r="T1547" s="32"/>
      <c r="U1547" s="7"/>
      <c r="V1547" s="40"/>
      <c r="W1547" s="6"/>
      <c r="X1547" s="32"/>
      <c r="Y1547" s="7"/>
      <c r="Z1547" s="32"/>
      <c r="AA1547" s="31"/>
      <c r="AB1547" s="32"/>
    </row>
    <row r="1548" spans="1:28" ht="40.5" thickBot="1">
      <c r="A1548" s="139" t="s">
        <v>5787</v>
      </c>
      <c r="B1548" s="207" t="s">
        <v>5800</v>
      </c>
      <c r="C1548" s="6"/>
      <c r="D1548" s="32"/>
      <c r="E1548" s="7"/>
      <c r="F1548" s="40"/>
      <c r="G1548" s="6"/>
      <c r="H1548" s="32"/>
      <c r="I1548" s="7"/>
      <c r="J1548" s="40"/>
      <c r="K1548" s="6"/>
      <c r="L1548" s="32"/>
      <c r="M1548" s="7"/>
      <c r="N1548" s="40"/>
      <c r="O1548" s="3187" t="s">
        <v>5787</v>
      </c>
      <c r="P1548" s="2830"/>
      <c r="Q1548" s="7"/>
      <c r="R1548" s="40"/>
      <c r="S1548" s="6"/>
      <c r="T1548" s="32"/>
      <c r="U1548" s="7"/>
      <c r="V1548" s="40"/>
      <c r="W1548" s="6"/>
      <c r="X1548" s="32"/>
      <c r="Y1548" s="7"/>
      <c r="Z1548" s="32"/>
      <c r="AA1548" s="31"/>
      <c r="AB1548" s="32"/>
    </row>
    <row r="1549" spans="1:28" ht="40.5" thickBot="1">
      <c r="A1549" s="3269" t="s">
        <v>5789</v>
      </c>
      <c r="B1549" s="207" t="s">
        <v>6319</v>
      </c>
      <c r="C1549" s="14"/>
      <c r="D1549" s="15"/>
      <c r="E1549" s="16"/>
      <c r="F1549" s="17"/>
      <c r="G1549" s="14"/>
      <c r="H1549" s="15"/>
      <c r="I1549" s="16"/>
      <c r="J1549" s="17"/>
      <c r="K1549" s="14"/>
      <c r="L1549" s="15"/>
      <c r="M1549" s="16"/>
      <c r="N1549" s="17"/>
      <c r="O1549" s="3268" t="s">
        <v>5789</v>
      </c>
      <c r="P1549" s="3273"/>
      <c r="Q1549" s="791"/>
      <c r="R1549" s="17"/>
      <c r="S1549" s="14"/>
      <c r="T1549" s="15"/>
      <c r="U1549" s="16"/>
      <c r="V1549" s="17"/>
      <c r="W1549" s="14"/>
      <c r="X1549" s="15"/>
      <c r="Y1549" s="16"/>
      <c r="Z1549" s="17"/>
      <c r="AA1549" s="30"/>
      <c r="AB1549" s="15"/>
    </row>
    <row r="1550" spans="1:28" ht="41.25" thickTop="1" thickBot="1">
      <c r="A1550" s="3272" t="s">
        <v>6304</v>
      </c>
      <c r="B1550" s="2580" t="s">
        <v>6319</v>
      </c>
      <c r="C1550" s="2430"/>
      <c r="D1550" s="2431"/>
      <c r="E1550" s="2432"/>
      <c r="F1550" s="2566"/>
      <c r="G1550" s="2430"/>
      <c r="H1550" s="2431"/>
      <c r="I1550" s="2432"/>
      <c r="J1550" s="2566"/>
      <c r="K1550" s="2430"/>
      <c r="L1550" s="2431"/>
      <c r="M1550" s="2432"/>
      <c r="N1550" s="2566"/>
      <c r="O1550" s="3270" t="s">
        <v>6304</v>
      </c>
      <c r="P1550" s="3271"/>
      <c r="Q1550" s="3274"/>
      <c r="R1550" s="2566"/>
      <c r="S1550" s="2430"/>
      <c r="T1550" s="2431"/>
      <c r="U1550" s="2432"/>
      <c r="V1550" s="2566"/>
      <c r="W1550" s="2430"/>
      <c r="X1550" s="2431"/>
      <c r="Y1550" s="2432"/>
      <c r="Z1550" s="2566"/>
      <c r="AA1550" s="2433"/>
      <c r="AB1550" s="2431"/>
    </row>
    <row r="1551" spans="1:28" ht="40.5" thickTop="1">
      <c r="A1551" s="105" t="s">
        <v>5774</v>
      </c>
      <c r="B1551" s="2585" t="s">
        <v>3739</v>
      </c>
      <c r="C1551" s="14"/>
      <c r="D1551" s="15"/>
      <c r="E1551" s="16"/>
      <c r="F1551" s="17"/>
      <c r="G1551" s="14"/>
      <c r="H1551" s="15"/>
      <c r="I1551" s="16"/>
      <c r="J1551" s="17"/>
      <c r="K1551" s="14"/>
      <c r="L1551" s="15"/>
      <c r="M1551" s="16"/>
      <c r="N1551" s="17"/>
      <c r="O1551" s="2823" t="s">
        <v>5807</v>
      </c>
      <c r="P1551" s="2823"/>
      <c r="Q1551" s="2646"/>
      <c r="R1551" s="17"/>
      <c r="S1551" s="14"/>
      <c r="T1551" s="15"/>
      <c r="U1551" s="16"/>
      <c r="V1551" s="17"/>
      <c r="W1551" s="14"/>
      <c r="X1551" s="15"/>
      <c r="Y1551" s="16"/>
      <c r="Z1551" s="17"/>
      <c r="AA1551" s="30"/>
      <c r="AB1551" s="15"/>
    </row>
    <row r="1552" spans="1:28">
      <c r="A1552" s="2106" t="s">
        <v>5796</v>
      </c>
      <c r="B1552" s="341" t="s">
        <v>3739</v>
      </c>
      <c r="C1552" s="14"/>
      <c r="D1552" s="15"/>
      <c r="E1552" s="16"/>
      <c r="F1552" s="17"/>
      <c r="G1552" s="14"/>
      <c r="H1552" s="15"/>
      <c r="I1552" s="16"/>
      <c r="J1552" s="17"/>
      <c r="K1552" s="14"/>
      <c r="L1552" s="15"/>
      <c r="M1552" s="16"/>
      <c r="N1552" s="17"/>
      <c r="O1552" s="2823" t="s">
        <v>5808</v>
      </c>
      <c r="P1552" s="2823"/>
      <c r="Q1552" s="2646"/>
      <c r="R1552" s="17"/>
      <c r="S1552" s="14"/>
      <c r="T1552" s="15"/>
      <c r="U1552" s="16"/>
      <c r="V1552" s="17"/>
      <c r="W1552" s="14"/>
      <c r="X1552" s="15"/>
      <c r="Y1552" s="16"/>
      <c r="Z1552" s="17"/>
      <c r="AA1552" s="30"/>
      <c r="AB1552" s="15"/>
    </row>
    <row r="1553" spans="1:28">
      <c r="A1553" s="3009" t="s">
        <v>5778</v>
      </c>
      <c r="B1553" s="3010" t="s">
        <v>3739</v>
      </c>
      <c r="C1553" s="16"/>
      <c r="D1553" s="15"/>
      <c r="E1553" s="16"/>
      <c r="F1553" s="17"/>
      <c r="G1553" s="14"/>
      <c r="H1553" s="15"/>
      <c r="I1553" s="16"/>
      <c r="J1553" s="17"/>
      <c r="K1553" s="14"/>
      <c r="L1553" s="15"/>
      <c r="M1553" s="16"/>
      <c r="N1553" s="17"/>
      <c r="O1553" s="2823" t="s">
        <v>5809</v>
      </c>
      <c r="P1553" s="2823"/>
      <c r="Q1553" s="2646"/>
      <c r="R1553" s="17"/>
      <c r="S1553" s="14"/>
      <c r="T1553" s="15"/>
      <c r="U1553" s="16"/>
      <c r="V1553" s="17"/>
      <c r="W1553" s="14"/>
      <c r="X1553" s="15"/>
      <c r="Y1553" s="16"/>
      <c r="Z1553" s="17"/>
      <c r="AA1553" s="30"/>
      <c r="AB1553" s="15"/>
    </row>
    <row r="1554" spans="1:28">
      <c r="A1554" s="105" t="s">
        <v>5774</v>
      </c>
      <c r="B1554" s="207" t="s">
        <v>5810</v>
      </c>
      <c r="C1554" s="16"/>
      <c r="D1554" s="15"/>
      <c r="E1554" s="16"/>
      <c r="F1554" s="17"/>
      <c r="G1554" s="14"/>
      <c r="H1554" s="15"/>
      <c r="I1554" s="16"/>
      <c r="J1554" s="17"/>
      <c r="K1554" s="14"/>
      <c r="L1554" s="15"/>
      <c r="M1554" s="16"/>
      <c r="N1554" s="17"/>
      <c r="O1554" s="2823" t="s">
        <v>5811</v>
      </c>
      <c r="P1554" s="2823"/>
      <c r="Q1554" s="2646"/>
      <c r="R1554" s="17"/>
      <c r="S1554" s="14"/>
      <c r="T1554" s="15"/>
      <c r="U1554" s="16"/>
      <c r="V1554" s="17"/>
      <c r="W1554" s="14"/>
      <c r="X1554" s="15"/>
      <c r="Y1554" s="16"/>
      <c r="Z1554" s="17"/>
      <c r="AA1554" s="30"/>
      <c r="AB1554" s="15"/>
    </row>
    <row r="1555" spans="1:28">
      <c r="A1555" s="460" t="s">
        <v>5796</v>
      </c>
      <c r="B1555" s="207" t="s">
        <v>5810</v>
      </c>
      <c r="C1555" s="14"/>
      <c r="D1555" s="15"/>
      <c r="E1555" s="16"/>
      <c r="F1555" s="17"/>
      <c r="G1555" s="14"/>
      <c r="H1555" s="15"/>
      <c r="I1555" s="16"/>
      <c r="J1555" s="17"/>
      <c r="K1555" s="14"/>
      <c r="L1555" s="15"/>
      <c r="M1555" s="16"/>
      <c r="N1555" s="17"/>
      <c r="O1555" s="2823" t="s">
        <v>5812</v>
      </c>
      <c r="P1555" s="2823"/>
      <c r="Q1555" s="2646"/>
      <c r="R1555" s="17"/>
      <c r="S1555" s="14"/>
      <c r="T1555" s="15"/>
      <c r="U1555" s="16"/>
      <c r="V1555" s="17"/>
      <c r="W1555" s="14"/>
      <c r="X1555" s="15"/>
      <c r="Y1555" s="16"/>
      <c r="Z1555" s="17"/>
      <c r="AA1555" s="30"/>
      <c r="AB1555" s="15"/>
    </row>
    <row r="1556" spans="1:28" ht="40.5" thickBot="1">
      <c r="A1556" s="2134" t="s">
        <v>5778</v>
      </c>
      <c r="B1556" s="2580" t="s">
        <v>5810</v>
      </c>
      <c r="C1556" s="14"/>
      <c r="D1556" s="15"/>
      <c r="E1556" s="16"/>
      <c r="F1556" s="17"/>
      <c r="G1556" s="14"/>
      <c r="H1556" s="15"/>
      <c r="I1556" s="16"/>
      <c r="J1556" s="17"/>
      <c r="K1556" s="14"/>
      <c r="L1556" s="15"/>
      <c r="M1556" s="16"/>
      <c r="N1556" s="17"/>
      <c r="O1556" s="2823" t="s">
        <v>5813</v>
      </c>
      <c r="P1556" s="2823"/>
      <c r="Q1556" s="2646"/>
      <c r="R1556" s="17"/>
      <c r="S1556" s="14"/>
      <c r="T1556" s="15"/>
      <c r="U1556" s="16"/>
      <c r="V1556" s="17"/>
      <c r="W1556" s="14"/>
      <c r="X1556" s="15"/>
      <c r="Y1556" s="16"/>
      <c r="Z1556" s="17"/>
      <c r="AA1556" s="30"/>
      <c r="AB1556" s="15"/>
    </row>
    <row r="1557" spans="1:28" ht="40.5" thickTop="1">
      <c r="A1557" s="1000" t="s">
        <v>5814</v>
      </c>
      <c r="B1557" s="1106"/>
      <c r="C1557" s="14"/>
      <c r="D1557" s="15"/>
      <c r="E1557" s="16"/>
      <c r="F1557" s="17"/>
      <c r="G1557" s="14"/>
      <c r="H1557" s="15"/>
      <c r="I1557" s="16"/>
      <c r="J1557" s="17"/>
      <c r="K1557" s="14"/>
      <c r="L1557" s="15"/>
      <c r="M1557" s="16"/>
      <c r="N1557" s="17"/>
      <c r="O1557" s="2823" t="s">
        <v>5814</v>
      </c>
      <c r="P1557" s="2823"/>
      <c r="Q1557" s="2646"/>
      <c r="R1557" s="17"/>
      <c r="S1557" s="14"/>
      <c r="T1557" s="15"/>
      <c r="U1557" s="16"/>
      <c r="V1557" s="17"/>
      <c r="W1557" s="14"/>
      <c r="X1557" s="15"/>
      <c r="Y1557" s="16"/>
      <c r="Z1557" s="17"/>
      <c r="AA1557" s="30"/>
      <c r="AB1557" s="15"/>
    </row>
    <row r="1558" spans="1:28">
      <c r="A1558" s="1000" t="s">
        <v>5815</v>
      </c>
      <c r="B1558" s="320"/>
      <c r="C1558" s="14"/>
      <c r="D1558" s="15"/>
      <c r="E1558" s="16"/>
      <c r="F1558" s="17"/>
      <c r="G1558" s="14"/>
      <c r="H1558" s="15"/>
      <c r="I1558" s="16"/>
      <c r="J1558" s="17"/>
      <c r="K1558" s="14"/>
      <c r="L1558" s="15"/>
      <c r="M1558" s="16"/>
      <c r="N1558" s="17"/>
      <c r="O1558" s="2823" t="s">
        <v>5816</v>
      </c>
      <c r="P1558" s="2823"/>
      <c r="Q1558" s="2646"/>
      <c r="R1558" s="17"/>
      <c r="S1558" s="14"/>
      <c r="T1558" s="15"/>
      <c r="U1558" s="16"/>
      <c r="V1558" s="17"/>
      <c r="W1558" s="14"/>
      <c r="X1558" s="15"/>
      <c r="Y1558" s="16"/>
      <c r="Z1558" s="17"/>
      <c r="AA1558" s="30"/>
      <c r="AB1558" s="15"/>
    </row>
    <row r="1559" spans="1:28">
      <c r="A1559" s="1000" t="s">
        <v>5817</v>
      </c>
      <c r="B1559" s="320"/>
      <c r="C1559" s="14"/>
      <c r="D1559" s="15"/>
      <c r="E1559" s="16"/>
      <c r="F1559" s="17"/>
      <c r="G1559" s="14"/>
      <c r="H1559" s="15"/>
      <c r="I1559" s="16"/>
      <c r="J1559" s="17"/>
      <c r="K1559" s="14"/>
      <c r="L1559" s="15"/>
      <c r="M1559" s="16"/>
      <c r="N1559" s="17"/>
      <c r="O1559" s="2823" t="s">
        <v>5817</v>
      </c>
      <c r="P1559" s="2823"/>
      <c r="Q1559" s="2646"/>
      <c r="R1559" s="17"/>
      <c r="S1559" s="14"/>
      <c r="T1559" s="15"/>
      <c r="U1559" s="16"/>
      <c r="V1559" s="17"/>
      <c r="W1559" s="14"/>
      <c r="X1559" s="15"/>
      <c r="Y1559" s="16"/>
      <c r="Z1559" s="17"/>
      <c r="AA1559" s="30"/>
      <c r="AB1559" s="15"/>
    </row>
    <row r="1560" spans="1:28">
      <c r="A1560" s="1000" t="s">
        <v>5818</v>
      </c>
      <c r="B1560" s="320"/>
      <c r="C1560" s="14"/>
      <c r="D1560" s="15"/>
      <c r="E1560" s="16"/>
      <c r="F1560" s="17"/>
      <c r="G1560" s="14"/>
      <c r="H1560" s="15"/>
      <c r="I1560" s="16"/>
      <c r="J1560" s="17"/>
      <c r="K1560" s="14"/>
      <c r="L1560" s="15"/>
      <c r="M1560" s="16"/>
      <c r="N1560" s="17"/>
      <c r="O1560" s="2824" t="s">
        <v>5818</v>
      </c>
      <c r="P1560" s="2824"/>
      <c r="Q1560" s="2646"/>
      <c r="R1560" s="17"/>
      <c r="S1560" s="14"/>
      <c r="T1560" s="15"/>
      <c r="U1560" s="16"/>
      <c r="V1560" s="17"/>
      <c r="W1560" s="14"/>
      <c r="X1560" s="15"/>
      <c r="Y1560" s="16"/>
      <c r="Z1560" s="17"/>
      <c r="AA1560" s="30"/>
      <c r="AB1560" s="15"/>
    </row>
    <row r="1561" spans="1:28">
      <c r="A1561" s="117"/>
      <c r="B1561" s="852"/>
      <c r="C1561" s="14"/>
      <c r="D1561" s="15"/>
      <c r="E1561" s="16"/>
      <c r="F1561" s="17"/>
      <c r="G1561" s="14"/>
      <c r="H1561" s="15"/>
      <c r="I1561" s="16"/>
      <c r="J1561" s="17"/>
      <c r="K1561" s="14"/>
      <c r="L1561" s="15"/>
      <c r="M1561" s="16"/>
      <c r="N1561" s="17"/>
      <c r="O1561" s="2825"/>
      <c r="P1561" s="2826"/>
      <c r="Q1561" s="2645"/>
      <c r="R1561" s="1795"/>
      <c r="S1561" s="14"/>
      <c r="T1561" s="15"/>
      <c r="U1561" s="16"/>
      <c r="V1561" s="17"/>
      <c r="W1561" s="14"/>
      <c r="X1561" s="15"/>
      <c r="Y1561" s="16"/>
      <c r="Z1561" s="17"/>
      <c r="AA1561" s="30"/>
      <c r="AB1561" s="15"/>
    </row>
    <row r="1562" spans="1:28" ht="40.5">
      <c r="A1562" s="3" t="s">
        <v>5063</v>
      </c>
      <c r="B1562" s="23"/>
      <c r="C1562" s="3"/>
      <c r="D1562" s="3"/>
      <c r="E1562" s="3"/>
      <c r="F1562" s="3"/>
      <c r="G1562" s="3"/>
      <c r="H1562" s="3"/>
      <c r="I1562" s="3"/>
      <c r="J1562" s="3"/>
      <c r="K1562" s="3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B1562" s="4"/>
    </row>
    <row r="1563" spans="1:28" ht="40.5" thickBot="1">
      <c r="A1563" s="5" t="s">
        <v>5064</v>
      </c>
    </row>
    <row r="1564" spans="1:28">
      <c r="A1564" s="3544" t="s">
        <v>2</v>
      </c>
      <c r="B1564" s="3546" t="s">
        <v>3</v>
      </c>
      <c r="C1564" s="3537" t="s">
        <v>5065</v>
      </c>
      <c r="D1564" s="3538"/>
      <c r="E1564" s="3536" t="s">
        <v>5066</v>
      </c>
      <c r="F1564" s="3536"/>
      <c r="G1564" s="3537" t="s">
        <v>5067</v>
      </c>
      <c r="H1564" s="3538"/>
      <c r="I1564" s="3536" t="s">
        <v>5068</v>
      </c>
      <c r="J1564" s="3536"/>
      <c r="K1564" s="3537" t="s">
        <v>5069</v>
      </c>
      <c r="L1564" s="3538"/>
      <c r="M1564" s="3536" t="s">
        <v>5070</v>
      </c>
      <c r="N1564" s="3536"/>
      <c r="O1564" s="3542"/>
      <c r="P1564" s="3542"/>
      <c r="Q1564" s="3536" t="s">
        <v>5071</v>
      </c>
      <c r="R1564" s="3536"/>
      <c r="S1564" s="3536" t="s">
        <v>5072</v>
      </c>
      <c r="T1564" s="3536"/>
      <c r="U1564" s="3472" t="s">
        <v>5073</v>
      </c>
      <c r="V1564" s="3473"/>
      <c r="W1564" s="3536" t="s">
        <v>5074</v>
      </c>
      <c r="X1564" s="3536"/>
      <c r="Y1564" s="3472" t="s">
        <v>5075</v>
      </c>
      <c r="Z1564" s="3475"/>
      <c r="AA1564" s="3537" t="s">
        <v>5076</v>
      </c>
      <c r="AB1564" s="3538"/>
    </row>
    <row r="1565" spans="1:28">
      <c r="A1565" s="3553"/>
      <c r="B1565" s="3554"/>
      <c r="C1565" s="3278" t="s">
        <v>5078</v>
      </c>
      <c r="D1565" s="3279" t="s">
        <v>5079</v>
      </c>
      <c r="E1565" s="2587" t="s">
        <v>5078</v>
      </c>
      <c r="F1565" s="3280" t="s">
        <v>5079</v>
      </c>
      <c r="G1565" s="3278" t="s">
        <v>5078</v>
      </c>
      <c r="H1565" s="3279" t="s">
        <v>5079</v>
      </c>
      <c r="I1565" s="2587" t="s">
        <v>5078</v>
      </c>
      <c r="J1565" s="3280" t="s">
        <v>5079</v>
      </c>
      <c r="K1565" s="3278" t="s">
        <v>5078</v>
      </c>
      <c r="L1565" s="3279" t="s">
        <v>5079</v>
      </c>
      <c r="M1565" s="2587" t="s">
        <v>5078</v>
      </c>
      <c r="N1565" s="3280" t="s">
        <v>5079</v>
      </c>
      <c r="O1565" s="2763"/>
      <c r="P1565" s="3281"/>
      <c r="Q1565" s="2587" t="s">
        <v>5078</v>
      </c>
      <c r="R1565" s="3280" t="s">
        <v>5079</v>
      </c>
      <c r="S1565" s="3278" t="s">
        <v>5078</v>
      </c>
      <c r="T1565" s="3279" t="s">
        <v>5079</v>
      </c>
      <c r="U1565" s="2587" t="s">
        <v>5078</v>
      </c>
      <c r="V1565" s="3280" t="s">
        <v>5079</v>
      </c>
      <c r="W1565" s="3278" t="s">
        <v>5078</v>
      </c>
      <c r="X1565" s="3279" t="s">
        <v>5079</v>
      </c>
      <c r="Y1565" s="2587" t="s">
        <v>5078</v>
      </c>
      <c r="Z1565" s="3280" t="s">
        <v>5079</v>
      </c>
      <c r="AA1565" s="3278" t="s">
        <v>5078</v>
      </c>
      <c r="AB1565" s="3279" t="s">
        <v>5079</v>
      </c>
    </row>
    <row r="1566" spans="1:28">
      <c r="A1566" s="117" t="s">
        <v>5819</v>
      </c>
      <c r="B1566" s="852"/>
      <c r="C1566" s="14"/>
      <c r="D1566" s="15"/>
      <c r="E1566" s="16"/>
      <c r="F1566" s="17"/>
      <c r="G1566" s="14"/>
      <c r="H1566" s="15"/>
      <c r="I1566" s="16"/>
      <c r="J1566" s="17"/>
      <c r="K1566" s="14"/>
      <c r="L1566" s="15"/>
      <c r="M1566" s="16"/>
      <c r="N1566" s="17"/>
      <c r="O1566" s="2825" t="s">
        <v>5819</v>
      </c>
      <c r="P1566" s="2826"/>
      <c r="Q1566" s="2645"/>
      <c r="R1566" s="1795"/>
      <c r="S1566" s="14"/>
      <c r="T1566" s="15"/>
      <c r="U1566" s="16"/>
      <c r="V1566" s="17"/>
      <c r="W1566" s="14"/>
      <c r="X1566" s="15"/>
      <c r="Y1566" s="16"/>
      <c r="Z1566" s="17"/>
      <c r="AA1566" s="30"/>
      <c r="AB1566" s="15"/>
    </row>
    <row r="1567" spans="1:28">
      <c r="A1567" s="207" t="s">
        <v>5820</v>
      </c>
      <c r="B1567" s="852"/>
      <c r="C1567" s="14"/>
      <c r="D1567" s="15"/>
      <c r="E1567" s="16"/>
      <c r="F1567" s="17"/>
      <c r="G1567" s="14"/>
      <c r="H1567" s="15"/>
      <c r="I1567" s="16"/>
      <c r="J1567" s="17"/>
      <c r="K1567" s="14"/>
      <c r="L1567" s="15"/>
      <c r="M1567" s="16"/>
      <c r="N1567" s="17"/>
      <c r="O1567" s="2994" t="s">
        <v>5820</v>
      </c>
      <c r="P1567" s="2826"/>
      <c r="Q1567" s="2649"/>
      <c r="R1567" s="2650"/>
      <c r="S1567" s="2651"/>
      <c r="T1567" s="2648"/>
      <c r="U1567" s="16"/>
      <c r="V1567" s="17"/>
      <c r="W1567" s="14"/>
      <c r="X1567" s="15"/>
      <c r="Y1567" s="16"/>
      <c r="Z1567" s="17"/>
      <c r="AA1567" s="30"/>
      <c r="AB1567" s="15"/>
    </row>
    <row r="1568" spans="1:28" ht="40.5" thickBot="1">
      <c r="A1568" s="207" t="s">
        <v>5821</v>
      </c>
      <c r="B1568" s="852"/>
      <c r="C1568" s="6"/>
      <c r="D1568" s="32"/>
      <c r="E1568" s="7"/>
      <c r="F1568" s="40"/>
      <c r="G1568" s="6"/>
      <c r="H1568" s="32"/>
      <c r="I1568" s="7"/>
      <c r="J1568" s="40"/>
      <c r="K1568" s="6"/>
      <c r="L1568" s="32"/>
      <c r="M1568" s="7"/>
      <c r="N1568" s="40"/>
      <c r="O1568" s="2823" t="s">
        <v>5821</v>
      </c>
      <c r="P1568" s="2823"/>
      <c r="Q1568" s="2647"/>
      <c r="R1568" s="40"/>
      <c r="S1568" s="6"/>
      <c r="T1568" s="32"/>
      <c r="U1568" s="7"/>
      <c r="V1568" s="40"/>
      <c r="W1568" s="6"/>
      <c r="X1568" s="32"/>
      <c r="Y1568" s="7"/>
      <c r="Z1568" s="40"/>
      <c r="AA1568" s="2630"/>
      <c r="AB1568" s="2631"/>
    </row>
    <row r="1569" spans="1:28" ht="40.5" thickBot="1">
      <c r="A1569" s="3292"/>
      <c r="B1569" s="3293"/>
      <c r="C1569" s="2430"/>
      <c r="D1569" s="2431"/>
      <c r="E1569" s="2432"/>
      <c r="F1569" s="2566"/>
      <c r="G1569" s="2430"/>
      <c r="H1569" s="2431"/>
      <c r="I1569" s="2432"/>
      <c r="J1569" s="2566"/>
      <c r="K1569" s="2430"/>
      <c r="L1569" s="2431"/>
      <c r="M1569" s="2432"/>
      <c r="N1569" s="2566"/>
      <c r="O1569" s="3286"/>
      <c r="P1569" s="3287"/>
      <c r="Q1569" s="3288"/>
      <c r="R1569" s="3289"/>
      <c r="S1569" s="3290"/>
      <c r="T1569" s="3291"/>
      <c r="U1569" s="2432"/>
      <c r="V1569" s="2566"/>
      <c r="W1569" s="2430"/>
      <c r="X1569" s="2431"/>
      <c r="Y1569" s="2432"/>
      <c r="Z1569" s="2566"/>
      <c r="AA1569" s="2433"/>
      <c r="AB1569" s="2431"/>
    </row>
    <row r="1570" spans="1:28" ht="41.25" thickTop="1" thickBot="1">
      <c r="A1570" s="233"/>
      <c r="B1570" s="117"/>
      <c r="C1570" s="3282"/>
      <c r="D1570" s="2631"/>
      <c r="E1570" s="3283"/>
      <c r="F1570" s="3284"/>
      <c r="G1570" s="3282"/>
      <c r="H1570" s="2631"/>
      <c r="I1570" s="3283"/>
      <c r="J1570" s="3284"/>
      <c r="K1570" s="3282"/>
      <c r="L1570" s="2631"/>
      <c r="M1570" s="3283"/>
      <c r="N1570" s="3284"/>
      <c r="O1570" s="2909"/>
      <c r="P1570" s="2909"/>
      <c r="Q1570" s="3285"/>
      <c r="R1570" s="3284"/>
      <c r="S1570" s="3282"/>
      <c r="T1570" s="2631"/>
      <c r="U1570" s="3283"/>
      <c r="V1570" s="3284"/>
      <c r="W1570" s="3282"/>
      <c r="X1570" s="2631"/>
      <c r="Y1570" s="3283"/>
      <c r="Z1570" s="3284"/>
      <c r="AA1570" s="2630"/>
      <c r="AB1570" s="2631"/>
    </row>
    <row r="1571" spans="1:28" ht="40.5" thickBot="1">
      <c r="A1571" s="233"/>
      <c r="B1571" s="117"/>
      <c r="C1571" s="6"/>
      <c r="D1571" s="32"/>
      <c r="E1571" s="7"/>
      <c r="F1571" s="40"/>
      <c r="G1571" s="6"/>
      <c r="H1571" s="32"/>
      <c r="I1571" s="7"/>
      <c r="J1571" s="40"/>
      <c r="K1571" s="6"/>
      <c r="L1571" s="32"/>
      <c r="M1571" s="7"/>
      <c r="N1571" s="40"/>
      <c r="O1571" s="2823"/>
      <c r="P1571" s="2823"/>
      <c r="Q1571" s="2647"/>
      <c r="R1571" s="40"/>
      <c r="S1571" s="6"/>
      <c r="T1571" s="32"/>
      <c r="U1571" s="7"/>
      <c r="V1571" s="40"/>
      <c r="W1571" s="6"/>
      <c r="X1571" s="32"/>
      <c r="Y1571" s="7"/>
      <c r="Z1571" s="40"/>
      <c r="AA1571" s="2630"/>
      <c r="AB1571" s="2631"/>
    </row>
    <row r="1572" spans="1:28" ht="40.5" thickBot="1">
      <c r="A1572" s="139"/>
      <c r="B1572" s="207"/>
      <c r="C1572" s="6"/>
      <c r="D1572" s="32"/>
      <c r="E1572" s="7"/>
      <c r="F1572" s="40"/>
      <c r="G1572" s="6"/>
      <c r="H1572" s="32"/>
      <c r="I1572" s="7"/>
      <c r="J1572" s="40"/>
      <c r="K1572" s="6"/>
      <c r="L1572" s="32"/>
      <c r="M1572" s="7"/>
      <c r="N1572" s="40"/>
      <c r="O1572" s="3008"/>
      <c r="P1572" s="2906"/>
      <c r="Q1572" s="7"/>
      <c r="R1572" s="40"/>
      <c r="S1572" s="6"/>
      <c r="T1572" s="32"/>
      <c r="U1572" s="7"/>
      <c r="V1572" s="40"/>
      <c r="W1572" s="6"/>
      <c r="X1572" s="32"/>
      <c r="Y1572" s="7"/>
      <c r="Z1572" s="32"/>
      <c r="AA1572" s="31"/>
      <c r="AB1572" s="32"/>
    </row>
    <row r="1573" spans="1:28" ht="40.5" thickBot="1">
      <c r="A1573" s="139"/>
      <c r="B1573" s="207"/>
      <c r="C1573" s="6"/>
      <c r="D1573" s="32"/>
      <c r="E1573" s="7"/>
      <c r="F1573" s="40"/>
      <c r="G1573" s="6"/>
      <c r="H1573" s="32"/>
      <c r="I1573" s="7"/>
      <c r="J1573" s="40"/>
      <c r="K1573" s="6"/>
      <c r="L1573" s="32"/>
      <c r="M1573" s="7"/>
      <c r="N1573" s="40"/>
      <c r="O1573" s="3008"/>
      <c r="P1573" s="2906"/>
      <c r="Q1573" s="7"/>
      <c r="R1573" s="40"/>
      <c r="S1573" s="6"/>
      <c r="T1573" s="32"/>
      <c r="U1573" s="7"/>
      <c r="V1573" s="40"/>
      <c r="W1573" s="6"/>
      <c r="X1573" s="32"/>
      <c r="Y1573" s="7"/>
      <c r="Z1573" s="32"/>
      <c r="AA1573" s="31"/>
      <c r="AB1573" s="32"/>
    </row>
    <row r="1574" spans="1:28" ht="40.5" thickBot="1">
      <c r="A1574" s="139"/>
      <c r="B1574" s="207"/>
      <c r="C1574" s="6"/>
      <c r="D1574" s="32"/>
      <c r="E1574" s="7"/>
      <c r="F1574" s="40"/>
      <c r="G1574" s="6"/>
      <c r="H1574" s="32"/>
      <c r="I1574" s="7"/>
      <c r="J1574" s="40"/>
      <c r="K1574" s="6"/>
      <c r="L1574" s="32"/>
      <c r="M1574" s="7"/>
      <c r="N1574" s="40"/>
      <c r="O1574" s="3008"/>
      <c r="P1574" s="2906"/>
      <c r="Q1574" s="7"/>
      <c r="R1574" s="40"/>
      <c r="S1574" s="6"/>
      <c r="T1574" s="32"/>
      <c r="U1574" s="7"/>
      <c r="V1574" s="40"/>
      <c r="W1574" s="6"/>
      <c r="X1574" s="32"/>
      <c r="Y1574" s="7"/>
      <c r="Z1574" s="32"/>
      <c r="AA1574" s="31"/>
      <c r="AB1574" s="32"/>
    </row>
    <row r="1575" spans="1:28" ht="40.5" thickBot="1">
      <c r="A1575" s="139"/>
      <c r="B1575" s="207"/>
      <c r="C1575" s="6"/>
      <c r="D1575" s="32"/>
      <c r="E1575" s="7"/>
      <c r="F1575" s="40"/>
      <c r="G1575" s="6"/>
      <c r="H1575" s="32"/>
      <c r="I1575" s="7"/>
      <c r="J1575" s="40"/>
      <c r="K1575" s="6"/>
      <c r="L1575" s="32"/>
      <c r="M1575" s="7"/>
      <c r="N1575" s="40"/>
      <c r="O1575" s="3008"/>
      <c r="P1575" s="2906"/>
      <c r="Q1575" s="7"/>
      <c r="R1575" s="40"/>
      <c r="S1575" s="6"/>
      <c r="T1575" s="32"/>
      <c r="U1575" s="7"/>
      <c r="V1575" s="40"/>
      <c r="W1575" s="6"/>
      <c r="X1575" s="32"/>
      <c r="Y1575" s="7"/>
      <c r="Z1575" s="32"/>
      <c r="AA1575" s="31"/>
      <c r="AB1575" s="32"/>
    </row>
    <row r="1576" spans="1:28" ht="40.5" thickBot="1">
      <c r="A1576" s="139"/>
      <c r="B1576" s="207"/>
      <c r="C1576" s="6"/>
      <c r="D1576" s="32"/>
      <c r="E1576" s="7"/>
      <c r="F1576" s="40"/>
      <c r="G1576" s="6"/>
      <c r="H1576" s="32"/>
      <c r="I1576" s="7"/>
      <c r="J1576" s="40"/>
      <c r="K1576" s="6"/>
      <c r="L1576" s="32"/>
      <c r="M1576" s="7"/>
      <c r="N1576" s="40"/>
      <c r="O1576" s="3187"/>
      <c r="P1576" s="2830"/>
      <c r="Q1576" s="7"/>
      <c r="R1576" s="40"/>
      <c r="S1576" s="6"/>
      <c r="T1576" s="32"/>
      <c r="U1576" s="7"/>
      <c r="V1576" s="40"/>
      <c r="W1576" s="6"/>
      <c r="X1576" s="32"/>
      <c r="Y1576" s="7"/>
      <c r="Z1576" s="32"/>
      <c r="AA1576" s="31"/>
      <c r="AB1576" s="32"/>
    </row>
    <row r="1577" spans="1:28" ht="40.5" thickBot="1">
      <c r="A1577" s="3269"/>
      <c r="B1577" s="207"/>
      <c r="C1577" s="14"/>
      <c r="D1577" s="15"/>
      <c r="E1577" s="16"/>
      <c r="F1577" s="17"/>
      <c r="G1577" s="14"/>
      <c r="H1577" s="15"/>
      <c r="I1577" s="16"/>
      <c r="J1577" s="17"/>
      <c r="K1577" s="14"/>
      <c r="L1577" s="15"/>
      <c r="M1577" s="16"/>
      <c r="N1577" s="17"/>
      <c r="O1577" s="3268"/>
      <c r="P1577" s="3273"/>
      <c r="Q1577" s="791"/>
      <c r="R1577" s="17"/>
      <c r="S1577" s="14"/>
      <c r="T1577" s="15"/>
      <c r="U1577" s="16"/>
      <c r="V1577" s="17"/>
      <c r="W1577" s="14"/>
      <c r="X1577" s="15"/>
      <c r="Y1577" s="16"/>
      <c r="Z1577" s="17"/>
      <c r="AA1577" s="30"/>
      <c r="AB1577" s="15"/>
    </row>
    <row r="1578" spans="1:28" ht="41.25" thickTop="1" thickBot="1">
      <c r="A1578" s="3272"/>
      <c r="B1578" s="2580"/>
      <c r="C1578" s="2430"/>
      <c r="D1578" s="2431"/>
      <c r="E1578" s="2432"/>
      <c r="F1578" s="2566"/>
      <c r="G1578" s="2430"/>
      <c r="H1578" s="2431"/>
      <c r="I1578" s="2432"/>
      <c r="J1578" s="2566"/>
      <c r="K1578" s="2430"/>
      <c r="L1578" s="2431"/>
      <c r="M1578" s="2432"/>
      <c r="N1578" s="2566"/>
      <c r="O1578" s="3270"/>
      <c r="P1578" s="3271"/>
      <c r="Q1578" s="3274"/>
      <c r="R1578" s="2566"/>
      <c r="S1578" s="2430"/>
      <c r="T1578" s="2431"/>
      <c r="U1578" s="2432"/>
      <c r="V1578" s="2566"/>
      <c r="W1578" s="2430"/>
      <c r="X1578" s="2431"/>
      <c r="Y1578" s="2432"/>
      <c r="Z1578" s="2566"/>
      <c r="AA1578" s="2433"/>
      <c r="AB1578" s="2431"/>
    </row>
    <row r="1579" spans="1:28" ht="40.5" thickTop="1">
      <c r="A1579" s="105"/>
      <c r="B1579" s="2585"/>
      <c r="C1579" s="14"/>
      <c r="D1579" s="15"/>
      <c r="E1579" s="16"/>
      <c r="F1579" s="17"/>
      <c r="G1579" s="14"/>
      <c r="H1579" s="15"/>
      <c r="I1579" s="16"/>
      <c r="J1579" s="17"/>
      <c r="K1579" s="14"/>
      <c r="L1579" s="15"/>
      <c r="M1579" s="16"/>
      <c r="N1579" s="17"/>
      <c r="O1579" s="2823"/>
      <c r="P1579" s="2823"/>
      <c r="Q1579" s="2646"/>
      <c r="R1579" s="17"/>
      <c r="S1579" s="14"/>
      <c r="T1579" s="15"/>
      <c r="U1579" s="16"/>
      <c r="V1579" s="17"/>
      <c r="W1579" s="14"/>
      <c r="X1579" s="15"/>
      <c r="Y1579" s="16"/>
      <c r="Z1579" s="17"/>
      <c r="AA1579" s="30"/>
      <c r="AB1579" s="15"/>
    </row>
    <row r="1580" spans="1:28">
      <c r="A1580" s="2106"/>
      <c r="B1580" s="341"/>
      <c r="C1580" s="14"/>
      <c r="D1580" s="15"/>
      <c r="E1580" s="16"/>
      <c r="F1580" s="17"/>
      <c r="G1580" s="14"/>
      <c r="H1580" s="15"/>
      <c r="I1580" s="16"/>
      <c r="J1580" s="17"/>
      <c r="K1580" s="14"/>
      <c r="L1580" s="15"/>
      <c r="M1580" s="16"/>
      <c r="N1580" s="17"/>
      <c r="O1580" s="2823"/>
      <c r="P1580" s="2823"/>
      <c r="Q1580" s="2646"/>
      <c r="R1580" s="17"/>
      <c r="S1580" s="14"/>
      <c r="T1580" s="15"/>
      <c r="U1580" s="16"/>
      <c r="V1580" s="17"/>
      <c r="W1580" s="14"/>
      <c r="X1580" s="15"/>
      <c r="Y1580" s="16"/>
      <c r="Z1580" s="17"/>
      <c r="AA1580" s="30"/>
      <c r="AB1580" s="15"/>
    </row>
    <row r="1581" spans="1:28">
      <c r="A1581" s="3009"/>
      <c r="B1581" s="3010"/>
      <c r="C1581" s="16"/>
      <c r="D1581" s="15"/>
      <c r="E1581" s="16"/>
      <c r="F1581" s="17"/>
      <c r="G1581" s="14"/>
      <c r="H1581" s="15"/>
      <c r="I1581" s="16"/>
      <c r="J1581" s="17"/>
      <c r="K1581" s="14"/>
      <c r="L1581" s="15"/>
      <c r="M1581" s="16"/>
      <c r="N1581" s="17"/>
      <c r="O1581" s="2823"/>
      <c r="P1581" s="2823"/>
      <c r="Q1581" s="2646"/>
      <c r="R1581" s="17"/>
      <c r="S1581" s="14"/>
      <c r="T1581" s="15"/>
      <c r="U1581" s="16"/>
      <c r="V1581" s="17"/>
      <c r="W1581" s="14"/>
      <c r="X1581" s="15"/>
      <c r="Y1581" s="16"/>
      <c r="Z1581" s="17"/>
      <c r="AA1581" s="30"/>
      <c r="AB1581" s="15"/>
    </row>
    <row r="1582" spans="1:28">
      <c r="A1582" s="105"/>
      <c r="B1582" s="207"/>
      <c r="C1582" s="16"/>
      <c r="D1582" s="15"/>
      <c r="E1582" s="16"/>
      <c r="F1582" s="17"/>
      <c r="G1582" s="14"/>
      <c r="H1582" s="15"/>
      <c r="I1582" s="16"/>
      <c r="J1582" s="17"/>
      <c r="K1582" s="14"/>
      <c r="L1582" s="15"/>
      <c r="M1582" s="16"/>
      <c r="N1582" s="17"/>
      <c r="O1582" s="2823"/>
      <c r="P1582" s="2823"/>
      <c r="Q1582" s="2646"/>
      <c r="R1582" s="17"/>
      <c r="S1582" s="14"/>
      <c r="T1582" s="15"/>
      <c r="U1582" s="16"/>
      <c r="V1582" s="17"/>
      <c r="W1582" s="14"/>
      <c r="X1582" s="15"/>
      <c r="Y1582" s="16"/>
      <c r="Z1582" s="17"/>
      <c r="AA1582" s="30"/>
      <c r="AB1582" s="15"/>
    </row>
    <row r="1583" spans="1:28">
      <c r="A1583" s="460"/>
      <c r="B1583" s="207"/>
      <c r="C1583" s="14"/>
      <c r="D1583" s="15"/>
      <c r="E1583" s="16"/>
      <c r="F1583" s="17"/>
      <c r="G1583" s="14"/>
      <c r="H1583" s="15"/>
      <c r="I1583" s="16"/>
      <c r="J1583" s="17"/>
      <c r="K1583" s="14"/>
      <c r="L1583" s="15"/>
      <c r="M1583" s="16"/>
      <c r="N1583" s="17"/>
      <c r="O1583" s="2823"/>
      <c r="P1583" s="2823"/>
      <c r="Q1583" s="2646"/>
      <c r="R1583" s="17"/>
      <c r="S1583" s="14"/>
      <c r="T1583" s="15"/>
      <c r="U1583" s="16"/>
      <c r="V1583" s="17"/>
      <c r="W1583" s="14"/>
      <c r="X1583" s="15"/>
      <c r="Y1583" s="16"/>
      <c r="Z1583" s="17"/>
      <c r="AA1583" s="30"/>
      <c r="AB1583" s="15"/>
    </row>
    <row r="1584" spans="1:28" ht="40.5" thickBot="1">
      <c r="A1584" s="2134"/>
      <c r="B1584" s="2580"/>
      <c r="C1584" s="14"/>
      <c r="D1584" s="15"/>
      <c r="E1584" s="16"/>
      <c r="F1584" s="17"/>
      <c r="G1584" s="14"/>
      <c r="H1584" s="15"/>
      <c r="I1584" s="16"/>
      <c r="J1584" s="17"/>
      <c r="K1584" s="14"/>
      <c r="L1584" s="15"/>
      <c r="M1584" s="16"/>
      <c r="N1584" s="17"/>
      <c r="O1584" s="2823"/>
      <c r="P1584" s="2823"/>
      <c r="Q1584" s="2646"/>
      <c r="R1584" s="17"/>
      <c r="S1584" s="14"/>
      <c r="T1584" s="15"/>
      <c r="U1584" s="16"/>
      <c r="V1584" s="17"/>
      <c r="W1584" s="14"/>
      <c r="X1584" s="15"/>
      <c r="Y1584" s="16"/>
      <c r="Z1584" s="17"/>
      <c r="AA1584" s="30"/>
      <c r="AB1584" s="15"/>
    </row>
    <row r="1585" spans="1:28" ht="40.5" thickTop="1">
      <c r="A1585" s="1000"/>
      <c r="B1585" s="1106"/>
      <c r="C1585" s="14"/>
      <c r="D1585" s="15"/>
      <c r="E1585" s="16"/>
      <c r="F1585" s="17"/>
      <c r="G1585" s="14"/>
      <c r="H1585" s="15"/>
      <c r="I1585" s="16"/>
      <c r="J1585" s="17"/>
      <c r="K1585" s="14"/>
      <c r="L1585" s="15"/>
      <c r="M1585" s="16"/>
      <c r="N1585" s="17"/>
      <c r="O1585" s="2823"/>
      <c r="P1585" s="2823"/>
      <c r="Q1585" s="2646"/>
      <c r="R1585" s="17"/>
      <c r="S1585" s="14"/>
      <c r="T1585" s="15"/>
      <c r="U1585" s="16"/>
      <c r="V1585" s="17"/>
      <c r="W1585" s="14"/>
      <c r="X1585" s="15"/>
      <c r="Y1585" s="16"/>
      <c r="Z1585" s="17"/>
      <c r="AA1585" s="30"/>
      <c r="AB1585" s="15"/>
    </row>
    <row r="1586" spans="1:28">
      <c r="A1586" s="1000"/>
      <c r="B1586" s="320"/>
      <c r="C1586" s="14"/>
      <c r="D1586" s="15"/>
      <c r="E1586" s="16"/>
      <c r="F1586" s="17"/>
      <c r="G1586" s="14"/>
      <c r="H1586" s="15"/>
      <c r="I1586" s="16"/>
      <c r="J1586" s="17"/>
      <c r="K1586" s="14"/>
      <c r="L1586" s="15"/>
      <c r="M1586" s="16"/>
      <c r="N1586" s="17"/>
      <c r="O1586" s="2823"/>
      <c r="P1586" s="2823"/>
      <c r="Q1586" s="2646"/>
      <c r="R1586" s="17"/>
      <c r="S1586" s="14"/>
      <c r="T1586" s="15"/>
      <c r="U1586" s="16"/>
      <c r="V1586" s="17"/>
      <c r="W1586" s="14"/>
      <c r="X1586" s="15"/>
      <c r="Y1586" s="16"/>
      <c r="Z1586" s="17"/>
      <c r="AA1586" s="30"/>
      <c r="AB1586" s="15"/>
    </row>
    <row r="1587" spans="1:28">
      <c r="A1587" s="1000"/>
      <c r="B1587" s="320"/>
      <c r="C1587" s="14"/>
      <c r="D1587" s="15"/>
      <c r="E1587" s="16"/>
      <c r="F1587" s="17"/>
      <c r="G1587" s="14"/>
      <c r="H1587" s="15"/>
      <c r="I1587" s="16"/>
      <c r="J1587" s="17"/>
      <c r="K1587" s="14"/>
      <c r="L1587" s="15"/>
      <c r="M1587" s="16"/>
      <c r="N1587" s="17"/>
      <c r="O1587" s="2823"/>
      <c r="P1587" s="2823"/>
      <c r="Q1587" s="2646"/>
      <c r="R1587" s="17"/>
      <c r="S1587" s="14"/>
      <c r="T1587" s="15"/>
      <c r="U1587" s="16"/>
      <c r="V1587" s="17"/>
      <c r="W1587" s="14"/>
      <c r="X1587" s="15"/>
      <c r="Y1587" s="16"/>
      <c r="Z1587" s="17"/>
      <c r="AA1587" s="30"/>
      <c r="AB1587" s="15"/>
    </row>
    <row r="1588" spans="1:28">
      <c r="A1588" s="1000"/>
      <c r="B1588" s="320"/>
      <c r="C1588" s="14"/>
      <c r="D1588" s="15"/>
      <c r="E1588" s="16"/>
      <c r="F1588" s="17"/>
      <c r="G1588" s="14"/>
      <c r="H1588" s="15"/>
      <c r="I1588" s="16"/>
      <c r="J1588" s="17"/>
      <c r="K1588" s="14"/>
      <c r="L1588" s="15"/>
      <c r="M1588" s="16"/>
      <c r="N1588" s="17"/>
      <c r="O1588" s="2824"/>
      <c r="P1588" s="2824"/>
      <c r="Q1588" s="2646"/>
      <c r="R1588" s="17"/>
      <c r="S1588" s="14"/>
      <c r="T1588" s="15"/>
      <c r="U1588" s="16"/>
      <c r="V1588" s="17"/>
      <c r="W1588" s="14"/>
      <c r="X1588" s="15"/>
      <c r="Y1588" s="16"/>
      <c r="Z1588" s="17"/>
      <c r="AA1588" s="30"/>
      <c r="AB1588" s="15"/>
    </row>
    <row r="1589" spans="1:28">
      <c r="A1589" s="117"/>
      <c r="B1589" s="852"/>
      <c r="C1589" s="14"/>
      <c r="D1589" s="15"/>
      <c r="E1589" s="16"/>
      <c r="F1589" s="17"/>
      <c r="G1589" s="14"/>
      <c r="H1589" s="15"/>
      <c r="I1589" s="16"/>
      <c r="J1589" s="17"/>
      <c r="K1589" s="14"/>
      <c r="L1589" s="15"/>
      <c r="M1589" s="16"/>
      <c r="N1589" s="17"/>
      <c r="O1589" s="2825"/>
      <c r="P1589" s="2826"/>
      <c r="Q1589" s="2645"/>
      <c r="R1589" s="1795"/>
      <c r="S1589" s="14"/>
      <c r="T1589" s="15"/>
      <c r="U1589" s="16"/>
      <c r="V1589" s="17"/>
      <c r="W1589" s="14"/>
      <c r="X1589" s="15"/>
      <c r="Y1589" s="16"/>
      <c r="Z1589" s="17"/>
      <c r="AA1589" s="30"/>
      <c r="AB1589" s="15"/>
    </row>
    <row r="1590" spans="1:28" ht="40.5">
      <c r="A1590" s="3" t="s">
        <v>5063</v>
      </c>
      <c r="B1590" s="23"/>
      <c r="C1590" s="3"/>
      <c r="D1590" s="3"/>
      <c r="E1590" s="3"/>
      <c r="F1590" s="3"/>
      <c r="G1590" s="3"/>
      <c r="H1590" s="3"/>
      <c r="I1590" s="3"/>
      <c r="J1590" s="3"/>
      <c r="K1590" s="3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B1590" s="4"/>
    </row>
    <row r="1591" spans="1:28" ht="40.5" thickBot="1">
      <c r="A1591" s="5" t="s">
        <v>5064</v>
      </c>
    </row>
    <row r="1592" spans="1:28">
      <c r="A1592" s="3544" t="s">
        <v>2</v>
      </c>
      <c r="B1592" s="3546" t="s">
        <v>3</v>
      </c>
      <c r="C1592" s="3537" t="s">
        <v>5065</v>
      </c>
      <c r="D1592" s="3538"/>
      <c r="E1592" s="3536" t="s">
        <v>5066</v>
      </c>
      <c r="F1592" s="3536"/>
      <c r="G1592" s="3537" t="s">
        <v>5067</v>
      </c>
      <c r="H1592" s="3538"/>
      <c r="I1592" s="3536" t="s">
        <v>5068</v>
      </c>
      <c r="J1592" s="3536"/>
      <c r="K1592" s="3537" t="s">
        <v>5069</v>
      </c>
      <c r="L1592" s="3538"/>
      <c r="M1592" s="3536" t="s">
        <v>5070</v>
      </c>
      <c r="N1592" s="3536"/>
      <c r="O1592" s="3542"/>
      <c r="P1592" s="3542"/>
      <c r="Q1592" s="3536" t="s">
        <v>5071</v>
      </c>
      <c r="R1592" s="3536"/>
      <c r="S1592" s="3536" t="s">
        <v>5072</v>
      </c>
      <c r="T1592" s="3536"/>
      <c r="U1592" s="3472" t="s">
        <v>5073</v>
      </c>
      <c r="V1592" s="3473"/>
      <c r="W1592" s="3536" t="s">
        <v>5074</v>
      </c>
      <c r="X1592" s="3536"/>
      <c r="Y1592" s="3472" t="s">
        <v>5075</v>
      </c>
      <c r="Z1592" s="3475"/>
      <c r="AA1592" s="3537" t="s">
        <v>5076</v>
      </c>
      <c r="AB1592" s="3538"/>
    </row>
    <row r="1593" spans="1:28">
      <c r="A1593" s="3553"/>
      <c r="B1593" s="3554"/>
      <c r="C1593" s="3278" t="s">
        <v>5078</v>
      </c>
      <c r="D1593" s="3279" t="s">
        <v>5079</v>
      </c>
      <c r="E1593" s="2587" t="s">
        <v>5078</v>
      </c>
      <c r="F1593" s="3280" t="s">
        <v>5079</v>
      </c>
      <c r="G1593" s="3278" t="s">
        <v>5078</v>
      </c>
      <c r="H1593" s="3279" t="s">
        <v>5079</v>
      </c>
      <c r="I1593" s="2587" t="s">
        <v>5078</v>
      </c>
      <c r="J1593" s="3280" t="s">
        <v>5079</v>
      </c>
      <c r="K1593" s="3278" t="s">
        <v>5078</v>
      </c>
      <c r="L1593" s="3279" t="s">
        <v>5079</v>
      </c>
      <c r="M1593" s="2587" t="s">
        <v>5078</v>
      </c>
      <c r="N1593" s="3280" t="s">
        <v>5079</v>
      </c>
      <c r="O1593" s="2763"/>
      <c r="P1593" s="3281"/>
      <c r="Q1593" s="2587" t="s">
        <v>5078</v>
      </c>
      <c r="R1593" s="3280" t="s">
        <v>5079</v>
      </c>
      <c r="S1593" s="3278" t="s">
        <v>5078</v>
      </c>
      <c r="T1593" s="3279" t="s">
        <v>5079</v>
      </c>
      <c r="U1593" s="2587" t="s">
        <v>5078</v>
      </c>
      <c r="V1593" s="3280" t="s">
        <v>5079</v>
      </c>
      <c r="W1593" s="3278" t="s">
        <v>5078</v>
      </c>
      <c r="X1593" s="3279" t="s">
        <v>5079</v>
      </c>
      <c r="Y1593" s="2587" t="s">
        <v>5078</v>
      </c>
      <c r="Z1593" s="3280" t="s">
        <v>5079</v>
      </c>
      <c r="AA1593" s="3278" t="s">
        <v>5078</v>
      </c>
      <c r="AB1593" s="3279" t="s">
        <v>5079</v>
      </c>
    </row>
    <row r="1594" spans="1:28">
      <c r="A1594" s="117"/>
      <c r="B1594" s="852"/>
      <c r="C1594" s="14"/>
      <c r="D1594" s="15"/>
      <c r="E1594" s="16"/>
      <c r="F1594" s="17"/>
      <c r="G1594" s="14"/>
      <c r="H1594" s="15"/>
      <c r="I1594" s="16"/>
      <c r="J1594" s="17"/>
      <c r="K1594" s="14"/>
      <c r="L1594" s="15"/>
      <c r="M1594" s="16"/>
      <c r="N1594" s="17"/>
      <c r="O1594" s="2825"/>
      <c r="P1594" s="2826"/>
      <c r="Q1594" s="2645"/>
      <c r="R1594" s="1795"/>
      <c r="S1594" s="14"/>
      <c r="T1594" s="15"/>
      <c r="U1594" s="16"/>
      <c r="V1594" s="17"/>
      <c r="W1594" s="14"/>
      <c r="X1594" s="15"/>
      <c r="Y1594" s="16"/>
      <c r="Z1594" s="17"/>
      <c r="AA1594" s="30"/>
      <c r="AB1594" s="15"/>
    </row>
    <row r="1595" spans="1:28">
      <c r="A1595" s="207"/>
      <c r="B1595" s="852"/>
      <c r="C1595" s="14"/>
      <c r="D1595" s="15"/>
      <c r="E1595" s="16"/>
      <c r="F1595" s="17"/>
      <c r="G1595" s="14"/>
      <c r="H1595" s="15"/>
      <c r="I1595" s="16"/>
      <c r="J1595" s="17"/>
      <c r="K1595" s="14"/>
      <c r="L1595" s="15"/>
      <c r="M1595" s="16"/>
      <c r="N1595" s="17"/>
      <c r="O1595" s="2994"/>
      <c r="P1595" s="2826"/>
      <c r="Q1595" s="2649"/>
      <c r="R1595" s="2650"/>
      <c r="S1595" s="2651"/>
      <c r="T1595" s="2648"/>
      <c r="U1595" s="16"/>
      <c r="V1595" s="17"/>
      <c r="W1595" s="14"/>
      <c r="X1595" s="15"/>
      <c r="Y1595" s="16"/>
      <c r="Z1595" s="17"/>
      <c r="AA1595" s="30"/>
      <c r="AB1595" s="15"/>
    </row>
    <row r="1596" spans="1:28" ht="40.5" thickBot="1">
      <c r="A1596" s="207"/>
      <c r="B1596" s="852"/>
      <c r="C1596" s="6"/>
      <c r="D1596" s="32"/>
      <c r="E1596" s="7"/>
      <c r="F1596" s="40"/>
      <c r="G1596" s="6"/>
      <c r="H1596" s="32"/>
      <c r="I1596" s="7"/>
      <c r="J1596" s="40"/>
      <c r="K1596" s="6"/>
      <c r="L1596" s="32"/>
      <c r="M1596" s="7"/>
      <c r="N1596" s="40"/>
      <c r="O1596" s="2823"/>
      <c r="P1596" s="2823"/>
      <c r="Q1596" s="2647"/>
      <c r="R1596" s="40"/>
      <c r="S1596" s="6"/>
      <c r="T1596" s="32"/>
      <c r="U1596" s="7"/>
      <c r="V1596" s="40"/>
      <c r="W1596" s="6"/>
      <c r="X1596" s="32"/>
      <c r="Y1596" s="7"/>
      <c r="Z1596" s="40"/>
      <c r="AA1596" s="2630"/>
      <c r="AB1596" s="2631"/>
    </row>
    <row r="1597" spans="1:28" ht="40.5" thickBot="1">
      <c r="A1597" s="3292"/>
      <c r="B1597" s="3293"/>
      <c r="C1597" s="2430"/>
      <c r="D1597" s="2431"/>
      <c r="E1597" s="2432"/>
      <c r="F1597" s="2566"/>
      <c r="G1597" s="2430"/>
      <c r="H1597" s="2431"/>
      <c r="I1597" s="2432"/>
      <c r="J1597" s="2566"/>
      <c r="K1597" s="2430"/>
      <c r="L1597" s="2431"/>
      <c r="M1597" s="2432"/>
      <c r="N1597" s="2566"/>
      <c r="O1597" s="3286"/>
      <c r="P1597" s="3287"/>
      <c r="Q1597" s="3288"/>
      <c r="R1597" s="3289"/>
      <c r="S1597" s="3290"/>
      <c r="T1597" s="3291"/>
      <c r="U1597" s="2432"/>
      <c r="V1597" s="2566"/>
      <c r="W1597" s="2430"/>
      <c r="X1597" s="2431"/>
      <c r="Y1597" s="2432"/>
      <c r="Z1597" s="2566"/>
      <c r="AA1597" s="2433"/>
      <c r="AB1597" s="2431"/>
    </row>
    <row r="1598" spans="1:28" ht="41.25" thickTop="1" thickBot="1">
      <c r="A1598" s="233"/>
      <c r="B1598" s="117"/>
      <c r="C1598" s="3282"/>
      <c r="D1598" s="2631"/>
      <c r="E1598" s="3283"/>
      <c r="F1598" s="3284"/>
      <c r="G1598" s="3282"/>
      <c r="H1598" s="2631"/>
      <c r="I1598" s="3283"/>
      <c r="J1598" s="3284"/>
      <c r="K1598" s="3282"/>
      <c r="L1598" s="2631"/>
      <c r="M1598" s="3283"/>
      <c r="N1598" s="3284"/>
      <c r="O1598" s="2909"/>
      <c r="P1598" s="2909"/>
      <c r="Q1598" s="3285"/>
      <c r="R1598" s="3284"/>
      <c r="S1598" s="3282"/>
      <c r="T1598" s="2631"/>
      <c r="U1598" s="3283"/>
      <c r="V1598" s="3284"/>
      <c r="W1598" s="3282"/>
      <c r="X1598" s="2631"/>
      <c r="Y1598" s="3283"/>
      <c r="Z1598" s="3284"/>
      <c r="AA1598" s="2630"/>
      <c r="AB1598" s="2631"/>
    </row>
    <row r="1599" spans="1:28" ht="40.5" thickBot="1">
      <c r="A1599" s="233"/>
      <c r="B1599" s="117"/>
      <c r="C1599" s="6"/>
      <c r="D1599" s="32"/>
      <c r="E1599" s="7"/>
      <c r="F1599" s="40"/>
      <c r="G1599" s="6"/>
      <c r="H1599" s="32"/>
      <c r="I1599" s="7"/>
      <c r="J1599" s="40"/>
      <c r="K1599" s="6"/>
      <c r="L1599" s="32"/>
      <c r="M1599" s="7"/>
      <c r="N1599" s="40"/>
      <c r="O1599" s="2823"/>
      <c r="P1599" s="2823"/>
      <c r="Q1599" s="2647"/>
      <c r="R1599" s="40"/>
      <c r="S1599" s="6"/>
      <c r="T1599" s="32"/>
      <c r="U1599" s="7"/>
      <c r="V1599" s="40"/>
      <c r="W1599" s="6"/>
      <c r="X1599" s="32"/>
      <c r="Y1599" s="7"/>
      <c r="Z1599" s="40"/>
      <c r="AA1599" s="2630"/>
      <c r="AB1599" s="2631"/>
    </row>
    <row r="1600" spans="1:28" ht="40.5" thickBot="1">
      <c r="A1600" s="139"/>
      <c r="B1600" s="207"/>
      <c r="C1600" s="6"/>
      <c r="D1600" s="32"/>
      <c r="E1600" s="7"/>
      <c r="F1600" s="40"/>
      <c r="G1600" s="6"/>
      <c r="H1600" s="32"/>
      <c r="I1600" s="7"/>
      <c r="J1600" s="40"/>
      <c r="K1600" s="6"/>
      <c r="L1600" s="32"/>
      <c r="M1600" s="7"/>
      <c r="N1600" s="40"/>
      <c r="O1600" s="3008"/>
      <c r="P1600" s="2906"/>
      <c r="Q1600" s="7"/>
      <c r="R1600" s="40"/>
      <c r="S1600" s="6"/>
      <c r="T1600" s="32"/>
      <c r="U1600" s="7"/>
      <c r="V1600" s="40"/>
      <c r="W1600" s="6"/>
      <c r="X1600" s="32"/>
      <c r="Y1600" s="7"/>
      <c r="Z1600" s="32"/>
      <c r="AA1600" s="31"/>
      <c r="AB1600" s="32"/>
    </row>
    <row r="1601" spans="1:28" ht="40.5" thickBot="1">
      <c r="A1601" s="139"/>
      <c r="B1601" s="207"/>
      <c r="C1601" s="6"/>
      <c r="D1601" s="32"/>
      <c r="E1601" s="7"/>
      <c r="F1601" s="40"/>
      <c r="G1601" s="6"/>
      <c r="H1601" s="32"/>
      <c r="I1601" s="7"/>
      <c r="J1601" s="40"/>
      <c r="K1601" s="6"/>
      <c r="L1601" s="32"/>
      <c r="M1601" s="7"/>
      <c r="N1601" s="40"/>
      <c r="O1601" s="3008"/>
      <c r="P1601" s="2906"/>
      <c r="Q1601" s="7"/>
      <c r="R1601" s="40"/>
      <c r="S1601" s="6"/>
      <c r="T1601" s="32"/>
      <c r="U1601" s="7"/>
      <c r="V1601" s="40"/>
      <c r="W1601" s="6"/>
      <c r="X1601" s="32"/>
      <c r="Y1601" s="7"/>
      <c r="Z1601" s="32"/>
      <c r="AA1601" s="31"/>
      <c r="AB1601" s="32"/>
    </row>
    <row r="1602" spans="1:28" ht="40.5" thickBot="1">
      <c r="A1602" s="139"/>
      <c r="B1602" s="207"/>
      <c r="C1602" s="6"/>
      <c r="D1602" s="32"/>
      <c r="E1602" s="7"/>
      <c r="F1602" s="40"/>
      <c r="G1602" s="6"/>
      <c r="H1602" s="32"/>
      <c r="I1602" s="7"/>
      <c r="J1602" s="40"/>
      <c r="K1602" s="6"/>
      <c r="L1602" s="32"/>
      <c r="M1602" s="7"/>
      <c r="N1602" s="40"/>
      <c r="O1602" s="3008"/>
      <c r="P1602" s="2906"/>
      <c r="Q1602" s="7"/>
      <c r="R1602" s="40"/>
      <c r="S1602" s="6"/>
      <c r="T1602" s="32"/>
      <c r="U1602" s="7"/>
      <c r="V1602" s="40"/>
      <c r="W1602" s="6"/>
      <c r="X1602" s="32"/>
      <c r="Y1602" s="7"/>
      <c r="Z1602" s="32"/>
      <c r="AA1602" s="31"/>
      <c r="AB1602" s="32"/>
    </row>
    <row r="1603" spans="1:28" ht="40.5" thickBot="1">
      <c r="A1603" s="139"/>
      <c r="B1603" s="207"/>
      <c r="C1603" s="6"/>
      <c r="D1603" s="32"/>
      <c r="E1603" s="7"/>
      <c r="F1603" s="40"/>
      <c r="G1603" s="6"/>
      <c r="H1603" s="32"/>
      <c r="I1603" s="7"/>
      <c r="J1603" s="40"/>
      <c r="K1603" s="6"/>
      <c r="L1603" s="32"/>
      <c r="M1603" s="7"/>
      <c r="N1603" s="40"/>
      <c r="O1603" s="3008"/>
      <c r="P1603" s="2906"/>
      <c r="Q1603" s="7"/>
      <c r="R1603" s="40"/>
      <c r="S1603" s="6"/>
      <c r="T1603" s="32"/>
      <c r="U1603" s="7"/>
      <c r="V1603" s="40"/>
      <c r="W1603" s="6"/>
      <c r="X1603" s="32"/>
      <c r="Y1603" s="7"/>
      <c r="Z1603" s="32"/>
      <c r="AA1603" s="31"/>
      <c r="AB1603" s="32"/>
    </row>
    <row r="1604" spans="1:28" ht="40.5" thickBot="1">
      <c r="A1604" s="139"/>
      <c r="B1604" s="207"/>
      <c r="C1604" s="6"/>
      <c r="D1604" s="32"/>
      <c r="E1604" s="7"/>
      <c r="F1604" s="40"/>
      <c r="G1604" s="6"/>
      <c r="H1604" s="32"/>
      <c r="I1604" s="7"/>
      <c r="J1604" s="40"/>
      <c r="K1604" s="6"/>
      <c r="L1604" s="32"/>
      <c r="M1604" s="7"/>
      <c r="N1604" s="40"/>
      <c r="O1604" s="3187"/>
      <c r="P1604" s="2830"/>
      <c r="Q1604" s="7"/>
      <c r="R1604" s="40"/>
      <c r="S1604" s="6"/>
      <c r="T1604" s="32"/>
      <c r="U1604" s="7"/>
      <c r="V1604" s="40"/>
      <c r="W1604" s="6"/>
      <c r="X1604" s="32"/>
      <c r="Y1604" s="7"/>
      <c r="Z1604" s="32"/>
      <c r="AA1604" s="31"/>
      <c r="AB1604" s="32"/>
    </row>
    <row r="1605" spans="1:28" ht="40.5" thickBot="1">
      <c r="A1605" s="3269"/>
      <c r="B1605" s="207"/>
      <c r="C1605" s="14"/>
      <c r="D1605" s="15"/>
      <c r="E1605" s="16"/>
      <c r="F1605" s="17"/>
      <c r="G1605" s="14"/>
      <c r="H1605" s="15"/>
      <c r="I1605" s="16"/>
      <c r="J1605" s="17"/>
      <c r="K1605" s="14"/>
      <c r="L1605" s="15"/>
      <c r="M1605" s="16"/>
      <c r="N1605" s="17"/>
      <c r="O1605" s="3268"/>
      <c r="P1605" s="3273"/>
      <c r="Q1605" s="791"/>
      <c r="R1605" s="17"/>
      <c r="S1605" s="14"/>
      <c r="T1605" s="15"/>
      <c r="U1605" s="16"/>
      <c r="V1605" s="17"/>
      <c r="W1605" s="14"/>
      <c r="X1605" s="15"/>
      <c r="Y1605" s="16"/>
      <c r="Z1605" s="17"/>
      <c r="AA1605" s="30"/>
      <c r="AB1605" s="15"/>
    </row>
    <row r="1606" spans="1:28" ht="41.25" thickTop="1" thickBot="1">
      <c r="A1606" s="3272"/>
      <c r="B1606" s="2580"/>
      <c r="C1606" s="2430"/>
      <c r="D1606" s="2431"/>
      <c r="E1606" s="2432"/>
      <c r="F1606" s="2566"/>
      <c r="G1606" s="2430"/>
      <c r="H1606" s="2431"/>
      <c r="I1606" s="2432"/>
      <c r="J1606" s="2566"/>
      <c r="K1606" s="2430"/>
      <c r="L1606" s="2431"/>
      <c r="M1606" s="2432"/>
      <c r="N1606" s="2566"/>
      <c r="O1606" s="3270"/>
      <c r="P1606" s="3271"/>
      <c r="Q1606" s="3274"/>
      <c r="R1606" s="2566"/>
      <c r="S1606" s="2430"/>
      <c r="T1606" s="2431"/>
      <c r="U1606" s="2432"/>
      <c r="V1606" s="2566"/>
      <c r="W1606" s="2430"/>
      <c r="X1606" s="2431"/>
      <c r="Y1606" s="2432"/>
      <c r="Z1606" s="2566"/>
      <c r="AA1606" s="2433"/>
      <c r="AB1606" s="2431"/>
    </row>
    <row r="1607" spans="1:28" ht="40.5" thickTop="1">
      <c r="A1607" s="105"/>
      <c r="B1607" s="2585"/>
      <c r="C1607" s="14"/>
      <c r="D1607" s="15"/>
      <c r="E1607" s="16"/>
      <c r="F1607" s="17"/>
      <c r="G1607" s="14"/>
      <c r="H1607" s="15"/>
      <c r="I1607" s="16"/>
      <c r="J1607" s="17"/>
      <c r="K1607" s="14"/>
      <c r="L1607" s="15"/>
      <c r="M1607" s="16"/>
      <c r="N1607" s="17"/>
      <c r="O1607" s="2823"/>
      <c r="P1607" s="2823"/>
      <c r="Q1607" s="2646"/>
      <c r="R1607" s="17"/>
      <c r="S1607" s="14"/>
      <c r="T1607" s="15"/>
      <c r="U1607" s="16"/>
      <c r="V1607" s="17"/>
      <c r="W1607" s="14"/>
      <c r="X1607" s="15"/>
      <c r="Y1607" s="16"/>
      <c r="Z1607" s="17"/>
      <c r="AA1607" s="30"/>
      <c r="AB1607" s="15"/>
    </row>
    <row r="1608" spans="1:28">
      <c r="A1608" s="2106"/>
      <c r="B1608" s="341"/>
      <c r="C1608" s="14"/>
      <c r="D1608" s="15"/>
      <c r="E1608" s="16"/>
      <c r="F1608" s="17"/>
      <c r="G1608" s="14"/>
      <c r="H1608" s="15"/>
      <c r="I1608" s="16"/>
      <c r="J1608" s="17"/>
      <c r="K1608" s="14"/>
      <c r="L1608" s="15"/>
      <c r="M1608" s="16"/>
      <c r="N1608" s="17"/>
      <c r="O1608" s="2823"/>
      <c r="P1608" s="2823"/>
      <c r="Q1608" s="2646"/>
      <c r="R1608" s="17"/>
      <c r="S1608" s="14"/>
      <c r="T1608" s="15"/>
      <c r="U1608" s="16"/>
      <c r="V1608" s="17"/>
      <c r="W1608" s="14"/>
      <c r="X1608" s="15"/>
      <c r="Y1608" s="16"/>
      <c r="Z1608" s="17"/>
      <c r="AA1608" s="30"/>
      <c r="AB1608" s="15"/>
    </row>
    <row r="1609" spans="1:28">
      <c r="A1609" s="3009"/>
      <c r="B1609" s="3010"/>
      <c r="C1609" s="16"/>
      <c r="D1609" s="15"/>
      <c r="E1609" s="16"/>
      <c r="F1609" s="17"/>
      <c r="G1609" s="14"/>
      <c r="H1609" s="15"/>
      <c r="I1609" s="16"/>
      <c r="J1609" s="17"/>
      <c r="K1609" s="14"/>
      <c r="L1609" s="15"/>
      <c r="M1609" s="16"/>
      <c r="N1609" s="17"/>
      <c r="O1609" s="2823"/>
      <c r="P1609" s="2823"/>
      <c r="Q1609" s="2646"/>
      <c r="R1609" s="17"/>
      <c r="S1609" s="14"/>
      <c r="T1609" s="15"/>
      <c r="U1609" s="16"/>
      <c r="V1609" s="17"/>
      <c r="W1609" s="14"/>
      <c r="X1609" s="15"/>
      <c r="Y1609" s="16"/>
      <c r="Z1609" s="17"/>
      <c r="AA1609" s="30"/>
      <c r="AB1609" s="15"/>
    </row>
    <row r="1610" spans="1:28">
      <c r="A1610" s="105"/>
      <c r="B1610" s="207"/>
      <c r="C1610" s="16"/>
      <c r="D1610" s="15"/>
      <c r="E1610" s="16"/>
      <c r="F1610" s="17"/>
      <c r="G1610" s="14"/>
      <c r="H1610" s="15"/>
      <c r="I1610" s="16"/>
      <c r="J1610" s="17"/>
      <c r="K1610" s="14"/>
      <c r="L1610" s="15"/>
      <c r="M1610" s="16"/>
      <c r="N1610" s="17"/>
      <c r="O1610" s="2823"/>
      <c r="P1610" s="2823"/>
      <c r="Q1610" s="2646"/>
      <c r="R1610" s="17"/>
      <c r="S1610" s="14"/>
      <c r="T1610" s="15"/>
      <c r="U1610" s="16"/>
      <c r="V1610" s="17"/>
      <c r="W1610" s="14"/>
      <c r="X1610" s="15"/>
      <c r="Y1610" s="16"/>
      <c r="Z1610" s="17"/>
      <c r="AA1610" s="30"/>
      <c r="AB1610" s="15"/>
    </row>
    <row r="1611" spans="1:28">
      <c r="A1611" s="460"/>
      <c r="B1611" s="207"/>
      <c r="C1611" s="14"/>
      <c r="D1611" s="15"/>
      <c r="E1611" s="16"/>
      <c r="F1611" s="17"/>
      <c r="G1611" s="14"/>
      <c r="H1611" s="15"/>
      <c r="I1611" s="16"/>
      <c r="J1611" s="17"/>
      <c r="K1611" s="14"/>
      <c r="L1611" s="15"/>
      <c r="M1611" s="16"/>
      <c r="N1611" s="17"/>
      <c r="O1611" s="2823"/>
      <c r="P1611" s="2823"/>
      <c r="Q1611" s="2646"/>
      <c r="R1611" s="17"/>
      <c r="S1611" s="14"/>
      <c r="T1611" s="15"/>
      <c r="U1611" s="16"/>
      <c r="V1611" s="17"/>
      <c r="W1611" s="14"/>
      <c r="X1611" s="15"/>
      <c r="Y1611" s="16"/>
      <c r="Z1611" s="17"/>
      <c r="AA1611" s="30"/>
      <c r="AB1611" s="15"/>
    </row>
    <row r="1612" spans="1:28" ht="40.5" thickBot="1">
      <c r="A1612" s="2134"/>
      <c r="B1612" s="2580"/>
      <c r="C1612" s="14"/>
      <c r="D1612" s="15"/>
      <c r="E1612" s="16"/>
      <c r="F1612" s="17"/>
      <c r="G1612" s="14"/>
      <c r="H1612" s="15"/>
      <c r="I1612" s="16"/>
      <c r="J1612" s="17"/>
      <c r="K1612" s="14"/>
      <c r="L1612" s="15"/>
      <c r="M1612" s="16"/>
      <c r="N1612" s="17"/>
      <c r="O1612" s="2823"/>
      <c r="P1612" s="2823"/>
      <c r="Q1612" s="2646"/>
      <c r="R1612" s="17"/>
      <c r="S1612" s="14"/>
      <c r="T1612" s="15"/>
      <c r="U1612" s="16"/>
      <c r="V1612" s="17"/>
      <c r="W1612" s="14"/>
      <c r="X1612" s="15"/>
      <c r="Y1612" s="16"/>
      <c r="Z1612" s="17"/>
      <c r="AA1612" s="30"/>
      <c r="AB1612" s="15"/>
    </row>
    <row r="1613" spans="1:28" ht="40.5" thickTop="1">
      <c r="A1613" s="1000"/>
      <c r="B1613" s="1106"/>
      <c r="C1613" s="14"/>
      <c r="D1613" s="15"/>
      <c r="E1613" s="16"/>
      <c r="F1613" s="17"/>
      <c r="G1613" s="14"/>
      <c r="H1613" s="15"/>
      <c r="I1613" s="16"/>
      <c r="J1613" s="17"/>
      <c r="K1613" s="14"/>
      <c r="L1613" s="15"/>
      <c r="M1613" s="16"/>
      <c r="N1613" s="17"/>
      <c r="O1613" s="2823"/>
      <c r="P1613" s="2823"/>
      <c r="Q1613" s="2646"/>
      <c r="R1613" s="17"/>
      <c r="S1613" s="14"/>
      <c r="T1613" s="15"/>
      <c r="U1613" s="16"/>
      <c r="V1613" s="17"/>
      <c r="W1613" s="14"/>
      <c r="X1613" s="15"/>
      <c r="Y1613" s="16"/>
      <c r="Z1613" s="17"/>
      <c r="AA1613" s="30"/>
      <c r="AB1613" s="15"/>
    </row>
    <row r="1614" spans="1:28">
      <c r="A1614" s="1000"/>
      <c r="B1614" s="320"/>
      <c r="C1614" s="14"/>
      <c r="D1614" s="15"/>
      <c r="E1614" s="16"/>
      <c r="F1614" s="17"/>
      <c r="G1614" s="14"/>
      <c r="H1614" s="15"/>
      <c r="I1614" s="16"/>
      <c r="J1614" s="17"/>
      <c r="K1614" s="14"/>
      <c r="L1614" s="15"/>
      <c r="M1614" s="16"/>
      <c r="N1614" s="17"/>
      <c r="O1614" s="2823"/>
      <c r="P1614" s="2823"/>
      <c r="Q1614" s="2646"/>
      <c r="R1614" s="17"/>
      <c r="S1614" s="14"/>
      <c r="T1614" s="15"/>
      <c r="U1614" s="16"/>
      <c r="V1614" s="17"/>
      <c r="W1614" s="14"/>
      <c r="X1614" s="15"/>
      <c r="Y1614" s="16"/>
      <c r="Z1614" s="17"/>
      <c r="AA1614" s="30"/>
      <c r="AB1614" s="15"/>
    </row>
    <row r="1615" spans="1:28">
      <c r="A1615" s="1000"/>
      <c r="B1615" s="320"/>
      <c r="C1615" s="14"/>
      <c r="D1615" s="15"/>
      <c r="E1615" s="16"/>
      <c r="F1615" s="17"/>
      <c r="G1615" s="14"/>
      <c r="H1615" s="15"/>
      <c r="I1615" s="16"/>
      <c r="J1615" s="17"/>
      <c r="K1615" s="14"/>
      <c r="L1615" s="15"/>
      <c r="M1615" s="16"/>
      <c r="N1615" s="17"/>
      <c r="O1615" s="2823"/>
      <c r="P1615" s="2823"/>
      <c r="Q1615" s="2646"/>
      <c r="R1615" s="17"/>
      <c r="S1615" s="14"/>
      <c r="T1615" s="15"/>
      <c r="U1615" s="16"/>
      <c r="V1615" s="17"/>
      <c r="W1615" s="14"/>
      <c r="X1615" s="15"/>
      <c r="Y1615" s="16"/>
      <c r="Z1615" s="17"/>
      <c r="AA1615" s="30"/>
      <c r="AB1615" s="15"/>
    </row>
    <row r="1616" spans="1:28">
      <c r="A1616" s="1000"/>
      <c r="B1616" s="320"/>
      <c r="C1616" s="14"/>
      <c r="D1616" s="15"/>
      <c r="E1616" s="16"/>
      <c r="F1616" s="17"/>
      <c r="G1616" s="14"/>
      <c r="H1616" s="15"/>
      <c r="I1616" s="16"/>
      <c r="J1616" s="17"/>
      <c r="K1616" s="14"/>
      <c r="L1616" s="15"/>
      <c r="M1616" s="16"/>
      <c r="N1616" s="17"/>
      <c r="O1616" s="2824"/>
      <c r="P1616" s="2824"/>
      <c r="Q1616" s="2646"/>
      <c r="R1616" s="17"/>
      <c r="S1616" s="14"/>
      <c r="T1616" s="15"/>
      <c r="U1616" s="16"/>
      <c r="V1616" s="17"/>
      <c r="W1616" s="14"/>
      <c r="X1616" s="15"/>
      <c r="Y1616" s="16"/>
      <c r="Z1616" s="17"/>
      <c r="AA1616" s="30"/>
      <c r="AB1616" s="15"/>
    </row>
    <row r="1617" spans="1:28">
      <c r="A1617" s="117"/>
      <c r="B1617" s="852"/>
      <c r="C1617" s="14"/>
      <c r="D1617" s="15"/>
      <c r="E1617" s="16"/>
      <c r="F1617" s="17"/>
      <c r="G1617" s="14"/>
      <c r="H1617" s="15"/>
      <c r="I1617" s="16"/>
      <c r="J1617" s="17"/>
      <c r="K1617" s="14"/>
      <c r="L1617" s="15"/>
      <c r="M1617" s="16"/>
      <c r="N1617" s="17"/>
      <c r="O1617" s="2825"/>
      <c r="P1617" s="2826"/>
      <c r="Q1617" s="2645"/>
      <c r="R1617" s="1795"/>
      <c r="S1617" s="14"/>
      <c r="T1617" s="15"/>
      <c r="U1617" s="16"/>
      <c r="V1617" s="17"/>
      <c r="W1617" s="14"/>
      <c r="X1617" s="15"/>
      <c r="Y1617" s="16"/>
      <c r="Z1617" s="17"/>
      <c r="AA1617" s="30"/>
      <c r="AB1617" s="15"/>
    </row>
    <row r="1618" spans="1:28">
      <c r="A1618" s="207"/>
      <c r="B1618" s="852"/>
      <c r="C1618" s="14"/>
      <c r="D1618" s="15"/>
      <c r="E1618" s="16"/>
      <c r="F1618" s="17"/>
      <c r="G1618" s="14"/>
      <c r="H1618" s="15"/>
      <c r="I1618" s="16"/>
      <c r="J1618" s="17"/>
      <c r="K1618" s="14"/>
      <c r="L1618" s="15"/>
      <c r="M1618" s="16"/>
      <c r="N1618" s="17"/>
      <c r="O1618" s="2994"/>
      <c r="P1618" s="2826"/>
      <c r="Q1618" s="2649"/>
      <c r="R1618" s="2650"/>
      <c r="S1618" s="2651"/>
      <c r="T1618" s="2648"/>
      <c r="U1618" s="16"/>
      <c r="V1618" s="17"/>
      <c r="W1618" s="14"/>
      <c r="X1618" s="15"/>
      <c r="Y1618" s="16"/>
      <c r="Z1618" s="17"/>
      <c r="AA1618" s="30"/>
      <c r="AB1618" s="15"/>
    </row>
    <row r="1619" spans="1:28" ht="40.5" thickBot="1">
      <c r="A1619" s="207"/>
      <c r="B1619" s="852"/>
      <c r="C1619" s="6"/>
      <c r="D1619" s="32"/>
      <c r="E1619" s="7"/>
      <c r="F1619" s="40"/>
      <c r="G1619" s="6"/>
      <c r="H1619" s="32"/>
      <c r="I1619" s="7"/>
      <c r="J1619" s="40"/>
      <c r="K1619" s="6"/>
      <c r="L1619" s="32"/>
      <c r="M1619" s="7"/>
      <c r="N1619" s="40"/>
      <c r="O1619" s="2823"/>
      <c r="P1619" s="2823"/>
      <c r="Q1619" s="2647"/>
      <c r="R1619" s="40"/>
      <c r="S1619" s="6"/>
      <c r="T1619" s="32"/>
      <c r="U1619" s="7"/>
      <c r="V1619" s="40"/>
      <c r="W1619" s="6"/>
      <c r="X1619" s="32"/>
      <c r="Y1619" s="7"/>
      <c r="Z1619" s="40"/>
      <c r="AA1619" s="2630"/>
      <c r="AB1619" s="2631"/>
    </row>
  </sheetData>
  <mergeCells count="860">
    <mergeCell ref="AA1564:AB1564"/>
    <mergeCell ref="AA1592:AB1592"/>
    <mergeCell ref="A1564:A1565"/>
    <mergeCell ref="B1564:B1565"/>
    <mergeCell ref="C1564:D1564"/>
    <mergeCell ref="E1564:F1564"/>
    <mergeCell ref="G1564:H1564"/>
    <mergeCell ref="K1592:L1592"/>
    <mergeCell ref="M1592:N1592"/>
    <mergeCell ref="O1592:P1592"/>
    <mergeCell ref="S1592:T1592"/>
    <mergeCell ref="W1592:X1592"/>
    <mergeCell ref="AA1508:AB1508"/>
    <mergeCell ref="A1536:A1537"/>
    <mergeCell ref="B1536:B1537"/>
    <mergeCell ref="C1536:D1536"/>
    <mergeCell ref="E1536:F1536"/>
    <mergeCell ref="G1536:H1536"/>
    <mergeCell ref="I1564:J1564"/>
    <mergeCell ref="K1564:L1564"/>
    <mergeCell ref="M1564:N1564"/>
    <mergeCell ref="O1564:P1564"/>
    <mergeCell ref="AA1536:AB1536"/>
    <mergeCell ref="A1592:A1593"/>
    <mergeCell ref="B1592:B1593"/>
    <mergeCell ref="C1592:D1592"/>
    <mergeCell ref="E1592:F1592"/>
    <mergeCell ref="G1592:H1592"/>
    <mergeCell ref="Q1564:R1564"/>
    <mergeCell ref="S1564:T1564"/>
    <mergeCell ref="W1564:X1564"/>
    <mergeCell ref="Q1536:R1536"/>
    <mergeCell ref="S1536:T1536"/>
    <mergeCell ref="W1536:X1536"/>
    <mergeCell ref="I1536:J1536"/>
    <mergeCell ref="K1536:L1536"/>
    <mergeCell ref="M1536:N1536"/>
    <mergeCell ref="O1536:P1536"/>
    <mergeCell ref="K1508:L1508"/>
    <mergeCell ref="M1508:N1508"/>
    <mergeCell ref="O1508:P1508"/>
    <mergeCell ref="I1592:J1592"/>
    <mergeCell ref="Q1592:R1592"/>
    <mergeCell ref="Q1508:R1508"/>
    <mergeCell ref="S1508:T1508"/>
    <mergeCell ref="W1508:X1508"/>
    <mergeCell ref="A1508:A1509"/>
    <mergeCell ref="B1508:B1509"/>
    <mergeCell ref="C1508:D1508"/>
    <mergeCell ref="E1508:F1508"/>
    <mergeCell ref="G1508:H1508"/>
    <mergeCell ref="I1508:J1508"/>
    <mergeCell ref="U1472:V1472"/>
    <mergeCell ref="W1472:X1472"/>
    <mergeCell ref="Y1472:Z1472"/>
    <mergeCell ref="AA1472:AB1472"/>
    <mergeCell ref="I1472:J1472"/>
    <mergeCell ref="K1472:L1472"/>
    <mergeCell ref="M1472:N1472"/>
    <mergeCell ref="O1472:P1472"/>
    <mergeCell ref="Q1472:R1472"/>
    <mergeCell ref="A1472:A1473"/>
    <mergeCell ref="B1472:B1473"/>
    <mergeCell ref="C1472:D1472"/>
    <mergeCell ref="E1472:F1472"/>
    <mergeCell ref="G1472:H1472"/>
    <mergeCell ref="S1447:T1447"/>
    <mergeCell ref="A1447:A1448"/>
    <mergeCell ref="B1447:B1448"/>
    <mergeCell ref="C1447:D1447"/>
    <mergeCell ref="E1447:F1447"/>
    <mergeCell ref="S1472:T1472"/>
    <mergeCell ref="W1422:X1422"/>
    <mergeCell ref="Y1422:Z1422"/>
    <mergeCell ref="AA1422:AB1422"/>
    <mergeCell ref="I1422:J1422"/>
    <mergeCell ref="K1422:L1422"/>
    <mergeCell ref="M1422:N1422"/>
    <mergeCell ref="O1422:P1422"/>
    <mergeCell ref="U1447:V1447"/>
    <mergeCell ref="W1447:X1447"/>
    <mergeCell ref="Y1447:Z1447"/>
    <mergeCell ref="AA1447:AB1447"/>
    <mergeCell ref="I1447:J1447"/>
    <mergeCell ref="K1447:L1447"/>
    <mergeCell ref="M1447:N1447"/>
    <mergeCell ref="O1447:P1447"/>
    <mergeCell ref="Q1447:R1447"/>
    <mergeCell ref="Q1422:R1422"/>
    <mergeCell ref="A1422:A1423"/>
    <mergeCell ref="B1422:B1423"/>
    <mergeCell ref="C1422:D1422"/>
    <mergeCell ref="E1422:F1422"/>
    <mergeCell ref="G1422:H1422"/>
    <mergeCell ref="G1447:H1447"/>
    <mergeCell ref="S1422:T1422"/>
    <mergeCell ref="U1422:V1422"/>
    <mergeCell ref="U1397:V1397"/>
    <mergeCell ref="W1397:X1397"/>
    <mergeCell ref="Y1397:Z1397"/>
    <mergeCell ref="AA1397:AB1397"/>
    <mergeCell ref="I1397:J1397"/>
    <mergeCell ref="K1397:L1397"/>
    <mergeCell ref="M1397:N1397"/>
    <mergeCell ref="O1397:P1397"/>
    <mergeCell ref="Q1397:R1397"/>
    <mergeCell ref="A1397:A1398"/>
    <mergeCell ref="B1397:B1398"/>
    <mergeCell ref="C1397:D1397"/>
    <mergeCell ref="E1397:F1397"/>
    <mergeCell ref="G1397:H1397"/>
    <mergeCell ref="S1372:T1372"/>
    <mergeCell ref="A1372:A1373"/>
    <mergeCell ref="B1372:B1373"/>
    <mergeCell ref="C1372:D1372"/>
    <mergeCell ref="E1372:F1372"/>
    <mergeCell ref="S1397:T1397"/>
    <mergeCell ref="U1322:V1322"/>
    <mergeCell ref="W1322:X1322"/>
    <mergeCell ref="Y1322:Z1322"/>
    <mergeCell ref="AA1322:AB1322"/>
    <mergeCell ref="G1372:H1372"/>
    <mergeCell ref="S1347:T1347"/>
    <mergeCell ref="U1347:V1347"/>
    <mergeCell ref="W1347:X1347"/>
    <mergeCell ref="Y1347:Z1347"/>
    <mergeCell ref="AA1347:AB1347"/>
    <mergeCell ref="I1347:J1347"/>
    <mergeCell ref="K1347:L1347"/>
    <mergeCell ref="M1347:N1347"/>
    <mergeCell ref="O1347:P1347"/>
    <mergeCell ref="U1372:V1372"/>
    <mergeCell ref="W1372:X1372"/>
    <mergeCell ref="Y1372:Z1372"/>
    <mergeCell ref="AA1372:AB1372"/>
    <mergeCell ref="I1372:J1372"/>
    <mergeCell ref="K1372:L1372"/>
    <mergeCell ref="M1372:N1372"/>
    <mergeCell ref="O1372:P1372"/>
    <mergeCell ref="Q1372:R1372"/>
    <mergeCell ref="A1347:A1348"/>
    <mergeCell ref="B1347:B1348"/>
    <mergeCell ref="C1347:D1347"/>
    <mergeCell ref="E1347:F1347"/>
    <mergeCell ref="G1347:H1347"/>
    <mergeCell ref="S1297:T1297"/>
    <mergeCell ref="A1297:A1298"/>
    <mergeCell ref="B1297:B1298"/>
    <mergeCell ref="C1297:D1297"/>
    <mergeCell ref="E1297:F1297"/>
    <mergeCell ref="I1322:J1322"/>
    <mergeCell ref="K1322:L1322"/>
    <mergeCell ref="M1322:N1322"/>
    <mergeCell ref="O1322:P1322"/>
    <mergeCell ref="Q1322:R1322"/>
    <mergeCell ref="A1322:A1323"/>
    <mergeCell ref="B1322:B1323"/>
    <mergeCell ref="C1322:D1322"/>
    <mergeCell ref="E1322:F1322"/>
    <mergeCell ref="G1322:H1322"/>
    <mergeCell ref="Q1347:R1347"/>
    <mergeCell ref="S1322:T1322"/>
    <mergeCell ref="G1297:H1297"/>
    <mergeCell ref="AA899:AB899"/>
    <mergeCell ref="O899:P899"/>
    <mergeCell ref="Q899:R899"/>
    <mergeCell ref="S899:T899"/>
    <mergeCell ref="W899:X899"/>
    <mergeCell ref="K924:L924"/>
    <mergeCell ref="M924:N924"/>
    <mergeCell ref="O924:P924"/>
    <mergeCell ref="Q924:R924"/>
    <mergeCell ref="U1297:V1297"/>
    <mergeCell ref="W1297:X1297"/>
    <mergeCell ref="Y1297:Z1297"/>
    <mergeCell ref="S924:T924"/>
    <mergeCell ref="W924:X924"/>
    <mergeCell ref="Q949:R949"/>
    <mergeCell ref="S949:T949"/>
    <mergeCell ref="AA1297:AB1297"/>
    <mergeCell ref="I1297:J1297"/>
    <mergeCell ref="K1297:L1297"/>
    <mergeCell ref="M1297:N1297"/>
    <mergeCell ref="O1297:P1297"/>
    <mergeCell ref="Q1297:R1297"/>
    <mergeCell ref="A899:A900"/>
    <mergeCell ref="B899:B900"/>
    <mergeCell ref="C899:D899"/>
    <mergeCell ref="E899:F899"/>
    <mergeCell ref="G899:H899"/>
    <mergeCell ref="I899:J899"/>
    <mergeCell ref="K899:L899"/>
    <mergeCell ref="M899:N899"/>
    <mergeCell ref="M875:N875"/>
    <mergeCell ref="A875:A876"/>
    <mergeCell ref="B875:B876"/>
    <mergeCell ref="C875:D875"/>
    <mergeCell ref="E875:F875"/>
    <mergeCell ref="G875:H875"/>
    <mergeCell ref="I875:J875"/>
    <mergeCell ref="W875:X875"/>
    <mergeCell ref="W851:X851"/>
    <mergeCell ref="AA851:AB851"/>
    <mergeCell ref="AA875:AB875"/>
    <mergeCell ref="K875:L875"/>
    <mergeCell ref="K851:L851"/>
    <mergeCell ref="M851:N851"/>
    <mergeCell ref="O851:P851"/>
    <mergeCell ref="Q851:R851"/>
    <mergeCell ref="S851:T851"/>
    <mergeCell ref="O875:P875"/>
    <mergeCell ref="Q875:R875"/>
    <mergeCell ref="S875:T875"/>
    <mergeCell ref="AA827:AB827"/>
    <mergeCell ref="AA803:AB803"/>
    <mergeCell ref="A827:A828"/>
    <mergeCell ref="B827:B828"/>
    <mergeCell ref="C827:D827"/>
    <mergeCell ref="E827:F827"/>
    <mergeCell ref="G827:H827"/>
    <mergeCell ref="I827:J827"/>
    <mergeCell ref="A851:A852"/>
    <mergeCell ref="B851:B852"/>
    <mergeCell ref="C851:D851"/>
    <mergeCell ref="E851:F851"/>
    <mergeCell ref="G851:H851"/>
    <mergeCell ref="I851:J851"/>
    <mergeCell ref="K827:L827"/>
    <mergeCell ref="M827:N827"/>
    <mergeCell ref="O827:P827"/>
    <mergeCell ref="O803:P803"/>
    <mergeCell ref="Q803:R803"/>
    <mergeCell ref="M803:N803"/>
    <mergeCell ref="Q827:R827"/>
    <mergeCell ref="S827:T827"/>
    <mergeCell ref="W827:X827"/>
    <mergeCell ref="S756:T756"/>
    <mergeCell ref="S803:T803"/>
    <mergeCell ref="W803:X803"/>
    <mergeCell ref="AA779:AB779"/>
    <mergeCell ref="A803:A804"/>
    <mergeCell ref="B803:B804"/>
    <mergeCell ref="C803:D803"/>
    <mergeCell ref="E803:F803"/>
    <mergeCell ref="G803:H803"/>
    <mergeCell ref="I803:J803"/>
    <mergeCell ref="K803:L803"/>
    <mergeCell ref="A756:A757"/>
    <mergeCell ref="B756:B757"/>
    <mergeCell ref="C756:D756"/>
    <mergeCell ref="E756:F756"/>
    <mergeCell ref="G756:H756"/>
    <mergeCell ref="I756:J756"/>
    <mergeCell ref="AA756:AB756"/>
    <mergeCell ref="A779:A780"/>
    <mergeCell ref="B779:B780"/>
    <mergeCell ref="C779:D779"/>
    <mergeCell ref="E779:F779"/>
    <mergeCell ref="G779:H779"/>
    <mergeCell ref="I779:J779"/>
    <mergeCell ref="K779:L779"/>
    <mergeCell ref="K756:L756"/>
    <mergeCell ref="M756:N756"/>
    <mergeCell ref="M779:N779"/>
    <mergeCell ref="O779:P779"/>
    <mergeCell ref="Q779:R779"/>
    <mergeCell ref="S779:T779"/>
    <mergeCell ref="W779:X779"/>
    <mergeCell ref="W756:X756"/>
    <mergeCell ref="O756:P756"/>
    <mergeCell ref="Q756:R756"/>
    <mergeCell ref="A732:A733"/>
    <mergeCell ref="B732:B733"/>
    <mergeCell ref="C732:D732"/>
    <mergeCell ref="E732:F732"/>
    <mergeCell ref="G732:H732"/>
    <mergeCell ref="I732:J732"/>
    <mergeCell ref="K732:L732"/>
    <mergeCell ref="K708:L708"/>
    <mergeCell ref="AA732:AB732"/>
    <mergeCell ref="M732:N732"/>
    <mergeCell ref="O732:P732"/>
    <mergeCell ref="Q732:R732"/>
    <mergeCell ref="S732:T732"/>
    <mergeCell ref="W732:X732"/>
    <mergeCell ref="AA684:AB684"/>
    <mergeCell ref="AA660:AB660"/>
    <mergeCell ref="A684:A685"/>
    <mergeCell ref="B684:B685"/>
    <mergeCell ref="C684:D684"/>
    <mergeCell ref="E684:F684"/>
    <mergeCell ref="G684:H684"/>
    <mergeCell ref="I684:J684"/>
    <mergeCell ref="M708:N708"/>
    <mergeCell ref="O708:P708"/>
    <mergeCell ref="Q708:R708"/>
    <mergeCell ref="S708:T708"/>
    <mergeCell ref="A708:A709"/>
    <mergeCell ref="B708:B709"/>
    <mergeCell ref="C708:D708"/>
    <mergeCell ref="E708:F708"/>
    <mergeCell ref="G708:H708"/>
    <mergeCell ref="I708:J708"/>
    <mergeCell ref="W708:X708"/>
    <mergeCell ref="AA708:AB708"/>
    <mergeCell ref="K684:L684"/>
    <mergeCell ref="M684:N684"/>
    <mergeCell ref="O684:P684"/>
    <mergeCell ref="O660:P660"/>
    <mergeCell ref="Q660:R660"/>
    <mergeCell ref="M660:N660"/>
    <mergeCell ref="Q684:R684"/>
    <mergeCell ref="S684:T684"/>
    <mergeCell ref="W684:X684"/>
    <mergeCell ref="S660:T660"/>
    <mergeCell ref="W660:X660"/>
    <mergeCell ref="AA636:AB636"/>
    <mergeCell ref="A660:A661"/>
    <mergeCell ref="B660:B661"/>
    <mergeCell ref="C660:D660"/>
    <mergeCell ref="E660:F660"/>
    <mergeCell ref="G660:H660"/>
    <mergeCell ref="I660:J660"/>
    <mergeCell ref="K660:L660"/>
    <mergeCell ref="O636:P636"/>
    <mergeCell ref="Q636:R636"/>
    <mergeCell ref="S636:T636"/>
    <mergeCell ref="K359:L359"/>
    <mergeCell ref="M359:N359"/>
    <mergeCell ref="O359:P359"/>
    <mergeCell ref="Q359:R359"/>
    <mergeCell ref="W636:X636"/>
    <mergeCell ref="W319:X319"/>
    <mergeCell ref="O319:P319"/>
    <mergeCell ref="Q319:R319"/>
    <mergeCell ref="S319:T319"/>
    <mergeCell ref="Q382:R382"/>
    <mergeCell ref="S359:T359"/>
    <mergeCell ref="W359:X359"/>
    <mergeCell ref="S382:T382"/>
    <mergeCell ref="W382:X382"/>
    <mergeCell ref="A636:A637"/>
    <mergeCell ref="B636:B637"/>
    <mergeCell ref="C636:D636"/>
    <mergeCell ref="E636:F636"/>
    <mergeCell ref="G636:H636"/>
    <mergeCell ref="I636:J636"/>
    <mergeCell ref="K636:L636"/>
    <mergeCell ref="K319:L319"/>
    <mergeCell ref="M319:N319"/>
    <mergeCell ref="M636:N636"/>
    <mergeCell ref="W49:X49"/>
    <mergeCell ref="Y49:Z49"/>
    <mergeCell ref="AA3:AB3"/>
    <mergeCell ref="AA26:AB26"/>
    <mergeCell ref="AA49:AB49"/>
    <mergeCell ref="W26:X26"/>
    <mergeCell ref="Y26:Z26"/>
    <mergeCell ref="W3:X3"/>
    <mergeCell ref="Y3:Z3"/>
    <mergeCell ref="Q49:R49"/>
    <mergeCell ref="S49:T49"/>
    <mergeCell ref="U49:V49"/>
    <mergeCell ref="A49:A50"/>
    <mergeCell ref="B49:B50"/>
    <mergeCell ref="C49:D49"/>
    <mergeCell ref="E49:F49"/>
    <mergeCell ref="G49:H49"/>
    <mergeCell ref="I49:J49"/>
    <mergeCell ref="Q3:R3"/>
    <mergeCell ref="S3:T3"/>
    <mergeCell ref="U3:V3"/>
    <mergeCell ref="G3:H3"/>
    <mergeCell ref="I3:J3"/>
    <mergeCell ref="K3:L3"/>
    <mergeCell ref="M3:N3"/>
    <mergeCell ref="G26:H26"/>
    <mergeCell ref="I26:J26"/>
    <mergeCell ref="K26:L26"/>
    <mergeCell ref="M26:N26"/>
    <mergeCell ref="O26:P26"/>
    <mergeCell ref="Q26:R26"/>
    <mergeCell ref="S26:T26"/>
    <mergeCell ref="U26:V26"/>
    <mergeCell ref="A3:A4"/>
    <mergeCell ref="B3:B4"/>
    <mergeCell ref="C3:D3"/>
    <mergeCell ref="E3:F3"/>
    <mergeCell ref="A73:A74"/>
    <mergeCell ref="B73:B74"/>
    <mergeCell ref="C73:D73"/>
    <mergeCell ref="E73:F73"/>
    <mergeCell ref="O3:P3"/>
    <mergeCell ref="A26:A27"/>
    <mergeCell ref="B26:B27"/>
    <mergeCell ref="C26:D26"/>
    <mergeCell ref="E26:F26"/>
    <mergeCell ref="K49:L49"/>
    <mergeCell ref="M49:N49"/>
    <mergeCell ref="O49:P49"/>
    <mergeCell ref="AA73:AB73"/>
    <mergeCell ref="O73:P73"/>
    <mergeCell ref="Q73:R73"/>
    <mergeCell ref="S73:T73"/>
    <mergeCell ref="U73:V73"/>
    <mergeCell ref="G73:H73"/>
    <mergeCell ref="I73:J73"/>
    <mergeCell ref="K73:L73"/>
    <mergeCell ref="M73:N73"/>
    <mergeCell ref="W73:X73"/>
    <mergeCell ref="Y73:Z73"/>
    <mergeCell ref="AA114:AB114"/>
    <mergeCell ref="A137:A138"/>
    <mergeCell ref="B137:B138"/>
    <mergeCell ref="C137:D137"/>
    <mergeCell ref="E137:F137"/>
    <mergeCell ref="G137:H137"/>
    <mergeCell ref="I137:J137"/>
    <mergeCell ref="K137:L137"/>
    <mergeCell ref="M137:N137"/>
    <mergeCell ref="O137:P137"/>
    <mergeCell ref="K114:L114"/>
    <mergeCell ref="M114:N114"/>
    <mergeCell ref="O114:P114"/>
    <mergeCell ref="Q114:R114"/>
    <mergeCell ref="S114:T114"/>
    <mergeCell ref="W114:X114"/>
    <mergeCell ref="A114:A115"/>
    <mergeCell ref="B114:B115"/>
    <mergeCell ref="C114:D114"/>
    <mergeCell ref="E114:F114"/>
    <mergeCell ref="G114:H114"/>
    <mergeCell ref="I114:J114"/>
    <mergeCell ref="Q137:R137"/>
    <mergeCell ref="S137:T137"/>
    <mergeCell ref="W137:X137"/>
    <mergeCell ref="AA137:AB137"/>
    <mergeCell ref="A160:A161"/>
    <mergeCell ref="B160:B161"/>
    <mergeCell ref="C160:D160"/>
    <mergeCell ref="E160:F160"/>
    <mergeCell ref="G160:H160"/>
    <mergeCell ref="I160:J160"/>
    <mergeCell ref="AA160:AB160"/>
    <mergeCell ref="A184:A185"/>
    <mergeCell ref="B184:B185"/>
    <mergeCell ref="C184:D184"/>
    <mergeCell ref="E184:F184"/>
    <mergeCell ref="G184:H184"/>
    <mergeCell ref="I184:J184"/>
    <mergeCell ref="K184:L184"/>
    <mergeCell ref="M184:N184"/>
    <mergeCell ref="O184:P184"/>
    <mergeCell ref="K160:L160"/>
    <mergeCell ref="M160:N160"/>
    <mergeCell ref="O160:P160"/>
    <mergeCell ref="Q160:R160"/>
    <mergeCell ref="S160:T160"/>
    <mergeCell ref="W160:X160"/>
    <mergeCell ref="Q184:R184"/>
    <mergeCell ref="S184:T184"/>
    <mergeCell ref="W184:X184"/>
    <mergeCell ref="AA184:AB184"/>
    <mergeCell ref="A225:A226"/>
    <mergeCell ref="B225:B226"/>
    <mergeCell ref="C225:D225"/>
    <mergeCell ref="E225:F225"/>
    <mergeCell ref="G225:H225"/>
    <mergeCell ref="I225:J225"/>
    <mergeCell ref="AA225:AB225"/>
    <mergeCell ref="A248:A249"/>
    <mergeCell ref="B248:B249"/>
    <mergeCell ref="C248:D248"/>
    <mergeCell ref="E248:F248"/>
    <mergeCell ref="G248:H248"/>
    <mergeCell ref="I248:J248"/>
    <mergeCell ref="K248:L248"/>
    <mergeCell ref="M248:N248"/>
    <mergeCell ref="O248:P248"/>
    <mergeCell ref="K225:L225"/>
    <mergeCell ref="M225:N225"/>
    <mergeCell ref="O225:P225"/>
    <mergeCell ref="Q225:R225"/>
    <mergeCell ref="S225:T225"/>
    <mergeCell ref="W225:X225"/>
    <mergeCell ref="Q248:R248"/>
    <mergeCell ref="S248:T248"/>
    <mergeCell ref="W248:X248"/>
    <mergeCell ref="AA248:AB248"/>
    <mergeCell ref="A271:A272"/>
    <mergeCell ref="B271:B272"/>
    <mergeCell ref="C271:D271"/>
    <mergeCell ref="E271:F271"/>
    <mergeCell ref="G271:H271"/>
    <mergeCell ref="I271:J271"/>
    <mergeCell ref="AA271:AB271"/>
    <mergeCell ref="A295:A296"/>
    <mergeCell ref="B295:B296"/>
    <mergeCell ref="C295:D295"/>
    <mergeCell ref="E295:F295"/>
    <mergeCell ref="G295:H295"/>
    <mergeCell ref="I295:J295"/>
    <mergeCell ref="K295:L295"/>
    <mergeCell ref="M295:N295"/>
    <mergeCell ref="O295:P295"/>
    <mergeCell ref="K271:L271"/>
    <mergeCell ref="M271:N271"/>
    <mergeCell ref="O271:P271"/>
    <mergeCell ref="Q271:R271"/>
    <mergeCell ref="S271:T271"/>
    <mergeCell ref="W271:X271"/>
    <mergeCell ref="Q295:R295"/>
    <mergeCell ref="S295:T295"/>
    <mergeCell ref="W295:X295"/>
    <mergeCell ref="AA295:AB295"/>
    <mergeCell ref="A336:A337"/>
    <mergeCell ref="B336:B337"/>
    <mergeCell ref="A319:A320"/>
    <mergeCell ref="B319:B320"/>
    <mergeCell ref="C319:D319"/>
    <mergeCell ref="E319:F319"/>
    <mergeCell ref="G319:H319"/>
    <mergeCell ref="I319:J319"/>
    <mergeCell ref="AA319:AB319"/>
    <mergeCell ref="AA359:AB359"/>
    <mergeCell ref="A382:A383"/>
    <mergeCell ref="B382:B383"/>
    <mergeCell ref="C382:D382"/>
    <mergeCell ref="E382:F382"/>
    <mergeCell ref="G382:H382"/>
    <mergeCell ref="I382:J382"/>
    <mergeCell ref="K382:L382"/>
    <mergeCell ref="M382:N382"/>
    <mergeCell ref="O382:P382"/>
    <mergeCell ref="A359:A360"/>
    <mergeCell ref="B359:B360"/>
    <mergeCell ref="C359:D359"/>
    <mergeCell ref="E359:F359"/>
    <mergeCell ref="G359:H359"/>
    <mergeCell ref="I359:J359"/>
    <mergeCell ref="AA382:AB382"/>
    <mergeCell ref="A405:A406"/>
    <mergeCell ref="B405:B406"/>
    <mergeCell ref="C405:D405"/>
    <mergeCell ref="E405:F405"/>
    <mergeCell ref="G405:H405"/>
    <mergeCell ref="I405:J405"/>
    <mergeCell ref="K405:L405"/>
    <mergeCell ref="M405:N405"/>
    <mergeCell ref="O405:P405"/>
    <mergeCell ref="Q405:R405"/>
    <mergeCell ref="S405:T405"/>
    <mergeCell ref="W405:X405"/>
    <mergeCell ref="AA405:AB405"/>
    <mergeCell ref="A428:A429"/>
    <mergeCell ref="B428:B429"/>
    <mergeCell ref="C428:D428"/>
    <mergeCell ref="E428:F428"/>
    <mergeCell ref="G428:H428"/>
    <mergeCell ref="I428:J428"/>
    <mergeCell ref="AA428:AB428"/>
    <mergeCell ref="A451:A452"/>
    <mergeCell ref="B451:B452"/>
    <mergeCell ref="C451:D451"/>
    <mergeCell ref="E451:F451"/>
    <mergeCell ref="G451:H451"/>
    <mergeCell ref="I451:J451"/>
    <mergeCell ref="K451:L451"/>
    <mergeCell ref="M451:N451"/>
    <mergeCell ref="O451:P451"/>
    <mergeCell ref="K428:L428"/>
    <mergeCell ref="M428:N428"/>
    <mergeCell ref="O428:P428"/>
    <mergeCell ref="Q428:R428"/>
    <mergeCell ref="S428:T428"/>
    <mergeCell ref="W428:X428"/>
    <mergeCell ref="Q451:R451"/>
    <mergeCell ref="S451:T451"/>
    <mergeCell ref="W451:X451"/>
    <mergeCell ref="AA451:AB451"/>
    <mergeCell ref="A474:A475"/>
    <mergeCell ref="B474:B475"/>
    <mergeCell ref="C474:D474"/>
    <mergeCell ref="E474:F474"/>
    <mergeCell ref="G474:H474"/>
    <mergeCell ref="I474:J474"/>
    <mergeCell ref="AA474:AB474"/>
    <mergeCell ref="A497:A498"/>
    <mergeCell ref="B497:B498"/>
    <mergeCell ref="C497:D497"/>
    <mergeCell ref="E497:F497"/>
    <mergeCell ref="G497:H497"/>
    <mergeCell ref="I497:J497"/>
    <mergeCell ref="K497:L497"/>
    <mergeCell ref="M497:N497"/>
    <mergeCell ref="O497:P497"/>
    <mergeCell ref="K474:L474"/>
    <mergeCell ref="M474:N474"/>
    <mergeCell ref="O474:P474"/>
    <mergeCell ref="Q474:R474"/>
    <mergeCell ref="S474:T474"/>
    <mergeCell ref="W474:X474"/>
    <mergeCell ref="Q497:R497"/>
    <mergeCell ref="S497:T497"/>
    <mergeCell ref="W497:X497"/>
    <mergeCell ref="AA497:AB497"/>
    <mergeCell ref="A520:A521"/>
    <mergeCell ref="B520:B521"/>
    <mergeCell ref="C520:D520"/>
    <mergeCell ref="E520:F520"/>
    <mergeCell ref="G520:H520"/>
    <mergeCell ref="I520:J520"/>
    <mergeCell ref="AA520:AB520"/>
    <mergeCell ref="A543:A544"/>
    <mergeCell ref="B543:B544"/>
    <mergeCell ref="C543:D543"/>
    <mergeCell ref="E543:F543"/>
    <mergeCell ref="G543:H543"/>
    <mergeCell ref="I543:J543"/>
    <mergeCell ref="K543:L543"/>
    <mergeCell ref="M543:N543"/>
    <mergeCell ref="O543:P543"/>
    <mergeCell ref="K520:L520"/>
    <mergeCell ref="M520:N520"/>
    <mergeCell ref="O520:P520"/>
    <mergeCell ref="Q520:R520"/>
    <mergeCell ref="S520:T520"/>
    <mergeCell ref="W520:X520"/>
    <mergeCell ref="Q543:R543"/>
    <mergeCell ref="S543:T543"/>
    <mergeCell ref="W543:X543"/>
    <mergeCell ref="AA543:AB543"/>
    <mergeCell ref="A566:A567"/>
    <mergeCell ref="B566:B567"/>
    <mergeCell ref="C566:D566"/>
    <mergeCell ref="E566:F566"/>
    <mergeCell ref="G566:H566"/>
    <mergeCell ref="I566:J566"/>
    <mergeCell ref="A612:A613"/>
    <mergeCell ref="B612:B613"/>
    <mergeCell ref="C612:D612"/>
    <mergeCell ref="E612:F612"/>
    <mergeCell ref="G612:H612"/>
    <mergeCell ref="I612:J612"/>
    <mergeCell ref="AA566:AB566"/>
    <mergeCell ref="A589:A590"/>
    <mergeCell ref="B589:B590"/>
    <mergeCell ref="C589:D589"/>
    <mergeCell ref="E589:F589"/>
    <mergeCell ref="G589:H589"/>
    <mergeCell ref="I589:J589"/>
    <mergeCell ref="K589:L589"/>
    <mergeCell ref="M589:N589"/>
    <mergeCell ref="O589:P589"/>
    <mergeCell ref="K566:L566"/>
    <mergeCell ref="M566:N566"/>
    <mergeCell ref="O566:P566"/>
    <mergeCell ref="Q566:R566"/>
    <mergeCell ref="S566:T566"/>
    <mergeCell ref="W566:X566"/>
    <mergeCell ref="W612:X612"/>
    <mergeCell ref="AA612:AB612"/>
    <mergeCell ref="K612:L612"/>
    <mergeCell ref="M612:N612"/>
    <mergeCell ref="O612:P612"/>
    <mergeCell ref="Q612:R612"/>
    <mergeCell ref="S612:T612"/>
    <mergeCell ref="Q589:R589"/>
    <mergeCell ref="S589:T589"/>
    <mergeCell ref="W589:X589"/>
    <mergeCell ref="AA589:AB589"/>
    <mergeCell ref="AA924:AB924"/>
    <mergeCell ref="A949:A950"/>
    <mergeCell ref="B949:B950"/>
    <mergeCell ref="C949:D949"/>
    <mergeCell ref="E949:F949"/>
    <mergeCell ref="G949:H949"/>
    <mergeCell ref="I949:J949"/>
    <mergeCell ref="K949:L949"/>
    <mergeCell ref="M949:N949"/>
    <mergeCell ref="O949:P949"/>
    <mergeCell ref="A924:A925"/>
    <mergeCell ref="B924:B925"/>
    <mergeCell ref="C924:D924"/>
    <mergeCell ref="E924:F924"/>
    <mergeCell ref="G924:H924"/>
    <mergeCell ref="I924:J924"/>
    <mergeCell ref="W949:X949"/>
    <mergeCell ref="AA949:AB949"/>
    <mergeCell ref="A974:A975"/>
    <mergeCell ref="B974:B975"/>
    <mergeCell ref="C974:D974"/>
    <mergeCell ref="E974:F974"/>
    <mergeCell ref="G974:H974"/>
    <mergeCell ref="I974:J974"/>
    <mergeCell ref="K974:L974"/>
    <mergeCell ref="M974:N974"/>
    <mergeCell ref="O974:P974"/>
    <mergeCell ref="Q974:R974"/>
    <mergeCell ref="S974:T974"/>
    <mergeCell ref="W974:X974"/>
    <mergeCell ref="AA974:AB974"/>
    <mergeCell ref="A999:A1000"/>
    <mergeCell ref="B999:B1000"/>
    <mergeCell ref="C999:D999"/>
    <mergeCell ref="E999:F999"/>
    <mergeCell ref="G999:H999"/>
    <mergeCell ref="W999:X999"/>
    <mergeCell ref="AA999:AB999"/>
    <mergeCell ref="A1024:A1025"/>
    <mergeCell ref="B1024:B1025"/>
    <mergeCell ref="C1024:D1024"/>
    <mergeCell ref="E1024:F1024"/>
    <mergeCell ref="G1024:H1024"/>
    <mergeCell ref="I1024:J1024"/>
    <mergeCell ref="K1024:L1024"/>
    <mergeCell ref="M1024:N1024"/>
    <mergeCell ref="I999:J999"/>
    <mergeCell ref="K999:L999"/>
    <mergeCell ref="M999:N999"/>
    <mergeCell ref="O999:P999"/>
    <mergeCell ref="Q999:R999"/>
    <mergeCell ref="S999:T999"/>
    <mergeCell ref="O1024:P1024"/>
    <mergeCell ref="Q1024:R1024"/>
    <mergeCell ref="S1024:T1024"/>
    <mergeCell ref="W1024:X1024"/>
    <mergeCell ref="AA1024:AB1024"/>
    <mergeCell ref="A1049:A1050"/>
    <mergeCell ref="B1049:B1050"/>
    <mergeCell ref="C1049:D1049"/>
    <mergeCell ref="E1049:F1049"/>
    <mergeCell ref="G1049:H1049"/>
    <mergeCell ref="W1049:X1049"/>
    <mergeCell ref="AA1049:AB1049"/>
    <mergeCell ref="A1074:A1075"/>
    <mergeCell ref="B1074:B1075"/>
    <mergeCell ref="C1074:D1074"/>
    <mergeCell ref="E1074:F1074"/>
    <mergeCell ref="G1074:H1074"/>
    <mergeCell ref="I1074:J1074"/>
    <mergeCell ref="K1074:L1074"/>
    <mergeCell ref="M1074:N1074"/>
    <mergeCell ref="I1049:J1049"/>
    <mergeCell ref="K1049:L1049"/>
    <mergeCell ref="M1049:N1049"/>
    <mergeCell ref="O1049:P1049"/>
    <mergeCell ref="Q1049:R1049"/>
    <mergeCell ref="S1049:T1049"/>
    <mergeCell ref="O1074:P1074"/>
    <mergeCell ref="Q1074:R1074"/>
    <mergeCell ref="S1074:T1074"/>
    <mergeCell ref="W1074:X1074"/>
    <mergeCell ref="AA1074:AB1074"/>
    <mergeCell ref="A1099:A1100"/>
    <mergeCell ref="B1099:B1100"/>
    <mergeCell ref="C1099:D1099"/>
    <mergeCell ref="E1099:F1099"/>
    <mergeCell ref="G1099:H1099"/>
    <mergeCell ref="W1099:X1099"/>
    <mergeCell ref="AA1099:AB1099"/>
    <mergeCell ref="A1124:A1125"/>
    <mergeCell ref="B1124:B1125"/>
    <mergeCell ref="C1124:D1124"/>
    <mergeCell ref="E1124:F1124"/>
    <mergeCell ref="G1124:H1124"/>
    <mergeCell ref="I1124:J1124"/>
    <mergeCell ref="K1124:L1124"/>
    <mergeCell ref="M1124:N1124"/>
    <mergeCell ref="I1099:J1099"/>
    <mergeCell ref="K1099:L1099"/>
    <mergeCell ref="M1099:N1099"/>
    <mergeCell ref="O1099:P1099"/>
    <mergeCell ref="Q1099:R1099"/>
    <mergeCell ref="S1099:T1099"/>
    <mergeCell ref="O1124:P1124"/>
    <mergeCell ref="Q1124:R1124"/>
    <mergeCell ref="S1124:T1124"/>
    <mergeCell ref="W1124:X1124"/>
    <mergeCell ref="AA1124:AB1124"/>
    <mergeCell ref="A1149:A1150"/>
    <mergeCell ref="B1149:B1150"/>
    <mergeCell ref="C1149:D1149"/>
    <mergeCell ref="E1149:F1149"/>
    <mergeCell ref="G1149:H1149"/>
    <mergeCell ref="W1149:X1149"/>
    <mergeCell ref="AA1149:AB1149"/>
    <mergeCell ref="A1174:A1175"/>
    <mergeCell ref="B1174:B1175"/>
    <mergeCell ref="C1174:D1174"/>
    <mergeCell ref="E1174:F1174"/>
    <mergeCell ref="G1174:H1174"/>
    <mergeCell ref="I1174:J1174"/>
    <mergeCell ref="K1174:L1174"/>
    <mergeCell ref="M1174:N1174"/>
    <mergeCell ref="I1149:J1149"/>
    <mergeCell ref="K1149:L1149"/>
    <mergeCell ref="M1149:N1149"/>
    <mergeCell ref="O1149:P1149"/>
    <mergeCell ref="Q1149:R1149"/>
    <mergeCell ref="S1149:T1149"/>
    <mergeCell ref="O1174:P1174"/>
    <mergeCell ref="Q1174:R1174"/>
    <mergeCell ref="S1174:T1174"/>
    <mergeCell ref="W1174:X1174"/>
    <mergeCell ref="AA1174:AB1174"/>
    <mergeCell ref="A1199:A1200"/>
    <mergeCell ref="B1199:B1200"/>
    <mergeCell ref="C1199:D1199"/>
    <mergeCell ref="E1199:F1199"/>
    <mergeCell ref="G1199:H1199"/>
    <mergeCell ref="W1199:X1199"/>
    <mergeCell ref="AA1199:AB1199"/>
    <mergeCell ref="A1224:A1225"/>
    <mergeCell ref="B1224:B1225"/>
    <mergeCell ref="C1224:D1224"/>
    <mergeCell ref="E1224:F1224"/>
    <mergeCell ref="G1224:H1224"/>
    <mergeCell ref="I1224:J1224"/>
    <mergeCell ref="K1224:L1224"/>
    <mergeCell ref="M1224:N1224"/>
    <mergeCell ref="I1199:J1199"/>
    <mergeCell ref="K1199:L1199"/>
    <mergeCell ref="M1199:N1199"/>
    <mergeCell ref="O1199:P1199"/>
    <mergeCell ref="Q1199:R1199"/>
    <mergeCell ref="S1199:T1199"/>
    <mergeCell ref="O1224:P1224"/>
    <mergeCell ref="Q1224:R1224"/>
    <mergeCell ref="S1224:T1224"/>
    <mergeCell ref="W1224:X1224"/>
    <mergeCell ref="AA1224:AB1224"/>
    <mergeCell ref="A1249:A1250"/>
    <mergeCell ref="B1249:B1250"/>
    <mergeCell ref="C1249:D1249"/>
    <mergeCell ref="E1249:F1249"/>
    <mergeCell ref="G1249:H1249"/>
    <mergeCell ref="A1274:A1275"/>
    <mergeCell ref="B1274:B1275"/>
    <mergeCell ref="C1274:D1274"/>
    <mergeCell ref="E1274:F1274"/>
    <mergeCell ref="G1274:H1274"/>
    <mergeCell ref="I1274:J1274"/>
    <mergeCell ref="K1274:L1274"/>
    <mergeCell ref="M1274:N1274"/>
    <mergeCell ref="I1249:J1249"/>
    <mergeCell ref="K1249:L1249"/>
    <mergeCell ref="M1249:N1249"/>
    <mergeCell ref="AA1274:AB1274"/>
    <mergeCell ref="O1274:P1274"/>
    <mergeCell ref="Q1274:R1274"/>
    <mergeCell ref="S1274:T1274"/>
    <mergeCell ref="U1274:V1274"/>
    <mergeCell ref="W1274:X1274"/>
    <mergeCell ref="Y1274:Z1274"/>
    <mergeCell ref="W1249:X1249"/>
    <mergeCell ref="AA1249:AB1249"/>
    <mergeCell ref="O1249:P1249"/>
    <mergeCell ref="Q1249:R1249"/>
    <mergeCell ref="S1249:T1249"/>
  </mergeCells>
  <phoneticPr fontId="6" type="noConversion"/>
  <pageMargins left="0.37" right="0.14000000000000001" top="0.38" bottom="0.14000000000000001" header="0.15" footer="0.14000000000000001"/>
  <pageSetup paperSize="9" scale="48" orientation="landscape" horizontalDpi="360" verticalDpi="360" r:id="rId1"/>
  <headerFooter alignWithMargins="0"/>
  <rowBreaks count="27" manualBreakCount="27">
    <brk id="23" max="16383" man="1"/>
    <brk id="46" max="30" man="1"/>
    <brk id="69" max="16383" man="1"/>
    <brk id="111" max="16383" man="1"/>
    <brk id="134" max="16383" man="1"/>
    <brk id="157" max="16383" man="1"/>
    <brk id="222" max="16383" man="1"/>
    <brk id="245" max="16383" man="1"/>
    <brk id="333" max="16383" man="1"/>
    <brk id="379" max="16383" man="1"/>
    <brk id="402" max="16383" man="1"/>
    <brk id="425" max="16383" man="1"/>
    <brk id="448" max="16383" man="1"/>
    <brk id="471" max="16383" man="1"/>
    <brk id="494" max="16383" man="1"/>
    <brk id="517" max="16383" man="1"/>
    <brk id="540" max="16383" man="1"/>
    <brk id="563" max="16383" man="1"/>
    <brk id="586" max="16383" man="1"/>
    <brk id="729" max="30" man="1"/>
    <brk id="753" max="30" man="1"/>
    <brk id="823" max="30" man="1"/>
    <brk id="846" max="30" man="1"/>
    <brk id="870" max="30" man="1"/>
    <brk id="895" max="30" man="1"/>
    <brk id="1393" max="30" man="1"/>
    <brk id="1421" max="30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53CF-E6D8-452E-9B55-3A326DF76359}">
  <dimension ref="A1"/>
  <sheetViews>
    <sheetView topLeftCell="B1" workbookViewId="0">
      <selection activeCell="M84" sqref="M84"/>
    </sheetView>
  </sheetViews>
  <sheetFormatPr defaultRowHeight="12.7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8E4C-E731-40F5-ABFE-73A266F74125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BenQ</dc:creator>
  <cp:keywords/>
  <dc:description/>
  <cp:lastModifiedBy>X</cp:lastModifiedBy>
  <cp:revision/>
  <dcterms:created xsi:type="dcterms:W3CDTF">2009-07-05T08:41:01Z</dcterms:created>
  <dcterms:modified xsi:type="dcterms:W3CDTF">2026-06-20T06:04:13Z</dcterms:modified>
  <cp:category/>
  <cp:contentStatus/>
</cp:coreProperties>
</file>